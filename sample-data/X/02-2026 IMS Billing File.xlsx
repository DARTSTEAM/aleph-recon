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G:\Mi unidad\Migrated\Documents\From Dropbox\Aleph - Revenue Recognition\- Revenue Recognition - All\PER REGION\LATAM\IA\Recon Examples\Twitter\"/>
    </mc:Choice>
  </mc:AlternateContent>
  <xr:revisionPtr revIDLastSave="0" documentId="13_ncr:1_{A8B61FFD-0AD2-46D8-8ECB-F857CC4A154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voice Template" sheetId="9" r:id="rId1"/>
    <sheet name="Pivot" sheetId="8" state="hidden" r:id="rId2"/>
    <sheet name="Billing Report" sheetId="7" r:id="rId3"/>
    <sheet name="IMS Commission List" sheetId="10" r:id="rId4"/>
    <sheet name="IMS Tax Rates" sheetId="6" r:id="rId5"/>
  </sheets>
  <definedNames>
    <definedName name="_xlnm._FilterDatabase" localSheetId="2" hidden="1">'Billing Report'!$A$2:$CF$250</definedName>
    <definedName name="_xlnm._FilterDatabase" localSheetId="3" hidden="1">'IMS Commission List'!$A$1:$CW$97</definedName>
    <definedName name="_xlnm._FilterDatabase" localSheetId="0" hidden="1">'Invoice Template'!$A$6:$DJ$6</definedName>
  </definedNames>
  <calcPr calcId="191029"/>
  <pivotCaches>
    <pivotCache cacheId="445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93" i="9" l="1"/>
  <c r="J89" i="9"/>
  <c r="J90" i="9"/>
  <c r="AG90" i="9" s="1"/>
  <c r="BQ90" i="9" s="1"/>
  <c r="J91" i="9"/>
  <c r="J94" i="9"/>
  <c r="J73" i="9"/>
  <c r="J74" i="9"/>
  <c r="J75" i="9"/>
  <c r="J76" i="9"/>
  <c r="J77" i="9"/>
  <c r="J78" i="9"/>
  <c r="J84" i="9"/>
  <c r="J87" i="9"/>
  <c r="J88" i="9"/>
  <c r="J71" i="9"/>
  <c r="J69" i="9"/>
  <c r="J70" i="9"/>
  <c r="J26" i="9"/>
  <c r="J67" i="9"/>
  <c r="J27" i="9"/>
  <c r="J62" i="9"/>
  <c r="J58" i="9"/>
  <c r="J59" i="9"/>
  <c r="J60" i="9"/>
  <c r="J48" i="9"/>
  <c r="J49" i="9"/>
  <c r="J46" i="9"/>
  <c r="J7" i="9"/>
  <c r="J34" i="9"/>
  <c r="J35" i="9"/>
  <c r="J39" i="9"/>
  <c r="J28" i="9"/>
  <c r="J29" i="9"/>
  <c r="J19" i="9"/>
  <c r="J24" i="9"/>
  <c r="J17" i="9"/>
  <c r="K93" i="9"/>
  <c r="L93" i="9"/>
  <c r="N93" i="9"/>
  <c r="O93" i="9"/>
  <c r="P93" i="9"/>
  <c r="Q93" i="9"/>
  <c r="R93" i="9"/>
  <c r="S93" i="9"/>
  <c r="AE93" i="9" s="1"/>
  <c r="T93" i="9"/>
  <c r="AF93" i="9" s="1"/>
  <c r="BP93" i="9" s="1"/>
  <c r="U93" i="9"/>
  <c r="AG93" i="9" s="1"/>
  <c r="BQ93" i="9" s="1"/>
  <c r="V93" i="9"/>
  <c r="AH93" i="9" s="1"/>
  <c r="BR93" i="9" s="1"/>
  <c r="W93" i="9"/>
  <c r="X93" i="9"/>
  <c r="CU93" i="9"/>
  <c r="CV93" i="9" s="1"/>
  <c r="DD93" i="9"/>
  <c r="K89" i="9"/>
  <c r="L89" i="9"/>
  <c r="N89" i="9"/>
  <c r="O89" i="9"/>
  <c r="P89" i="9"/>
  <c r="Q89" i="9"/>
  <c r="R89" i="9"/>
  <c r="S89" i="9"/>
  <c r="AE89" i="9" s="1"/>
  <c r="BO89" i="9" s="1"/>
  <c r="T89" i="9"/>
  <c r="AF89" i="9" s="1"/>
  <c r="BP89" i="9" s="1"/>
  <c r="U89" i="9"/>
  <c r="AG89" i="9" s="1"/>
  <c r="BQ89" i="9" s="1"/>
  <c r="V89" i="9"/>
  <c r="AH89" i="9" s="1"/>
  <c r="BR89" i="9" s="1"/>
  <c r="W89" i="9"/>
  <c r="AI89" i="9" s="1"/>
  <c r="BS89" i="9" s="1"/>
  <c r="X89" i="9"/>
  <c r="CU89" i="9"/>
  <c r="CV89" i="9" s="1"/>
  <c r="CW89" i="9" s="1"/>
  <c r="DD89" i="9"/>
  <c r="K90" i="9"/>
  <c r="L90" i="9"/>
  <c r="N90" i="9"/>
  <c r="O90" i="9"/>
  <c r="P90" i="9"/>
  <c r="Q90" i="9"/>
  <c r="R90" i="9"/>
  <c r="S90" i="9"/>
  <c r="T90" i="9"/>
  <c r="AF90" i="9" s="1"/>
  <c r="BP90" i="9" s="1"/>
  <c r="U90" i="9"/>
  <c r="V90" i="9"/>
  <c r="W90" i="9"/>
  <c r="X90" i="9"/>
  <c r="CU90" i="9"/>
  <c r="CV90" i="9" s="1"/>
  <c r="DD90" i="9"/>
  <c r="K91" i="9"/>
  <c r="L91" i="9"/>
  <c r="N91" i="9"/>
  <c r="O91" i="9"/>
  <c r="P91" i="9"/>
  <c r="Q91" i="9"/>
  <c r="R91" i="9"/>
  <c r="S91" i="9"/>
  <c r="AE91" i="9" s="1"/>
  <c r="BO91" i="9" s="1"/>
  <c r="T91" i="9"/>
  <c r="AF91" i="9" s="1"/>
  <c r="BP91" i="9" s="1"/>
  <c r="U91" i="9"/>
  <c r="V91" i="9"/>
  <c r="AH91" i="9" s="1"/>
  <c r="BR91" i="9" s="1"/>
  <c r="W91" i="9"/>
  <c r="X91" i="9"/>
  <c r="CU91" i="9"/>
  <c r="CV91" i="9" s="1"/>
  <c r="DD91" i="9"/>
  <c r="K94" i="9"/>
  <c r="L94" i="9"/>
  <c r="N94" i="9"/>
  <c r="O94" i="9"/>
  <c r="P94" i="9"/>
  <c r="Q94" i="9"/>
  <c r="R94" i="9"/>
  <c r="S94" i="9"/>
  <c r="AE94" i="9" s="1"/>
  <c r="T94" i="9"/>
  <c r="AF94" i="9" s="1"/>
  <c r="BP94" i="9" s="1"/>
  <c r="U94" i="9"/>
  <c r="V94" i="9"/>
  <c r="AH94" i="9" s="1"/>
  <c r="BR94" i="9" s="1"/>
  <c r="W94" i="9"/>
  <c r="X94" i="9"/>
  <c r="AG94" i="9"/>
  <c r="BQ94" i="9" s="1"/>
  <c r="CU94" i="9"/>
  <c r="CV94" i="9" s="1"/>
  <c r="CW94" i="9" s="1"/>
  <c r="DD94" i="9"/>
  <c r="K73" i="9"/>
  <c r="X73" i="9" s="1"/>
  <c r="L73" i="9"/>
  <c r="N73" i="9"/>
  <c r="O73" i="9"/>
  <c r="P73" i="9"/>
  <c r="Q73" i="9"/>
  <c r="R73" i="9"/>
  <c r="S73" i="9"/>
  <c r="T73" i="9"/>
  <c r="U73" i="9"/>
  <c r="V73" i="9"/>
  <c r="W73" i="9"/>
  <c r="AF73" i="9"/>
  <c r="BP73" i="9" s="1"/>
  <c r="CU73" i="9"/>
  <c r="CV73" i="9" s="1"/>
  <c r="DD73" i="9"/>
  <c r="K74" i="9"/>
  <c r="L74" i="9"/>
  <c r="N74" i="9"/>
  <c r="O74" i="9"/>
  <c r="P74" i="9"/>
  <c r="Q74" i="9"/>
  <c r="R74" i="9"/>
  <c r="S74" i="9"/>
  <c r="T74" i="9"/>
  <c r="U74" i="9"/>
  <c r="V74" i="9"/>
  <c r="W74" i="9"/>
  <c r="CU74" i="9"/>
  <c r="CV74" i="9" s="1"/>
  <c r="DD74" i="9"/>
  <c r="K75" i="9"/>
  <c r="L75" i="9"/>
  <c r="N75" i="9"/>
  <c r="O75" i="9"/>
  <c r="P75" i="9"/>
  <c r="Q75" i="9"/>
  <c r="R75" i="9"/>
  <c r="S75" i="9"/>
  <c r="T75" i="9"/>
  <c r="U75" i="9"/>
  <c r="V75" i="9"/>
  <c r="W75" i="9"/>
  <c r="CU75" i="9"/>
  <c r="CV75" i="9" s="1"/>
  <c r="CW75" i="9" s="1"/>
  <c r="DD75" i="9"/>
  <c r="K76" i="9"/>
  <c r="L76" i="9"/>
  <c r="N76" i="9"/>
  <c r="O76" i="9"/>
  <c r="P76" i="9"/>
  <c r="Q76" i="9"/>
  <c r="R76" i="9"/>
  <c r="S76" i="9"/>
  <c r="T76" i="9"/>
  <c r="U76" i="9"/>
  <c r="V76" i="9"/>
  <c r="AH76" i="9" s="1"/>
  <c r="BR76" i="9" s="1"/>
  <c r="W76" i="9"/>
  <c r="X76" i="9"/>
  <c r="CU76" i="9"/>
  <c r="CV76" i="9" s="1"/>
  <c r="DD76" i="9"/>
  <c r="K77" i="9"/>
  <c r="L77" i="9"/>
  <c r="N77" i="9"/>
  <c r="O77" i="9"/>
  <c r="P77" i="9"/>
  <c r="Q77" i="9"/>
  <c r="R77" i="9"/>
  <c r="S77" i="9"/>
  <c r="T77" i="9"/>
  <c r="U77" i="9"/>
  <c r="V77" i="9"/>
  <c r="W77" i="9"/>
  <c r="X77" i="9"/>
  <c r="CU77" i="9"/>
  <c r="CV77" i="9" s="1"/>
  <c r="CW77" i="9" s="1"/>
  <c r="DD77" i="9"/>
  <c r="K78" i="9"/>
  <c r="L78" i="9"/>
  <c r="N78" i="9"/>
  <c r="O78" i="9"/>
  <c r="P78" i="9"/>
  <c r="Q78" i="9"/>
  <c r="R78" i="9"/>
  <c r="S78" i="9"/>
  <c r="T78" i="9"/>
  <c r="U78" i="9"/>
  <c r="V78" i="9"/>
  <c r="W78" i="9"/>
  <c r="X78" i="9"/>
  <c r="CU78" i="9"/>
  <c r="CV78" i="9" s="1"/>
  <c r="DD78" i="9"/>
  <c r="K84" i="9"/>
  <c r="L84" i="9"/>
  <c r="N84" i="9"/>
  <c r="O84" i="9"/>
  <c r="P84" i="9"/>
  <c r="Q84" i="9"/>
  <c r="R84" i="9"/>
  <c r="S84" i="9"/>
  <c r="T84" i="9"/>
  <c r="U84" i="9"/>
  <c r="V84" i="9"/>
  <c r="W84" i="9"/>
  <c r="X84" i="9"/>
  <c r="CU84" i="9"/>
  <c r="CV84" i="9" s="1"/>
  <c r="DD84" i="9"/>
  <c r="K87" i="9"/>
  <c r="L87" i="9"/>
  <c r="N87" i="9"/>
  <c r="O87" i="9"/>
  <c r="P87" i="9"/>
  <c r="Q87" i="9"/>
  <c r="R87" i="9"/>
  <c r="S87" i="9"/>
  <c r="T87" i="9"/>
  <c r="U87" i="9"/>
  <c r="V87" i="9"/>
  <c r="W87" i="9"/>
  <c r="X87" i="9"/>
  <c r="CU87" i="9"/>
  <c r="CV87" i="9" s="1"/>
  <c r="DD87" i="9"/>
  <c r="K88" i="9"/>
  <c r="L88" i="9"/>
  <c r="N88" i="9"/>
  <c r="O88" i="9"/>
  <c r="P88" i="9"/>
  <c r="Q88" i="9"/>
  <c r="R88" i="9"/>
  <c r="S88" i="9"/>
  <c r="T88" i="9"/>
  <c r="U88" i="9"/>
  <c r="V88" i="9"/>
  <c r="W88" i="9"/>
  <c r="X88" i="9"/>
  <c r="CU88" i="9"/>
  <c r="CV88" i="9" s="1"/>
  <c r="DD88" i="9"/>
  <c r="K71" i="9"/>
  <c r="L71" i="9"/>
  <c r="N71" i="9"/>
  <c r="O71" i="9"/>
  <c r="P71" i="9"/>
  <c r="Q71" i="9"/>
  <c r="R71" i="9"/>
  <c r="S71" i="9"/>
  <c r="T71" i="9"/>
  <c r="U71" i="9"/>
  <c r="V71" i="9"/>
  <c r="W71" i="9"/>
  <c r="CU71" i="9"/>
  <c r="CV71" i="9" s="1"/>
  <c r="DD71" i="9"/>
  <c r="K69" i="9"/>
  <c r="L69" i="9"/>
  <c r="N69" i="9"/>
  <c r="O69" i="9"/>
  <c r="P69" i="9"/>
  <c r="Q69" i="9"/>
  <c r="R69" i="9"/>
  <c r="S69" i="9"/>
  <c r="T69" i="9"/>
  <c r="U69" i="9"/>
  <c r="V69" i="9"/>
  <c r="W69" i="9"/>
  <c r="CU69" i="9"/>
  <c r="CV69" i="9" s="1"/>
  <c r="DD69" i="9"/>
  <c r="K70" i="9"/>
  <c r="X70" i="9" s="1"/>
  <c r="L70" i="9"/>
  <c r="N70" i="9"/>
  <c r="O70" i="9"/>
  <c r="P70" i="9"/>
  <c r="Q70" i="9"/>
  <c r="R70" i="9"/>
  <c r="S70" i="9"/>
  <c r="T70" i="9"/>
  <c r="U70" i="9"/>
  <c r="V70" i="9"/>
  <c r="W70" i="9"/>
  <c r="CU70" i="9"/>
  <c r="CV70" i="9" s="1"/>
  <c r="DD70" i="9"/>
  <c r="K26" i="9"/>
  <c r="X26" i="9" s="1"/>
  <c r="L26" i="9"/>
  <c r="N26" i="9"/>
  <c r="O26" i="9"/>
  <c r="P26" i="9"/>
  <c r="Q26" i="9"/>
  <c r="R26" i="9"/>
  <c r="S26" i="9"/>
  <c r="T26" i="9"/>
  <c r="U26" i="9"/>
  <c r="V26" i="9"/>
  <c r="W26" i="9"/>
  <c r="CU26" i="9"/>
  <c r="CV26" i="9" s="1"/>
  <c r="DD26" i="9"/>
  <c r="K67" i="9"/>
  <c r="L67" i="9"/>
  <c r="N67" i="9"/>
  <c r="O67" i="9"/>
  <c r="P67" i="9"/>
  <c r="Q67" i="9"/>
  <c r="R67" i="9"/>
  <c r="S67" i="9"/>
  <c r="T67" i="9"/>
  <c r="U67" i="9"/>
  <c r="V67" i="9"/>
  <c r="W67" i="9"/>
  <c r="X67" i="9"/>
  <c r="CU67" i="9"/>
  <c r="CV67" i="9" s="1"/>
  <c r="DD67" i="9"/>
  <c r="K27" i="9"/>
  <c r="CW27" i="9" s="1"/>
  <c r="L27" i="9"/>
  <c r="N27" i="9"/>
  <c r="O27" i="9"/>
  <c r="P27" i="9"/>
  <c r="Q27" i="9"/>
  <c r="R27" i="9"/>
  <c r="S27" i="9"/>
  <c r="T27" i="9"/>
  <c r="U27" i="9"/>
  <c r="V27" i="9"/>
  <c r="W27" i="9"/>
  <c r="X27" i="9"/>
  <c r="CU27" i="9"/>
  <c r="CV27" i="9" s="1"/>
  <c r="DD27" i="9"/>
  <c r="K62" i="9"/>
  <c r="L62" i="9"/>
  <c r="N62" i="9"/>
  <c r="O62" i="9"/>
  <c r="P62" i="9"/>
  <c r="Q62" i="9"/>
  <c r="R62" i="9"/>
  <c r="S62" i="9"/>
  <c r="T62" i="9"/>
  <c r="U62" i="9"/>
  <c r="V62" i="9"/>
  <c r="W62" i="9"/>
  <c r="X62" i="9"/>
  <c r="CU62" i="9"/>
  <c r="CV62" i="9" s="1"/>
  <c r="DD62" i="9"/>
  <c r="K58" i="9"/>
  <c r="L58" i="9"/>
  <c r="N58" i="9"/>
  <c r="O58" i="9"/>
  <c r="P58" i="9"/>
  <c r="Q58" i="9"/>
  <c r="R58" i="9"/>
  <c r="S58" i="9"/>
  <c r="T58" i="9"/>
  <c r="U58" i="9"/>
  <c r="V58" i="9"/>
  <c r="W58" i="9"/>
  <c r="X58" i="9"/>
  <c r="CU58" i="9"/>
  <c r="CV58" i="9" s="1"/>
  <c r="DD58" i="9"/>
  <c r="K59" i="9"/>
  <c r="L59" i="9"/>
  <c r="N59" i="9"/>
  <c r="O59" i="9"/>
  <c r="P59" i="9"/>
  <c r="Q59" i="9"/>
  <c r="R59" i="9"/>
  <c r="S59" i="9"/>
  <c r="T59" i="9"/>
  <c r="U59" i="9"/>
  <c r="AG59" i="9" s="1"/>
  <c r="BQ59" i="9" s="1"/>
  <c r="V59" i="9"/>
  <c r="W59" i="9"/>
  <c r="X59" i="9"/>
  <c r="CU59" i="9"/>
  <c r="CV59" i="9" s="1"/>
  <c r="DD59" i="9"/>
  <c r="K60" i="9"/>
  <c r="L60" i="9"/>
  <c r="N60" i="9"/>
  <c r="O60" i="9"/>
  <c r="P60" i="9"/>
  <c r="Q60" i="9"/>
  <c r="R60" i="9"/>
  <c r="S60" i="9"/>
  <c r="T60" i="9"/>
  <c r="U60" i="9"/>
  <c r="V60" i="9"/>
  <c r="W60" i="9"/>
  <c r="X60" i="9"/>
  <c r="CU60" i="9"/>
  <c r="CV60" i="9" s="1"/>
  <c r="DD60" i="9"/>
  <c r="K48" i="9"/>
  <c r="L48" i="9"/>
  <c r="N48" i="9"/>
  <c r="O48" i="9"/>
  <c r="P48" i="9"/>
  <c r="Q48" i="9"/>
  <c r="R48" i="9"/>
  <c r="S48" i="9"/>
  <c r="T48" i="9"/>
  <c r="AF48" i="9" s="1"/>
  <c r="BP48" i="9" s="1"/>
  <c r="U48" i="9"/>
  <c r="V48" i="9"/>
  <c r="AH48" i="9" s="1"/>
  <c r="BR48" i="9" s="1"/>
  <c r="W48" i="9"/>
  <c r="X48" i="9"/>
  <c r="CU48" i="9"/>
  <c r="CV48" i="9" s="1"/>
  <c r="DD48" i="9"/>
  <c r="K49" i="9"/>
  <c r="L49" i="9"/>
  <c r="N49" i="9"/>
  <c r="O49" i="9"/>
  <c r="P49" i="9"/>
  <c r="Q49" i="9"/>
  <c r="R49" i="9"/>
  <c r="S49" i="9"/>
  <c r="AE49" i="9" s="1"/>
  <c r="BO49" i="9" s="1"/>
  <c r="T49" i="9"/>
  <c r="U49" i="9"/>
  <c r="V49" i="9"/>
  <c r="W49" i="9"/>
  <c r="X49" i="9"/>
  <c r="CU49" i="9"/>
  <c r="CV49" i="9" s="1"/>
  <c r="DD49" i="9"/>
  <c r="K46" i="9"/>
  <c r="L46" i="9"/>
  <c r="N46" i="9"/>
  <c r="O46" i="9"/>
  <c r="P46" i="9"/>
  <c r="Q46" i="9"/>
  <c r="R46" i="9"/>
  <c r="S46" i="9"/>
  <c r="T46" i="9"/>
  <c r="U46" i="9"/>
  <c r="V46" i="9"/>
  <c r="W46" i="9"/>
  <c r="X46" i="9"/>
  <c r="CU46" i="9"/>
  <c r="CV46" i="9" s="1"/>
  <c r="DD46" i="9"/>
  <c r="K7" i="9"/>
  <c r="L7" i="9"/>
  <c r="N7" i="9"/>
  <c r="O7" i="9"/>
  <c r="P7" i="9"/>
  <c r="Q7" i="9"/>
  <c r="R7" i="9"/>
  <c r="S7" i="9"/>
  <c r="T7" i="9"/>
  <c r="AF7" i="9" s="1"/>
  <c r="BP7" i="9" s="1"/>
  <c r="U7" i="9"/>
  <c r="AG7" i="9" s="1"/>
  <c r="BQ7" i="9" s="1"/>
  <c r="V7" i="9"/>
  <c r="W7" i="9"/>
  <c r="AI7" i="9" s="1"/>
  <c r="BS7" i="9" s="1"/>
  <c r="X7" i="9"/>
  <c r="CU7" i="9"/>
  <c r="CV7" i="9" s="1"/>
  <c r="DD7" i="9"/>
  <c r="K34" i="9"/>
  <c r="X34" i="9" s="1"/>
  <c r="L34" i="9"/>
  <c r="N34" i="9"/>
  <c r="O34" i="9"/>
  <c r="P34" i="9"/>
  <c r="Q34" i="9"/>
  <c r="R34" i="9"/>
  <c r="S34" i="9"/>
  <c r="AE34" i="9" s="1"/>
  <c r="BO34" i="9" s="1"/>
  <c r="T34" i="9"/>
  <c r="AF34" i="9" s="1"/>
  <c r="BP34" i="9" s="1"/>
  <c r="U34" i="9"/>
  <c r="V34" i="9"/>
  <c r="AH34" i="9" s="1"/>
  <c r="BR34" i="9" s="1"/>
  <c r="W34" i="9"/>
  <c r="CU34" i="9"/>
  <c r="CV34" i="9" s="1"/>
  <c r="DD34" i="9"/>
  <c r="K35" i="9"/>
  <c r="L35" i="9"/>
  <c r="N35" i="9"/>
  <c r="O35" i="9"/>
  <c r="P35" i="9"/>
  <c r="Q35" i="9"/>
  <c r="R35" i="9"/>
  <c r="S35" i="9"/>
  <c r="T35" i="9"/>
  <c r="U35" i="9"/>
  <c r="V35" i="9"/>
  <c r="W35" i="9"/>
  <c r="X35" i="9"/>
  <c r="CU35" i="9"/>
  <c r="CV35" i="9" s="1"/>
  <c r="DD35" i="9"/>
  <c r="K39" i="9"/>
  <c r="L39" i="9"/>
  <c r="N39" i="9"/>
  <c r="O39" i="9"/>
  <c r="P39" i="9"/>
  <c r="Q39" i="9"/>
  <c r="R39" i="9"/>
  <c r="S39" i="9"/>
  <c r="T39" i="9"/>
  <c r="U39" i="9"/>
  <c r="V39" i="9"/>
  <c r="W39" i="9"/>
  <c r="X39" i="9"/>
  <c r="CU39" i="9"/>
  <c r="CV39" i="9" s="1"/>
  <c r="DD39" i="9"/>
  <c r="K28" i="9"/>
  <c r="L28" i="9"/>
  <c r="N28" i="9"/>
  <c r="O28" i="9"/>
  <c r="P28" i="9"/>
  <c r="Q28" i="9"/>
  <c r="R28" i="9"/>
  <c r="S28" i="9"/>
  <c r="T28" i="9"/>
  <c r="U28" i="9"/>
  <c r="V28" i="9"/>
  <c r="W28" i="9"/>
  <c r="X28" i="9"/>
  <c r="CU28" i="9"/>
  <c r="CV28" i="9" s="1"/>
  <c r="DD28" i="9"/>
  <c r="K29" i="9"/>
  <c r="L29" i="9"/>
  <c r="N29" i="9"/>
  <c r="O29" i="9"/>
  <c r="P29" i="9"/>
  <c r="Q29" i="9"/>
  <c r="R29" i="9"/>
  <c r="S29" i="9"/>
  <c r="AE29" i="9" s="1"/>
  <c r="T29" i="9"/>
  <c r="U29" i="9"/>
  <c r="AG29" i="9" s="1"/>
  <c r="BQ29" i="9" s="1"/>
  <c r="V29" i="9"/>
  <c r="W29" i="9"/>
  <c r="X29" i="9"/>
  <c r="CU29" i="9"/>
  <c r="CV29" i="9" s="1"/>
  <c r="DD29" i="9"/>
  <c r="K19" i="9"/>
  <c r="L19" i="9"/>
  <c r="N19" i="9"/>
  <c r="O19" i="9"/>
  <c r="P19" i="9"/>
  <c r="Q19" i="9"/>
  <c r="R19" i="9"/>
  <c r="S19" i="9"/>
  <c r="T19" i="9"/>
  <c r="U19" i="9"/>
  <c r="V19" i="9"/>
  <c r="W19" i="9"/>
  <c r="X19" i="9"/>
  <c r="CU19" i="9"/>
  <c r="CV19" i="9" s="1"/>
  <c r="DD19" i="9"/>
  <c r="K24" i="9"/>
  <c r="X24" i="9" s="1"/>
  <c r="L24" i="9"/>
  <c r="N24" i="9"/>
  <c r="O24" i="9"/>
  <c r="P24" i="9"/>
  <c r="Q24" i="9"/>
  <c r="R24" i="9"/>
  <c r="S24" i="9"/>
  <c r="T24" i="9"/>
  <c r="U24" i="9"/>
  <c r="V24" i="9"/>
  <c r="W24" i="9"/>
  <c r="CU24" i="9"/>
  <c r="CV24" i="9" s="1"/>
  <c r="DD24" i="9"/>
  <c r="K17" i="9"/>
  <c r="L17" i="9"/>
  <c r="N17" i="9"/>
  <c r="O17" i="9"/>
  <c r="P17" i="9"/>
  <c r="Q17" i="9"/>
  <c r="R17" i="9"/>
  <c r="S17" i="9"/>
  <c r="T17" i="9"/>
  <c r="U17" i="9"/>
  <c r="V17" i="9"/>
  <c r="W17" i="9"/>
  <c r="X17" i="9"/>
  <c r="CU17" i="9"/>
  <c r="CV17" i="9" s="1"/>
  <c r="DD17" i="9"/>
  <c r="J36" i="9"/>
  <c r="K36" i="9"/>
  <c r="L36" i="9"/>
  <c r="N36" i="9"/>
  <c r="O36" i="9"/>
  <c r="P36" i="9"/>
  <c r="Q36" i="9"/>
  <c r="R36" i="9"/>
  <c r="S36" i="9"/>
  <c r="T36" i="9"/>
  <c r="U36" i="9"/>
  <c r="V36" i="9"/>
  <c r="W36" i="9"/>
  <c r="CU36" i="9"/>
  <c r="CV36" i="9" s="1"/>
  <c r="DD36" i="9"/>
  <c r="J95" i="9"/>
  <c r="K95" i="9"/>
  <c r="X95" i="9" s="1"/>
  <c r="L95" i="9"/>
  <c r="N95" i="9"/>
  <c r="O95" i="9"/>
  <c r="P95" i="9"/>
  <c r="Q95" i="9"/>
  <c r="R95" i="9"/>
  <c r="S95" i="9"/>
  <c r="T95" i="9"/>
  <c r="U95" i="9"/>
  <c r="V95" i="9"/>
  <c r="W95" i="9"/>
  <c r="CU95" i="9"/>
  <c r="CV95" i="9" s="1"/>
  <c r="DD95" i="9"/>
  <c r="J156" i="9"/>
  <c r="K156" i="9"/>
  <c r="L156" i="9"/>
  <c r="N156" i="9"/>
  <c r="O156" i="9"/>
  <c r="P156" i="9"/>
  <c r="Q156" i="9"/>
  <c r="R156" i="9"/>
  <c r="S156" i="9"/>
  <c r="T156" i="9"/>
  <c r="U156" i="9"/>
  <c r="V156" i="9"/>
  <c r="W156" i="9"/>
  <c r="CU156" i="9"/>
  <c r="CV156" i="9" s="1"/>
  <c r="DD156" i="9"/>
  <c r="J192" i="9"/>
  <c r="K192" i="9"/>
  <c r="L192" i="9"/>
  <c r="N192" i="9"/>
  <c r="O192" i="9"/>
  <c r="P192" i="9"/>
  <c r="Q192" i="9"/>
  <c r="R192" i="9"/>
  <c r="S192" i="9"/>
  <c r="T192" i="9"/>
  <c r="U192" i="9"/>
  <c r="V192" i="9"/>
  <c r="W192" i="9"/>
  <c r="CU192" i="9"/>
  <c r="CV192" i="9" s="1"/>
  <c r="DD192" i="9"/>
  <c r="J186" i="9"/>
  <c r="K186" i="9"/>
  <c r="X186" i="9" s="1"/>
  <c r="L186" i="9"/>
  <c r="N186" i="9"/>
  <c r="O186" i="9"/>
  <c r="P186" i="9"/>
  <c r="Q186" i="9"/>
  <c r="R186" i="9"/>
  <c r="S186" i="9"/>
  <c r="T186" i="9"/>
  <c r="U186" i="9"/>
  <c r="V186" i="9"/>
  <c r="W186" i="9"/>
  <c r="CU186" i="9"/>
  <c r="CV186" i="9" s="1"/>
  <c r="DD186" i="9"/>
  <c r="J165" i="9"/>
  <c r="K165" i="9"/>
  <c r="X165" i="9" s="1"/>
  <c r="L165" i="9"/>
  <c r="N165" i="9"/>
  <c r="O165" i="9"/>
  <c r="P165" i="9"/>
  <c r="Q165" i="9"/>
  <c r="R165" i="9"/>
  <c r="S165" i="9"/>
  <c r="T165" i="9"/>
  <c r="U165" i="9"/>
  <c r="V165" i="9"/>
  <c r="W165" i="9"/>
  <c r="CU165" i="9"/>
  <c r="CV165" i="9" s="1"/>
  <c r="DD165" i="9"/>
  <c r="J168" i="9"/>
  <c r="K168" i="9"/>
  <c r="X168" i="9" s="1"/>
  <c r="L168" i="9"/>
  <c r="N168" i="9"/>
  <c r="O168" i="9"/>
  <c r="P168" i="9"/>
  <c r="Q168" i="9"/>
  <c r="R168" i="9"/>
  <c r="S168" i="9"/>
  <c r="T168" i="9"/>
  <c r="U168" i="9"/>
  <c r="V168" i="9"/>
  <c r="W168" i="9"/>
  <c r="CU168" i="9"/>
  <c r="CV168" i="9" s="1"/>
  <c r="DD168" i="9"/>
  <c r="J197" i="9"/>
  <c r="K197" i="9"/>
  <c r="X197" i="9" s="1"/>
  <c r="L197" i="9"/>
  <c r="N197" i="9"/>
  <c r="O197" i="9"/>
  <c r="P197" i="9"/>
  <c r="Q197" i="9"/>
  <c r="R197" i="9"/>
  <c r="S197" i="9"/>
  <c r="T197" i="9"/>
  <c r="U197" i="9"/>
  <c r="V197" i="9"/>
  <c r="W197" i="9"/>
  <c r="CU197" i="9"/>
  <c r="CV197" i="9" s="1"/>
  <c r="DD197" i="9"/>
  <c r="J142" i="9"/>
  <c r="K142" i="9"/>
  <c r="X142" i="9" s="1"/>
  <c r="L142" i="9"/>
  <c r="N142" i="9"/>
  <c r="O142" i="9"/>
  <c r="P142" i="9"/>
  <c r="Q142" i="9"/>
  <c r="R142" i="9"/>
  <c r="S142" i="9"/>
  <c r="T142" i="9"/>
  <c r="U142" i="9"/>
  <c r="V142" i="9"/>
  <c r="W142" i="9"/>
  <c r="CU142" i="9"/>
  <c r="CV142" i="9" s="1"/>
  <c r="DD142" i="9"/>
  <c r="J200" i="9"/>
  <c r="K200" i="9"/>
  <c r="X200" i="9" s="1"/>
  <c r="L200" i="9"/>
  <c r="N200" i="9"/>
  <c r="O200" i="9"/>
  <c r="P200" i="9"/>
  <c r="Q200" i="9"/>
  <c r="R200" i="9"/>
  <c r="S200" i="9"/>
  <c r="T200" i="9"/>
  <c r="U200" i="9"/>
  <c r="V200" i="9"/>
  <c r="W200" i="9"/>
  <c r="CU200" i="9"/>
  <c r="CV200" i="9" s="1"/>
  <c r="DD200" i="9"/>
  <c r="J159" i="9"/>
  <c r="K159" i="9"/>
  <c r="X159" i="9" s="1"/>
  <c r="L159" i="9"/>
  <c r="N159" i="9"/>
  <c r="O159" i="9"/>
  <c r="P159" i="9"/>
  <c r="Q159" i="9"/>
  <c r="R159" i="9"/>
  <c r="S159" i="9"/>
  <c r="T159" i="9"/>
  <c r="U159" i="9"/>
  <c r="V159" i="9"/>
  <c r="W159" i="9"/>
  <c r="CU159" i="9"/>
  <c r="CV159" i="9" s="1"/>
  <c r="DD159" i="9"/>
  <c r="J160" i="9"/>
  <c r="K160" i="9"/>
  <c r="X160" i="9" s="1"/>
  <c r="L160" i="9"/>
  <c r="N160" i="9"/>
  <c r="O160" i="9"/>
  <c r="P160" i="9"/>
  <c r="Q160" i="9"/>
  <c r="R160" i="9"/>
  <c r="S160" i="9"/>
  <c r="T160" i="9"/>
  <c r="U160" i="9"/>
  <c r="V160" i="9"/>
  <c r="W160" i="9"/>
  <c r="CU160" i="9"/>
  <c r="CV160" i="9" s="1"/>
  <c r="DD160" i="9"/>
  <c r="J148" i="9"/>
  <c r="K148" i="9"/>
  <c r="X148" i="9" s="1"/>
  <c r="L148" i="9"/>
  <c r="N148" i="9"/>
  <c r="O148" i="9"/>
  <c r="P148" i="9"/>
  <c r="Q148" i="9"/>
  <c r="R148" i="9"/>
  <c r="S148" i="9"/>
  <c r="T148" i="9"/>
  <c r="U148" i="9"/>
  <c r="V148" i="9"/>
  <c r="W148" i="9"/>
  <c r="CU148" i="9"/>
  <c r="CV148" i="9" s="1"/>
  <c r="DD148" i="9"/>
  <c r="J199" i="9"/>
  <c r="K199" i="9"/>
  <c r="X199" i="9" s="1"/>
  <c r="L199" i="9"/>
  <c r="N199" i="9"/>
  <c r="O199" i="9"/>
  <c r="P199" i="9"/>
  <c r="Q199" i="9"/>
  <c r="R199" i="9"/>
  <c r="S199" i="9"/>
  <c r="T199" i="9"/>
  <c r="U199" i="9"/>
  <c r="V199" i="9"/>
  <c r="W199" i="9"/>
  <c r="CU199" i="9"/>
  <c r="CV199" i="9" s="1"/>
  <c r="DD199" i="9"/>
  <c r="J68" i="9"/>
  <c r="K68" i="9"/>
  <c r="X68" i="9" s="1"/>
  <c r="L68" i="9"/>
  <c r="N68" i="9"/>
  <c r="O68" i="9"/>
  <c r="P68" i="9"/>
  <c r="Q68" i="9"/>
  <c r="R68" i="9"/>
  <c r="S68" i="9"/>
  <c r="T68" i="9"/>
  <c r="U68" i="9"/>
  <c r="V68" i="9"/>
  <c r="W68" i="9"/>
  <c r="CU68" i="9"/>
  <c r="CV68" i="9" s="1"/>
  <c r="DD68" i="9"/>
  <c r="J97" i="9"/>
  <c r="K97" i="9"/>
  <c r="X97" i="9" s="1"/>
  <c r="L97" i="9"/>
  <c r="N97" i="9"/>
  <c r="O97" i="9"/>
  <c r="P97" i="9"/>
  <c r="Q97" i="9"/>
  <c r="R97" i="9"/>
  <c r="S97" i="9"/>
  <c r="T97" i="9"/>
  <c r="U97" i="9"/>
  <c r="V97" i="9"/>
  <c r="W97" i="9"/>
  <c r="CU97" i="9"/>
  <c r="CV97" i="9" s="1"/>
  <c r="DD97" i="9"/>
  <c r="J98" i="9"/>
  <c r="K98" i="9"/>
  <c r="X98" i="9" s="1"/>
  <c r="L98" i="9"/>
  <c r="N98" i="9"/>
  <c r="O98" i="9"/>
  <c r="P98" i="9"/>
  <c r="Q98" i="9"/>
  <c r="R98" i="9"/>
  <c r="S98" i="9"/>
  <c r="T98" i="9"/>
  <c r="U98" i="9"/>
  <c r="V98" i="9"/>
  <c r="W98" i="9"/>
  <c r="CU98" i="9"/>
  <c r="CV98" i="9" s="1"/>
  <c r="DD98" i="9"/>
  <c r="J56" i="9"/>
  <c r="K56" i="9"/>
  <c r="X56" i="9" s="1"/>
  <c r="L56" i="9"/>
  <c r="N56" i="9"/>
  <c r="O56" i="9"/>
  <c r="P56" i="9"/>
  <c r="Q56" i="9"/>
  <c r="R56" i="9"/>
  <c r="S56" i="9"/>
  <c r="T56" i="9"/>
  <c r="U56" i="9"/>
  <c r="V56" i="9"/>
  <c r="W56" i="9"/>
  <c r="CU56" i="9"/>
  <c r="CV56" i="9" s="1"/>
  <c r="DD56" i="9"/>
  <c r="J57" i="9"/>
  <c r="K57" i="9"/>
  <c r="X57" i="9" s="1"/>
  <c r="L57" i="9"/>
  <c r="N57" i="9"/>
  <c r="O57" i="9"/>
  <c r="P57" i="9"/>
  <c r="Q57" i="9"/>
  <c r="R57" i="9"/>
  <c r="S57" i="9"/>
  <c r="T57" i="9"/>
  <c r="U57" i="9"/>
  <c r="V57" i="9"/>
  <c r="W57" i="9"/>
  <c r="CU57" i="9"/>
  <c r="CV57" i="9" s="1"/>
  <c r="DD57" i="9"/>
  <c r="J108" i="9"/>
  <c r="K108" i="9"/>
  <c r="X108" i="9" s="1"/>
  <c r="L108" i="9"/>
  <c r="N108" i="9"/>
  <c r="O108" i="9"/>
  <c r="P108" i="9"/>
  <c r="Q108" i="9"/>
  <c r="R108" i="9"/>
  <c r="S108" i="9"/>
  <c r="T108" i="9"/>
  <c r="U108" i="9"/>
  <c r="V108" i="9"/>
  <c r="W108" i="9"/>
  <c r="CU108" i="9"/>
  <c r="CV108" i="9" s="1"/>
  <c r="DD108" i="9"/>
  <c r="J109" i="9"/>
  <c r="K109" i="9"/>
  <c r="X109" i="9" s="1"/>
  <c r="L109" i="9"/>
  <c r="N109" i="9"/>
  <c r="O109" i="9"/>
  <c r="P109" i="9"/>
  <c r="Q109" i="9"/>
  <c r="R109" i="9"/>
  <c r="S109" i="9"/>
  <c r="T109" i="9"/>
  <c r="U109" i="9"/>
  <c r="V109" i="9"/>
  <c r="W109" i="9"/>
  <c r="CU109" i="9"/>
  <c r="CV109" i="9" s="1"/>
  <c r="DD109" i="9"/>
  <c r="J198" i="9"/>
  <c r="K198" i="9"/>
  <c r="X198" i="9" s="1"/>
  <c r="L198" i="9"/>
  <c r="N198" i="9"/>
  <c r="O198" i="9"/>
  <c r="P198" i="9"/>
  <c r="Q198" i="9"/>
  <c r="R198" i="9"/>
  <c r="S198" i="9"/>
  <c r="T198" i="9"/>
  <c r="U198" i="9"/>
  <c r="V198" i="9"/>
  <c r="W198" i="9"/>
  <c r="CU198" i="9"/>
  <c r="CV198" i="9" s="1"/>
  <c r="DD198" i="9"/>
  <c r="J143" i="9"/>
  <c r="K143" i="9"/>
  <c r="X143" i="9" s="1"/>
  <c r="L143" i="9"/>
  <c r="N143" i="9"/>
  <c r="O143" i="9"/>
  <c r="P143" i="9"/>
  <c r="Q143" i="9"/>
  <c r="R143" i="9"/>
  <c r="S143" i="9"/>
  <c r="T143" i="9"/>
  <c r="U143" i="9"/>
  <c r="V143" i="9"/>
  <c r="W143" i="9"/>
  <c r="CU143" i="9"/>
  <c r="CV143" i="9" s="1"/>
  <c r="DD143" i="9"/>
  <c r="J144" i="9"/>
  <c r="K144" i="9"/>
  <c r="L144" i="9"/>
  <c r="N144" i="9"/>
  <c r="O144" i="9"/>
  <c r="P144" i="9"/>
  <c r="Q144" i="9"/>
  <c r="R144" i="9"/>
  <c r="S144" i="9"/>
  <c r="T144" i="9"/>
  <c r="U144" i="9"/>
  <c r="V144" i="9"/>
  <c r="W144" i="9"/>
  <c r="CU144" i="9"/>
  <c r="CV144" i="9" s="1"/>
  <c r="DD144" i="9"/>
  <c r="J196" i="9"/>
  <c r="K196" i="9"/>
  <c r="X196" i="9" s="1"/>
  <c r="L196" i="9"/>
  <c r="N196" i="9"/>
  <c r="O196" i="9"/>
  <c r="P196" i="9"/>
  <c r="Q196" i="9"/>
  <c r="R196" i="9"/>
  <c r="S196" i="9"/>
  <c r="T196" i="9"/>
  <c r="U196" i="9"/>
  <c r="V196" i="9"/>
  <c r="W196" i="9"/>
  <c r="CU196" i="9"/>
  <c r="CV196" i="9" s="1"/>
  <c r="DD196" i="9"/>
  <c r="J47" i="9"/>
  <c r="K47" i="9"/>
  <c r="X47" i="9" s="1"/>
  <c r="L47" i="9"/>
  <c r="N47" i="9"/>
  <c r="O47" i="9"/>
  <c r="P47" i="9"/>
  <c r="Q47" i="9"/>
  <c r="R47" i="9"/>
  <c r="S47" i="9"/>
  <c r="T47" i="9"/>
  <c r="U47" i="9"/>
  <c r="V47" i="9"/>
  <c r="W47" i="9"/>
  <c r="CU47" i="9"/>
  <c r="CV47" i="9" s="1"/>
  <c r="DD47" i="9"/>
  <c r="J163" i="9"/>
  <c r="K163" i="9"/>
  <c r="L163" i="9"/>
  <c r="N163" i="9"/>
  <c r="O163" i="9"/>
  <c r="P163" i="9"/>
  <c r="Q163" i="9"/>
  <c r="R163" i="9"/>
  <c r="S163" i="9"/>
  <c r="T163" i="9"/>
  <c r="U163" i="9"/>
  <c r="V163" i="9"/>
  <c r="W163" i="9"/>
  <c r="CU163" i="9"/>
  <c r="CV163" i="9" s="1"/>
  <c r="DD163" i="9"/>
  <c r="J164" i="9"/>
  <c r="K164" i="9"/>
  <c r="X164" i="9" s="1"/>
  <c r="L164" i="9"/>
  <c r="N164" i="9"/>
  <c r="O164" i="9"/>
  <c r="P164" i="9"/>
  <c r="Q164" i="9"/>
  <c r="R164" i="9"/>
  <c r="S164" i="9"/>
  <c r="T164" i="9"/>
  <c r="U164" i="9"/>
  <c r="V164" i="9"/>
  <c r="W164" i="9"/>
  <c r="CU164" i="9"/>
  <c r="CV164" i="9" s="1"/>
  <c r="DD164" i="9"/>
  <c r="J194" i="9"/>
  <c r="K194" i="9"/>
  <c r="X194" i="9" s="1"/>
  <c r="L194" i="9"/>
  <c r="N194" i="9"/>
  <c r="O194" i="9"/>
  <c r="P194" i="9"/>
  <c r="Q194" i="9"/>
  <c r="R194" i="9"/>
  <c r="S194" i="9"/>
  <c r="T194" i="9"/>
  <c r="U194" i="9"/>
  <c r="V194" i="9"/>
  <c r="W194" i="9"/>
  <c r="CU194" i="9"/>
  <c r="CV194" i="9" s="1"/>
  <c r="DD194" i="9"/>
  <c r="J110" i="9"/>
  <c r="K110" i="9"/>
  <c r="X110" i="9" s="1"/>
  <c r="L110" i="9"/>
  <c r="N110" i="9"/>
  <c r="O110" i="9"/>
  <c r="P110" i="9"/>
  <c r="Q110" i="9"/>
  <c r="R110" i="9"/>
  <c r="S110" i="9"/>
  <c r="T110" i="9"/>
  <c r="U110" i="9"/>
  <c r="V110" i="9"/>
  <c r="W110" i="9"/>
  <c r="CU110" i="9"/>
  <c r="CV110" i="9" s="1"/>
  <c r="DD110" i="9"/>
  <c r="J111" i="9"/>
  <c r="K111" i="9"/>
  <c r="L111" i="9"/>
  <c r="N111" i="9"/>
  <c r="O111" i="9"/>
  <c r="P111" i="9"/>
  <c r="Q111" i="9"/>
  <c r="R111" i="9"/>
  <c r="S111" i="9"/>
  <c r="T111" i="9"/>
  <c r="U111" i="9"/>
  <c r="V111" i="9"/>
  <c r="W111" i="9"/>
  <c r="CU111" i="9"/>
  <c r="CV111" i="9" s="1"/>
  <c r="DD111" i="9"/>
  <c r="J149" i="9"/>
  <c r="K149" i="9"/>
  <c r="X149" i="9" s="1"/>
  <c r="L149" i="9"/>
  <c r="N149" i="9"/>
  <c r="O149" i="9"/>
  <c r="P149" i="9"/>
  <c r="Q149" i="9"/>
  <c r="R149" i="9"/>
  <c r="S149" i="9"/>
  <c r="T149" i="9"/>
  <c r="U149" i="9"/>
  <c r="V149" i="9"/>
  <c r="W149" i="9"/>
  <c r="CU149" i="9"/>
  <c r="CV149" i="9" s="1"/>
  <c r="DD149" i="9"/>
  <c r="J112" i="9"/>
  <c r="K112" i="9"/>
  <c r="L112" i="9"/>
  <c r="N112" i="9"/>
  <c r="O112" i="9"/>
  <c r="P112" i="9"/>
  <c r="Q112" i="9"/>
  <c r="R112" i="9"/>
  <c r="S112" i="9"/>
  <c r="T112" i="9"/>
  <c r="U112" i="9"/>
  <c r="V112" i="9"/>
  <c r="W112" i="9"/>
  <c r="CU112" i="9"/>
  <c r="CV112" i="9" s="1"/>
  <c r="DD112" i="9"/>
  <c r="J195" i="9"/>
  <c r="K195" i="9"/>
  <c r="X195" i="9" s="1"/>
  <c r="L195" i="9"/>
  <c r="N195" i="9"/>
  <c r="O195" i="9"/>
  <c r="P195" i="9"/>
  <c r="Q195" i="9"/>
  <c r="R195" i="9"/>
  <c r="S195" i="9"/>
  <c r="T195" i="9"/>
  <c r="U195" i="9"/>
  <c r="V195" i="9"/>
  <c r="W195" i="9"/>
  <c r="CU195" i="9"/>
  <c r="CV195" i="9" s="1"/>
  <c r="DD195" i="9"/>
  <c r="J189" i="9"/>
  <c r="K189" i="9"/>
  <c r="X189" i="9" s="1"/>
  <c r="L189" i="9"/>
  <c r="N189" i="9"/>
  <c r="O189" i="9"/>
  <c r="P189" i="9"/>
  <c r="Q189" i="9"/>
  <c r="R189" i="9"/>
  <c r="S189" i="9"/>
  <c r="T189" i="9"/>
  <c r="U189" i="9"/>
  <c r="V189" i="9"/>
  <c r="W189" i="9"/>
  <c r="CU189" i="9"/>
  <c r="CV189" i="9" s="1"/>
  <c r="DD189" i="9"/>
  <c r="J184" i="9"/>
  <c r="K184" i="9"/>
  <c r="X184" i="9" s="1"/>
  <c r="L184" i="9"/>
  <c r="N184" i="9"/>
  <c r="O184" i="9"/>
  <c r="P184" i="9"/>
  <c r="Q184" i="9"/>
  <c r="R184" i="9"/>
  <c r="S184" i="9"/>
  <c r="T184" i="9"/>
  <c r="U184" i="9"/>
  <c r="V184" i="9"/>
  <c r="W184" i="9"/>
  <c r="CU184" i="9"/>
  <c r="CV184" i="9" s="1"/>
  <c r="DD184" i="9"/>
  <c r="J193" i="9"/>
  <c r="K193" i="9"/>
  <c r="X193" i="9" s="1"/>
  <c r="L193" i="9"/>
  <c r="N193" i="9"/>
  <c r="O193" i="9"/>
  <c r="P193" i="9"/>
  <c r="Q193" i="9"/>
  <c r="R193" i="9"/>
  <c r="S193" i="9"/>
  <c r="T193" i="9"/>
  <c r="U193" i="9"/>
  <c r="V193" i="9"/>
  <c r="W193" i="9"/>
  <c r="CU193" i="9"/>
  <c r="CV193" i="9" s="1"/>
  <c r="DD193" i="9"/>
  <c r="J190" i="9"/>
  <c r="K190" i="9"/>
  <c r="X190" i="9" s="1"/>
  <c r="L190" i="9"/>
  <c r="N190" i="9"/>
  <c r="O190" i="9"/>
  <c r="P190" i="9"/>
  <c r="Q190" i="9"/>
  <c r="R190" i="9"/>
  <c r="S190" i="9"/>
  <c r="T190" i="9"/>
  <c r="U190" i="9"/>
  <c r="V190" i="9"/>
  <c r="W190" i="9"/>
  <c r="CU190" i="9"/>
  <c r="CV190" i="9" s="1"/>
  <c r="DD190" i="9"/>
  <c r="J191" i="9"/>
  <c r="K191" i="9"/>
  <c r="X191" i="9" s="1"/>
  <c r="L191" i="9"/>
  <c r="N191" i="9"/>
  <c r="O191" i="9"/>
  <c r="P191" i="9"/>
  <c r="Q191" i="9"/>
  <c r="R191" i="9"/>
  <c r="S191" i="9"/>
  <c r="T191" i="9"/>
  <c r="U191" i="9"/>
  <c r="V191" i="9"/>
  <c r="W191" i="9"/>
  <c r="CU191" i="9"/>
  <c r="CV191" i="9" s="1"/>
  <c r="DD191" i="9"/>
  <c r="J181" i="9"/>
  <c r="K181" i="9"/>
  <c r="X181" i="9" s="1"/>
  <c r="L181" i="9"/>
  <c r="N181" i="9"/>
  <c r="O181" i="9"/>
  <c r="P181" i="9"/>
  <c r="Q181" i="9"/>
  <c r="R181" i="9"/>
  <c r="S181" i="9"/>
  <c r="T181" i="9"/>
  <c r="U181" i="9"/>
  <c r="V181" i="9"/>
  <c r="W181" i="9"/>
  <c r="CU181" i="9"/>
  <c r="CV181" i="9" s="1"/>
  <c r="DD181" i="9"/>
  <c r="J113" i="9"/>
  <c r="K113" i="9"/>
  <c r="X113" i="9" s="1"/>
  <c r="L113" i="9"/>
  <c r="N113" i="9"/>
  <c r="O113" i="9"/>
  <c r="P113" i="9"/>
  <c r="Q113" i="9"/>
  <c r="R113" i="9"/>
  <c r="S113" i="9"/>
  <c r="T113" i="9"/>
  <c r="U113" i="9"/>
  <c r="V113" i="9"/>
  <c r="W113" i="9"/>
  <c r="CU113" i="9"/>
  <c r="CV113" i="9" s="1"/>
  <c r="DD113" i="9"/>
  <c r="J8" i="9"/>
  <c r="K8" i="9"/>
  <c r="X8" i="9" s="1"/>
  <c r="L8" i="9"/>
  <c r="N8" i="9"/>
  <c r="O8" i="9"/>
  <c r="P8" i="9"/>
  <c r="Q8" i="9"/>
  <c r="R8" i="9"/>
  <c r="S8" i="9"/>
  <c r="T8" i="9"/>
  <c r="U8" i="9"/>
  <c r="V8" i="9"/>
  <c r="W8" i="9"/>
  <c r="CU8" i="9"/>
  <c r="CV8" i="9" s="1"/>
  <c r="DD8" i="9"/>
  <c r="J187" i="9"/>
  <c r="K187" i="9"/>
  <c r="X187" i="9" s="1"/>
  <c r="L187" i="9"/>
  <c r="N187" i="9"/>
  <c r="O187" i="9"/>
  <c r="P187" i="9"/>
  <c r="Q187" i="9"/>
  <c r="R187" i="9"/>
  <c r="S187" i="9"/>
  <c r="T187" i="9"/>
  <c r="U187" i="9"/>
  <c r="V187" i="9"/>
  <c r="W187" i="9"/>
  <c r="CU187" i="9"/>
  <c r="CV187" i="9" s="1"/>
  <c r="DD187" i="9"/>
  <c r="J188" i="9"/>
  <c r="K188" i="9"/>
  <c r="X188" i="9" s="1"/>
  <c r="L188" i="9"/>
  <c r="N188" i="9"/>
  <c r="O188" i="9"/>
  <c r="P188" i="9"/>
  <c r="Q188" i="9"/>
  <c r="R188" i="9"/>
  <c r="S188" i="9"/>
  <c r="T188" i="9"/>
  <c r="U188" i="9"/>
  <c r="V188" i="9"/>
  <c r="W188" i="9"/>
  <c r="CU188" i="9"/>
  <c r="CV188" i="9" s="1"/>
  <c r="DD188" i="9"/>
  <c r="J150" i="9"/>
  <c r="K150" i="9"/>
  <c r="X150" i="9" s="1"/>
  <c r="L150" i="9"/>
  <c r="N150" i="9"/>
  <c r="O150" i="9"/>
  <c r="P150" i="9"/>
  <c r="Q150" i="9"/>
  <c r="R150" i="9"/>
  <c r="S150" i="9"/>
  <c r="T150" i="9"/>
  <c r="U150" i="9"/>
  <c r="V150" i="9"/>
  <c r="W150" i="9"/>
  <c r="CU150" i="9"/>
  <c r="CV150" i="9" s="1"/>
  <c r="DD150" i="9"/>
  <c r="J183" i="9"/>
  <c r="K183" i="9"/>
  <c r="X183" i="9" s="1"/>
  <c r="L183" i="9"/>
  <c r="N183" i="9"/>
  <c r="O183" i="9"/>
  <c r="P183" i="9"/>
  <c r="Q183" i="9"/>
  <c r="R183" i="9"/>
  <c r="S183" i="9"/>
  <c r="T183" i="9"/>
  <c r="U183" i="9"/>
  <c r="V183" i="9"/>
  <c r="W183" i="9"/>
  <c r="CU183" i="9"/>
  <c r="CV183" i="9" s="1"/>
  <c r="DD183" i="9"/>
  <c r="J20" i="9"/>
  <c r="K20" i="9"/>
  <c r="X20" i="9" s="1"/>
  <c r="L20" i="9"/>
  <c r="N20" i="9"/>
  <c r="O20" i="9"/>
  <c r="P20" i="9"/>
  <c r="Q20" i="9"/>
  <c r="R20" i="9"/>
  <c r="S20" i="9"/>
  <c r="T20" i="9"/>
  <c r="U20" i="9"/>
  <c r="V20" i="9"/>
  <c r="W20" i="9"/>
  <c r="CU20" i="9"/>
  <c r="CV20" i="9" s="1"/>
  <c r="DD20" i="9"/>
  <c r="J21" i="9"/>
  <c r="K21" i="9"/>
  <c r="X21" i="9" s="1"/>
  <c r="L21" i="9"/>
  <c r="N21" i="9"/>
  <c r="O21" i="9"/>
  <c r="P21" i="9"/>
  <c r="Q21" i="9"/>
  <c r="R21" i="9"/>
  <c r="S21" i="9"/>
  <c r="T21" i="9"/>
  <c r="U21" i="9"/>
  <c r="V21" i="9"/>
  <c r="W21" i="9"/>
  <c r="CU21" i="9"/>
  <c r="CV21" i="9" s="1"/>
  <c r="DD21" i="9"/>
  <c r="J37" i="9"/>
  <c r="K37" i="9"/>
  <c r="X37" i="9" s="1"/>
  <c r="L37" i="9"/>
  <c r="N37" i="9"/>
  <c r="O37" i="9"/>
  <c r="P37" i="9"/>
  <c r="Q37" i="9"/>
  <c r="R37" i="9"/>
  <c r="S37" i="9"/>
  <c r="T37" i="9"/>
  <c r="U37" i="9"/>
  <c r="V37" i="9"/>
  <c r="W37" i="9"/>
  <c r="CU37" i="9"/>
  <c r="CV37" i="9" s="1"/>
  <c r="DD37" i="9"/>
  <c r="J185" i="9"/>
  <c r="K185" i="9"/>
  <c r="X185" i="9" s="1"/>
  <c r="L185" i="9"/>
  <c r="N185" i="9"/>
  <c r="O185" i="9"/>
  <c r="P185" i="9"/>
  <c r="Q185" i="9"/>
  <c r="R185" i="9"/>
  <c r="S185" i="9"/>
  <c r="T185" i="9"/>
  <c r="U185" i="9"/>
  <c r="V185" i="9"/>
  <c r="W185" i="9"/>
  <c r="CU185" i="9"/>
  <c r="CV185" i="9" s="1"/>
  <c r="DD185" i="9"/>
  <c r="J50" i="9"/>
  <c r="K50" i="9"/>
  <c r="X50" i="9" s="1"/>
  <c r="L50" i="9"/>
  <c r="N50" i="9"/>
  <c r="O50" i="9"/>
  <c r="P50" i="9"/>
  <c r="Q50" i="9"/>
  <c r="R50" i="9"/>
  <c r="S50" i="9"/>
  <c r="T50" i="9"/>
  <c r="U50" i="9"/>
  <c r="V50" i="9"/>
  <c r="W50" i="9"/>
  <c r="CU50" i="9"/>
  <c r="CV50" i="9" s="1"/>
  <c r="DD50" i="9"/>
  <c r="J114" i="9"/>
  <c r="K114" i="9"/>
  <c r="X114" i="9" s="1"/>
  <c r="L114" i="9"/>
  <c r="N114" i="9"/>
  <c r="O114" i="9"/>
  <c r="P114" i="9"/>
  <c r="Q114" i="9"/>
  <c r="R114" i="9"/>
  <c r="S114" i="9"/>
  <c r="T114" i="9"/>
  <c r="U114" i="9"/>
  <c r="V114" i="9"/>
  <c r="W114" i="9"/>
  <c r="CU114" i="9"/>
  <c r="CV114" i="9" s="1"/>
  <c r="DD114" i="9"/>
  <c r="J115" i="9"/>
  <c r="K115" i="9"/>
  <c r="X115" i="9" s="1"/>
  <c r="L115" i="9"/>
  <c r="N115" i="9"/>
  <c r="O115" i="9"/>
  <c r="P115" i="9"/>
  <c r="Q115" i="9"/>
  <c r="R115" i="9"/>
  <c r="S115" i="9"/>
  <c r="T115" i="9"/>
  <c r="U115" i="9"/>
  <c r="V115" i="9"/>
  <c r="W115" i="9"/>
  <c r="CU115" i="9"/>
  <c r="CV115" i="9" s="1"/>
  <c r="DD115" i="9"/>
  <c r="J116" i="9"/>
  <c r="K116" i="9"/>
  <c r="X116" i="9" s="1"/>
  <c r="L116" i="9"/>
  <c r="N116" i="9"/>
  <c r="O116" i="9"/>
  <c r="P116" i="9"/>
  <c r="Q116" i="9"/>
  <c r="R116" i="9"/>
  <c r="S116" i="9"/>
  <c r="T116" i="9"/>
  <c r="U116" i="9"/>
  <c r="V116" i="9"/>
  <c r="W116" i="9"/>
  <c r="CU116" i="9"/>
  <c r="CV116" i="9" s="1"/>
  <c r="DD116" i="9"/>
  <c r="J117" i="9"/>
  <c r="K117" i="9"/>
  <c r="X117" i="9" s="1"/>
  <c r="L117" i="9"/>
  <c r="N117" i="9"/>
  <c r="O117" i="9"/>
  <c r="P117" i="9"/>
  <c r="Q117" i="9"/>
  <c r="R117" i="9"/>
  <c r="S117" i="9"/>
  <c r="T117" i="9"/>
  <c r="U117" i="9"/>
  <c r="V117" i="9"/>
  <c r="W117" i="9"/>
  <c r="CU117" i="9"/>
  <c r="CV117" i="9" s="1"/>
  <c r="DD117" i="9"/>
  <c r="J182" i="9"/>
  <c r="K182" i="9"/>
  <c r="X182" i="9" s="1"/>
  <c r="L182" i="9"/>
  <c r="N182" i="9"/>
  <c r="O182" i="9"/>
  <c r="P182" i="9"/>
  <c r="Q182" i="9"/>
  <c r="R182" i="9"/>
  <c r="S182" i="9"/>
  <c r="T182" i="9"/>
  <c r="U182" i="9"/>
  <c r="V182" i="9"/>
  <c r="W182" i="9"/>
  <c r="CU182" i="9"/>
  <c r="CV182" i="9" s="1"/>
  <c r="DD182" i="9"/>
  <c r="J170" i="9"/>
  <c r="K170" i="9"/>
  <c r="X170" i="9" s="1"/>
  <c r="L170" i="9"/>
  <c r="N170" i="9"/>
  <c r="O170" i="9"/>
  <c r="P170" i="9"/>
  <c r="Q170" i="9"/>
  <c r="R170" i="9"/>
  <c r="S170" i="9"/>
  <c r="T170" i="9"/>
  <c r="U170" i="9"/>
  <c r="V170" i="9"/>
  <c r="W170" i="9"/>
  <c r="CU170" i="9"/>
  <c r="CV170" i="9" s="1"/>
  <c r="DD170" i="9"/>
  <c r="J180" i="9"/>
  <c r="K180" i="9"/>
  <c r="L180" i="9"/>
  <c r="N180" i="9"/>
  <c r="O180" i="9"/>
  <c r="P180" i="9"/>
  <c r="Q180" i="9"/>
  <c r="R180" i="9"/>
  <c r="S180" i="9"/>
  <c r="T180" i="9"/>
  <c r="U180" i="9"/>
  <c r="V180" i="9"/>
  <c r="W180" i="9"/>
  <c r="CU180" i="9"/>
  <c r="CV180" i="9" s="1"/>
  <c r="DD180" i="9"/>
  <c r="J42" i="9"/>
  <c r="K42" i="9"/>
  <c r="X42" i="9" s="1"/>
  <c r="L42" i="9"/>
  <c r="N42" i="9"/>
  <c r="O42" i="9"/>
  <c r="P42" i="9"/>
  <c r="Q42" i="9"/>
  <c r="R42" i="9"/>
  <c r="S42" i="9"/>
  <c r="T42" i="9"/>
  <c r="U42" i="9"/>
  <c r="V42" i="9"/>
  <c r="W42" i="9"/>
  <c r="CU42" i="9"/>
  <c r="CV42" i="9" s="1"/>
  <c r="DD42" i="9"/>
  <c r="J43" i="9"/>
  <c r="K43" i="9"/>
  <c r="X43" i="9" s="1"/>
  <c r="L43" i="9"/>
  <c r="N43" i="9"/>
  <c r="O43" i="9"/>
  <c r="P43" i="9"/>
  <c r="Q43" i="9"/>
  <c r="R43" i="9"/>
  <c r="S43" i="9"/>
  <c r="T43" i="9"/>
  <c r="U43" i="9"/>
  <c r="V43" i="9"/>
  <c r="W43" i="9"/>
  <c r="CU43" i="9"/>
  <c r="CV43" i="9" s="1"/>
  <c r="DD43" i="9"/>
  <c r="J51" i="9"/>
  <c r="K51" i="9"/>
  <c r="X51" i="9" s="1"/>
  <c r="L51" i="9"/>
  <c r="N51" i="9"/>
  <c r="O51" i="9"/>
  <c r="P51" i="9"/>
  <c r="Q51" i="9"/>
  <c r="R51" i="9"/>
  <c r="S51" i="9"/>
  <c r="T51" i="9"/>
  <c r="U51" i="9"/>
  <c r="V51" i="9"/>
  <c r="W51" i="9"/>
  <c r="CU51" i="9"/>
  <c r="CV51" i="9" s="1"/>
  <c r="DD51" i="9"/>
  <c r="J172" i="9"/>
  <c r="K172" i="9"/>
  <c r="X172" i="9" s="1"/>
  <c r="L172" i="9"/>
  <c r="N172" i="9"/>
  <c r="O172" i="9"/>
  <c r="P172" i="9"/>
  <c r="Q172" i="9"/>
  <c r="R172" i="9"/>
  <c r="S172" i="9"/>
  <c r="T172" i="9"/>
  <c r="U172" i="9"/>
  <c r="V172" i="9"/>
  <c r="W172" i="9"/>
  <c r="CU172" i="9"/>
  <c r="CV172" i="9" s="1"/>
  <c r="DD172" i="9"/>
  <c r="J173" i="9"/>
  <c r="K173" i="9"/>
  <c r="X173" i="9" s="1"/>
  <c r="L173" i="9"/>
  <c r="N173" i="9"/>
  <c r="O173" i="9"/>
  <c r="P173" i="9"/>
  <c r="Q173" i="9"/>
  <c r="R173" i="9"/>
  <c r="S173" i="9"/>
  <c r="T173" i="9"/>
  <c r="U173" i="9"/>
  <c r="V173" i="9"/>
  <c r="W173" i="9"/>
  <c r="CU173" i="9"/>
  <c r="CV173" i="9" s="1"/>
  <c r="DD173" i="9"/>
  <c r="J174" i="9"/>
  <c r="K174" i="9"/>
  <c r="X174" i="9" s="1"/>
  <c r="L174" i="9"/>
  <c r="N174" i="9"/>
  <c r="O174" i="9"/>
  <c r="P174" i="9"/>
  <c r="Q174" i="9"/>
  <c r="R174" i="9"/>
  <c r="S174" i="9"/>
  <c r="T174" i="9"/>
  <c r="U174" i="9"/>
  <c r="V174" i="9"/>
  <c r="W174" i="9"/>
  <c r="CU174" i="9"/>
  <c r="CV174" i="9" s="1"/>
  <c r="DD174" i="9"/>
  <c r="J118" i="9"/>
  <c r="K118" i="9"/>
  <c r="X118" i="9" s="1"/>
  <c r="L118" i="9"/>
  <c r="N118" i="9"/>
  <c r="O118" i="9"/>
  <c r="P118" i="9"/>
  <c r="Q118" i="9"/>
  <c r="R118" i="9"/>
  <c r="S118" i="9"/>
  <c r="T118" i="9"/>
  <c r="U118" i="9"/>
  <c r="V118" i="9"/>
  <c r="W118" i="9"/>
  <c r="CU118" i="9"/>
  <c r="CV118" i="9" s="1"/>
  <c r="DD118" i="9"/>
  <c r="J119" i="9"/>
  <c r="K119" i="9"/>
  <c r="X119" i="9" s="1"/>
  <c r="L119" i="9"/>
  <c r="N119" i="9"/>
  <c r="O119" i="9"/>
  <c r="P119" i="9"/>
  <c r="Q119" i="9"/>
  <c r="R119" i="9"/>
  <c r="S119" i="9"/>
  <c r="T119" i="9"/>
  <c r="U119" i="9"/>
  <c r="V119" i="9"/>
  <c r="W119" i="9"/>
  <c r="CU119" i="9"/>
  <c r="CV119" i="9" s="1"/>
  <c r="DD119" i="9"/>
  <c r="J179" i="9"/>
  <c r="K179" i="9"/>
  <c r="X179" i="9" s="1"/>
  <c r="L179" i="9"/>
  <c r="N179" i="9"/>
  <c r="O179" i="9"/>
  <c r="P179" i="9"/>
  <c r="Q179" i="9"/>
  <c r="R179" i="9"/>
  <c r="S179" i="9"/>
  <c r="T179" i="9"/>
  <c r="U179" i="9"/>
  <c r="V179" i="9"/>
  <c r="W179" i="9"/>
  <c r="CU179" i="9"/>
  <c r="CV179" i="9" s="1"/>
  <c r="DD179" i="9"/>
  <c r="J178" i="9"/>
  <c r="K178" i="9"/>
  <c r="X178" i="9" s="1"/>
  <c r="L178" i="9"/>
  <c r="N178" i="9"/>
  <c r="O178" i="9"/>
  <c r="P178" i="9"/>
  <c r="Q178" i="9"/>
  <c r="R178" i="9"/>
  <c r="S178" i="9"/>
  <c r="T178" i="9"/>
  <c r="U178" i="9"/>
  <c r="V178" i="9"/>
  <c r="W178" i="9"/>
  <c r="CU178" i="9"/>
  <c r="CV178" i="9" s="1"/>
  <c r="DD178" i="9"/>
  <c r="J177" i="9"/>
  <c r="K177" i="9"/>
  <c r="X177" i="9" s="1"/>
  <c r="L177" i="9"/>
  <c r="N177" i="9"/>
  <c r="O177" i="9"/>
  <c r="P177" i="9"/>
  <c r="Q177" i="9"/>
  <c r="R177" i="9"/>
  <c r="S177" i="9"/>
  <c r="T177" i="9"/>
  <c r="U177" i="9"/>
  <c r="V177" i="9"/>
  <c r="W177" i="9"/>
  <c r="CU177" i="9"/>
  <c r="CV177" i="9" s="1"/>
  <c r="DD177" i="9"/>
  <c r="J145" i="9"/>
  <c r="K145" i="9"/>
  <c r="X145" i="9" s="1"/>
  <c r="L145" i="9"/>
  <c r="N145" i="9"/>
  <c r="O145" i="9"/>
  <c r="P145" i="9"/>
  <c r="Q145" i="9"/>
  <c r="R145" i="9"/>
  <c r="S145" i="9"/>
  <c r="T145" i="9"/>
  <c r="U145" i="9"/>
  <c r="V145" i="9"/>
  <c r="W145" i="9"/>
  <c r="CU145" i="9"/>
  <c r="CV145" i="9" s="1"/>
  <c r="DD145" i="9"/>
  <c r="J30" i="9"/>
  <c r="K30" i="9"/>
  <c r="X30" i="9" s="1"/>
  <c r="L30" i="9"/>
  <c r="N30" i="9"/>
  <c r="O30" i="9"/>
  <c r="P30" i="9"/>
  <c r="Q30" i="9"/>
  <c r="R30" i="9"/>
  <c r="S30" i="9"/>
  <c r="T30" i="9"/>
  <c r="U30" i="9"/>
  <c r="V30" i="9"/>
  <c r="W30" i="9"/>
  <c r="CU30" i="9"/>
  <c r="CV30" i="9" s="1"/>
  <c r="DD30" i="9"/>
  <c r="J31" i="9"/>
  <c r="K31" i="9"/>
  <c r="X31" i="9" s="1"/>
  <c r="L31" i="9"/>
  <c r="N31" i="9"/>
  <c r="O31" i="9"/>
  <c r="P31" i="9"/>
  <c r="Q31" i="9"/>
  <c r="R31" i="9"/>
  <c r="S31" i="9"/>
  <c r="T31" i="9"/>
  <c r="U31" i="9"/>
  <c r="V31" i="9"/>
  <c r="W31" i="9"/>
  <c r="CU31" i="9"/>
  <c r="CV31" i="9" s="1"/>
  <c r="DD31" i="9"/>
  <c r="J154" i="9"/>
  <c r="K154" i="9"/>
  <c r="X154" i="9" s="1"/>
  <c r="L154" i="9"/>
  <c r="N154" i="9"/>
  <c r="O154" i="9"/>
  <c r="P154" i="9"/>
  <c r="Q154" i="9"/>
  <c r="R154" i="9"/>
  <c r="S154" i="9"/>
  <c r="T154" i="9"/>
  <c r="U154" i="9"/>
  <c r="V154" i="9"/>
  <c r="W154" i="9"/>
  <c r="CU154" i="9"/>
  <c r="CV154" i="9" s="1"/>
  <c r="DD154" i="9"/>
  <c r="J151" i="9"/>
  <c r="K151" i="9"/>
  <c r="X151" i="9" s="1"/>
  <c r="L151" i="9"/>
  <c r="N151" i="9"/>
  <c r="O151" i="9"/>
  <c r="P151" i="9"/>
  <c r="Q151" i="9"/>
  <c r="R151" i="9"/>
  <c r="S151" i="9"/>
  <c r="T151" i="9"/>
  <c r="U151" i="9"/>
  <c r="V151" i="9"/>
  <c r="W151" i="9"/>
  <c r="CU151" i="9"/>
  <c r="CV151" i="9" s="1"/>
  <c r="DD151" i="9"/>
  <c r="J171" i="9"/>
  <c r="K171" i="9"/>
  <c r="L171" i="9"/>
  <c r="N171" i="9"/>
  <c r="O171" i="9"/>
  <c r="P171" i="9"/>
  <c r="Q171" i="9"/>
  <c r="R171" i="9"/>
  <c r="S171" i="9"/>
  <c r="T171" i="9"/>
  <c r="U171" i="9"/>
  <c r="V171" i="9"/>
  <c r="W171" i="9"/>
  <c r="CU171" i="9"/>
  <c r="CV171" i="9" s="1"/>
  <c r="DD171" i="9"/>
  <c r="J175" i="9"/>
  <c r="K175" i="9"/>
  <c r="X175" i="9" s="1"/>
  <c r="L175" i="9"/>
  <c r="N175" i="9"/>
  <c r="O175" i="9"/>
  <c r="P175" i="9"/>
  <c r="Q175" i="9"/>
  <c r="R175" i="9"/>
  <c r="S175" i="9"/>
  <c r="T175" i="9"/>
  <c r="U175" i="9"/>
  <c r="V175" i="9"/>
  <c r="W175" i="9"/>
  <c r="CU175" i="9"/>
  <c r="CV175" i="9" s="1"/>
  <c r="DD175" i="9"/>
  <c r="J152" i="9"/>
  <c r="K152" i="9"/>
  <c r="X152" i="9" s="1"/>
  <c r="L152" i="9"/>
  <c r="N152" i="9"/>
  <c r="O152" i="9"/>
  <c r="P152" i="9"/>
  <c r="Q152" i="9"/>
  <c r="R152" i="9"/>
  <c r="S152" i="9"/>
  <c r="T152" i="9"/>
  <c r="U152" i="9"/>
  <c r="V152" i="9"/>
  <c r="W152" i="9"/>
  <c r="CU152" i="9"/>
  <c r="CV152" i="9" s="1"/>
  <c r="DD152" i="9"/>
  <c r="J153" i="9"/>
  <c r="K153" i="9"/>
  <c r="X153" i="9" s="1"/>
  <c r="L153" i="9"/>
  <c r="N153" i="9"/>
  <c r="O153" i="9"/>
  <c r="P153" i="9"/>
  <c r="Q153" i="9"/>
  <c r="R153" i="9"/>
  <c r="S153" i="9"/>
  <c r="T153" i="9"/>
  <c r="U153" i="9"/>
  <c r="V153" i="9"/>
  <c r="W153" i="9"/>
  <c r="CU153" i="9"/>
  <c r="CV153" i="9" s="1"/>
  <c r="DD153" i="9"/>
  <c r="J176" i="9"/>
  <c r="K176" i="9"/>
  <c r="X176" i="9" s="1"/>
  <c r="L176" i="9"/>
  <c r="N176" i="9"/>
  <c r="O176" i="9"/>
  <c r="P176" i="9"/>
  <c r="Q176" i="9"/>
  <c r="R176" i="9"/>
  <c r="S176" i="9"/>
  <c r="T176" i="9"/>
  <c r="U176" i="9"/>
  <c r="V176" i="9"/>
  <c r="W176" i="9"/>
  <c r="CU176" i="9"/>
  <c r="CV176" i="9" s="1"/>
  <c r="DD176" i="9"/>
  <c r="J166" i="9"/>
  <c r="K166" i="9"/>
  <c r="L166" i="9"/>
  <c r="N166" i="9"/>
  <c r="O166" i="9"/>
  <c r="P166" i="9"/>
  <c r="Q166" i="9"/>
  <c r="R166" i="9"/>
  <c r="S166" i="9"/>
  <c r="T166" i="9"/>
  <c r="U166" i="9"/>
  <c r="V166" i="9"/>
  <c r="W166" i="9"/>
  <c r="CU166" i="9"/>
  <c r="CV166" i="9" s="1"/>
  <c r="DD166" i="9"/>
  <c r="J167" i="9"/>
  <c r="K167" i="9"/>
  <c r="X167" i="9" s="1"/>
  <c r="L167" i="9"/>
  <c r="N167" i="9"/>
  <c r="O167" i="9"/>
  <c r="P167" i="9"/>
  <c r="Q167" i="9"/>
  <c r="R167" i="9"/>
  <c r="S167" i="9"/>
  <c r="T167" i="9"/>
  <c r="U167" i="9"/>
  <c r="V167" i="9"/>
  <c r="W167" i="9"/>
  <c r="CU167" i="9"/>
  <c r="CV167" i="9" s="1"/>
  <c r="DD167" i="9"/>
  <c r="J101" i="9"/>
  <c r="K101" i="9"/>
  <c r="X101" i="9" s="1"/>
  <c r="L101" i="9"/>
  <c r="N101" i="9"/>
  <c r="O101" i="9"/>
  <c r="P101" i="9"/>
  <c r="Q101" i="9"/>
  <c r="R101" i="9"/>
  <c r="S101" i="9"/>
  <c r="T101" i="9"/>
  <c r="U101" i="9"/>
  <c r="V101" i="9"/>
  <c r="W101" i="9"/>
  <c r="CU101" i="9"/>
  <c r="CV101" i="9" s="1"/>
  <c r="DD101" i="9"/>
  <c r="J9" i="9"/>
  <c r="K9" i="9"/>
  <c r="X9" i="9" s="1"/>
  <c r="L9" i="9"/>
  <c r="N9" i="9"/>
  <c r="O9" i="9"/>
  <c r="P9" i="9"/>
  <c r="Q9" i="9"/>
  <c r="R9" i="9"/>
  <c r="S9" i="9"/>
  <c r="T9" i="9"/>
  <c r="U9" i="9"/>
  <c r="V9" i="9"/>
  <c r="W9" i="9"/>
  <c r="CU9" i="9"/>
  <c r="CV9" i="9" s="1"/>
  <c r="DD9" i="9"/>
  <c r="J10" i="9"/>
  <c r="K10" i="9"/>
  <c r="L10" i="9"/>
  <c r="N10" i="9"/>
  <c r="O10" i="9"/>
  <c r="P10" i="9"/>
  <c r="Q10" i="9"/>
  <c r="R10" i="9"/>
  <c r="S10" i="9"/>
  <c r="T10" i="9"/>
  <c r="U10" i="9"/>
  <c r="V10" i="9"/>
  <c r="W10" i="9"/>
  <c r="CU10" i="9"/>
  <c r="CV10" i="9" s="1"/>
  <c r="DD10" i="9"/>
  <c r="J11" i="9"/>
  <c r="K11" i="9"/>
  <c r="X11" i="9" s="1"/>
  <c r="L11" i="9"/>
  <c r="N11" i="9"/>
  <c r="O11" i="9"/>
  <c r="P11" i="9"/>
  <c r="Q11" i="9"/>
  <c r="R11" i="9"/>
  <c r="S11" i="9"/>
  <c r="T11" i="9"/>
  <c r="U11" i="9"/>
  <c r="V11" i="9"/>
  <c r="W11" i="9"/>
  <c r="CU11" i="9"/>
  <c r="CV11" i="9" s="1"/>
  <c r="DD11" i="9"/>
  <c r="J63" i="9"/>
  <c r="K63" i="9"/>
  <c r="X63" i="9" s="1"/>
  <c r="L63" i="9"/>
  <c r="N63" i="9"/>
  <c r="O63" i="9"/>
  <c r="P63" i="9"/>
  <c r="Q63" i="9"/>
  <c r="R63" i="9"/>
  <c r="S63" i="9"/>
  <c r="T63" i="9"/>
  <c r="U63" i="9"/>
  <c r="V63" i="9"/>
  <c r="W63" i="9"/>
  <c r="CU63" i="9"/>
  <c r="CV63" i="9" s="1"/>
  <c r="DD63" i="9"/>
  <c r="J64" i="9"/>
  <c r="K64" i="9"/>
  <c r="X64" i="9" s="1"/>
  <c r="L64" i="9"/>
  <c r="N64" i="9"/>
  <c r="O64" i="9"/>
  <c r="P64" i="9"/>
  <c r="Q64" i="9"/>
  <c r="R64" i="9"/>
  <c r="S64" i="9"/>
  <c r="T64" i="9"/>
  <c r="U64" i="9"/>
  <c r="V64" i="9"/>
  <c r="W64" i="9"/>
  <c r="CU64" i="9"/>
  <c r="CV64" i="9" s="1"/>
  <c r="DD64" i="9"/>
  <c r="J65" i="9"/>
  <c r="K65" i="9"/>
  <c r="X65" i="9" s="1"/>
  <c r="L65" i="9"/>
  <c r="N65" i="9"/>
  <c r="O65" i="9"/>
  <c r="P65" i="9"/>
  <c r="Q65" i="9"/>
  <c r="R65" i="9"/>
  <c r="S65" i="9"/>
  <c r="T65" i="9"/>
  <c r="U65" i="9"/>
  <c r="V65" i="9"/>
  <c r="W65" i="9"/>
  <c r="CU65" i="9"/>
  <c r="CV65" i="9" s="1"/>
  <c r="DD65" i="9"/>
  <c r="J66" i="9"/>
  <c r="K66" i="9"/>
  <c r="X66" i="9" s="1"/>
  <c r="L66" i="9"/>
  <c r="N66" i="9"/>
  <c r="O66" i="9"/>
  <c r="P66" i="9"/>
  <c r="Q66" i="9"/>
  <c r="R66" i="9"/>
  <c r="S66" i="9"/>
  <c r="T66" i="9"/>
  <c r="U66" i="9"/>
  <c r="V66" i="9"/>
  <c r="W66" i="9"/>
  <c r="CU66" i="9"/>
  <c r="CV66" i="9" s="1"/>
  <c r="DD66" i="9"/>
  <c r="J85" i="9"/>
  <c r="K85" i="9"/>
  <c r="X85" i="9" s="1"/>
  <c r="L85" i="9"/>
  <c r="N85" i="9"/>
  <c r="O85" i="9"/>
  <c r="P85" i="9"/>
  <c r="Q85" i="9"/>
  <c r="R85" i="9"/>
  <c r="S85" i="9"/>
  <c r="T85" i="9"/>
  <c r="U85" i="9"/>
  <c r="V85" i="9"/>
  <c r="W85" i="9"/>
  <c r="CU85" i="9"/>
  <c r="CV85" i="9" s="1"/>
  <c r="DD85" i="9"/>
  <c r="J86" i="9"/>
  <c r="K86" i="9"/>
  <c r="X86" i="9" s="1"/>
  <c r="L86" i="9"/>
  <c r="N86" i="9"/>
  <c r="O86" i="9"/>
  <c r="P86" i="9"/>
  <c r="Q86" i="9"/>
  <c r="R86" i="9"/>
  <c r="S86" i="9"/>
  <c r="T86" i="9"/>
  <c r="U86" i="9"/>
  <c r="V86" i="9"/>
  <c r="W86" i="9"/>
  <c r="CU86" i="9"/>
  <c r="CV86" i="9" s="1"/>
  <c r="DD86" i="9"/>
  <c r="J32" i="9"/>
  <c r="K32" i="9"/>
  <c r="X32" i="9" s="1"/>
  <c r="L32" i="9"/>
  <c r="N32" i="9"/>
  <c r="O32" i="9"/>
  <c r="P32" i="9"/>
  <c r="Q32" i="9"/>
  <c r="R32" i="9"/>
  <c r="S32" i="9"/>
  <c r="T32" i="9"/>
  <c r="U32" i="9"/>
  <c r="V32" i="9"/>
  <c r="W32" i="9"/>
  <c r="CU32" i="9"/>
  <c r="CV32" i="9" s="1"/>
  <c r="DD32" i="9"/>
  <c r="J40" i="9"/>
  <c r="K40" i="9"/>
  <c r="X40" i="9" s="1"/>
  <c r="L40" i="9"/>
  <c r="N40" i="9"/>
  <c r="O40" i="9"/>
  <c r="P40" i="9"/>
  <c r="Q40" i="9"/>
  <c r="R40" i="9"/>
  <c r="S40" i="9"/>
  <c r="T40" i="9"/>
  <c r="U40" i="9"/>
  <c r="V40" i="9"/>
  <c r="W40" i="9"/>
  <c r="CU40" i="9"/>
  <c r="CV40" i="9" s="1"/>
  <c r="DD40" i="9"/>
  <c r="J41" i="9"/>
  <c r="K41" i="9"/>
  <c r="X41" i="9" s="1"/>
  <c r="L41" i="9"/>
  <c r="N41" i="9"/>
  <c r="O41" i="9"/>
  <c r="P41" i="9"/>
  <c r="Q41" i="9"/>
  <c r="R41" i="9"/>
  <c r="S41" i="9"/>
  <c r="T41" i="9"/>
  <c r="U41" i="9"/>
  <c r="V41" i="9"/>
  <c r="W41" i="9"/>
  <c r="CU41" i="9"/>
  <c r="CV41" i="9" s="1"/>
  <c r="DD41" i="9"/>
  <c r="J83" i="9"/>
  <c r="K83" i="9"/>
  <c r="X83" i="9" s="1"/>
  <c r="L83" i="9"/>
  <c r="N83" i="9"/>
  <c r="O83" i="9"/>
  <c r="P83" i="9"/>
  <c r="Q83" i="9"/>
  <c r="R83" i="9"/>
  <c r="S83" i="9"/>
  <c r="T83" i="9"/>
  <c r="U83" i="9"/>
  <c r="V83" i="9"/>
  <c r="W83" i="9"/>
  <c r="CU83" i="9"/>
  <c r="CV83" i="9" s="1"/>
  <c r="DD83" i="9"/>
  <c r="J92" i="9"/>
  <c r="K92" i="9"/>
  <c r="X92" i="9" s="1"/>
  <c r="L92" i="9"/>
  <c r="N92" i="9"/>
  <c r="O92" i="9"/>
  <c r="P92" i="9"/>
  <c r="Q92" i="9"/>
  <c r="R92" i="9"/>
  <c r="S92" i="9"/>
  <c r="T92" i="9"/>
  <c r="U92" i="9"/>
  <c r="V92" i="9"/>
  <c r="W92" i="9"/>
  <c r="CU92" i="9"/>
  <c r="CV92" i="9" s="1"/>
  <c r="DD92" i="9"/>
  <c r="J169" i="9"/>
  <c r="K169" i="9"/>
  <c r="X169" i="9" s="1"/>
  <c r="L169" i="9"/>
  <c r="N169" i="9"/>
  <c r="O169" i="9"/>
  <c r="P169" i="9"/>
  <c r="Q169" i="9"/>
  <c r="R169" i="9"/>
  <c r="S169" i="9"/>
  <c r="T169" i="9"/>
  <c r="U169" i="9"/>
  <c r="V169" i="9"/>
  <c r="W169" i="9"/>
  <c r="CU169" i="9"/>
  <c r="CV169" i="9" s="1"/>
  <c r="DD169" i="9"/>
  <c r="J120" i="9"/>
  <c r="K120" i="9"/>
  <c r="X120" i="9" s="1"/>
  <c r="L120" i="9"/>
  <c r="N120" i="9"/>
  <c r="O120" i="9"/>
  <c r="P120" i="9"/>
  <c r="Q120" i="9"/>
  <c r="R120" i="9"/>
  <c r="S120" i="9"/>
  <c r="T120" i="9"/>
  <c r="U120" i="9"/>
  <c r="V120" i="9"/>
  <c r="W120" i="9"/>
  <c r="CU120" i="9"/>
  <c r="CV120" i="9" s="1"/>
  <c r="DD120" i="9"/>
  <c r="J121" i="9"/>
  <c r="K121" i="9"/>
  <c r="X121" i="9" s="1"/>
  <c r="L121" i="9"/>
  <c r="N121" i="9"/>
  <c r="O121" i="9"/>
  <c r="P121" i="9"/>
  <c r="Q121" i="9"/>
  <c r="R121" i="9"/>
  <c r="S121" i="9"/>
  <c r="T121" i="9"/>
  <c r="U121" i="9"/>
  <c r="V121" i="9"/>
  <c r="W121" i="9"/>
  <c r="CU121" i="9"/>
  <c r="CV121" i="9" s="1"/>
  <c r="DD121" i="9"/>
  <c r="J122" i="9"/>
  <c r="K122" i="9"/>
  <c r="X122" i="9" s="1"/>
  <c r="L122" i="9"/>
  <c r="N122" i="9"/>
  <c r="O122" i="9"/>
  <c r="P122" i="9"/>
  <c r="Q122" i="9"/>
  <c r="R122" i="9"/>
  <c r="S122" i="9"/>
  <c r="T122" i="9"/>
  <c r="U122" i="9"/>
  <c r="V122" i="9"/>
  <c r="W122" i="9"/>
  <c r="CU122" i="9"/>
  <c r="CV122" i="9" s="1"/>
  <c r="DD122" i="9"/>
  <c r="J123" i="9"/>
  <c r="K123" i="9"/>
  <c r="L123" i="9"/>
  <c r="N123" i="9"/>
  <c r="O123" i="9"/>
  <c r="P123" i="9"/>
  <c r="Q123" i="9"/>
  <c r="R123" i="9"/>
  <c r="S123" i="9"/>
  <c r="T123" i="9"/>
  <c r="U123" i="9"/>
  <c r="V123" i="9"/>
  <c r="W123" i="9"/>
  <c r="CU123" i="9"/>
  <c r="CV123" i="9" s="1"/>
  <c r="DD123" i="9"/>
  <c r="J124" i="9"/>
  <c r="K124" i="9"/>
  <c r="X124" i="9" s="1"/>
  <c r="L124" i="9"/>
  <c r="N124" i="9"/>
  <c r="O124" i="9"/>
  <c r="P124" i="9"/>
  <c r="Q124" i="9"/>
  <c r="R124" i="9"/>
  <c r="S124" i="9"/>
  <c r="T124" i="9"/>
  <c r="U124" i="9"/>
  <c r="V124" i="9"/>
  <c r="W124" i="9"/>
  <c r="CU124" i="9"/>
  <c r="CV124" i="9" s="1"/>
  <c r="DD124" i="9"/>
  <c r="J125" i="9"/>
  <c r="K125" i="9"/>
  <c r="X125" i="9" s="1"/>
  <c r="L125" i="9"/>
  <c r="N125" i="9"/>
  <c r="O125" i="9"/>
  <c r="P125" i="9"/>
  <c r="Q125" i="9"/>
  <c r="R125" i="9"/>
  <c r="S125" i="9"/>
  <c r="T125" i="9"/>
  <c r="U125" i="9"/>
  <c r="V125" i="9"/>
  <c r="W125" i="9"/>
  <c r="CU125" i="9"/>
  <c r="CV125" i="9" s="1"/>
  <c r="DD125" i="9"/>
  <c r="J126" i="9"/>
  <c r="K126" i="9"/>
  <c r="X126" i="9" s="1"/>
  <c r="L126" i="9"/>
  <c r="N126" i="9"/>
  <c r="O126" i="9"/>
  <c r="P126" i="9"/>
  <c r="Q126" i="9"/>
  <c r="R126" i="9"/>
  <c r="S126" i="9"/>
  <c r="T126" i="9"/>
  <c r="U126" i="9"/>
  <c r="V126" i="9"/>
  <c r="W126" i="9"/>
  <c r="CU126" i="9"/>
  <c r="CV126" i="9" s="1"/>
  <c r="DD126" i="9"/>
  <c r="J127" i="9"/>
  <c r="K127" i="9"/>
  <c r="X127" i="9" s="1"/>
  <c r="L127" i="9"/>
  <c r="N127" i="9"/>
  <c r="O127" i="9"/>
  <c r="P127" i="9"/>
  <c r="Q127" i="9"/>
  <c r="R127" i="9"/>
  <c r="S127" i="9"/>
  <c r="T127" i="9"/>
  <c r="U127" i="9"/>
  <c r="V127" i="9"/>
  <c r="W127" i="9"/>
  <c r="CU127" i="9"/>
  <c r="CV127" i="9" s="1"/>
  <c r="DD127" i="9"/>
  <c r="J128" i="9"/>
  <c r="K128" i="9"/>
  <c r="X128" i="9" s="1"/>
  <c r="L128" i="9"/>
  <c r="N128" i="9"/>
  <c r="O128" i="9"/>
  <c r="P128" i="9"/>
  <c r="Q128" i="9"/>
  <c r="R128" i="9"/>
  <c r="S128" i="9"/>
  <c r="T128" i="9"/>
  <c r="U128" i="9"/>
  <c r="V128" i="9"/>
  <c r="W128" i="9"/>
  <c r="CU128" i="9"/>
  <c r="CV128" i="9" s="1"/>
  <c r="DD128" i="9"/>
  <c r="J129" i="9"/>
  <c r="K129" i="9"/>
  <c r="X129" i="9" s="1"/>
  <c r="L129" i="9"/>
  <c r="N129" i="9"/>
  <c r="O129" i="9"/>
  <c r="P129" i="9"/>
  <c r="Q129" i="9"/>
  <c r="R129" i="9"/>
  <c r="S129" i="9"/>
  <c r="T129" i="9"/>
  <c r="U129" i="9"/>
  <c r="V129" i="9"/>
  <c r="W129" i="9"/>
  <c r="CU129" i="9"/>
  <c r="CV129" i="9" s="1"/>
  <c r="DD129" i="9"/>
  <c r="J130" i="9"/>
  <c r="K130" i="9"/>
  <c r="X130" i="9" s="1"/>
  <c r="L130" i="9"/>
  <c r="N130" i="9"/>
  <c r="O130" i="9"/>
  <c r="P130" i="9"/>
  <c r="Q130" i="9"/>
  <c r="R130" i="9"/>
  <c r="S130" i="9"/>
  <c r="T130" i="9"/>
  <c r="U130" i="9"/>
  <c r="V130" i="9"/>
  <c r="W130" i="9"/>
  <c r="CU130" i="9"/>
  <c r="CV130" i="9" s="1"/>
  <c r="DD130" i="9"/>
  <c r="J157" i="9"/>
  <c r="K157" i="9"/>
  <c r="L157" i="9"/>
  <c r="N157" i="9"/>
  <c r="O157" i="9"/>
  <c r="P157" i="9"/>
  <c r="Q157" i="9"/>
  <c r="R157" i="9"/>
  <c r="S157" i="9"/>
  <c r="T157" i="9"/>
  <c r="U157" i="9"/>
  <c r="V157" i="9"/>
  <c r="W157" i="9"/>
  <c r="CU157" i="9"/>
  <c r="CV157" i="9" s="1"/>
  <c r="DD157" i="9"/>
  <c r="J158" i="9"/>
  <c r="K158" i="9"/>
  <c r="X158" i="9" s="1"/>
  <c r="L158" i="9"/>
  <c r="N158" i="9"/>
  <c r="O158" i="9"/>
  <c r="P158" i="9"/>
  <c r="Q158" i="9"/>
  <c r="R158" i="9"/>
  <c r="S158" i="9"/>
  <c r="T158" i="9"/>
  <c r="U158" i="9"/>
  <c r="V158" i="9"/>
  <c r="W158" i="9"/>
  <c r="CU158" i="9"/>
  <c r="CV158" i="9" s="1"/>
  <c r="DD158" i="9"/>
  <c r="J131" i="9"/>
  <c r="K131" i="9"/>
  <c r="X131" i="9" s="1"/>
  <c r="L131" i="9"/>
  <c r="N131" i="9"/>
  <c r="O131" i="9"/>
  <c r="P131" i="9"/>
  <c r="Q131" i="9"/>
  <c r="R131" i="9"/>
  <c r="S131" i="9"/>
  <c r="T131" i="9"/>
  <c r="U131" i="9"/>
  <c r="V131" i="9"/>
  <c r="W131" i="9"/>
  <c r="CU131" i="9"/>
  <c r="CV131" i="9" s="1"/>
  <c r="DD131" i="9"/>
  <c r="J132" i="9"/>
  <c r="K132" i="9"/>
  <c r="X132" i="9" s="1"/>
  <c r="L132" i="9"/>
  <c r="N132" i="9"/>
  <c r="O132" i="9"/>
  <c r="P132" i="9"/>
  <c r="Q132" i="9"/>
  <c r="R132" i="9"/>
  <c r="S132" i="9"/>
  <c r="T132" i="9"/>
  <c r="U132" i="9"/>
  <c r="V132" i="9"/>
  <c r="W132" i="9"/>
  <c r="CU132" i="9"/>
  <c r="CV132" i="9" s="1"/>
  <c r="DD132" i="9"/>
  <c r="J133" i="9"/>
  <c r="K133" i="9"/>
  <c r="X133" i="9" s="1"/>
  <c r="L133" i="9"/>
  <c r="N133" i="9"/>
  <c r="O133" i="9"/>
  <c r="P133" i="9"/>
  <c r="Q133" i="9"/>
  <c r="R133" i="9"/>
  <c r="S133" i="9"/>
  <c r="T133" i="9"/>
  <c r="U133" i="9"/>
  <c r="V133" i="9"/>
  <c r="W133" i="9"/>
  <c r="CU133" i="9"/>
  <c r="CV133" i="9" s="1"/>
  <c r="DD133" i="9"/>
  <c r="J134" i="9"/>
  <c r="K134" i="9"/>
  <c r="X134" i="9" s="1"/>
  <c r="L134" i="9"/>
  <c r="N134" i="9"/>
  <c r="O134" i="9"/>
  <c r="P134" i="9"/>
  <c r="Q134" i="9"/>
  <c r="R134" i="9"/>
  <c r="S134" i="9"/>
  <c r="T134" i="9"/>
  <c r="U134" i="9"/>
  <c r="V134" i="9"/>
  <c r="W134" i="9"/>
  <c r="CU134" i="9"/>
  <c r="CV134" i="9" s="1"/>
  <c r="DD134" i="9"/>
  <c r="J135" i="9"/>
  <c r="K135" i="9"/>
  <c r="X135" i="9" s="1"/>
  <c r="L135" i="9"/>
  <c r="N135" i="9"/>
  <c r="O135" i="9"/>
  <c r="P135" i="9"/>
  <c r="Q135" i="9"/>
  <c r="R135" i="9"/>
  <c r="S135" i="9"/>
  <c r="T135" i="9"/>
  <c r="U135" i="9"/>
  <c r="V135" i="9"/>
  <c r="W135" i="9"/>
  <c r="CU135" i="9"/>
  <c r="CV135" i="9" s="1"/>
  <c r="DD135" i="9"/>
  <c r="J136" i="9"/>
  <c r="K136" i="9"/>
  <c r="X136" i="9" s="1"/>
  <c r="L136" i="9"/>
  <c r="N136" i="9"/>
  <c r="O136" i="9"/>
  <c r="P136" i="9"/>
  <c r="Q136" i="9"/>
  <c r="R136" i="9"/>
  <c r="S136" i="9"/>
  <c r="T136" i="9"/>
  <c r="U136" i="9"/>
  <c r="V136" i="9"/>
  <c r="W136" i="9"/>
  <c r="CU136" i="9"/>
  <c r="CV136" i="9" s="1"/>
  <c r="DD136" i="9"/>
  <c r="J52" i="9"/>
  <c r="K52" i="9"/>
  <c r="X52" i="9" s="1"/>
  <c r="L52" i="9"/>
  <c r="N52" i="9"/>
  <c r="O52" i="9"/>
  <c r="P52" i="9"/>
  <c r="Q52" i="9"/>
  <c r="R52" i="9"/>
  <c r="S52" i="9"/>
  <c r="T52" i="9"/>
  <c r="U52" i="9"/>
  <c r="V52" i="9"/>
  <c r="W52" i="9"/>
  <c r="CU52" i="9"/>
  <c r="CV52" i="9" s="1"/>
  <c r="DD52" i="9"/>
  <c r="J53" i="9"/>
  <c r="K53" i="9"/>
  <c r="X53" i="9" s="1"/>
  <c r="L53" i="9"/>
  <c r="N53" i="9"/>
  <c r="O53" i="9"/>
  <c r="P53" i="9"/>
  <c r="Q53" i="9"/>
  <c r="R53" i="9"/>
  <c r="S53" i="9"/>
  <c r="T53" i="9"/>
  <c r="U53" i="9"/>
  <c r="V53" i="9"/>
  <c r="W53" i="9"/>
  <c r="CU53" i="9"/>
  <c r="CV53" i="9" s="1"/>
  <c r="DD53" i="9"/>
  <c r="J146" i="9"/>
  <c r="K146" i="9"/>
  <c r="L146" i="9"/>
  <c r="N146" i="9"/>
  <c r="O146" i="9"/>
  <c r="P146" i="9"/>
  <c r="Q146" i="9"/>
  <c r="R146" i="9"/>
  <c r="S146" i="9"/>
  <c r="T146" i="9"/>
  <c r="U146" i="9"/>
  <c r="V146" i="9"/>
  <c r="W146" i="9"/>
  <c r="CU146" i="9"/>
  <c r="CV146" i="9" s="1"/>
  <c r="DD146" i="9"/>
  <c r="J161" i="9"/>
  <c r="K161" i="9"/>
  <c r="X161" i="9" s="1"/>
  <c r="L161" i="9"/>
  <c r="N161" i="9"/>
  <c r="O161" i="9"/>
  <c r="P161" i="9"/>
  <c r="Q161" i="9"/>
  <c r="R161" i="9"/>
  <c r="S161" i="9"/>
  <c r="T161" i="9"/>
  <c r="U161" i="9"/>
  <c r="V161" i="9"/>
  <c r="W161" i="9"/>
  <c r="CU161" i="9"/>
  <c r="CV161" i="9" s="1"/>
  <c r="DD161" i="9"/>
  <c r="J162" i="9"/>
  <c r="K162" i="9"/>
  <c r="X162" i="9" s="1"/>
  <c r="L162" i="9"/>
  <c r="N162" i="9"/>
  <c r="O162" i="9"/>
  <c r="P162" i="9"/>
  <c r="Q162" i="9"/>
  <c r="R162" i="9"/>
  <c r="S162" i="9"/>
  <c r="T162" i="9"/>
  <c r="U162" i="9"/>
  <c r="V162" i="9"/>
  <c r="W162" i="9"/>
  <c r="CU162" i="9"/>
  <c r="CV162" i="9" s="1"/>
  <c r="DD162" i="9"/>
  <c r="J61" i="9"/>
  <c r="K61" i="9"/>
  <c r="X61" i="9" s="1"/>
  <c r="L61" i="9"/>
  <c r="N61" i="9"/>
  <c r="O61" i="9"/>
  <c r="P61" i="9"/>
  <c r="Q61" i="9"/>
  <c r="R61" i="9"/>
  <c r="S61" i="9"/>
  <c r="T61" i="9"/>
  <c r="U61" i="9"/>
  <c r="V61" i="9"/>
  <c r="W61" i="9"/>
  <c r="CU61" i="9"/>
  <c r="CV61" i="9" s="1"/>
  <c r="DD61" i="9"/>
  <c r="J138" i="9"/>
  <c r="K138" i="9"/>
  <c r="L138" i="9"/>
  <c r="N138" i="9"/>
  <c r="O138" i="9"/>
  <c r="P138" i="9"/>
  <c r="Q138" i="9"/>
  <c r="R138" i="9"/>
  <c r="S138" i="9"/>
  <c r="T138" i="9"/>
  <c r="U138" i="9"/>
  <c r="V138" i="9"/>
  <c r="W138" i="9"/>
  <c r="CU138" i="9"/>
  <c r="CV138" i="9" s="1"/>
  <c r="DD138" i="9"/>
  <c r="J18" i="9"/>
  <c r="K18" i="9"/>
  <c r="L18" i="9"/>
  <c r="N18" i="9"/>
  <c r="O18" i="9"/>
  <c r="P18" i="9"/>
  <c r="Q18" i="9"/>
  <c r="R18" i="9"/>
  <c r="S18" i="9"/>
  <c r="T18" i="9"/>
  <c r="U18" i="9"/>
  <c r="V18" i="9"/>
  <c r="W18" i="9"/>
  <c r="CU18" i="9"/>
  <c r="CV18" i="9" s="1"/>
  <c r="DD18" i="9"/>
  <c r="J155" i="9"/>
  <c r="K155" i="9"/>
  <c r="X155" i="9" s="1"/>
  <c r="L155" i="9"/>
  <c r="N155" i="9"/>
  <c r="O155" i="9"/>
  <c r="P155" i="9"/>
  <c r="Q155" i="9"/>
  <c r="R155" i="9"/>
  <c r="S155" i="9"/>
  <c r="T155" i="9"/>
  <c r="U155" i="9"/>
  <c r="V155" i="9"/>
  <c r="W155" i="9"/>
  <c r="CU155" i="9"/>
  <c r="CV155" i="9" s="1"/>
  <c r="DD155" i="9"/>
  <c r="J22" i="9"/>
  <c r="K22" i="9"/>
  <c r="X22" i="9" s="1"/>
  <c r="L22" i="9"/>
  <c r="N22" i="9"/>
  <c r="O22" i="9"/>
  <c r="P22" i="9"/>
  <c r="Q22" i="9"/>
  <c r="R22" i="9"/>
  <c r="S22" i="9"/>
  <c r="T22" i="9"/>
  <c r="U22" i="9"/>
  <c r="V22" i="9"/>
  <c r="W22" i="9"/>
  <c r="CU22" i="9"/>
  <c r="CV22" i="9" s="1"/>
  <c r="DD22" i="9"/>
  <c r="J23" i="9"/>
  <c r="K23" i="9"/>
  <c r="X23" i="9" s="1"/>
  <c r="L23" i="9"/>
  <c r="N23" i="9"/>
  <c r="O23" i="9"/>
  <c r="P23" i="9"/>
  <c r="Q23" i="9"/>
  <c r="R23" i="9"/>
  <c r="S23" i="9"/>
  <c r="T23" i="9"/>
  <c r="U23" i="9"/>
  <c r="V23" i="9"/>
  <c r="W23" i="9"/>
  <c r="CU23" i="9"/>
  <c r="CV23" i="9" s="1"/>
  <c r="DD23" i="9"/>
  <c r="J12" i="9"/>
  <c r="K12" i="9"/>
  <c r="X12" i="9" s="1"/>
  <c r="L12" i="9"/>
  <c r="N12" i="9"/>
  <c r="O12" i="9"/>
  <c r="P12" i="9"/>
  <c r="Q12" i="9"/>
  <c r="R12" i="9"/>
  <c r="S12" i="9"/>
  <c r="T12" i="9"/>
  <c r="U12" i="9"/>
  <c r="V12" i="9"/>
  <c r="W12" i="9"/>
  <c r="CU12" i="9"/>
  <c r="CV12" i="9" s="1"/>
  <c r="DD12" i="9"/>
  <c r="J102" i="9"/>
  <c r="K102" i="9"/>
  <c r="X102" i="9" s="1"/>
  <c r="L102" i="9"/>
  <c r="N102" i="9"/>
  <c r="O102" i="9"/>
  <c r="P102" i="9"/>
  <c r="Q102" i="9"/>
  <c r="R102" i="9"/>
  <c r="S102" i="9"/>
  <c r="T102" i="9"/>
  <c r="U102" i="9"/>
  <c r="V102" i="9"/>
  <c r="W102" i="9"/>
  <c r="CU102" i="9"/>
  <c r="CV102" i="9" s="1"/>
  <c r="DD102" i="9"/>
  <c r="J44" i="9"/>
  <c r="K44" i="9"/>
  <c r="X44" i="9" s="1"/>
  <c r="L44" i="9"/>
  <c r="N44" i="9"/>
  <c r="O44" i="9"/>
  <c r="P44" i="9"/>
  <c r="Q44" i="9"/>
  <c r="R44" i="9"/>
  <c r="S44" i="9"/>
  <c r="T44" i="9"/>
  <c r="U44" i="9"/>
  <c r="V44" i="9"/>
  <c r="W44" i="9"/>
  <c r="CU44" i="9"/>
  <c r="CV44" i="9" s="1"/>
  <c r="DD44" i="9"/>
  <c r="J45" i="9"/>
  <c r="K45" i="9"/>
  <c r="X45" i="9" s="1"/>
  <c r="L45" i="9"/>
  <c r="N45" i="9"/>
  <c r="O45" i="9"/>
  <c r="P45" i="9"/>
  <c r="Q45" i="9"/>
  <c r="R45" i="9"/>
  <c r="S45" i="9"/>
  <c r="T45" i="9"/>
  <c r="U45" i="9"/>
  <c r="V45" i="9"/>
  <c r="W45" i="9"/>
  <c r="CU45" i="9"/>
  <c r="CV45" i="9" s="1"/>
  <c r="DD45" i="9"/>
  <c r="J33" i="9"/>
  <c r="K33" i="9"/>
  <c r="X33" i="9" s="1"/>
  <c r="L33" i="9"/>
  <c r="N33" i="9"/>
  <c r="O33" i="9"/>
  <c r="P33" i="9"/>
  <c r="Q33" i="9"/>
  <c r="R33" i="9"/>
  <c r="S33" i="9"/>
  <c r="T33" i="9"/>
  <c r="U33" i="9"/>
  <c r="V33" i="9"/>
  <c r="W33" i="9"/>
  <c r="CU33" i="9"/>
  <c r="CV33" i="9" s="1"/>
  <c r="DD33" i="9"/>
  <c r="J147" i="9"/>
  <c r="K147" i="9"/>
  <c r="X147" i="9" s="1"/>
  <c r="L147" i="9"/>
  <c r="N147" i="9"/>
  <c r="O147" i="9"/>
  <c r="P147" i="9"/>
  <c r="Q147" i="9"/>
  <c r="R147" i="9"/>
  <c r="S147" i="9"/>
  <c r="T147" i="9"/>
  <c r="U147" i="9"/>
  <c r="V147" i="9"/>
  <c r="W147" i="9"/>
  <c r="CU147" i="9"/>
  <c r="CV147" i="9" s="1"/>
  <c r="DD147" i="9"/>
  <c r="J140" i="9"/>
  <c r="K140" i="9"/>
  <c r="L140" i="9"/>
  <c r="N140" i="9"/>
  <c r="O140" i="9"/>
  <c r="P140" i="9"/>
  <c r="Q140" i="9"/>
  <c r="R140" i="9"/>
  <c r="S140" i="9"/>
  <c r="T140" i="9"/>
  <c r="U140" i="9"/>
  <c r="V140" i="9"/>
  <c r="W140" i="9"/>
  <c r="CU140" i="9"/>
  <c r="CV140" i="9" s="1"/>
  <c r="DD140" i="9"/>
  <c r="J137" i="9"/>
  <c r="K137" i="9"/>
  <c r="X137" i="9" s="1"/>
  <c r="L137" i="9"/>
  <c r="N137" i="9"/>
  <c r="O137" i="9"/>
  <c r="P137" i="9"/>
  <c r="Q137" i="9"/>
  <c r="R137" i="9"/>
  <c r="S137" i="9"/>
  <c r="T137" i="9"/>
  <c r="U137" i="9"/>
  <c r="V137" i="9"/>
  <c r="W137" i="9"/>
  <c r="CU137" i="9"/>
  <c r="CV137" i="9" s="1"/>
  <c r="DD137" i="9"/>
  <c r="J141" i="9"/>
  <c r="K141" i="9"/>
  <c r="X141" i="9" s="1"/>
  <c r="L141" i="9"/>
  <c r="N141" i="9"/>
  <c r="O141" i="9"/>
  <c r="P141" i="9"/>
  <c r="Q141" i="9"/>
  <c r="R141" i="9"/>
  <c r="S141" i="9"/>
  <c r="T141" i="9"/>
  <c r="U141" i="9"/>
  <c r="V141" i="9"/>
  <c r="W141" i="9"/>
  <c r="CU141" i="9"/>
  <c r="CV141" i="9" s="1"/>
  <c r="DD141" i="9"/>
  <c r="J25" i="9"/>
  <c r="K25" i="9"/>
  <c r="X25" i="9" s="1"/>
  <c r="L25" i="9"/>
  <c r="N25" i="9"/>
  <c r="O25" i="9"/>
  <c r="P25" i="9"/>
  <c r="Q25" i="9"/>
  <c r="R25" i="9"/>
  <c r="S25" i="9"/>
  <c r="T25" i="9"/>
  <c r="U25" i="9"/>
  <c r="V25" i="9"/>
  <c r="W25" i="9"/>
  <c r="CU25" i="9"/>
  <c r="CV25" i="9" s="1"/>
  <c r="DD25" i="9"/>
  <c r="J96" i="9"/>
  <c r="K96" i="9"/>
  <c r="X96" i="9" s="1"/>
  <c r="L96" i="9"/>
  <c r="N96" i="9"/>
  <c r="O96" i="9"/>
  <c r="P96" i="9"/>
  <c r="Q96" i="9"/>
  <c r="R96" i="9"/>
  <c r="S96" i="9"/>
  <c r="T96" i="9"/>
  <c r="U96" i="9"/>
  <c r="V96" i="9"/>
  <c r="W96" i="9"/>
  <c r="CU96" i="9"/>
  <c r="CV96" i="9" s="1"/>
  <c r="DD96" i="9"/>
  <c r="J139" i="9"/>
  <c r="K139" i="9"/>
  <c r="X139" i="9" s="1"/>
  <c r="L139" i="9"/>
  <c r="N139" i="9"/>
  <c r="O139" i="9"/>
  <c r="P139" i="9"/>
  <c r="Q139" i="9"/>
  <c r="R139" i="9"/>
  <c r="S139" i="9"/>
  <c r="T139" i="9"/>
  <c r="U139" i="9"/>
  <c r="V139" i="9"/>
  <c r="W139" i="9"/>
  <c r="CU139" i="9"/>
  <c r="CV139" i="9" s="1"/>
  <c r="DD139" i="9"/>
  <c r="J103" i="9"/>
  <c r="K103" i="9"/>
  <c r="X103" i="9" s="1"/>
  <c r="L103" i="9"/>
  <c r="N103" i="9"/>
  <c r="O103" i="9"/>
  <c r="P103" i="9"/>
  <c r="Q103" i="9"/>
  <c r="R103" i="9"/>
  <c r="S103" i="9"/>
  <c r="T103" i="9"/>
  <c r="U103" i="9"/>
  <c r="V103" i="9"/>
  <c r="W103" i="9"/>
  <c r="CU103" i="9"/>
  <c r="CV103" i="9" s="1"/>
  <c r="DD103" i="9"/>
  <c r="J104" i="9"/>
  <c r="K104" i="9"/>
  <c r="L104" i="9"/>
  <c r="N104" i="9"/>
  <c r="O104" i="9"/>
  <c r="P104" i="9"/>
  <c r="Q104" i="9"/>
  <c r="R104" i="9"/>
  <c r="S104" i="9"/>
  <c r="T104" i="9"/>
  <c r="U104" i="9"/>
  <c r="V104" i="9"/>
  <c r="W104" i="9"/>
  <c r="CU104" i="9"/>
  <c r="CV104" i="9" s="1"/>
  <c r="DD104" i="9"/>
  <c r="J105" i="9"/>
  <c r="K105" i="9"/>
  <c r="X105" i="9" s="1"/>
  <c r="L105" i="9"/>
  <c r="N105" i="9"/>
  <c r="O105" i="9"/>
  <c r="P105" i="9"/>
  <c r="Q105" i="9"/>
  <c r="R105" i="9"/>
  <c r="S105" i="9"/>
  <c r="T105" i="9"/>
  <c r="U105" i="9"/>
  <c r="V105" i="9"/>
  <c r="W105" i="9"/>
  <c r="CU105" i="9"/>
  <c r="CV105" i="9" s="1"/>
  <c r="DD105" i="9"/>
  <c r="J106" i="9"/>
  <c r="K106" i="9"/>
  <c r="L106" i="9"/>
  <c r="N106" i="9"/>
  <c r="O106" i="9"/>
  <c r="P106" i="9"/>
  <c r="Q106" i="9"/>
  <c r="R106" i="9"/>
  <c r="S106" i="9"/>
  <c r="T106" i="9"/>
  <c r="U106" i="9"/>
  <c r="V106" i="9"/>
  <c r="W106" i="9"/>
  <c r="CU106" i="9"/>
  <c r="CV106" i="9" s="1"/>
  <c r="DD106" i="9"/>
  <c r="J107" i="9"/>
  <c r="K107" i="9"/>
  <c r="X107" i="9" s="1"/>
  <c r="L107" i="9"/>
  <c r="N107" i="9"/>
  <c r="O107" i="9"/>
  <c r="P107" i="9"/>
  <c r="Q107" i="9"/>
  <c r="R107" i="9"/>
  <c r="S107" i="9"/>
  <c r="T107" i="9"/>
  <c r="U107" i="9"/>
  <c r="V107" i="9"/>
  <c r="W107" i="9"/>
  <c r="CU107" i="9"/>
  <c r="CV107" i="9" s="1"/>
  <c r="DD107" i="9"/>
  <c r="J99" i="9"/>
  <c r="K99" i="9"/>
  <c r="X99" i="9" s="1"/>
  <c r="L99" i="9"/>
  <c r="N99" i="9"/>
  <c r="O99" i="9"/>
  <c r="P99" i="9"/>
  <c r="Q99" i="9"/>
  <c r="R99" i="9"/>
  <c r="S99" i="9"/>
  <c r="T99" i="9"/>
  <c r="U99" i="9"/>
  <c r="V99" i="9"/>
  <c r="W99" i="9"/>
  <c r="CU99" i="9"/>
  <c r="CV99" i="9" s="1"/>
  <c r="DD99" i="9"/>
  <c r="J54" i="9"/>
  <c r="K54" i="9"/>
  <c r="X54" i="9" s="1"/>
  <c r="L54" i="9"/>
  <c r="N54" i="9"/>
  <c r="O54" i="9"/>
  <c r="P54" i="9"/>
  <c r="Q54" i="9"/>
  <c r="R54" i="9"/>
  <c r="S54" i="9"/>
  <c r="T54" i="9"/>
  <c r="U54" i="9"/>
  <c r="V54" i="9"/>
  <c r="W54" i="9"/>
  <c r="CU54" i="9"/>
  <c r="CV54" i="9" s="1"/>
  <c r="DD54" i="9"/>
  <c r="J55" i="9"/>
  <c r="K55" i="9"/>
  <c r="X55" i="9" s="1"/>
  <c r="L55" i="9"/>
  <c r="N55" i="9"/>
  <c r="O55" i="9"/>
  <c r="P55" i="9"/>
  <c r="Q55" i="9"/>
  <c r="R55" i="9"/>
  <c r="S55" i="9"/>
  <c r="T55" i="9"/>
  <c r="U55" i="9"/>
  <c r="V55" i="9"/>
  <c r="W55" i="9"/>
  <c r="CU55" i="9"/>
  <c r="CV55" i="9" s="1"/>
  <c r="DD55" i="9"/>
  <c r="J13" i="9"/>
  <c r="K13" i="9"/>
  <c r="L13" i="9"/>
  <c r="N13" i="9"/>
  <c r="O13" i="9"/>
  <c r="P13" i="9"/>
  <c r="Q13" i="9"/>
  <c r="R13" i="9"/>
  <c r="S13" i="9"/>
  <c r="T13" i="9"/>
  <c r="U13" i="9"/>
  <c r="V13" i="9"/>
  <c r="W13" i="9"/>
  <c r="CU13" i="9"/>
  <c r="CV13" i="9" s="1"/>
  <c r="DD13" i="9"/>
  <c r="J14" i="9"/>
  <c r="K14" i="9"/>
  <c r="L14" i="9"/>
  <c r="N14" i="9"/>
  <c r="O14" i="9"/>
  <c r="P14" i="9"/>
  <c r="Q14" i="9"/>
  <c r="R14" i="9"/>
  <c r="S14" i="9"/>
  <c r="T14" i="9"/>
  <c r="U14" i="9"/>
  <c r="V14" i="9"/>
  <c r="W14" i="9"/>
  <c r="CU14" i="9"/>
  <c r="CV14" i="9" s="1"/>
  <c r="DD14" i="9"/>
  <c r="J15" i="9"/>
  <c r="K15" i="9"/>
  <c r="X15" i="9" s="1"/>
  <c r="L15" i="9"/>
  <c r="N15" i="9"/>
  <c r="O15" i="9"/>
  <c r="P15" i="9"/>
  <c r="Q15" i="9"/>
  <c r="R15" i="9"/>
  <c r="S15" i="9"/>
  <c r="T15" i="9"/>
  <c r="U15" i="9"/>
  <c r="V15" i="9"/>
  <c r="W15" i="9"/>
  <c r="CU15" i="9"/>
  <c r="CV15" i="9" s="1"/>
  <c r="DD15" i="9"/>
  <c r="J16" i="9"/>
  <c r="K16" i="9"/>
  <c r="X16" i="9" s="1"/>
  <c r="L16" i="9"/>
  <c r="N16" i="9"/>
  <c r="O16" i="9"/>
  <c r="P16" i="9"/>
  <c r="Q16" i="9"/>
  <c r="R16" i="9"/>
  <c r="S16" i="9"/>
  <c r="T16" i="9"/>
  <c r="U16" i="9"/>
  <c r="V16" i="9"/>
  <c r="W16" i="9"/>
  <c r="CU16" i="9"/>
  <c r="CV16" i="9" s="1"/>
  <c r="DD16" i="9"/>
  <c r="J72" i="9"/>
  <c r="K72" i="9"/>
  <c r="X72" i="9" s="1"/>
  <c r="L72" i="9"/>
  <c r="N72" i="9"/>
  <c r="O72" i="9"/>
  <c r="P72" i="9"/>
  <c r="Q72" i="9"/>
  <c r="R72" i="9"/>
  <c r="S72" i="9"/>
  <c r="T72" i="9"/>
  <c r="U72" i="9"/>
  <c r="V72" i="9"/>
  <c r="W72" i="9"/>
  <c r="CU72" i="9"/>
  <c r="CV72" i="9" s="1"/>
  <c r="DD72" i="9"/>
  <c r="J79" i="9"/>
  <c r="K79" i="9"/>
  <c r="X79" i="9" s="1"/>
  <c r="L79" i="9"/>
  <c r="N79" i="9"/>
  <c r="O79" i="9"/>
  <c r="P79" i="9"/>
  <c r="Q79" i="9"/>
  <c r="R79" i="9"/>
  <c r="S79" i="9"/>
  <c r="T79" i="9"/>
  <c r="U79" i="9"/>
  <c r="V79" i="9"/>
  <c r="W79" i="9"/>
  <c r="CU79" i="9"/>
  <c r="CV79" i="9" s="1"/>
  <c r="DD79" i="9"/>
  <c r="J80" i="9"/>
  <c r="K80" i="9"/>
  <c r="X80" i="9" s="1"/>
  <c r="L80" i="9"/>
  <c r="N80" i="9"/>
  <c r="O80" i="9"/>
  <c r="P80" i="9"/>
  <c r="Q80" i="9"/>
  <c r="R80" i="9"/>
  <c r="S80" i="9"/>
  <c r="T80" i="9"/>
  <c r="U80" i="9"/>
  <c r="V80" i="9"/>
  <c r="W80" i="9"/>
  <c r="CU80" i="9"/>
  <c r="CV80" i="9" s="1"/>
  <c r="DD80" i="9"/>
  <c r="J81" i="9"/>
  <c r="K81" i="9"/>
  <c r="L81" i="9"/>
  <c r="N81" i="9"/>
  <c r="O81" i="9"/>
  <c r="P81" i="9"/>
  <c r="Q81" i="9"/>
  <c r="R81" i="9"/>
  <c r="S81" i="9"/>
  <c r="T81" i="9"/>
  <c r="U81" i="9"/>
  <c r="V81" i="9"/>
  <c r="W81" i="9"/>
  <c r="CU81" i="9"/>
  <c r="CV81" i="9" s="1"/>
  <c r="DD81" i="9"/>
  <c r="J82" i="9"/>
  <c r="K82" i="9"/>
  <c r="X82" i="9" s="1"/>
  <c r="L82" i="9"/>
  <c r="N82" i="9"/>
  <c r="O82" i="9"/>
  <c r="P82" i="9"/>
  <c r="Q82" i="9"/>
  <c r="R82" i="9"/>
  <c r="S82" i="9"/>
  <c r="T82" i="9"/>
  <c r="U82" i="9"/>
  <c r="V82" i="9"/>
  <c r="W82" i="9"/>
  <c r="CU82" i="9"/>
  <c r="CV82" i="9" s="1"/>
  <c r="DD82" i="9"/>
  <c r="J100" i="9"/>
  <c r="K100" i="9"/>
  <c r="X100" i="9" s="1"/>
  <c r="L100" i="9"/>
  <c r="N100" i="9"/>
  <c r="O100" i="9"/>
  <c r="P100" i="9"/>
  <c r="Q100" i="9"/>
  <c r="R100" i="9"/>
  <c r="S100" i="9"/>
  <c r="T100" i="9"/>
  <c r="U100" i="9"/>
  <c r="V100" i="9"/>
  <c r="W100" i="9"/>
  <c r="CU100" i="9"/>
  <c r="CV100" i="9" s="1"/>
  <c r="DD100" i="9"/>
  <c r="J38" i="9"/>
  <c r="K38" i="9"/>
  <c r="L38" i="9"/>
  <c r="N38" i="9"/>
  <c r="O38" i="9"/>
  <c r="P38" i="9"/>
  <c r="Q38" i="9"/>
  <c r="R38" i="9"/>
  <c r="S38" i="9"/>
  <c r="T38" i="9"/>
  <c r="U38" i="9"/>
  <c r="V38" i="9"/>
  <c r="W38" i="9"/>
  <c r="CU38" i="9"/>
  <c r="CV38" i="9" s="1"/>
  <c r="DD38" i="9"/>
  <c r="AE28" i="9" l="1"/>
  <c r="BO28" i="9" s="1"/>
  <c r="AF59" i="9"/>
  <c r="BP59" i="9" s="1"/>
  <c r="AH84" i="9"/>
  <c r="BR84" i="9" s="1"/>
  <c r="AI78" i="9"/>
  <c r="BS78" i="9" s="1"/>
  <c r="AE75" i="9"/>
  <c r="BO75" i="9" s="1"/>
  <c r="AI59" i="9"/>
  <c r="AI90" i="9"/>
  <c r="BS90" i="9" s="1"/>
  <c r="AH90" i="9"/>
  <c r="BR90" i="9" s="1"/>
  <c r="AX29" i="9"/>
  <c r="CH29" i="9" s="1"/>
  <c r="AG58" i="9"/>
  <c r="BQ58" i="9" s="1"/>
  <c r="AG74" i="9"/>
  <c r="BQ74" i="9" s="1"/>
  <c r="AI39" i="9"/>
  <c r="BS39" i="9" s="1"/>
  <c r="AR70" i="9"/>
  <c r="CB70" i="9" s="1"/>
  <c r="AH39" i="9"/>
  <c r="BR39" i="9" s="1"/>
  <c r="AG39" i="9"/>
  <c r="BQ39" i="9" s="1"/>
  <c r="AY17" i="9"/>
  <c r="CI17" i="9" s="1"/>
  <c r="AG28" i="9"/>
  <c r="BQ28" i="9" s="1"/>
  <c r="AI75" i="9"/>
  <c r="AF60" i="9"/>
  <c r="BP60" i="9" s="1"/>
  <c r="AX17" i="9"/>
  <c r="CH17" i="9" s="1"/>
  <c r="AF28" i="9"/>
  <c r="BP28" i="9" s="1"/>
  <c r="AH75" i="9"/>
  <c r="BR75" i="9" s="1"/>
  <c r="AG75" i="9"/>
  <c r="BQ75" i="9" s="1"/>
  <c r="AI74" i="9"/>
  <c r="BS74" i="9" s="1"/>
  <c r="AT7" i="9"/>
  <c r="CD7" i="9" s="1"/>
  <c r="AF75" i="9"/>
  <c r="AE76" i="9"/>
  <c r="BO76" i="9" s="1"/>
  <c r="AF39" i="9"/>
  <c r="BP39" i="9" s="1"/>
  <c r="AE39" i="9"/>
  <c r="AI77" i="9"/>
  <c r="BS77" i="9" s="1"/>
  <c r="AA58" i="9"/>
  <c r="BK58" i="9" s="1"/>
  <c r="AI91" i="9"/>
  <c r="BS91" i="9" s="1"/>
  <c r="AT39" i="9"/>
  <c r="CD39" i="9" s="1"/>
  <c r="CW48" i="9"/>
  <c r="AU17" i="9"/>
  <c r="CE17" i="9" s="1"/>
  <c r="AI28" i="9"/>
  <c r="BS28" i="9" s="1"/>
  <c r="CW39" i="9"/>
  <c r="AH59" i="9"/>
  <c r="BR59" i="9" s="1"/>
  <c r="AH77" i="9"/>
  <c r="BR77" i="9" s="1"/>
  <c r="AI58" i="9"/>
  <c r="BS58" i="9" s="1"/>
  <c r="AG77" i="9"/>
  <c r="BQ77" i="9" s="1"/>
  <c r="AF77" i="9"/>
  <c r="BP77" i="9" s="1"/>
  <c r="AE77" i="9"/>
  <c r="AI60" i="9"/>
  <c r="BS60" i="9" s="1"/>
  <c r="Z58" i="9"/>
  <c r="BJ58" i="9" s="1"/>
  <c r="AI76" i="9"/>
  <c r="BS76" i="9" s="1"/>
  <c r="AE58" i="9"/>
  <c r="BO58" i="9" s="1"/>
  <c r="AG76" i="9"/>
  <c r="BQ76" i="9" s="1"/>
  <c r="CW28" i="9"/>
  <c r="CW34" i="9"/>
  <c r="AO34" i="9"/>
  <c r="BY34" i="9" s="1"/>
  <c r="AF76" i="9"/>
  <c r="BP76" i="9" s="1"/>
  <c r="CW17" i="9"/>
  <c r="Z60" i="9"/>
  <c r="BJ60" i="9" s="1"/>
  <c r="AI84" i="9"/>
  <c r="BS84" i="9" s="1"/>
  <c r="AB78" i="9"/>
  <c r="BL78" i="9" s="1"/>
  <c r="CW46" i="9"/>
  <c r="AF58" i="9"/>
  <c r="BP58" i="9" s="1"/>
  <c r="AS87" i="9"/>
  <c r="CC87" i="9" s="1"/>
  <c r="AG84" i="9"/>
  <c r="BQ84" i="9" s="1"/>
  <c r="AE59" i="9"/>
  <c r="BO59" i="9" s="1"/>
  <c r="AC58" i="9"/>
  <c r="CW7" i="9"/>
  <c r="AE84" i="9"/>
  <c r="BO84" i="9" s="1"/>
  <c r="AH78" i="9"/>
  <c r="BR78" i="9" s="1"/>
  <c r="AC48" i="9"/>
  <c r="BM48" i="9" s="1"/>
  <c r="AG78" i="9"/>
  <c r="BQ78" i="9" s="1"/>
  <c r="CW73" i="9"/>
  <c r="BA7" i="9"/>
  <c r="CK7" i="9" s="1"/>
  <c r="AK7" i="9"/>
  <c r="Y46" i="9"/>
  <c r="BI46" i="9" s="1"/>
  <c r="AA59" i="9"/>
  <c r="BK59" i="9" s="1"/>
  <c r="CW90" i="9"/>
  <c r="AM7" i="9"/>
  <c r="BW7" i="9" s="1"/>
  <c r="AE60" i="9"/>
  <c r="BO60" i="9" s="1"/>
  <c r="AE78" i="9"/>
  <c r="BO78" i="9" s="1"/>
  <c r="AQ34" i="9"/>
  <c r="CA34" i="9" s="1"/>
  <c r="AC59" i="9"/>
  <c r="BM59" i="9" s="1"/>
  <c r="AC60" i="9"/>
  <c r="BM60" i="9" s="1"/>
  <c r="Z75" i="9"/>
  <c r="BA17" i="9"/>
  <c r="CK17" i="9" s="1"/>
  <c r="BA28" i="9"/>
  <c r="CK28" i="9" s="1"/>
  <c r="CW58" i="9"/>
  <c r="AT26" i="9"/>
  <c r="CD26" i="9" s="1"/>
  <c r="AC7" i="9"/>
  <c r="BM7" i="9" s="1"/>
  <c r="CW59" i="9"/>
  <c r="CW93" i="9"/>
  <c r="AS78" i="9"/>
  <c r="CC78" i="9" s="1"/>
  <c r="CW76" i="9"/>
  <c r="CW35" i="9"/>
  <c r="CW60" i="9"/>
  <c r="CW49" i="9"/>
  <c r="CW67" i="9"/>
  <c r="CW91" i="9"/>
  <c r="Z91" i="9"/>
  <c r="BJ91" i="9" s="1"/>
  <c r="AT17" i="9"/>
  <c r="CD17" i="9" s="1"/>
  <c r="AQ17" i="9"/>
  <c r="CA17" i="9" s="1"/>
  <c r="AR17" i="9"/>
  <c r="CB17" i="9" s="1"/>
  <c r="AS17" i="9"/>
  <c r="CC17" i="9" s="1"/>
  <c r="AL93" i="9"/>
  <c r="BV93" i="9" s="1"/>
  <c r="AO74" i="9"/>
  <c r="BY74" i="9" s="1"/>
  <c r="AQ19" i="9"/>
  <c r="CA19" i="9" s="1"/>
  <c r="AA28" i="9"/>
  <c r="BK28" i="9" s="1"/>
  <c r="AO75" i="9"/>
  <c r="BY75" i="9" s="1"/>
  <c r="AB77" i="9"/>
  <c r="BL77" i="9" s="1"/>
  <c r="Y48" i="9"/>
  <c r="BI48" i="9" s="1"/>
  <c r="AA60" i="9"/>
  <c r="BK60" i="9" s="1"/>
  <c r="AK89" i="9"/>
  <c r="BU89" i="9" s="1"/>
  <c r="AM89" i="9"/>
  <c r="BW89" i="9" s="1"/>
  <c r="AO89" i="9"/>
  <c r="BY89" i="9" s="1"/>
  <c r="AN89" i="9"/>
  <c r="BX89" i="9" s="1"/>
  <c r="Y76" i="9"/>
  <c r="BI76" i="9" s="1"/>
  <c r="Z76" i="9"/>
  <c r="AA76" i="9"/>
  <c r="BK76" i="9" s="1"/>
  <c r="AQ93" i="9"/>
  <c r="CA93" i="9" s="1"/>
  <c r="AS73" i="9"/>
  <c r="CC73" i="9" s="1"/>
  <c r="AL77" i="9"/>
  <c r="BV77" i="9" s="1"/>
  <c r="AR69" i="9"/>
  <c r="CB69" i="9" s="1"/>
  <c r="AU27" i="9"/>
  <c r="CE27" i="9" s="1"/>
  <c r="AQ60" i="9"/>
  <c r="CA60" i="9" s="1"/>
  <c r="AX48" i="9"/>
  <c r="CH48" i="9" s="1"/>
  <c r="AQ49" i="9"/>
  <c r="CA49" i="9" s="1"/>
  <c r="AQ46" i="9"/>
  <c r="CA46" i="9" s="1"/>
  <c r="AE36" i="9"/>
  <c r="BO36" i="9" s="1"/>
  <c r="AA74" i="9"/>
  <c r="BK74" i="9" s="1"/>
  <c r="AB74" i="9"/>
  <c r="BL74" i="9" s="1"/>
  <c r="AB75" i="9"/>
  <c r="BL75" i="9" s="1"/>
  <c r="Y75" i="9"/>
  <c r="AA75" i="9"/>
  <c r="BK75" i="9" s="1"/>
  <c r="AQ88" i="9"/>
  <c r="CA88" i="9" s="1"/>
  <c r="AS88" i="9"/>
  <c r="CC88" i="9" s="1"/>
  <c r="AT88" i="9"/>
  <c r="CD88" i="9" s="1"/>
  <c r="AU88" i="9"/>
  <c r="CE88" i="9" s="1"/>
  <c r="AK28" i="9"/>
  <c r="BU28" i="9" s="1"/>
  <c r="AN28" i="9"/>
  <c r="BX28" i="9" s="1"/>
  <c r="BA48" i="9"/>
  <c r="CK48" i="9" s="1"/>
  <c r="AC75" i="9"/>
  <c r="BM75" i="9" s="1"/>
  <c r="AS49" i="9"/>
  <c r="CC49" i="9" s="1"/>
  <c r="AR19" i="9"/>
  <c r="AT19" i="9"/>
  <c r="CD19" i="9" s="1"/>
  <c r="AQ24" i="9"/>
  <c r="AM76" i="9"/>
  <c r="BW76" i="9" s="1"/>
  <c r="AN76" i="9"/>
  <c r="BX76" i="9" s="1"/>
  <c r="AZ67" i="9"/>
  <c r="CJ67" i="9" s="1"/>
  <c r="AW67" i="9"/>
  <c r="CG67" i="9" s="1"/>
  <c r="BA67" i="9"/>
  <c r="CK67" i="9" s="1"/>
  <c r="AW27" i="9"/>
  <c r="CG27" i="9" s="1"/>
  <c r="AX27" i="9"/>
  <c r="CH27" i="9" s="1"/>
  <c r="AZ27" i="9"/>
  <c r="CJ27" i="9" s="1"/>
  <c r="AW62" i="9"/>
  <c r="CG62" i="9" s="1"/>
  <c r="AZ62" i="9"/>
  <c r="CJ62" i="9" s="1"/>
  <c r="BA62" i="9"/>
  <c r="CK62" i="9" s="1"/>
  <c r="AK58" i="9"/>
  <c r="BU58" i="9" s="1"/>
  <c r="AL58" i="9"/>
  <c r="BV58" i="9" s="1"/>
  <c r="AO58" i="9"/>
  <c r="BY58" i="9" s="1"/>
  <c r="AX58" i="9"/>
  <c r="CH58" i="9" s="1"/>
  <c r="AY58" i="9"/>
  <c r="CI58" i="9" s="1"/>
  <c r="BA58" i="9"/>
  <c r="CK58" i="9" s="1"/>
  <c r="Y59" i="9"/>
  <c r="BI59" i="9" s="1"/>
  <c r="Z59" i="9"/>
  <c r="BJ59" i="9" s="1"/>
  <c r="AL59" i="9"/>
  <c r="BV59" i="9" s="1"/>
  <c r="AO59" i="9"/>
  <c r="BY59" i="9" s="1"/>
  <c r="AX59" i="9"/>
  <c r="CH59" i="9" s="1"/>
  <c r="AY59" i="9"/>
  <c r="CI59" i="9" s="1"/>
  <c r="AW59" i="9"/>
  <c r="CG59" i="9" s="1"/>
  <c r="AL60" i="9"/>
  <c r="BV60" i="9" s="1"/>
  <c r="AO60" i="9"/>
  <c r="BY60" i="9" s="1"/>
  <c r="AX60" i="9"/>
  <c r="CH60" i="9" s="1"/>
  <c r="BA60" i="9"/>
  <c r="CK60" i="9" s="1"/>
  <c r="AO48" i="9"/>
  <c r="BY48" i="9" s="1"/>
  <c r="AL48" i="9"/>
  <c r="BV48" i="9" s="1"/>
  <c r="AK48" i="9"/>
  <c r="BU48" i="9" s="1"/>
  <c r="AM48" i="9"/>
  <c r="BW48" i="9" s="1"/>
  <c r="AU48" i="9"/>
  <c r="CE48" i="9" s="1"/>
  <c r="AT48" i="9"/>
  <c r="CD48" i="9" s="1"/>
  <c r="AW49" i="9"/>
  <c r="CG49" i="9" s="1"/>
  <c r="AX49" i="9"/>
  <c r="CH49" i="9" s="1"/>
  <c r="AY46" i="9"/>
  <c r="CI46" i="9" s="1"/>
  <c r="AX46" i="9"/>
  <c r="CH46" i="9" s="1"/>
  <c r="BA46" i="9"/>
  <c r="CK46" i="9" s="1"/>
  <c r="Y91" i="9"/>
  <c r="BI91" i="9" s="1"/>
  <c r="AY84" i="9"/>
  <c r="CI84" i="9" s="1"/>
  <c r="AC74" i="9"/>
  <c r="BM74" i="9" s="1"/>
  <c r="AY71" i="9"/>
  <c r="CI71" i="9" s="1"/>
  <c r="CW71" i="9"/>
  <c r="AY69" i="9"/>
  <c r="CI69" i="9" s="1"/>
  <c r="CW19" i="9"/>
  <c r="AF71" i="9"/>
  <c r="BP71" i="9" s="1"/>
  <c r="AG71" i="9"/>
  <c r="BQ71" i="9" s="1"/>
  <c r="AK91" i="9"/>
  <c r="AN91" i="9"/>
  <c r="BX91" i="9" s="1"/>
  <c r="AO91" i="9"/>
  <c r="BY91" i="9" s="1"/>
  <c r="AQ71" i="9"/>
  <c r="CA71" i="9" s="1"/>
  <c r="AU71" i="9"/>
  <c r="CE71" i="9" s="1"/>
  <c r="AK34" i="9"/>
  <c r="BU34" i="9" s="1"/>
  <c r="AL34" i="9"/>
  <c r="BV34" i="9" s="1"/>
  <c r="AM34" i="9"/>
  <c r="BW34" i="9" s="1"/>
  <c r="AN34" i="9"/>
  <c r="BX34" i="9" s="1"/>
  <c r="AU35" i="9"/>
  <c r="CE35" i="9" s="1"/>
  <c r="AS35" i="9"/>
  <c r="CC35" i="9" s="1"/>
  <c r="AX28" i="9"/>
  <c r="CH28" i="9" s="1"/>
  <c r="AW28" i="9"/>
  <c r="CG28" i="9" s="1"/>
  <c r="AY28" i="9"/>
  <c r="CI28" i="9" s="1"/>
  <c r="AS19" i="9"/>
  <c r="CC19" i="9" s="1"/>
  <c r="AY19" i="9"/>
  <c r="CI19" i="9" s="1"/>
  <c r="AU19" i="9"/>
  <c r="CE19" i="9" s="1"/>
  <c r="BA19" i="9"/>
  <c r="CK19" i="9" s="1"/>
  <c r="AC89" i="9"/>
  <c r="BM89" i="9" s="1"/>
  <c r="AN78" i="9"/>
  <c r="BX78" i="9" s="1"/>
  <c r="AA69" i="9"/>
  <c r="Y28" i="9"/>
  <c r="AA19" i="9"/>
  <c r="BK19" i="9" s="1"/>
  <c r="AS93" i="9"/>
  <c r="CC93" i="9" s="1"/>
  <c r="AU87" i="9"/>
  <c r="CE87" i="9" s="1"/>
  <c r="AH70" i="9"/>
  <c r="BR70" i="9" s="1"/>
  <c r="CW70" i="9"/>
  <c r="AE26" i="9"/>
  <c r="BO26" i="9" s="1"/>
  <c r="AG26" i="9"/>
  <c r="BQ26" i="9" s="1"/>
  <c r="AY35" i="9"/>
  <c r="CI35" i="9" s="1"/>
  <c r="Z39" i="9"/>
  <c r="BJ39" i="9" s="1"/>
  <c r="CW24" i="9"/>
  <c r="AE17" i="9"/>
  <c r="BO17" i="9" s="1"/>
  <c r="AG17" i="9"/>
  <c r="BQ17" i="9" s="1"/>
  <c r="AH17" i="9"/>
  <c r="BR17" i="9" s="1"/>
  <c r="AL70" i="9"/>
  <c r="BV70" i="9" s="1"/>
  <c r="AM70" i="9"/>
  <c r="BW70" i="9" s="1"/>
  <c r="AA70" i="9"/>
  <c r="BK70" i="9" s="1"/>
  <c r="AF70" i="9"/>
  <c r="BP70" i="9" s="1"/>
  <c r="AG70" i="9"/>
  <c r="BQ70" i="9" s="1"/>
  <c r="AN17" i="9"/>
  <c r="BX17" i="9" s="1"/>
  <c r="AF17" i="9"/>
  <c r="BP17" i="9" s="1"/>
  <c r="AC17" i="9"/>
  <c r="BM17" i="9" s="1"/>
  <c r="AA17" i="9"/>
  <c r="BK17" i="9" s="1"/>
  <c r="Z17" i="9"/>
  <c r="BJ17" i="9" s="1"/>
  <c r="AI17" i="9"/>
  <c r="BS17" i="9" s="1"/>
  <c r="AY93" i="9"/>
  <c r="CI93" i="9" s="1"/>
  <c r="AX93" i="9"/>
  <c r="CH93" i="9" s="1"/>
  <c r="Z89" i="9"/>
  <c r="Y89" i="9"/>
  <c r="BI89" i="9" s="1"/>
  <c r="AA89" i="9"/>
  <c r="BK89" i="9" s="1"/>
  <c r="AS24" i="9"/>
  <c r="CC24" i="9" s="1"/>
  <c r="AT24" i="9"/>
  <c r="CD24" i="9" s="1"/>
  <c r="AU24" i="9"/>
  <c r="CE24" i="9" s="1"/>
  <c r="AY24" i="9"/>
  <c r="CI24" i="9" s="1"/>
  <c r="BA24" i="9"/>
  <c r="CK24" i="9" s="1"/>
  <c r="AR24" i="9"/>
  <c r="CB24" i="9" s="1"/>
  <c r="AX24" i="9"/>
  <c r="CH24" i="9" s="1"/>
  <c r="AQ74" i="9"/>
  <c r="CA74" i="9" s="1"/>
  <c r="AT74" i="9"/>
  <c r="CD74" i="9" s="1"/>
  <c r="AS71" i="9"/>
  <c r="CC71" i="9" s="1"/>
  <c r="AL69" i="9"/>
  <c r="BV69" i="9" s="1"/>
  <c r="AA39" i="9"/>
  <c r="BK39" i="9" s="1"/>
  <c r="AC39" i="9"/>
  <c r="BM39" i="9" s="1"/>
  <c r="AR29" i="9"/>
  <c r="CB29" i="9" s="1"/>
  <c r="AY29" i="9"/>
  <c r="CI29" i="9" s="1"/>
  <c r="AS34" i="9"/>
  <c r="CC34" i="9" s="1"/>
  <c r="AE62" i="9"/>
  <c r="BO62" i="9" s="1"/>
  <c r="AC71" i="9"/>
  <c r="BM71" i="9" s="1"/>
  <c r="AU78" i="9"/>
  <c r="CE78" i="9" s="1"/>
  <c r="AS90" i="9"/>
  <c r="CC90" i="9" s="1"/>
  <c r="AS28" i="9"/>
  <c r="CC28" i="9" s="1"/>
  <c r="BA29" i="9"/>
  <c r="CK29" i="9" s="1"/>
  <c r="AH69" i="9"/>
  <c r="BR69" i="9" s="1"/>
  <c r="AS70" i="9"/>
  <c r="CC70" i="9" s="1"/>
  <c r="AY26" i="9"/>
  <c r="CI26" i="9" s="1"/>
  <c r="AG69" i="9"/>
  <c r="BQ69" i="9" s="1"/>
  <c r="AI69" i="9"/>
  <c r="BS69" i="9" s="1"/>
  <c r="AW89" i="9"/>
  <c r="CG89" i="9" s="1"/>
  <c r="BA89" i="9"/>
  <c r="CK89" i="9" s="1"/>
  <c r="AC90" i="9"/>
  <c r="AA90" i="9"/>
  <c r="BK90" i="9" s="1"/>
  <c r="AU90" i="9"/>
  <c r="CE90" i="9" s="1"/>
  <c r="AT90" i="9"/>
  <c r="CD90" i="9" s="1"/>
  <c r="AY90" i="9"/>
  <c r="CI90" i="9" s="1"/>
  <c r="BA90" i="9"/>
  <c r="CK90" i="9" s="1"/>
  <c r="AX90" i="9"/>
  <c r="CH90" i="9" s="1"/>
  <c r="AO94" i="9"/>
  <c r="BY94" i="9" s="1"/>
  <c r="AL94" i="9"/>
  <c r="BV94" i="9" s="1"/>
  <c r="AR94" i="9"/>
  <c r="CB94" i="9" s="1"/>
  <c r="AQ94" i="9"/>
  <c r="CA94" i="9" s="1"/>
  <c r="BA74" i="9"/>
  <c r="CK74" i="9" s="1"/>
  <c r="AY74" i="9"/>
  <c r="CI74" i="9" s="1"/>
  <c r="AX75" i="9"/>
  <c r="CH75" i="9" s="1"/>
  <c r="AY75" i="9"/>
  <c r="CI75" i="9" s="1"/>
  <c r="AW75" i="9"/>
  <c r="CG75" i="9" s="1"/>
  <c r="AY76" i="9"/>
  <c r="CI76" i="9" s="1"/>
  <c r="AZ76" i="9"/>
  <c r="CJ76" i="9" s="1"/>
  <c r="AW76" i="9"/>
  <c r="CG76" i="9" s="1"/>
  <c r="AS77" i="9"/>
  <c r="CC77" i="9" s="1"/>
  <c r="AU77" i="9"/>
  <c r="CE77" i="9" s="1"/>
  <c r="AR77" i="9"/>
  <c r="CB77" i="9" s="1"/>
  <c r="AQ77" i="9"/>
  <c r="AT77" i="9"/>
  <c r="CD77" i="9" s="1"/>
  <c r="AT84" i="9"/>
  <c r="CD84" i="9" s="1"/>
  <c r="AS84" i="9"/>
  <c r="CC84" i="9" s="1"/>
  <c r="AB71" i="9"/>
  <c r="BL71" i="9" s="1"/>
  <c r="AA71" i="9"/>
  <c r="BK71" i="9" s="1"/>
  <c r="AT69" i="9"/>
  <c r="CD69" i="9" s="1"/>
  <c r="AU69" i="9"/>
  <c r="CE69" i="9" s="1"/>
  <c r="AE69" i="9"/>
  <c r="BO69" i="9" s="1"/>
  <c r="AQ69" i="9"/>
  <c r="CA69" i="9" s="1"/>
  <c r="AW34" i="9"/>
  <c r="CG34" i="9" s="1"/>
  <c r="AX34" i="9"/>
  <c r="CH34" i="9" s="1"/>
  <c r="AX39" i="9"/>
  <c r="CH39" i="9" s="1"/>
  <c r="AY39" i="9"/>
  <c r="CI39" i="9" s="1"/>
  <c r="AT29" i="9"/>
  <c r="CD29" i="9" s="1"/>
  <c r="AH29" i="9"/>
  <c r="BR29" i="9" s="1"/>
  <c r="AF88" i="9"/>
  <c r="BP88" i="9" s="1"/>
  <c r="AI71" i="9"/>
  <c r="BS71" i="9" s="1"/>
  <c r="AR91" i="9"/>
  <c r="CB91" i="9" s="1"/>
  <c r="AK94" i="9"/>
  <c r="BU94" i="9" s="1"/>
  <c r="AS94" i="9"/>
  <c r="CC94" i="9" s="1"/>
  <c r="AU94" i="9"/>
  <c r="CE94" i="9" s="1"/>
  <c r="AT73" i="9"/>
  <c r="CD73" i="9" s="1"/>
  <c r="AA84" i="9"/>
  <c r="BK84" i="9" s="1"/>
  <c r="AS26" i="9"/>
  <c r="CC26" i="9" s="1"/>
  <c r="AG73" i="9"/>
  <c r="BQ73" i="9" s="1"/>
  <c r="AB87" i="9"/>
  <c r="BL87" i="9" s="1"/>
  <c r="AF49" i="9"/>
  <c r="BP49" i="9" s="1"/>
  <c r="AF46" i="9"/>
  <c r="BP46" i="9" s="1"/>
  <c r="AN7" i="9"/>
  <c r="BX7" i="9" s="1"/>
  <c r="AA35" i="9"/>
  <c r="AL91" i="9"/>
  <c r="BA91" i="9"/>
  <c r="CK91" i="9" s="1"/>
  <c r="AL74" i="9"/>
  <c r="BV74" i="9" s="1"/>
  <c r="AM77" i="9"/>
  <c r="BW77" i="9" s="1"/>
  <c r="AA78" i="9"/>
  <c r="BK78" i="9" s="1"/>
  <c r="AA87" i="9"/>
  <c r="BK87" i="9" s="1"/>
  <c r="AM69" i="9"/>
  <c r="BW69" i="9" s="1"/>
  <c r="AB70" i="9"/>
  <c r="BL70" i="9" s="1"/>
  <c r="AL26" i="9"/>
  <c r="BV26" i="9" s="1"/>
  <c r="AR39" i="9"/>
  <c r="CB39" i="9" s="1"/>
  <c r="Z28" i="9"/>
  <c r="AR28" i="9"/>
  <c r="CB28" i="9" s="1"/>
  <c r="AI29" i="9"/>
  <c r="BS29" i="9" s="1"/>
  <c r="AK93" i="9"/>
  <c r="BU93" i="9" s="1"/>
  <c r="AR93" i="9"/>
  <c r="CB93" i="9" s="1"/>
  <c r="AL89" i="9"/>
  <c r="BV89" i="9" s="1"/>
  <c r="AX89" i="9"/>
  <c r="CH89" i="9" s="1"/>
  <c r="Z90" i="9"/>
  <c r="BJ90" i="9" s="1"/>
  <c r="AR90" i="9"/>
  <c r="CB90" i="9" s="1"/>
  <c r="AA77" i="9"/>
  <c r="BK77" i="9" s="1"/>
  <c r="AQ84" i="9"/>
  <c r="CA84" i="9" s="1"/>
  <c r="AS69" i="9"/>
  <c r="Z26" i="9"/>
  <c r="CW26" i="9"/>
  <c r="Z67" i="9"/>
  <c r="BJ67" i="9" s="1"/>
  <c r="AG67" i="9"/>
  <c r="BQ67" i="9" s="1"/>
  <c r="AI67" i="9"/>
  <c r="BS67" i="9" s="1"/>
  <c r="AM59" i="9"/>
  <c r="BW59" i="9" s="1"/>
  <c r="BA59" i="9"/>
  <c r="CK59" i="9" s="1"/>
  <c r="Z48" i="9"/>
  <c r="AN48" i="9"/>
  <c r="AR48" i="9"/>
  <c r="CB48" i="9" s="1"/>
  <c r="AR49" i="9"/>
  <c r="CB49" i="9" s="1"/>
  <c r="AR7" i="9"/>
  <c r="CB7" i="9" s="1"/>
  <c r="AX7" i="9"/>
  <c r="CH7" i="9" s="1"/>
  <c r="AR34" i="9"/>
  <c r="CB34" i="9" s="1"/>
  <c r="AL35" i="9"/>
  <c r="BV35" i="9" s="1"/>
  <c r="AK39" i="9"/>
  <c r="BU39" i="9" s="1"/>
  <c r="AL28" i="9"/>
  <c r="BV28" i="9" s="1"/>
  <c r="CW29" i="9"/>
  <c r="AL19" i="9"/>
  <c r="BV19" i="9" s="1"/>
  <c r="AE24" i="9"/>
  <c r="AL17" i="9"/>
  <c r="BV17" i="9" s="1"/>
  <c r="AN67" i="9"/>
  <c r="BX67" i="9" s="1"/>
  <c r="AK67" i="9"/>
  <c r="BU67" i="9" s="1"/>
  <c r="AH67" i="9"/>
  <c r="BR67" i="9" s="1"/>
  <c r="AF67" i="9"/>
  <c r="BP67" i="9" s="1"/>
  <c r="AE67" i="9"/>
  <c r="AC67" i="9"/>
  <c r="BM67" i="9" s="1"/>
  <c r="AB67" i="9"/>
  <c r="BL67" i="9" s="1"/>
  <c r="Y67" i="9"/>
  <c r="BI67" i="9" s="1"/>
  <c r="AO67" i="9"/>
  <c r="BY67" i="9" s="1"/>
  <c r="AF27" i="9"/>
  <c r="BP27" i="9" s="1"/>
  <c r="AC27" i="9"/>
  <c r="BM27" i="9" s="1"/>
  <c r="AE27" i="9"/>
  <c r="BO27" i="9" s="1"/>
  <c r="AF24" i="9"/>
  <c r="BP24" i="9" s="1"/>
  <c r="AC24" i="9"/>
  <c r="BM24" i="9" s="1"/>
  <c r="AA24" i="9"/>
  <c r="BK24" i="9" s="1"/>
  <c r="Z24" i="9"/>
  <c r="BJ24" i="9" s="1"/>
  <c r="AX94" i="9"/>
  <c r="CH94" i="9" s="1"/>
  <c r="AY94" i="9"/>
  <c r="CI94" i="9" s="1"/>
  <c r="AX73" i="9"/>
  <c r="CH73" i="9" s="1"/>
  <c r="AY73" i="9"/>
  <c r="CI73" i="9" s="1"/>
  <c r="AW73" i="9"/>
  <c r="CG73" i="9" s="1"/>
  <c r="AY77" i="9"/>
  <c r="AZ77" i="9"/>
  <c r="AZ78" i="9"/>
  <c r="CJ78" i="9" s="1"/>
  <c r="AY78" i="9"/>
  <c r="AY87" i="9"/>
  <c r="CI87" i="9" s="1"/>
  <c r="AX87" i="9"/>
  <c r="CH87" i="9" s="1"/>
  <c r="AZ87" i="9"/>
  <c r="CJ87" i="9" s="1"/>
  <c r="AY88" i="9"/>
  <c r="CI88" i="9" s="1"/>
  <c r="AZ88" i="9"/>
  <c r="CJ88" i="9" s="1"/>
  <c r="AY70" i="9"/>
  <c r="AW70" i="9"/>
  <c r="CG70" i="9" s="1"/>
  <c r="AN26" i="9"/>
  <c r="BX26" i="9" s="1"/>
  <c r="AO26" i="9"/>
  <c r="BY26" i="9" s="1"/>
  <c r="AF26" i="9"/>
  <c r="BP26" i="9" s="1"/>
  <c r="AR26" i="9"/>
  <c r="CB26" i="9" s="1"/>
  <c r="AX26" i="9"/>
  <c r="CH26" i="9" s="1"/>
  <c r="AZ35" i="9"/>
  <c r="CJ35" i="9" s="1"/>
  <c r="AX35" i="9"/>
  <c r="CH35" i="9" s="1"/>
  <c r="X36" i="9"/>
  <c r="BK35" i="9"/>
  <c r="AL24" i="9"/>
  <c r="BV24" i="9" s="1"/>
  <c r="AH19" i="9"/>
  <c r="BR19" i="9" s="1"/>
  <c r="AF29" i="9"/>
  <c r="BP29" i="9" s="1"/>
  <c r="AM35" i="9"/>
  <c r="BW35" i="9" s="1"/>
  <c r="AH7" i="9"/>
  <c r="BR7" i="9" s="1"/>
  <c r="AC46" i="9"/>
  <c r="BM46" i="9" s="1"/>
  <c r="Z46" i="9"/>
  <c r="BJ46" i="9" s="1"/>
  <c r="AO49" i="9"/>
  <c r="BY49" i="9" s="1"/>
  <c r="AL62" i="9"/>
  <c r="BV62" i="9" s="1"/>
  <c r="AN27" i="9"/>
  <c r="BX27" i="9" s="1"/>
  <c r="Y27" i="9"/>
  <c r="BI27" i="9" s="1"/>
  <c r="AH88" i="9"/>
  <c r="BR88" i="9" s="1"/>
  <c r="AH87" i="9"/>
  <c r="BR87" i="9" s="1"/>
  <c r="Z73" i="9"/>
  <c r="BJ73" i="9" s="1"/>
  <c r="AN19" i="9"/>
  <c r="BX19" i="9" s="1"/>
  <c r="AG19" i="9"/>
  <c r="BQ19" i="9" s="1"/>
  <c r="Z29" i="9"/>
  <c r="BJ29" i="9" s="1"/>
  <c r="AI35" i="9"/>
  <c r="BS35" i="9" s="1"/>
  <c r="AN49" i="9"/>
  <c r="BX49" i="9" s="1"/>
  <c r="AH49" i="9"/>
  <c r="BR49" i="9" s="1"/>
  <c r="AI62" i="9"/>
  <c r="BS62" i="9" s="1"/>
  <c r="AM27" i="9"/>
  <c r="BW27" i="9" s="1"/>
  <c r="AL27" i="9"/>
  <c r="BV27" i="9" s="1"/>
  <c r="AG87" i="9"/>
  <c r="BQ87" i="9" s="1"/>
  <c r="Y73" i="9"/>
  <c r="BI73" i="9" s="1"/>
  <c r="AC35" i="9"/>
  <c r="BM35" i="9" s="1"/>
  <c r="AE88" i="9"/>
  <c r="BO88" i="9" s="1"/>
  <c r="AN24" i="9"/>
  <c r="BX24" i="9" s="1"/>
  <c r="AH24" i="9"/>
  <c r="BR24" i="9" s="1"/>
  <c r="AI19" i="9"/>
  <c r="BS19" i="9" s="1"/>
  <c r="Z19" i="9"/>
  <c r="BJ19" i="9" s="1"/>
  <c r="AK29" i="9"/>
  <c r="BU29" i="9" s="1"/>
  <c r="AH35" i="9"/>
  <c r="BR35" i="9" s="1"/>
  <c r="AA7" i="9"/>
  <c r="BK7" i="9" s="1"/>
  <c r="AO46" i="9"/>
  <c r="BY46" i="9" s="1"/>
  <c r="AM49" i="9"/>
  <c r="BW49" i="9" s="1"/>
  <c r="AB62" i="9"/>
  <c r="BL62" i="9" s="1"/>
  <c r="AK27" i="9"/>
  <c r="BU27" i="9" s="1"/>
  <c r="AI27" i="9"/>
  <c r="BS27" i="9" s="1"/>
  <c r="Z27" i="9"/>
  <c r="BJ27" i="9" s="1"/>
  <c r="AK73" i="9"/>
  <c r="BU73" i="9" s="1"/>
  <c r="AC62" i="9"/>
  <c r="BM62" i="9" s="1"/>
  <c r="AN35" i="9"/>
  <c r="BX35" i="9" s="1"/>
  <c r="AB35" i="9"/>
  <c r="BL35" i="9" s="1"/>
  <c r="AL46" i="9"/>
  <c r="BV46" i="9" s="1"/>
  <c r="Y62" i="9"/>
  <c r="BI62" i="9" s="1"/>
  <c r="AE73" i="9"/>
  <c r="AI24" i="9"/>
  <c r="BS24" i="9" s="1"/>
  <c r="AG24" i="9"/>
  <c r="BQ24" i="9" s="1"/>
  <c r="AF19" i="9"/>
  <c r="BP19" i="9" s="1"/>
  <c r="AE19" i="9"/>
  <c r="AC29" i="9"/>
  <c r="BM29" i="9" s="1"/>
  <c r="AG35" i="9"/>
  <c r="BQ35" i="9" s="1"/>
  <c r="Y35" i="9"/>
  <c r="BI35" i="9" s="1"/>
  <c r="AO7" i="9"/>
  <c r="BY7" i="9" s="1"/>
  <c r="Z7" i="9"/>
  <c r="BJ7" i="9" s="1"/>
  <c r="AH46" i="9"/>
  <c r="BR46" i="9" s="1"/>
  <c r="AL49" i="9"/>
  <c r="BV49" i="9" s="1"/>
  <c r="AH62" i="9"/>
  <c r="BR62" i="9" s="1"/>
  <c r="AH27" i="9"/>
  <c r="BR27" i="9" s="1"/>
  <c r="AC88" i="9"/>
  <c r="BM88" i="9" s="1"/>
  <c r="AB88" i="9"/>
  <c r="BL88" i="9" s="1"/>
  <c r="AL73" i="9"/>
  <c r="BV73" i="9" s="1"/>
  <c r="AA73" i="9"/>
  <c r="BK73" i="9" s="1"/>
  <c r="AC19" i="9"/>
  <c r="BM19" i="9" s="1"/>
  <c r="AF35" i="9"/>
  <c r="BP35" i="9" s="1"/>
  <c r="AL7" i="9"/>
  <c r="AG46" i="9"/>
  <c r="BQ46" i="9" s="1"/>
  <c r="AE46" i="9"/>
  <c r="BO46" i="9" s="1"/>
  <c r="AK49" i="9"/>
  <c r="AG62" i="9"/>
  <c r="BQ62" i="9" s="1"/>
  <c r="AF62" i="9"/>
  <c r="BP62" i="9" s="1"/>
  <c r="AG27" i="9"/>
  <c r="BQ27" i="9" s="1"/>
  <c r="AI87" i="9"/>
  <c r="BS87" i="9" s="1"/>
  <c r="AI73" i="9"/>
  <c r="BS73" i="9" s="1"/>
  <c r="AA29" i="9"/>
  <c r="BK29" i="9" s="1"/>
  <c r="AG88" i="9"/>
  <c r="BQ88" i="9" s="1"/>
  <c r="CW69" i="9"/>
  <c r="BI28" i="9"/>
  <c r="BO39" i="9"/>
  <c r="BO29" i="9"/>
  <c r="AK17" i="9"/>
  <c r="AK24" i="9"/>
  <c r="AK19" i="9"/>
  <c r="AS29" i="9"/>
  <c r="CC29" i="9" s="1"/>
  <c r="AS39" i="9"/>
  <c r="CC39" i="9" s="1"/>
  <c r="BU7" i="9"/>
  <c r="AB28" i="9"/>
  <c r="AZ28" i="9"/>
  <c r="AZ17" i="9"/>
  <c r="CJ17" i="9" s="1"/>
  <c r="AB17" i="9"/>
  <c r="AZ24" i="9"/>
  <c r="CJ24" i="9" s="1"/>
  <c r="AB24" i="9"/>
  <c r="AZ19" i="9"/>
  <c r="CJ19" i="9" s="1"/>
  <c r="AB19" i="9"/>
  <c r="AZ29" i="9"/>
  <c r="CJ29" i="9" s="1"/>
  <c r="AQ29" i="9"/>
  <c r="Y29" i="9"/>
  <c r="AO28" i="9"/>
  <c r="BY28" i="9" s="1"/>
  <c r="BA39" i="9"/>
  <c r="CK39" i="9" s="1"/>
  <c r="AQ39" i="9"/>
  <c r="Y39" i="9"/>
  <c r="AQ35" i="9"/>
  <c r="AS46" i="9"/>
  <c r="CC46" i="9" s="1"/>
  <c r="AX19" i="9"/>
  <c r="CH19" i="9" s="1"/>
  <c r="AO29" i="9"/>
  <c r="BY29" i="9" s="1"/>
  <c r="AM28" i="9"/>
  <c r="BW28" i="9" s="1"/>
  <c r="AO39" i="9"/>
  <c r="BY39" i="9" s="1"/>
  <c r="BA35" i="9"/>
  <c r="CK35" i="9" s="1"/>
  <c r="AO35" i="9"/>
  <c r="AE35" i="9"/>
  <c r="AW17" i="9"/>
  <c r="AO17" i="9"/>
  <c r="Y17" i="9"/>
  <c r="AW24" i="9"/>
  <c r="AO24" i="9"/>
  <c r="Y24" i="9"/>
  <c r="AW19" i="9"/>
  <c r="AO19" i="9"/>
  <c r="Y19" i="9"/>
  <c r="AW29" i="9"/>
  <c r="AN29" i="9"/>
  <c r="BX29" i="9" s="1"/>
  <c r="AB29" i="9"/>
  <c r="AU28" i="9"/>
  <c r="CE28" i="9" s="1"/>
  <c r="AC28" i="9"/>
  <c r="AW39" i="9"/>
  <c r="AN39" i="9"/>
  <c r="BX39" i="9" s="1"/>
  <c r="AB39" i="9"/>
  <c r="AZ39" i="9"/>
  <c r="CJ39" i="9" s="1"/>
  <c r="AI49" i="9"/>
  <c r="BS49" i="9" s="1"/>
  <c r="AC49" i="9"/>
  <c r="AU49" i="9"/>
  <c r="CE49" i="9" s="1"/>
  <c r="BA49" i="9"/>
  <c r="CK49" i="9" s="1"/>
  <c r="Z49" i="9"/>
  <c r="Y49" i="9"/>
  <c r="AB60" i="9"/>
  <c r="AZ60" i="9"/>
  <c r="CJ60" i="9" s="1"/>
  <c r="AN60" i="9"/>
  <c r="BX60" i="9" s="1"/>
  <c r="AH60" i="9"/>
  <c r="BR60" i="9" s="1"/>
  <c r="AT60" i="9"/>
  <c r="CD60" i="9" s="1"/>
  <c r="AM29" i="9"/>
  <c r="BW29" i="9" s="1"/>
  <c r="AT28" i="9"/>
  <c r="CD28" i="9" s="1"/>
  <c r="AM39" i="9"/>
  <c r="BW39" i="9" s="1"/>
  <c r="AE7" i="9"/>
  <c r="AW7" i="9"/>
  <c r="Y7" i="9"/>
  <c r="AQ7" i="9"/>
  <c r="AR46" i="9"/>
  <c r="CB46" i="9" s="1"/>
  <c r="AT46" i="9"/>
  <c r="CD46" i="9" s="1"/>
  <c r="AR59" i="9"/>
  <c r="CB59" i="9" s="1"/>
  <c r="AU59" i="9"/>
  <c r="CE59" i="9" s="1"/>
  <c r="AS59" i="9"/>
  <c r="CC59" i="9" s="1"/>
  <c r="AT59" i="9"/>
  <c r="CD59" i="9" s="1"/>
  <c r="BM58" i="9"/>
  <c r="AM17" i="9"/>
  <c r="BW17" i="9" s="1"/>
  <c r="AM24" i="9"/>
  <c r="BW24" i="9" s="1"/>
  <c r="AM19" i="9"/>
  <c r="AU29" i="9"/>
  <c r="CE29" i="9" s="1"/>
  <c r="AL29" i="9"/>
  <c r="AU39" i="9"/>
  <c r="CE39" i="9" s="1"/>
  <c r="AL39" i="9"/>
  <c r="BV39" i="9" s="1"/>
  <c r="AW35" i="9"/>
  <c r="AK35" i="9"/>
  <c r="Z35" i="9"/>
  <c r="BS59" i="9"/>
  <c r="AQ28" i="9"/>
  <c r="AH28" i="9"/>
  <c r="BR28" i="9" s="1"/>
  <c r="AR35" i="9"/>
  <c r="CB35" i="9" s="1"/>
  <c r="AT35" i="9"/>
  <c r="AI34" i="9"/>
  <c r="BS34" i="9" s="1"/>
  <c r="AC34" i="9"/>
  <c r="AU34" i="9"/>
  <c r="CE34" i="9" s="1"/>
  <c r="BA34" i="9"/>
  <c r="CK34" i="9" s="1"/>
  <c r="Z34" i="9"/>
  <c r="Y34" i="9"/>
  <c r="AG48" i="9"/>
  <c r="BQ48" i="9" s="1"/>
  <c r="AY48" i="9"/>
  <c r="CI48" i="9" s="1"/>
  <c r="AS48" i="9"/>
  <c r="CC48" i="9" s="1"/>
  <c r="AA48" i="9"/>
  <c r="AK46" i="9"/>
  <c r="AA46" i="9"/>
  <c r="AM60" i="9"/>
  <c r="BW60" i="9" s="1"/>
  <c r="AQ58" i="9"/>
  <c r="AB58" i="9"/>
  <c r="AZ58" i="9"/>
  <c r="CJ58" i="9" s="1"/>
  <c r="AN58" i="9"/>
  <c r="BX58" i="9" s="1"/>
  <c r="AS62" i="9"/>
  <c r="CC62" i="9" s="1"/>
  <c r="AY34" i="9"/>
  <c r="CI34" i="9" s="1"/>
  <c r="AG34" i="9"/>
  <c r="BQ34" i="9" s="1"/>
  <c r="AU7" i="9"/>
  <c r="AI46" i="9"/>
  <c r="BS46" i="9" s="1"/>
  <c r="AY49" i="9"/>
  <c r="CI49" i="9" s="1"/>
  <c r="AG49" i="9"/>
  <c r="BQ49" i="9" s="1"/>
  <c r="AW48" i="9"/>
  <c r="AE48" i="9"/>
  <c r="AB48" i="9"/>
  <c r="AZ48" i="9"/>
  <c r="CJ48" i="9" s="1"/>
  <c r="AS60" i="9"/>
  <c r="CC60" i="9" s="1"/>
  <c r="AG60" i="9"/>
  <c r="AK59" i="9"/>
  <c r="CW62" i="9"/>
  <c r="AB34" i="9"/>
  <c r="AZ34" i="9"/>
  <c r="CJ34" i="9" s="1"/>
  <c r="AS7" i="9"/>
  <c r="CC7" i="9" s="1"/>
  <c r="AB49" i="9"/>
  <c r="AZ49" i="9"/>
  <c r="CJ49" i="9" s="1"/>
  <c r="AQ62" i="9"/>
  <c r="AU62" i="9"/>
  <c r="CE62" i="9" s="1"/>
  <c r="AO84" i="9"/>
  <c r="BY84" i="9" s="1"/>
  <c r="AK84" i="9"/>
  <c r="AL84" i="9"/>
  <c r="BV84" i="9" s="1"/>
  <c r="AM84" i="9"/>
  <c r="AN84" i="9"/>
  <c r="BX84" i="9" s="1"/>
  <c r="AY7" i="9"/>
  <c r="CI7" i="9" s="1"/>
  <c r="AW46" i="9"/>
  <c r="AN46" i="9"/>
  <c r="BX46" i="9" s="1"/>
  <c r="AB46" i="9"/>
  <c r="AZ46" i="9"/>
  <c r="CJ46" i="9" s="1"/>
  <c r="AI48" i="9"/>
  <c r="BS48" i="9" s="1"/>
  <c r="AY60" i="9"/>
  <c r="CI60" i="9" s="1"/>
  <c r="AQ59" i="9"/>
  <c r="AB59" i="9"/>
  <c r="AZ59" i="9"/>
  <c r="CJ59" i="9" s="1"/>
  <c r="AN59" i="9"/>
  <c r="BX59" i="9" s="1"/>
  <c r="AW58" i="9"/>
  <c r="Y58" i="9"/>
  <c r="AR58" i="9"/>
  <c r="CB58" i="9" s="1"/>
  <c r="AU58" i="9"/>
  <c r="CE58" i="9" s="1"/>
  <c r="AT34" i="9"/>
  <c r="AA34" i="9"/>
  <c r="AM46" i="9"/>
  <c r="BW46" i="9" s="1"/>
  <c r="AT49" i="9"/>
  <c r="CD49" i="9" s="1"/>
  <c r="AA49" i="9"/>
  <c r="AQ48" i="9"/>
  <c r="AK60" i="9"/>
  <c r="AT58" i="9"/>
  <c r="CD58" i="9" s="1"/>
  <c r="AH58" i="9"/>
  <c r="AM58" i="9"/>
  <c r="AB7" i="9"/>
  <c r="AZ7" i="9"/>
  <c r="CJ7" i="9" s="1"/>
  <c r="AU46" i="9"/>
  <c r="CE46" i="9" s="1"/>
  <c r="AW60" i="9"/>
  <c r="Y60" i="9"/>
  <c r="AR60" i="9"/>
  <c r="CB60" i="9" s="1"/>
  <c r="AU60" i="9"/>
  <c r="CE60" i="9" s="1"/>
  <c r="AS58" i="9"/>
  <c r="CC58" i="9" s="1"/>
  <c r="AR62" i="9"/>
  <c r="CB62" i="9" s="1"/>
  <c r="AT62" i="9"/>
  <c r="CD62" i="9" s="1"/>
  <c r="AK62" i="9"/>
  <c r="BA27" i="9"/>
  <c r="CK27" i="9" s="1"/>
  <c r="AB27" i="9"/>
  <c r="AW26" i="9"/>
  <c r="AF69" i="9"/>
  <c r="BP69" i="9" s="1"/>
  <c r="AH71" i="9"/>
  <c r="BR71" i="9" s="1"/>
  <c r="AZ71" i="9"/>
  <c r="CJ71" i="9" s="1"/>
  <c r="AN71" i="9"/>
  <c r="BX71" i="9" s="1"/>
  <c r="AT71" i="9"/>
  <c r="CD71" i="9" s="1"/>
  <c r="AO88" i="9"/>
  <c r="BY88" i="9" s="1"/>
  <c r="AK88" i="9"/>
  <c r="AM88" i="9"/>
  <c r="BW88" i="9" s="1"/>
  <c r="AN88" i="9"/>
  <c r="BX88" i="9" s="1"/>
  <c r="AL88" i="9"/>
  <c r="BV88" i="9" s="1"/>
  <c r="Z62" i="9"/>
  <c r="AO27" i="9"/>
  <c r="BY27" i="9" s="1"/>
  <c r="AA27" i="9"/>
  <c r="AY27" i="9"/>
  <c r="AS67" i="9"/>
  <c r="CC67" i="9" s="1"/>
  <c r="AA26" i="9"/>
  <c r="AQ67" i="9"/>
  <c r="AR67" i="9"/>
  <c r="CB67" i="9" s="1"/>
  <c r="AT67" i="9"/>
  <c r="CD67" i="9" s="1"/>
  <c r="AU67" i="9"/>
  <c r="CE67" i="9" s="1"/>
  <c r="AC26" i="9"/>
  <c r="BA26" i="9"/>
  <c r="CK26" i="9" s="1"/>
  <c r="AI26" i="9"/>
  <c r="BS26" i="9" s="1"/>
  <c r="AU26" i="9"/>
  <c r="CE26" i="9" s="1"/>
  <c r="AC70" i="9"/>
  <c r="BA70" i="9"/>
  <c r="CK70" i="9" s="1"/>
  <c r="AI70" i="9"/>
  <c r="BS70" i="9" s="1"/>
  <c r="AU70" i="9"/>
  <c r="CE70" i="9" s="1"/>
  <c r="AX62" i="9"/>
  <c r="CH62" i="9" s="1"/>
  <c r="AO62" i="9"/>
  <c r="BY62" i="9" s="1"/>
  <c r="AL67" i="9"/>
  <c r="BV67" i="9" s="1"/>
  <c r="AM67" i="9"/>
  <c r="BW67" i="9" s="1"/>
  <c r="AH26" i="9"/>
  <c r="BR26" i="9" s="1"/>
  <c r="AZ26" i="9"/>
  <c r="CJ26" i="9" s="1"/>
  <c r="AB26" i="9"/>
  <c r="Z88" i="9"/>
  <c r="AR88" i="9"/>
  <c r="CB88" i="9" s="1"/>
  <c r="AX88" i="9"/>
  <c r="CH88" i="9" s="1"/>
  <c r="CW88" i="9"/>
  <c r="AN62" i="9"/>
  <c r="BX62" i="9" s="1"/>
  <c r="AQ27" i="9"/>
  <c r="AR27" i="9"/>
  <c r="AM62" i="9"/>
  <c r="BW62" i="9" s="1"/>
  <c r="AA62" i="9"/>
  <c r="AY62" i="9"/>
  <c r="CI62" i="9" s="1"/>
  <c r="AT27" i="9"/>
  <c r="CD27" i="9" s="1"/>
  <c r="Z69" i="9"/>
  <c r="AX69" i="9"/>
  <c r="CH69" i="9" s="1"/>
  <c r="X69" i="9"/>
  <c r="Z84" i="9"/>
  <c r="AF84" i="9"/>
  <c r="BP84" i="9" s="1"/>
  <c r="AX84" i="9"/>
  <c r="CH84" i="9" s="1"/>
  <c r="AR84" i="9"/>
  <c r="CB84" i="9" s="1"/>
  <c r="CW84" i="9"/>
  <c r="AF78" i="9"/>
  <c r="BP78" i="9" s="1"/>
  <c r="AR78" i="9"/>
  <c r="CB78" i="9" s="1"/>
  <c r="Z78" i="9"/>
  <c r="AX78" i="9"/>
  <c r="CH78" i="9" s="1"/>
  <c r="CW78" i="9"/>
  <c r="AS27" i="9"/>
  <c r="CC27" i="9" s="1"/>
  <c r="AA67" i="9"/>
  <c r="AY67" i="9"/>
  <c r="CI67" i="9" s="1"/>
  <c r="Y26" i="9"/>
  <c r="AQ26" i="9"/>
  <c r="AE70" i="9"/>
  <c r="AQ70" i="9"/>
  <c r="Y70" i="9"/>
  <c r="AM26" i="9"/>
  <c r="BW26" i="9" s="1"/>
  <c r="AN69" i="9"/>
  <c r="BX69" i="9" s="1"/>
  <c r="Y69" i="9"/>
  <c r="AW69" i="9"/>
  <c r="Z71" i="9"/>
  <c r="AX71" i="9"/>
  <c r="CH71" i="9" s="1"/>
  <c r="AO87" i="9"/>
  <c r="BY87" i="9" s="1"/>
  <c r="AK87" i="9"/>
  <c r="AL87" i="9"/>
  <c r="BV87" i="9" s="1"/>
  <c r="AT70" i="9"/>
  <c r="CD70" i="9" s="1"/>
  <c r="AK70" i="9"/>
  <c r="AZ69" i="9"/>
  <c r="CJ69" i="9" s="1"/>
  <c r="AB69" i="9"/>
  <c r="AR71" i="9"/>
  <c r="AE71" i="9"/>
  <c r="Y71" i="9"/>
  <c r="AW71" i="9"/>
  <c r="AA88" i="9"/>
  <c r="AN77" i="9"/>
  <c r="BX77" i="9" s="1"/>
  <c r="AK69" i="9"/>
  <c r="AO69" i="9"/>
  <c r="BY69" i="9" s="1"/>
  <c r="AI88" i="9"/>
  <c r="BA88" i="9"/>
  <c r="CK88" i="9" s="1"/>
  <c r="AN87" i="9"/>
  <c r="BX87" i="9" s="1"/>
  <c r="BO77" i="9"/>
  <c r="BP75" i="9"/>
  <c r="AZ70" i="9"/>
  <c r="CJ70" i="9" s="1"/>
  <c r="AO70" i="9"/>
  <c r="BY70" i="9" s="1"/>
  <c r="AC69" i="9"/>
  <c r="BA69" i="9"/>
  <c r="CK69" i="9" s="1"/>
  <c r="AL71" i="9"/>
  <c r="BV71" i="9" s="1"/>
  <c r="X71" i="9"/>
  <c r="AK71" i="9"/>
  <c r="AM71" i="9"/>
  <c r="BW71" i="9" s="1"/>
  <c r="AO71" i="9"/>
  <c r="BY71" i="9" s="1"/>
  <c r="AM87" i="9"/>
  <c r="BW87" i="9" s="1"/>
  <c r="AF87" i="9"/>
  <c r="BP87" i="9" s="1"/>
  <c r="AR87" i="9"/>
  <c r="CB87" i="9" s="1"/>
  <c r="Z87" i="9"/>
  <c r="CW87" i="9"/>
  <c r="AX67" i="9"/>
  <c r="CH67" i="9" s="1"/>
  <c r="AK26" i="9"/>
  <c r="AN70" i="9"/>
  <c r="BX70" i="9" s="1"/>
  <c r="Z70" i="9"/>
  <c r="AX70" i="9"/>
  <c r="CH70" i="9" s="1"/>
  <c r="Y87" i="9"/>
  <c r="AW87" i="9"/>
  <c r="AE87" i="9"/>
  <c r="AQ87" i="9"/>
  <c r="AS76" i="9"/>
  <c r="CC76" i="9" s="1"/>
  <c r="AU76" i="9"/>
  <c r="CE76" i="9" s="1"/>
  <c r="AQ76" i="9"/>
  <c r="AR76" i="9"/>
  <c r="CB76" i="9" s="1"/>
  <c r="AO78" i="9"/>
  <c r="BY78" i="9" s="1"/>
  <c r="AK78" i="9"/>
  <c r="AM78" i="9"/>
  <c r="BW78" i="9" s="1"/>
  <c r="AL78" i="9"/>
  <c r="BV78" i="9" s="1"/>
  <c r="AC84" i="9"/>
  <c r="BA84" i="9"/>
  <c r="CK84" i="9" s="1"/>
  <c r="AU84" i="9"/>
  <c r="CE84" i="9" s="1"/>
  <c r="AZ84" i="9"/>
  <c r="CJ84" i="9" s="1"/>
  <c r="Z77" i="9"/>
  <c r="AX77" i="9"/>
  <c r="CH77" i="9" s="1"/>
  <c r="BJ75" i="9"/>
  <c r="AT87" i="9"/>
  <c r="CD87" i="9" s="1"/>
  <c r="AT78" i="9"/>
  <c r="CD78" i="9" s="1"/>
  <c r="Y77" i="9"/>
  <c r="AW77" i="9"/>
  <c r="AT75" i="9"/>
  <c r="CD75" i="9" s="1"/>
  <c r="AR75" i="9"/>
  <c r="CB75" i="9" s="1"/>
  <c r="X75" i="9"/>
  <c r="AH74" i="9"/>
  <c r="BR74" i="9" s="1"/>
  <c r="AZ74" i="9"/>
  <c r="CJ74" i="9" s="1"/>
  <c r="Y88" i="9"/>
  <c r="AW88" i="9"/>
  <c r="AC87" i="9"/>
  <c r="BA87" i="9"/>
  <c r="CK87" i="9" s="1"/>
  <c r="AB84" i="9"/>
  <c r="Y84" i="9"/>
  <c r="AW84" i="9"/>
  <c r="AC78" i="9"/>
  <c r="BA78" i="9"/>
  <c r="CK78" i="9" s="1"/>
  <c r="AK76" i="9"/>
  <c r="AL76" i="9"/>
  <c r="BV76" i="9" s="1"/>
  <c r="AO76" i="9"/>
  <c r="BY76" i="9" s="1"/>
  <c r="Z74" i="9"/>
  <c r="AX74" i="9"/>
  <c r="CH74" i="9" s="1"/>
  <c r="AF74" i="9"/>
  <c r="BP74" i="9" s="1"/>
  <c r="AR74" i="9"/>
  <c r="CB74" i="9" s="1"/>
  <c r="X74" i="9"/>
  <c r="CW74" i="9"/>
  <c r="AQ78" i="9"/>
  <c r="AO77" i="9"/>
  <c r="BY77" i="9" s="1"/>
  <c r="AK77" i="9"/>
  <c r="AZ75" i="9"/>
  <c r="CJ75" i="9" s="1"/>
  <c r="AN75" i="9"/>
  <c r="AS75" i="9"/>
  <c r="CC75" i="9" s="1"/>
  <c r="AU75" i="9"/>
  <c r="CE75" i="9" s="1"/>
  <c r="AE74" i="9"/>
  <c r="AW74" i="9"/>
  <c r="Y74" i="9"/>
  <c r="BA71" i="9"/>
  <c r="CK71" i="9" s="1"/>
  <c r="AC77" i="9"/>
  <c r="BA77" i="9"/>
  <c r="CK77" i="9" s="1"/>
  <c r="BJ76" i="9"/>
  <c r="AT76" i="9"/>
  <c r="CD76" i="9" s="1"/>
  <c r="AB76" i="9"/>
  <c r="BI75" i="9"/>
  <c r="AL75" i="9"/>
  <c r="BV75" i="9" s="1"/>
  <c r="AB73" i="9"/>
  <c r="AN73" i="9"/>
  <c r="BX73" i="9" s="1"/>
  <c r="AZ73" i="9"/>
  <c r="CJ73" i="9" s="1"/>
  <c r="AH73" i="9"/>
  <c r="BR73" i="9" s="1"/>
  <c r="Y78" i="9"/>
  <c r="AW78" i="9"/>
  <c r="AX76" i="9"/>
  <c r="AC76" i="9"/>
  <c r="BA76" i="9"/>
  <c r="CK76" i="9" s="1"/>
  <c r="BA73" i="9"/>
  <c r="CK73" i="9" s="1"/>
  <c r="AU73" i="9"/>
  <c r="CE73" i="9" s="1"/>
  <c r="AR73" i="9"/>
  <c r="CB73" i="9" s="1"/>
  <c r="AK75" i="9"/>
  <c r="AM75" i="9"/>
  <c r="AN74" i="9"/>
  <c r="BX74" i="9" s="1"/>
  <c r="AQ73" i="9"/>
  <c r="AG91" i="9"/>
  <c r="BQ91" i="9" s="1"/>
  <c r="AY91" i="9"/>
  <c r="CI91" i="9" s="1"/>
  <c r="AA91" i="9"/>
  <c r="AS91" i="9"/>
  <c r="CC91" i="9" s="1"/>
  <c r="AM91" i="9"/>
  <c r="BW91" i="9" s="1"/>
  <c r="AQ75" i="9"/>
  <c r="AS74" i="9"/>
  <c r="CC74" i="9" s="1"/>
  <c r="AU74" i="9"/>
  <c r="CE74" i="9" s="1"/>
  <c r="AO73" i="9"/>
  <c r="BY73" i="9" s="1"/>
  <c r="AC73" i="9"/>
  <c r="AK74" i="9"/>
  <c r="AM74" i="9"/>
  <c r="BW74" i="9" s="1"/>
  <c r="AM73" i="9"/>
  <c r="AR89" i="9"/>
  <c r="CB89" i="9" s="1"/>
  <c r="AS89" i="9"/>
  <c r="CC89" i="9" s="1"/>
  <c r="AQ89" i="9"/>
  <c r="BA75" i="9"/>
  <c r="AL90" i="9"/>
  <c r="BV90" i="9" s="1"/>
  <c r="AM90" i="9"/>
  <c r="BW90" i="9" s="1"/>
  <c r="AN90" i="9"/>
  <c r="BX90" i="9" s="1"/>
  <c r="AO90" i="9"/>
  <c r="BY90" i="9" s="1"/>
  <c r="AK90" i="9"/>
  <c r="BO94" i="9"/>
  <c r="BA93" i="9"/>
  <c r="CK93" i="9" s="1"/>
  <c r="AI93" i="9"/>
  <c r="BS93" i="9" s="1"/>
  <c r="AC93" i="9"/>
  <c r="AU93" i="9"/>
  <c r="CE93" i="9" s="1"/>
  <c r="Y93" i="9"/>
  <c r="Z93" i="9"/>
  <c r="AC94" i="9"/>
  <c r="AW91" i="9"/>
  <c r="AX91" i="9"/>
  <c r="CH91" i="9" s="1"/>
  <c r="AO93" i="9"/>
  <c r="BY93" i="9" s="1"/>
  <c r="BA94" i="9"/>
  <c r="CK94" i="9" s="1"/>
  <c r="AI94" i="9"/>
  <c r="BS94" i="9" s="1"/>
  <c r="Y94" i="9"/>
  <c r="Z94" i="9"/>
  <c r="AA94" i="9"/>
  <c r="AE90" i="9"/>
  <c r="AW90" i="9"/>
  <c r="Y90" i="9"/>
  <c r="AQ90" i="9"/>
  <c r="AJ89" i="9"/>
  <c r="BT89" i="9" s="1"/>
  <c r="CY89" i="9" s="1"/>
  <c r="BO93" i="9"/>
  <c r="AW94" i="9"/>
  <c r="AN94" i="9"/>
  <c r="BX94" i="9" s="1"/>
  <c r="AB94" i="9"/>
  <c r="AZ94" i="9"/>
  <c r="CJ94" i="9" s="1"/>
  <c r="AU91" i="9"/>
  <c r="CE91" i="9" s="1"/>
  <c r="AC91" i="9"/>
  <c r="AY89" i="9"/>
  <c r="CI89" i="9" s="1"/>
  <c r="AW93" i="9"/>
  <c r="AN93" i="9"/>
  <c r="BX93" i="9" s="1"/>
  <c r="AB93" i="9"/>
  <c r="AZ93" i="9"/>
  <c r="CJ93" i="9" s="1"/>
  <c r="AM94" i="9"/>
  <c r="BW94" i="9" s="1"/>
  <c r="AT91" i="9"/>
  <c r="CD91" i="9" s="1"/>
  <c r="AM93" i="9"/>
  <c r="BW93" i="9" s="1"/>
  <c r="AB89" i="9"/>
  <c r="AZ89" i="9"/>
  <c r="CJ89" i="9" s="1"/>
  <c r="AT94" i="9"/>
  <c r="CD94" i="9" s="1"/>
  <c r="AQ91" i="9"/>
  <c r="AT93" i="9"/>
  <c r="CD93" i="9" s="1"/>
  <c r="AA93" i="9"/>
  <c r="AB90" i="9"/>
  <c r="AZ90" i="9"/>
  <c r="CJ90" i="9" s="1"/>
  <c r="AU89" i="9"/>
  <c r="AT89" i="9"/>
  <c r="CD89" i="9" s="1"/>
  <c r="AB91" i="9"/>
  <c r="AZ91" i="9"/>
  <c r="CJ91" i="9" s="1"/>
  <c r="AE56" i="9"/>
  <c r="BO56" i="9" s="1"/>
  <c r="AE194" i="9"/>
  <c r="BO194" i="9" s="1"/>
  <c r="AE156" i="9"/>
  <c r="BO156" i="9" s="1"/>
  <c r="AE68" i="9"/>
  <c r="BO68" i="9" s="1"/>
  <c r="AE21" i="9"/>
  <c r="BO21" i="9" s="1"/>
  <c r="AE170" i="9"/>
  <c r="BO170" i="9" s="1"/>
  <c r="AE121" i="9"/>
  <c r="BO121" i="9" s="1"/>
  <c r="AE138" i="9"/>
  <c r="BO138" i="9" s="1"/>
  <c r="AE153" i="9"/>
  <c r="BO153" i="9" s="1"/>
  <c r="AE83" i="9"/>
  <c r="BO83" i="9" s="1"/>
  <c r="AE103" i="9"/>
  <c r="BO103" i="9" s="1"/>
  <c r="AE106" i="9"/>
  <c r="BO106" i="9" s="1"/>
  <c r="AE104" i="9"/>
  <c r="BO104" i="9" s="1"/>
  <c r="CW110" i="9"/>
  <c r="AE195" i="9"/>
  <c r="BO195" i="9" s="1"/>
  <c r="CW172" i="9"/>
  <c r="AH115" i="9"/>
  <c r="BR115" i="9" s="1"/>
  <c r="CW150" i="9"/>
  <c r="AI144" i="9"/>
  <c r="BS144" i="9" s="1"/>
  <c r="AE160" i="9"/>
  <c r="BO160" i="9" s="1"/>
  <c r="CW173" i="9"/>
  <c r="AE16" i="9"/>
  <c r="BO16" i="9" s="1"/>
  <c r="AE144" i="9"/>
  <c r="AE199" i="9"/>
  <c r="BO199" i="9" s="1"/>
  <c r="AE54" i="9"/>
  <c r="BO54" i="9" s="1"/>
  <c r="AE190" i="9"/>
  <c r="BO190" i="9" s="1"/>
  <c r="AE98" i="9"/>
  <c r="BO98" i="9" s="1"/>
  <c r="AQ68" i="9"/>
  <c r="CA68" i="9" s="1"/>
  <c r="BA148" i="9"/>
  <c r="CK148" i="9" s="1"/>
  <c r="AE25" i="9"/>
  <c r="BO25" i="9" s="1"/>
  <c r="AE33" i="9"/>
  <c r="BO33" i="9" s="1"/>
  <c r="AE9" i="9"/>
  <c r="BO9" i="9" s="1"/>
  <c r="AE151" i="9"/>
  <c r="BO151" i="9" s="1"/>
  <c r="AE174" i="9"/>
  <c r="BO174" i="9" s="1"/>
  <c r="AE114" i="9"/>
  <c r="AQ92" i="9"/>
  <c r="CA92" i="9" s="1"/>
  <c r="AE40" i="9"/>
  <c r="BO40" i="9" s="1"/>
  <c r="AE8" i="9"/>
  <c r="BO8" i="9" s="1"/>
  <c r="AQ184" i="9"/>
  <c r="CA184" i="9" s="1"/>
  <c r="AE162" i="9"/>
  <c r="BO162" i="9" s="1"/>
  <c r="AE133" i="9"/>
  <c r="BO133" i="9" s="1"/>
  <c r="AE100" i="9"/>
  <c r="BO100" i="9" s="1"/>
  <c r="AE118" i="9"/>
  <c r="BO118" i="9" s="1"/>
  <c r="AE66" i="9"/>
  <c r="BO66" i="9" s="1"/>
  <c r="AE119" i="9"/>
  <c r="BO119" i="9" s="1"/>
  <c r="AE12" i="9"/>
  <c r="BO12" i="9" s="1"/>
  <c r="AE30" i="9"/>
  <c r="BO30" i="9" s="1"/>
  <c r="AQ173" i="9"/>
  <c r="CA173" i="9" s="1"/>
  <c r="AE43" i="9"/>
  <c r="BO43" i="9" s="1"/>
  <c r="AE115" i="9"/>
  <c r="BO115" i="9" s="1"/>
  <c r="AH40" i="9"/>
  <c r="BR40" i="9" s="1"/>
  <c r="AE52" i="9"/>
  <c r="BO52" i="9" s="1"/>
  <c r="AI103" i="9"/>
  <c r="BS103" i="9" s="1"/>
  <c r="CW115" i="9"/>
  <c r="AW44" i="9"/>
  <c r="CG44" i="9" s="1"/>
  <c r="AQ10" i="9"/>
  <c r="CA10" i="9" s="1"/>
  <c r="AQ167" i="9"/>
  <c r="CA167" i="9" s="1"/>
  <c r="AQ103" i="9"/>
  <c r="CA103" i="9" s="1"/>
  <c r="AQ44" i="9"/>
  <c r="CA44" i="9" s="1"/>
  <c r="AQ162" i="9"/>
  <c r="CA162" i="9" s="1"/>
  <c r="AG120" i="9"/>
  <c r="BQ120" i="9" s="1"/>
  <c r="CW103" i="9"/>
  <c r="CW96" i="9"/>
  <c r="CW127" i="9"/>
  <c r="AZ121" i="9"/>
  <c r="CJ121" i="9" s="1"/>
  <c r="AQ182" i="9"/>
  <c r="CA182" i="9" s="1"/>
  <c r="AS163" i="9"/>
  <c r="CC163" i="9" s="1"/>
  <c r="AZ108" i="9"/>
  <c r="CJ108" i="9" s="1"/>
  <c r="AE137" i="9"/>
  <c r="BO137" i="9" s="1"/>
  <c r="AE23" i="9"/>
  <c r="BO23" i="9" s="1"/>
  <c r="AE86" i="9"/>
  <c r="BO86" i="9" s="1"/>
  <c r="AE177" i="9"/>
  <c r="BO177" i="9" s="1"/>
  <c r="AE172" i="9"/>
  <c r="BO172" i="9" s="1"/>
  <c r="AE123" i="9"/>
  <c r="BO123" i="9" s="1"/>
  <c r="AE189" i="9"/>
  <c r="BO189" i="9" s="1"/>
  <c r="AH188" i="9"/>
  <c r="BR188" i="9" s="1"/>
  <c r="AY187" i="9"/>
  <c r="CI187" i="9" s="1"/>
  <c r="Z37" i="9"/>
  <c r="BJ37" i="9" s="1"/>
  <c r="AE82" i="9"/>
  <c r="BO82" i="9" s="1"/>
  <c r="AE159" i="9"/>
  <c r="BO159" i="9" s="1"/>
  <c r="AI40" i="9"/>
  <c r="BS40" i="9" s="1"/>
  <c r="AE132" i="9"/>
  <c r="BO132" i="9" s="1"/>
  <c r="AE13" i="9"/>
  <c r="BO13" i="9" s="1"/>
  <c r="AE10" i="9"/>
  <c r="BO10" i="9" s="1"/>
  <c r="AE183" i="9"/>
  <c r="BO183" i="9" s="1"/>
  <c r="AE197" i="9"/>
  <c r="BO197" i="9" s="1"/>
  <c r="AK9" i="9"/>
  <c r="BU9" i="9" s="1"/>
  <c r="AG188" i="9"/>
  <c r="BQ188" i="9" s="1"/>
  <c r="AX187" i="9"/>
  <c r="CH187" i="9" s="1"/>
  <c r="AT153" i="9"/>
  <c r="CD153" i="9" s="1"/>
  <c r="AK103" i="9"/>
  <c r="BU103" i="9" s="1"/>
  <c r="AR65" i="9"/>
  <c r="CB65" i="9" s="1"/>
  <c r="AX152" i="9"/>
  <c r="CH152" i="9" s="1"/>
  <c r="BA183" i="9"/>
  <c r="CK183" i="9" s="1"/>
  <c r="AE179" i="9"/>
  <c r="BO179" i="9" s="1"/>
  <c r="AH22" i="9"/>
  <c r="BR22" i="9" s="1"/>
  <c r="AX85" i="9"/>
  <c r="CH85" i="9" s="1"/>
  <c r="AE65" i="9"/>
  <c r="BO65" i="9" s="1"/>
  <c r="AH118" i="9"/>
  <c r="BR118" i="9" s="1"/>
  <c r="CW21" i="9"/>
  <c r="AE53" i="9"/>
  <c r="BO53" i="9" s="1"/>
  <c r="AE135" i="9"/>
  <c r="BO135" i="9" s="1"/>
  <c r="AE143" i="9"/>
  <c r="BO143" i="9" s="1"/>
  <c r="AY14" i="9"/>
  <c r="CI14" i="9" s="1"/>
  <c r="AR130" i="9"/>
  <c r="CB130" i="9" s="1"/>
  <c r="AQ175" i="9"/>
  <c r="CA175" i="9" s="1"/>
  <c r="CW37" i="9"/>
  <c r="AQ190" i="9"/>
  <c r="CA190" i="9" s="1"/>
  <c r="AG195" i="9"/>
  <c r="BQ195" i="9" s="1"/>
  <c r="AE51" i="9"/>
  <c r="BO51" i="9" s="1"/>
  <c r="AU54" i="9"/>
  <c r="CE54" i="9" s="1"/>
  <c r="AW23" i="9"/>
  <c r="CG23" i="9" s="1"/>
  <c r="AT61" i="9"/>
  <c r="CD61" i="9" s="1"/>
  <c r="AU83" i="9"/>
  <c r="CE83" i="9" s="1"/>
  <c r="AY86" i="9"/>
  <c r="CI86" i="9" s="1"/>
  <c r="CW85" i="9"/>
  <c r="BA160" i="9"/>
  <c r="CK160" i="9" s="1"/>
  <c r="CW95" i="9"/>
  <c r="AU138" i="9"/>
  <c r="CE138" i="9" s="1"/>
  <c r="CW61" i="9"/>
  <c r="CW146" i="9"/>
  <c r="AT86" i="9"/>
  <c r="CD86" i="9" s="1"/>
  <c r="CW170" i="9"/>
  <c r="CW198" i="9"/>
  <c r="AE139" i="9"/>
  <c r="BO139" i="9" s="1"/>
  <c r="AE196" i="9"/>
  <c r="BO196" i="9" s="1"/>
  <c r="AE97" i="9"/>
  <c r="BO97" i="9" s="1"/>
  <c r="AT56" i="9"/>
  <c r="CD56" i="9" s="1"/>
  <c r="AT95" i="9"/>
  <c r="CD95" i="9" s="1"/>
  <c r="AW128" i="9"/>
  <c r="CG128" i="9" s="1"/>
  <c r="AU183" i="9"/>
  <c r="CE183" i="9" s="1"/>
  <c r="AR122" i="9"/>
  <c r="CB122" i="9" s="1"/>
  <c r="CW101" i="9"/>
  <c r="AF152" i="9"/>
  <c r="BP152" i="9" s="1"/>
  <c r="AF185" i="9"/>
  <c r="BP185" i="9" s="1"/>
  <c r="AR110" i="9"/>
  <c r="CB110" i="9" s="1"/>
  <c r="CW152" i="9"/>
  <c r="AX190" i="9"/>
  <c r="CH190" i="9" s="1"/>
  <c r="AR193" i="9"/>
  <c r="CB193" i="9" s="1"/>
  <c r="AX100" i="9"/>
  <c r="CH100" i="9" s="1"/>
  <c r="AR96" i="9"/>
  <c r="CB96" i="9" s="1"/>
  <c r="CW124" i="9"/>
  <c r="AF199" i="9"/>
  <c r="BP199" i="9" s="1"/>
  <c r="AF53" i="9"/>
  <c r="BP53" i="9" s="1"/>
  <c r="AR171" i="9"/>
  <c r="CB171" i="9" s="1"/>
  <c r="AF85" i="9"/>
  <c r="BP85" i="9" s="1"/>
  <c r="AF101" i="9"/>
  <c r="BP101" i="9" s="1"/>
  <c r="CW199" i="9"/>
  <c r="AY155" i="9"/>
  <c r="CI155" i="9" s="1"/>
  <c r="CW179" i="9"/>
  <c r="AS164" i="9"/>
  <c r="CC164" i="9" s="1"/>
  <c r="AG146" i="9"/>
  <c r="BQ146" i="9" s="1"/>
  <c r="CW41" i="9"/>
  <c r="CW11" i="9"/>
  <c r="AY178" i="9"/>
  <c r="CI178" i="9" s="1"/>
  <c r="CW185" i="9"/>
  <c r="CW193" i="9"/>
  <c r="CW155" i="9"/>
  <c r="AY144" i="9"/>
  <c r="CI144" i="9" s="1"/>
  <c r="CW121" i="9"/>
  <c r="AS85" i="9"/>
  <c r="CC85" i="9" s="1"/>
  <c r="CW64" i="9"/>
  <c r="AG38" i="9"/>
  <c r="BQ38" i="9" s="1"/>
  <c r="AF184" i="9"/>
  <c r="BP184" i="9" s="1"/>
  <c r="AE37" i="9"/>
  <c r="BO37" i="9" s="1"/>
  <c r="AE116" i="9"/>
  <c r="BO116" i="9" s="1"/>
  <c r="AE184" i="9"/>
  <c r="BO184" i="9" s="1"/>
  <c r="AE112" i="9"/>
  <c r="BO112" i="9" s="1"/>
  <c r="AE140" i="9"/>
  <c r="BO140" i="9" s="1"/>
  <c r="AU181" i="9"/>
  <c r="CE181" i="9" s="1"/>
  <c r="AE198" i="9"/>
  <c r="BO198" i="9" s="1"/>
  <c r="BA140" i="9"/>
  <c r="CK140" i="9" s="1"/>
  <c r="AH138" i="9"/>
  <c r="BR138" i="9" s="1"/>
  <c r="AT85" i="9"/>
  <c r="CD85" i="9" s="1"/>
  <c r="AC50" i="9"/>
  <c r="BM50" i="9" s="1"/>
  <c r="AE131" i="9"/>
  <c r="BO131" i="9" s="1"/>
  <c r="AQ130" i="9"/>
  <c r="CA130" i="9" s="1"/>
  <c r="AX200" i="9"/>
  <c r="CH200" i="9" s="1"/>
  <c r="Z190" i="9"/>
  <c r="BJ190" i="9" s="1"/>
  <c r="AZ165" i="9"/>
  <c r="CJ165" i="9" s="1"/>
  <c r="AF54" i="9"/>
  <c r="BP54" i="9" s="1"/>
  <c r="AK100" i="9"/>
  <c r="BU100" i="9" s="1"/>
  <c r="AG79" i="9"/>
  <c r="BQ79" i="9" s="1"/>
  <c r="AE154" i="9"/>
  <c r="BO154" i="9" s="1"/>
  <c r="AE130" i="9"/>
  <c r="BO130" i="9" s="1"/>
  <c r="AE99" i="9"/>
  <c r="BO99" i="9" s="1"/>
  <c r="AE31" i="9"/>
  <c r="BO31" i="9" s="1"/>
  <c r="AM51" i="9"/>
  <c r="BW51" i="9" s="1"/>
  <c r="AF196" i="9"/>
  <c r="BP196" i="9" s="1"/>
  <c r="AG144" i="9"/>
  <c r="BQ144" i="9" s="1"/>
  <c r="AF80" i="9"/>
  <c r="BP80" i="9" s="1"/>
  <c r="AK139" i="9"/>
  <c r="BU139" i="9" s="1"/>
  <c r="AZ138" i="9"/>
  <c r="CJ138" i="9" s="1"/>
  <c r="CW86" i="9"/>
  <c r="AE113" i="9"/>
  <c r="BO113" i="9" s="1"/>
  <c r="AS193" i="9"/>
  <c r="CC193" i="9" s="1"/>
  <c r="AM189" i="9"/>
  <c r="BW189" i="9" s="1"/>
  <c r="AX16" i="9"/>
  <c r="CH16" i="9" s="1"/>
  <c r="AZ14" i="9"/>
  <c r="CJ14" i="9" s="1"/>
  <c r="CW43" i="9"/>
  <c r="CW114" i="9"/>
  <c r="CW20" i="9"/>
  <c r="BA18" i="9"/>
  <c r="CK18" i="9" s="1"/>
  <c r="Z130" i="9"/>
  <c r="BJ130" i="9" s="1"/>
  <c r="AG127" i="9"/>
  <c r="BQ127" i="9" s="1"/>
  <c r="AG125" i="9"/>
  <c r="BQ125" i="9" s="1"/>
  <c r="BA11" i="9"/>
  <c r="CK11" i="9" s="1"/>
  <c r="AE108" i="9"/>
  <c r="BO108" i="9" s="1"/>
  <c r="AY81" i="9"/>
  <c r="CI81" i="9" s="1"/>
  <c r="AU18" i="9"/>
  <c r="CE18" i="9" s="1"/>
  <c r="CW178" i="9"/>
  <c r="AG174" i="9"/>
  <c r="BQ174" i="9" s="1"/>
  <c r="AI164" i="9"/>
  <c r="BS164" i="9" s="1"/>
  <c r="CW47" i="9"/>
  <c r="AE127" i="9"/>
  <c r="BO127" i="9" s="1"/>
  <c r="AE168" i="9"/>
  <c r="BO168" i="9" s="1"/>
  <c r="AF16" i="9"/>
  <c r="BP16" i="9" s="1"/>
  <c r="AZ13" i="9"/>
  <c r="CJ13" i="9" s="1"/>
  <c r="AX54" i="9"/>
  <c r="CH54" i="9" s="1"/>
  <c r="AS106" i="9"/>
  <c r="CC106" i="9" s="1"/>
  <c r="AY104" i="9"/>
  <c r="CI104" i="9" s="1"/>
  <c r="CW139" i="9"/>
  <c r="AR155" i="9"/>
  <c r="CB155" i="9" s="1"/>
  <c r="Y138" i="9"/>
  <c r="BI138" i="9" s="1"/>
  <c r="AI158" i="9"/>
  <c r="BS158" i="9" s="1"/>
  <c r="AZ157" i="9"/>
  <c r="CJ157" i="9" s="1"/>
  <c r="AF127" i="9"/>
  <c r="BP127" i="9" s="1"/>
  <c r="CW122" i="9"/>
  <c r="AY40" i="9"/>
  <c r="CI40" i="9" s="1"/>
  <c r="CW32" i="9"/>
  <c r="AH66" i="9"/>
  <c r="BR66" i="9" s="1"/>
  <c r="AQ171" i="9"/>
  <c r="CA171" i="9" s="1"/>
  <c r="AU170" i="9"/>
  <c r="CE170" i="9" s="1"/>
  <c r="AC114" i="9"/>
  <c r="BM114" i="9" s="1"/>
  <c r="AU50" i="9"/>
  <c r="CE50" i="9" s="1"/>
  <c r="AW8" i="9"/>
  <c r="CG8" i="9" s="1"/>
  <c r="AE47" i="9"/>
  <c r="BO47" i="9" s="1"/>
  <c r="AW196" i="9"/>
  <c r="CG196" i="9" s="1"/>
  <c r="CW143" i="9"/>
  <c r="AG165" i="9"/>
  <c r="BQ165" i="9" s="1"/>
  <c r="AY72" i="9"/>
  <c r="CI72" i="9" s="1"/>
  <c r="AT14" i="9"/>
  <c r="CD14" i="9" s="1"/>
  <c r="AF103" i="9"/>
  <c r="BP103" i="9" s="1"/>
  <c r="AI139" i="9"/>
  <c r="BS139" i="9" s="1"/>
  <c r="AE44" i="9"/>
  <c r="BO44" i="9" s="1"/>
  <c r="CW23" i="9"/>
  <c r="AE136" i="9"/>
  <c r="BO136" i="9" s="1"/>
  <c r="AR157" i="9"/>
  <c r="CB157" i="9" s="1"/>
  <c r="CW40" i="9"/>
  <c r="AL153" i="9"/>
  <c r="BV153" i="9" s="1"/>
  <c r="AG175" i="9"/>
  <c r="BQ175" i="9" s="1"/>
  <c r="AC171" i="9"/>
  <c r="BM171" i="9" s="1"/>
  <c r="AF179" i="9"/>
  <c r="BP179" i="9" s="1"/>
  <c r="AH174" i="9"/>
  <c r="BR174" i="9" s="1"/>
  <c r="Y116" i="9"/>
  <c r="BI116" i="9" s="1"/>
  <c r="AI113" i="9"/>
  <c r="BS113" i="9" s="1"/>
  <c r="AT47" i="9"/>
  <c r="CD47" i="9" s="1"/>
  <c r="CW196" i="9"/>
  <c r="CW160" i="9"/>
  <c r="AI159" i="9"/>
  <c r="BS159" i="9" s="1"/>
  <c r="AH198" i="9"/>
  <c r="BR198" i="9" s="1"/>
  <c r="AB108" i="9"/>
  <c r="BL108" i="9" s="1"/>
  <c r="AR97" i="9"/>
  <c r="CB97" i="9" s="1"/>
  <c r="AK197" i="9"/>
  <c r="BU197" i="9" s="1"/>
  <c r="AC156" i="9"/>
  <c r="BM156" i="9" s="1"/>
  <c r="AF141" i="9"/>
  <c r="BP141" i="9" s="1"/>
  <c r="BA146" i="9"/>
  <c r="CK146" i="9" s="1"/>
  <c r="AW157" i="9"/>
  <c r="CG157" i="9" s="1"/>
  <c r="AF64" i="9"/>
  <c r="BP64" i="9" s="1"/>
  <c r="AW150" i="9"/>
  <c r="CG150" i="9" s="1"/>
  <c r="AF143" i="9"/>
  <c r="BP143" i="9" s="1"/>
  <c r="AH36" i="9"/>
  <c r="BR36" i="9" s="1"/>
  <c r="AE57" i="9"/>
  <c r="BO57" i="9" s="1"/>
  <c r="AF142" i="9"/>
  <c r="BP142" i="9" s="1"/>
  <c r="AF168" i="9"/>
  <c r="BP168" i="9" s="1"/>
  <c r="AQ36" i="9"/>
  <c r="CA36" i="9" s="1"/>
  <c r="AE92" i="9"/>
  <c r="BO92" i="9" s="1"/>
  <c r="AK54" i="9"/>
  <c r="BU54" i="9" s="1"/>
  <c r="AT103" i="9"/>
  <c r="CD103" i="9" s="1"/>
  <c r="AB9" i="9"/>
  <c r="BL9" i="9" s="1"/>
  <c r="BA190" i="9"/>
  <c r="CK190" i="9" s="1"/>
  <c r="AG47" i="9"/>
  <c r="BQ47" i="9" s="1"/>
  <c r="AI15" i="9"/>
  <c r="BS15" i="9" s="1"/>
  <c r="AS103" i="9"/>
  <c r="CC103" i="9" s="1"/>
  <c r="AU30" i="9"/>
  <c r="CE30" i="9" s="1"/>
  <c r="AE134" i="9"/>
  <c r="BO134" i="9" s="1"/>
  <c r="AE64" i="9"/>
  <c r="BO64" i="9" s="1"/>
  <c r="AF79" i="9"/>
  <c r="BP79" i="9" s="1"/>
  <c r="AI16" i="9"/>
  <c r="BS16" i="9" s="1"/>
  <c r="AB16" i="9"/>
  <c r="BL16" i="9" s="1"/>
  <c r="AN15" i="9"/>
  <c r="BX15" i="9" s="1"/>
  <c r="AS44" i="9"/>
  <c r="CC44" i="9" s="1"/>
  <c r="AC83" i="9"/>
  <c r="BM83" i="9" s="1"/>
  <c r="AH47" i="9"/>
  <c r="BR47" i="9" s="1"/>
  <c r="AQ107" i="9"/>
  <c r="CA107" i="9" s="1"/>
  <c r="AY23" i="9"/>
  <c r="CI23" i="9" s="1"/>
  <c r="AU125" i="9"/>
  <c r="CE125" i="9" s="1"/>
  <c r="AE125" i="9"/>
  <c r="BO125" i="9" s="1"/>
  <c r="AC9" i="9"/>
  <c r="BM9" i="9" s="1"/>
  <c r="Y100" i="9"/>
  <c r="BI100" i="9" s="1"/>
  <c r="AW55" i="9"/>
  <c r="CG55" i="9" s="1"/>
  <c r="AI53" i="9"/>
  <c r="BS53" i="9" s="1"/>
  <c r="AQ11" i="9"/>
  <c r="CA11" i="9" s="1"/>
  <c r="AB138" i="9"/>
  <c r="BL138" i="9" s="1"/>
  <c r="AH136" i="9"/>
  <c r="BR136" i="9" s="1"/>
  <c r="AH127" i="9"/>
  <c r="BR127" i="9" s="1"/>
  <c r="AM109" i="9"/>
  <c r="BW109" i="9" s="1"/>
  <c r="AO118" i="9"/>
  <c r="BY118" i="9" s="1"/>
  <c r="AC118" i="9"/>
  <c r="BM118" i="9" s="1"/>
  <c r="Z118" i="9"/>
  <c r="BJ118" i="9" s="1"/>
  <c r="AI149" i="9"/>
  <c r="BS149" i="9" s="1"/>
  <c r="AC57" i="9"/>
  <c r="BM57" i="9" s="1"/>
  <c r="Y57" i="9"/>
  <c r="BI57" i="9" s="1"/>
  <c r="AF95" i="9"/>
  <c r="BP95" i="9" s="1"/>
  <c r="AS140" i="9"/>
  <c r="CC140" i="9" s="1"/>
  <c r="AT18" i="9"/>
  <c r="CD18" i="9" s="1"/>
  <c r="AF132" i="9"/>
  <c r="BP132" i="9" s="1"/>
  <c r="AH83" i="9"/>
  <c r="BR83" i="9" s="1"/>
  <c r="AB86" i="9"/>
  <c r="BL86" i="9" s="1"/>
  <c r="AM10" i="9"/>
  <c r="BW10" i="9" s="1"/>
  <c r="AN166" i="9"/>
  <c r="BX166" i="9" s="1"/>
  <c r="AT171" i="9"/>
  <c r="CD171" i="9" s="1"/>
  <c r="AF31" i="9"/>
  <c r="BP31" i="9" s="1"/>
  <c r="AN30" i="9"/>
  <c r="BX30" i="9" s="1"/>
  <c r="AK177" i="9"/>
  <c r="BU177" i="9" s="1"/>
  <c r="AI187" i="9"/>
  <c r="BS187" i="9" s="1"/>
  <c r="Y8" i="9"/>
  <c r="BI8" i="9" s="1"/>
  <c r="AO189" i="9"/>
  <c r="BY189" i="9" s="1"/>
  <c r="Z127" i="9"/>
  <c r="BJ127" i="9" s="1"/>
  <c r="AU32" i="9"/>
  <c r="CE32" i="9" s="1"/>
  <c r="BA167" i="9"/>
  <c r="CK167" i="9" s="1"/>
  <c r="AS171" i="9"/>
  <c r="CC171" i="9" s="1"/>
  <c r="AW154" i="9"/>
  <c r="CG154" i="9" s="1"/>
  <c r="BA178" i="9"/>
  <c r="CK178" i="9" s="1"/>
  <c r="AI173" i="9"/>
  <c r="BS173" i="9" s="1"/>
  <c r="AI184" i="9"/>
  <c r="BS184" i="9" s="1"/>
  <c r="Y184" i="9"/>
  <c r="BI184" i="9" s="1"/>
  <c r="Y189" i="9"/>
  <c r="BI189" i="9" s="1"/>
  <c r="AF164" i="9"/>
  <c r="BP164" i="9" s="1"/>
  <c r="AO36" i="9"/>
  <c r="BY36" i="9" s="1"/>
  <c r="Y36" i="9"/>
  <c r="BI36" i="9" s="1"/>
  <c r="AN133" i="9"/>
  <c r="BX133" i="9" s="1"/>
  <c r="AU41" i="9"/>
  <c r="CE41" i="9" s="1"/>
  <c r="AS155" i="9"/>
  <c r="CC155" i="9" s="1"/>
  <c r="Z116" i="9"/>
  <c r="BJ116" i="9" s="1"/>
  <c r="BA147" i="9"/>
  <c r="CK147" i="9" s="1"/>
  <c r="AG63" i="9"/>
  <c r="BQ63" i="9" s="1"/>
  <c r="AH63" i="9"/>
  <c r="BR63" i="9" s="1"/>
  <c r="AO116" i="9"/>
  <c r="BY116" i="9" s="1"/>
  <c r="AC162" i="9"/>
  <c r="BM162" i="9" s="1"/>
  <c r="AH68" i="9"/>
  <c r="BR68" i="9" s="1"/>
  <c r="AI44" i="9"/>
  <c r="BS44" i="9" s="1"/>
  <c r="Y44" i="9"/>
  <c r="BI44" i="9" s="1"/>
  <c r="AI13" i="9"/>
  <c r="BS13" i="9" s="1"/>
  <c r="AR106" i="9"/>
  <c r="CB106" i="9" s="1"/>
  <c r="AK153" i="9"/>
  <c r="BU153" i="9" s="1"/>
  <c r="AU38" i="9"/>
  <c r="CE38" i="9" s="1"/>
  <c r="AF55" i="9"/>
  <c r="BP55" i="9" s="1"/>
  <c r="AY99" i="9"/>
  <c r="CI99" i="9" s="1"/>
  <c r="AH12" i="9"/>
  <c r="BR12" i="9" s="1"/>
  <c r="AH133" i="9"/>
  <c r="BR133" i="9" s="1"/>
  <c r="AK154" i="9"/>
  <c r="BU154" i="9" s="1"/>
  <c r="AH177" i="9"/>
  <c r="BR177" i="9" s="1"/>
  <c r="AM179" i="9"/>
  <c r="BW179" i="9" s="1"/>
  <c r="AF119" i="9"/>
  <c r="BP119" i="9" s="1"/>
  <c r="AB116" i="9"/>
  <c r="BL116" i="9" s="1"/>
  <c r="AZ144" i="9"/>
  <c r="CJ144" i="9" s="1"/>
  <c r="AS143" i="9"/>
  <c r="CC143" i="9" s="1"/>
  <c r="AS198" i="9"/>
  <c r="CC198" i="9" s="1"/>
  <c r="AF57" i="9"/>
  <c r="BP57" i="9" s="1"/>
  <c r="AX56" i="9"/>
  <c r="CH56" i="9" s="1"/>
  <c r="AB199" i="9"/>
  <c r="BL199" i="9" s="1"/>
  <c r="AU200" i="9"/>
  <c r="CE200" i="9" s="1"/>
  <c r="Y197" i="9"/>
  <c r="BI197" i="9" s="1"/>
  <c r="AF36" i="9"/>
  <c r="BP36" i="9" s="1"/>
  <c r="AK65" i="9"/>
  <c r="BU65" i="9" s="1"/>
  <c r="AX151" i="9"/>
  <c r="CH151" i="9" s="1"/>
  <c r="AN31" i="9"/>
  <c r="BX31" i="9" s="1"/>
  <c r="AS182" i="9"/>
  <c r="CC182" i="9" s="1"/>
  <c r="AG116" i="9"/>
  <c r="BQ116" i="9" s="1"/>
  <c r="AH100" i="9"/>
  <c r="BR100" i="9" s="1"/>
  <c r="AX80" i="9"/>
  <c r="CH80" i="9" s="1"/>
  <c r="AW99" i="9"/>
  <c r="CG99" i="9" s="1"/>
  <c r="AF12" i="9"/>
  <c r="BP12" i="9" s="1"/>
  <c r="AI161" i="9"/>
  <c r="BS161" i="9" s="1"/>
  <c r="AC136" i="9"/>
  <c r="BM136" i="9" s="1"/>
  <c r="AI123" i="9"/>
  <c r="BS123" i="9" s="1"/>
  <c r="AH64" i="9"/>
  <c r="BR64" i="9" s="1"/>
  <c r="AT11" i="9"/>
  <c r="CD11" i="9" s="1"/>
  <c r="AZ10" i="9"/>
  <c r="CJ10" i="9" s="1"/>
  <c r="AY176" i="9"/>
  <c r="CI176" i="9" s="1"/>
  <c r="AT154" i="9"/>
  <c r="CD154" i="9" s="1"/>
  <c r="Y31" i="9"/>
  <c r="BI31" i="9" s="1"/>
  <c r="AH145" i="9"/>
  <c r="BR145" i="9" s="1"/>
  <c r="AL51" i="9"/>
  <c r="BV51" i="9" s="1"/>
  <c r="AF182" i="9"/>
  <c r="BP182" i="9" s="1"/>
  <c r="AR163" i="9"/>
  <c r="CB163" i="9" s="1"/>
  <c r="AY200" i="9"/>
  <c r="CI200" i="9" s="1"/>
  <c r="Y142" i="9"/>
  <c r="BI142" i="9" s="1"/>
  <c r="AK130" i="9"/>
  <c r="BU130" i="9" s="1"/>
  <c r="AT128" i="9"/>
  <c r="CD128" i="9" s="1"/>
  <c r="AH125" i="9"/>
  <c r="BR125" i="9" s="1"/>
  <c r="Y166" i="9"/>
  <c r="BI166" i="9" s="1"/>
  <c r="AK119" i="9"/>
  <c r="BU119" i="9" s="1"/>
  <c r="AA43" i="9"/>
  <c r="BK43" i="9" s="1"/>
  <c r="AH8" i="9"/>
  <c r="BR8" i="9" s="1"/>
  <c r="AT181" i="9"/>
  <c r="CD181" i="9" s="1"/>
  <c r="AK57" i="9"/>
  <c r="BU57" i="9" s="1"/>
  <c r="AT159" i="9"/>
  <c r="CD159" i="9" s="1"/>
  <c r="AI23" i="9"/>
  <c r="BS23" i="9" s="1"/>
  <c r="AX158" i="9"/>
  <c r="CH158" i="9" s="1"/>
  <c r="AN101" i="9"/>
  <c r="BX101" i="9" s="1"/>
  <c r="AI177" i="9"/>
  <c r="BS177" i="9" s="1"/>
  <c r="AB177" i="9"/>
  <c r="BL177" i="9" s="1"/>
  <c r="AI182" i="9"/>
  <c r="BS182" i="9" s="1"/>
  <c r="AC115" i="9"/>
  <c r="BM115" i="9" s="1"/>
  <c r="AQ181" i="9"/>
  <c r="CA181" i="9" s="1"/>
  <c r="AI193" i="9"/>
  <c r="BS193" i="9" s="1"/>
  <c r="AB193" i="9"/>
  <c r="BL193" i="9" s="1"/>
  <c r="AC112" i="9"/>
  <c r="BM112" i="9" s="1"/>
  <c r="AC199" i="9"/>
  <c r="BM199" i="9" s="1"/>
  <c r="AC148" i="9"/>
  <c r="BM148" i="9" s="1"/>
  <c r="Z148" i="9"/>
  <c r="BJ148" i="9" s="1"/>
  <c r="AB192" i="9"/>
  <c r="BL192" i="9" s="1"/>
  <c r="AE105" i="9"/>
  <c r="BO105" i="9" s="1"/>
  <c r="AK105" i="9"/>
  <c r="BU105" i="9" s="1"/>
  <c r="AC81" i="9"/>
  <c r="BM81" i="9" s="1"/>
  <c r="AI81" i="9"/>
  <c r="BS81" i="9" s="1"/>
  <c r="AF52" i="9"/>
  <c r="BP52" i="9" s="1"/>
  <c r="AX52" i="9"/>
  <c r="CH52" i="9" s="1"/>
  <c r="AC82" i="9"/>
  <c r="BM82" i="9" s="1"/>
  <c r="AN13" i="9"/>
  <c r="BX13" i="9" s="1"/>
  <c r="AC55" i="9"/>
  <c r="BM55" i="9" s="1"/>
  <c r="CW105" i="9"/>
  <c r="AS105" i="9"/>
  <c r="CC105" i="9" s="1"/>
  <c r="CW104" i="9"/>
  <c r="BA96" i="9"/>
  <c r="CK96" i="9" s="1"/>
  <c r="BA25" i="9"/>
  <c r="CK25" i="9" s="1"/>
  <c r="AS141" i="9"/>
  <c r="CC141" i="9" s="1"/>
  <c r="AZ140" i="9"/>
  <c r="CJ140" i="9" s="1"/>
  <c r="AC138" i="9"/>
  <c r="AB146" i="9"/>
  <c r="BL146" i="9" s="1"/>
  <c r="BA82" i="9"/>
  <c r="CK82" i="9" s="1"/>
  <c r="AS107" i="9"/>
  <c r="CC107" i="9" s="1"/>
  <c r="CW25" i="9"/>
  <c r="CW141" i="9"/>
  <c r="AW137" i="9"/>
  <c r="CG137" i="9" s="1"/>
  <c r="AY140" i="9"/>
  <c r="CI140" i="9" s="1"/>
  <c r="AR18" i="9"/>
  <c r="CB18" i="9" s="1"/>
  <c r="AX161" i="9"/>
  <c r="CH161" i="9" s="1"/>
  <c r="AA146" i="9"/>
  <c r="BK146" i="9" s="1"/>
  <c r="AW100" i="9"/>
  <c r="CG100" i="9" s="1"/>
  <c r="AX72" i="9"/>
  <c r="CH72" i="9" s="1"/>
  <c r="Z16" i="9"/>
  <c r="BJ16" i="9" s="1"/>
  <c r="AR13" i="9"/>
  <c r="CB13" i="9" s="1"/>
  <c r="AQ99" i="9"/>
  <c r="CA99" i="9" s="1"/>
  <c r="AI106" i="9"/>
  <c r="BS106" i="9" s="1"/>
  <c r="BA105" i="9"/>
  <c r="CK105" i="9" s="1"/>
  <c r="AS45" i="9"/>
  <c r="CC45" i="9" s="1"/>
  <c r="AQ155" i="9"/>
  <c r="CA155" i="9" s="1"/>
  <c r="CW132" i="9"/>
  <c r="AC145" i="9"/>
  <c r="BM145" i="9" s="1"/>
  <c r="AI145" i="9"/>
  <c r="BS145" i="9" s="1"/>
  <c r="AY150" i="9"/>
  <c r="CI150" i="9" s="1"/>
  <c r="AG150" i="9"/>
  <c r="BQ150" i="9" s="1"/>
  <c r="BA81" i="9"/>
  <c r="CK81" i="9" s="1"/>
  <c r="AI137" i="9"/>
  <c r="BS137" i="9" s="1"/>
  <c r="CW45" i="9"/>
  <c r="AM45" i="9"/>
  <c r="BW45" i="9" s="1"/>
  <c r="AS162" i="9"/>
  <c r="CC162" i="9" s="1"/>
  <c r="BA161" i="9"/>
  <c r="CK161" i="9" s="1"/>
  <c r="AF63" i="9"/>
  <c r="BP63" i="9" s="1"/>
  <c r="AQ172" i="9"/>
  <c r="CA172" i="9" s="1"/>
  <c r="AR172" i="9"/>
  <c r="CB172" i="9" s="1"/>
  <c r="AU81" i="9"/>
  <c r="CE81" i="9" s="1"/>
  <c r="AB103" i="9"/>
  <c r="BL103" i="9" s="1"/>
  <c r="AH137" i="9"/>
  <c r="BR137" i="9" s="1"/>
  <c r="AA45" i="9"/>
  <c r="BK45" i="9" s="1"/>
  <c r="AG23" i="9"/>
  <c r="BQ23" i="9" s="1"/>
  <c r="AX162" i="9"/>
  <c r="CH162" i="9" s="1"/>
  <c r="AF66" i="9"/>
  <c r="BP66" i="9" s="1"/>
  <c r="AE63" i="9"/>
  <c r="BO63" i="9" s="1"/>
  <c r="AK63" i="9"/>
  <c r="BU63" i="9" s="1"/>
  <c r="Y63" i="9"/>
  <c r="BI63" i="9" s="1"/>
  <c r="AS172" i="9"/>
  <c r="CC172" i="9" s="1"/>
  <c r="AQ139" i="9"/>
  <c r="CA139" i="9" s="1"/>
  <c r="AG137" i="9"/>
  <c r="BQ137" i="9" s="1"/>
  <c r="AM147" i="9"/>
  <c r="BW147" i="9" s="1"/>
  <c r="AO44" i="9"/>
  <c r="BY44" i="9" s="1"/>
  <c r="AL179" i="9"/>
  <c r="BV179" i="9" s="1"/>
  <c r="AT161" i="9"/>
  <c r="CD161" i="9" s="1"/>
  <c r="CW53" i="9"/>
  <c r="CW158" i="9"/>
  <c r="Y157" i="9"/>
  <c r="AX130" i="9"/>
  <c r="CH130" i="9" s="1"/>
  <c r="AY123" i="9"/>
  <c r="CI123" i="9" s="1"/>
  <c r="AT83" i="9"/>
  <c r="CD83" i="9" s="1"/>
  <c r="AY41" i="9"/>
  <c r="CI41" i="9" s="1"/>
  <c r="AB40" i="9"/>
  <c r="BL40" i="9" s="1"/>
  <c r="AT32" i="9"/>
  <c r="CD32" i="9" s="1"/>
  <c r="AI86" i="9"/>
  <c r="BS86" i="9" s="1"/>
  <c r="AA86" i="9"/>
  <c r="BK86" i="9" s="1"/>
  <c r="AZ66" i="9"/>
  <c r="CJ66" i="9" s="1"/>
  <c r="CW10" i="9"/>
  <c r="AU152" i="9"/>
  <c r="CE152" i="9" s="1"/>
  <c r="AI175" i="9"/>
  <c r="BS175" i="9" s="1"/>
  <c r="Y175" i="9"/>
  <c r="BI175" i="9" s="1"/>
  <c r="CW151" i="9"/>
  <c r="AG31" i="9"/>
  <c r="BQ31" i="9" s="1"/>
  <c r="AY145" i="9"/>
  <c r="CI145" i="9" s="1"/>
  <c r="AK111" i="9"/>
  <c r="BU111" i="9" s="1"/>
  <c r="AQ111" i="9"/>
  <c r="CA111" i="9" s="1"/>
  <c r="AW61" i="9"/>
  <c r="CG61" i="9" s="1"/>
  <c r="AL61" i="9"/>
  <c r="BV61" i="9" s="1"/>
  <c r="AI162" i="9"/>
  <c r="BS162" i="9" s="1"/>
  <c r="AR53" i="9"/>
  <c r="CB53" i="9" s="1"/>
  <c r="CW52" i="9"/>
  <c r="CW136" i="9"/>
  <c r="AY129" i="9"/>
  <c r="CI129" i="9" s="1"/>
  <c r="AZ128" i="9"/>
  <c r="CJ128" i="9" s="1"/>
  <c r="AR123" i="9"/>
  <c r="CB123" i="9" s="1"/>
  <c r="Y169" i="9"/>
  <c r="BI169" i="9" s="1"/>
  <c r="AX41" i="9"/>
  <c r="CH41" i="9" s="1"/>
  <c r="AZ86" i="9"/>
  <c r="CJ86" i="9" s="1"/>
  <c r="AT66" i="9"/>
  <c r="CD66" i="9" s="1"/>
  <c r="Y101" i="9"/>
  <c r="BI101" i="9" s="1"/>
  <c r="AK166" i="9"/>
  <c r="BU166" i="9" s="1"/>
  <c r="AK176" i="9"/>
  <c r="BU176" i="9" s="1"/>
  <c r="Y179" i="9"/>
  <c r="BI179" i="9" s="1"/>
  <c r="AQ179" i="9"/>
  <c r="AR42" i="9"/>
  <c r="CB42" i="9" s="1"/>
  <c r="AO50" i="9"/>
  <c r="BY50" i="9" s="1"/>
  <c r="AO21" i="9"/>
  <c r="BY21" i="9" s="1"/>
  <c r="CW191" i="9"/>
  <c r="AI146" i="9"/>
  <c r="BS146" i="9" s="1"/>
  <c r="AL53" i="9"/>
  <c r="BV53" i="9" s="1"/>
  <c r="CW135" i="9"/>
  <c r="AL132" i="9"/>
  <c r="BV132" i="9" s="1"/>
  <c r="AR158" i="9"/>
  <c r="CB158" i="9" s="1"/>
  <c r="AS129" i="9"/>
  <c r="AS128" i="9"/>
  <c r="CC128" i="9" s="1"/>
  <c r="AQ124" i="9"/>
  <c r="CA124" i="9" s="1"/>
  <c r="AO123" i="9"/>
  <c r="BY123" i="9" s="1"/>
  <c r="AK120" i="9"/>
  <c r="BU120" i="9" s="1"/>
  <c r="AC63" i="9"/>
  <c r="BM63" i="9" s="1"/>
  <c r="AI11" i="9"/>
  <c r="BS11" i="9" s="1"/>
  <c r="Z11" i="9"/>
  <c r="BJ11" i="9" s="1"/>
  <c r="AR10" i="9"/>
  <c r="CB10" i="9" s="1"/>
  <c r="AY101" i="9"/>
  <c r="CI101" i="9" s="1"/>
  <c r="AT167" i="9"/>
  <c r="CD167" i="9" s="1"/>
  <c r="AG152" i="9"/>
  <c r="BQ152" i="9" s="1"/>
  <c r="BA151" i="9"/>
  <c r="CK151" i="9" s="1"/>
  <c r="AR178" i="9"/>
  <c r="CB178" i="9" s="1"/>
  <c r="AX173" i="9"/>
  <c r="CH173" i="9" s="1"/>
  <c r="AQ170" i="9"/>
  <c r="CA170" i="9" s="1"/>
  <c r="AG117" i="9"/>
  <c r="BQ117" i="9" s="1"/>
  <c r="AS187" i="9"/>
  <c r="CC187" i="9" s="1"/>
  <c r="CW8" i="9"/>
  <c r="AN191" i="9"/>
  <c r="BX191" i="9" s="1"/>
  <c r="Y52" i="9"/>
  <c r="BI52" i="9" s="1"/>
  <c r="AC133" i="9"/>
  <c r="AO132" i="9"/>
  <c r="BY132" i="9" s="1"/>
  <c r="AA132" i="9"/>
  <c r="BK132" i="9" s="1"/>
  <c r="AH131" i="9"/>
  <c r="BR131" i="9" s="1"/>
  <c r="CW129" i="9"/>
  <c r="CW126" i="9"/>
  <c r="BA124" i="9"/>
  <c r="CK124" i="9" s="1"/>
  <c r="AZ123" i="9"/>
  <c r="CJ123" i="9" s="1"/>
  <c r="AL92" i="9"/>
  <c r="BV92" i="9" s="1"/>
  <c r="AB83" i="9"/>
  <c r="BL83" i="9" s="1"/>
  <c r="AN63" i="9"/>
  <c r="BX63" i="9" s="1"/>
  <c r="AT9" i="9"/>
  <c r="CD9" i="9" s="1"/>
  <c r="AN151" i="9"/>
  <c r="BX151" i="9" s="1"/>
  <c r="AK178" i="9"/>
  <c r="BU178" i="9" s="1"/>
  <c r="AC178" i="9"/>
  <c r="BM178" i="9" s="1"/>
  <c r="AX119" i="9"/>
  <c r="CH119" i="9" s="1"/>
  <c r="AQ118" i="9"/>
  <c r="CA118" i="9" s="1"/>
  <c r="AX172" i="9"/>
  <c r="CH172" i="9" s="1"/>
  <c r="AN180" i="9"/>
  <c r="BX180" i="9" s="1"/>
  <c r="AF116" i="9"/>
  <c r="BP116" i="9" s="1"/>
  <c r="AR114" i="9"/>
  <c r="CB114" i="9" s="1"/>
  <c r="AT50" i="9"/>
  <c r="CD50" i="9" s="1"/>
  <c r="AK150" i="9"/>
  <c r="BU150" i="9" s="1"/>
  <c r="AO113" i="9"/>
  <c r="BY113" i="9" s="1"/>
  <c r="AK113" i="9"/>
  <c r="BU113" i="9" s="1"/>
  <c r="AN97" i="9"/>
  <c r="BX97" i="9" s="1"/>
  <c r="AG134" i="9"/>
  <c r="BQ134" i="9" s="1"/>
  <c r="AH132" i="9"/>
  <c r="BR132" i="9" s="1"/>
  <c r="BA121" i="9"/>
  <c r="CK121" i="9" s="1"/>
  <c r="AY11" i="9"/>
  <c r="CI11" i="9" s="1"/>
  <c r="AA167" i="9"/>
  <c r="BK167" i="9" s="1"/>
  <c r="AW152" i="9"/>
  <c r="CG152" i="9" s="1"/>
  <c r="AT177" i="9"/>
  <c r="CD177" i="9" s="1"/>
  <c r="AN179" i="9"/>
  <c r="BX179" i="9" s="1"/>
  <c r="AN174" i="9"/>
  <c r="BX174" i="9" s="1"/>
  <c r="AZ42" i="9"/>
  <c r="CJ42" i="9" s="1"/>
  <c r="Y170" i="9"/>
  <c r="BI170" i="9" s="1"/>
  <c r="AS50" i="9"/>
  <c r="CC50" i="9" s="1"/>
  <c r="AA21" i="9"/>
  <c r="BK21" i="9" s="1"/>
  <c r="AL183" i="9"/>
  <c r="BV183" i="9" s="1"/>
  <c r="AM188" i="9"/>
  <c r="BW188" i="9" s="1"/>
  <c r="AG135" i="9"/>
  <c r="BQ135" i="9" s="1"/>
  <c r="AX131" i="9"/>
  <c r="CH131" i="9" s="1"/>
  <c r="AA64" i="9"/>
  <c r="BK64" i="9" s="1"/>
  <c r="Z63" i="9"/>
  <c r="BJ63" i="9" s="1"/>
  <c r="AT170" i="9"/>
  <c r="CD170" i="9" s="1"/>
  <c r="AT182" i="9"/>
  <c r="CD182" i="9" s="1"/>
  <c r="AK182" i="9"/>
  <c r="BU182" i="9" s="1"/>
  <c r="AX116" i="9"/>
  <c r="CH116" i="9" s="1"/>
  <c r="AA191" i="9"/>
  <c r="BK191" i="9" s="1"/>
  <c r="AY191" i="9"/>
  <c r="CI191" i="9" s="1"/>
  <c r="Z194" i="9"/>
  <c r="BJ194" i="9" s="1"/>
  <c r="AR194" i="9"/>
  <c r="CB194" i="9" s="1"/>
  <c r="AQ149" i="9"/>
  <c r="CA149" i="9" s="1"/>
  <c r="AL111" i="9"/>
  <c r="BV111" i="9" s="1"/>
  <c r="AG108" i="9"/>
  <c r="BQ108" i="9" s="1"/>
  <c r="AF98" i="9"/>
  <c r="BP98" i="9" s="1"/>
  <c r="AA68" i="9"/>
  <c r="BK68" i="9" s="1"/>
  <c r="CW148" i="9"/>
  <c r="AX160" i="9"/>
  <c r="CH160" i="9" s="1"/>
  <c r="CW197" i="9"/>
  <c r="AW197" i="9"/>
  <c r="CG197" i="9" s="1"/>
  <c r="AX168" i="9"/>
  <c r="CH168" i="9" s="1"/>
  <c r="AU95" i="9"/>
  <c r="CE95" i="9" s="1"/>
  <c r="AF56" i="9"/>
  <c r="BP56" i="9" s="1"/>
  <c r="AW98" i="9"/>
  <c r="CG98" i="9" s="1"/>
  <c r="AW97" i="9"/>
  <c r="CG97" i="9" s="1"/>
  <c r="CW186" i="9"/>
  <c r="AI174" i="9"/>
  <c r="BS174" i="9" s="1"/>
  <c r="AN173" i="9"/>
  <c r="BX173" i="9" s="1"/>
  <c r="AC172" i="9"/>
  <c r="BM172" i="9" s="1"/>
  <c r="Z172" i="9"/>
  <c r="BJ172" i="9" s="1"/>
  <c r="AA51" i="9"/>
  <c r="BK51" i="9" s="1"/>
  <c r="AX43" i="9"/>
  <c r="CH43" i="9" s="1"/>
  <c r="AL170" i="9"/>
  <c r="BV170" i="9" s="1"/>
  <c r="AY116" i="9"/>
  <c r="CI116" i="9" s="1"/>
  <c r="AX114" i="9"/>
  <c r="CH114" i="9" s="1"/>
  <c r="AO183" i="9"/>
  <c r="BY183" i="9" s="1"/>
  <c r="AH150" i="9"/>
  <c r="BR150" i="9" s="1"/>
  <c r="AR113" i="9"/>
  <c r="CB113" i="9" s="1"/>
  <c r="CW181" i="9"/>
  <c r="AX181" i="9"/>
  <c r="CH181" i="9" s="1"/>
  <c r="CW195" i="9"/>
  <c r="AK149" i="9"/>
  <c r="BU149" i="9" s="1"/>
  <c r="AW194" i="9"/>
  <c r="CG194" i="9" s="1"/>
  <c r="AY164" i="9"/>
  <c r="CI164" i="9" s="1"/>
  <c r="AG196" i="9"/>
  <c r="BQ196" i="9" s="1"/>
  <c r="AL186" i="9"/>
  <c r="BV186" i="9" s="1"/>
  <c r="AZ192" i="9"/>
  <c r="CJ192" i="9" s="1"/>
  <c r="AW156" i="9"/>
  <c r="CG156" i="9" s="1"/>
  <c r="AZ191" i="9"/>
  <c r="CJ191" i="9" s="1"/>
  <c r="AQ194" i="9"/>
  <c r="CA194" i="9" s="1"/>
  <c r="AR109" i="9"/>
  <c r="CB109" i="9" s="1"/>
  <c r="CW108" i="9"/>
  <c r="AS56" i="9"/>
  <c r="CC56" i="9" s="1"/>
  <c r="AK160" i="9"/>
  <c r="BU160" i="9" s="1"/>
  <c r="AQ159" i="9"/>
  <c r="CA159" i="9" s="1"/>
  <c r="AT192" i="9"/>
  <c r="CD192" i="9" s="1"/>
  <c r="CW190" i="9"/>
  <c r="AH184" i="9"/>
  <c r="BR184" i="9" s="1"/>
  <c r="AC195" i="9"/>
  <c r="BM195" i="9" s="1"/>
  <c r="Z195" i="9"/>
  <c r="BJ195" i="9" s="1"/>
  <c r="AY112" i="9"/>
  <c r="CI112" i="9" s="1"/>
  <c r="AC111" i="9"/>
  <c r="BM111" i="9" s="1"/>
  <c r="AK194" i="9"/>
  <c r="BU194" i="9" s="1"/>
  <c r="AK164" i="9"/>
  <c r="BU164" i="9" s="1"/>
  <c r="AH196" i="9"/>
  <c r="BR196" i="9" s="1"/>
  <c r="AC97" i="9"/>
  <c r="BM97" i="9" s="1"/>
  <c r="AM159" i="9"/>
  <c r="BW159" i="9" s="1"/>
  <c r="Z142" i="9"/>
  <c r="BJ142" i="9" s="1"/>
  <c r="AG168" i="9"/>
  <c r="BQ168" i="9" s="1"/>
  <c r="AK156" i="9"/>
  <c r="BU156" i="9" s="1"/>
  <c r="AK193" i="9"/>
  <c r="BU193" i="9" s="1"/>
  <c r="AL193" i="9"/>
  <c r="BV193" i="9" s="1"/>
  <c r="CW112" i="9"/>
  <c r="AA149" i="9"/>
  <c r="BK149" i="9" s="1"/>
  <c r="AS110" i="9"/>
  <c r="CC110" i="9" s="1"/>
  <c r="Y194" i="9"/>
  <c r="BI194" i="9" s="1"/>
  <c r="AU164" i="9"/>
  <c r="CE164" i="9" s="1"/>
  <c r="AT163" i="9"/>
  <c r="CD163" i="9" s="1"/>
  <c r="AC198" i="9"/>
  <c r="BM198" i="9" s="1"/>
  <c r="AN198" i="9"/>
  <c r="BX198" i="9" s="1"/>
  <c r="AH98" i="9"/>
  <c r="BR98" i="9" s="1"/>
  <c r="AO142" i="9"/>
  <c r="BY142" i="9" s="1"/>
  <c r="AY186" i="9"/>
  <c r="CI186" i="9" s="1"/>
  <c r="AK112" i="9"/>
  <c r="BU112" i="9" s="1"/>
  <c r="AS111" i="9"/>
  <c r="CC111" i="9" s="1"/>
  <c r="AC144" i="9"/>
  <c r="AH108" i="9"/>
  <c r="BR108" i="9" s="1"/>
  <c r="AB57" i="9"/>
  <c r="BL57" i="9" s="1"/>
  <c r="AG98" i="9"/>
  <c r="BQ98" i="9" s="1"/>
  <c r="AF148" i="9"/>
  <c r="BP148" i="9" s="1"/>
  <c r="Y16" i="9"/>
  <c r="BI16" i="9" s="1"/>
  <c r="AH99" i="9"/>
  <c r="BR99" i="9" s="1"/>
  <c r="AT99" i="9"/>
  <c r="CD99" i="9" s="1"/>
  <c r="AC25" i="9"/>
  <c r="BM25" i="9" s="1"/>
  <c r="AA25" i="9"/>
  <c r="BK25" i="9" s="1"/>
  <c r="AE102" i="9"/>
  <c r="BO102" i="9" s="1"/>
  <c r="AW102" i="9"/>
  <c r="CG102" i="9" s="1"/>
  <c r="BA158" i="9"/>
  <c r="CK158" i="9" s="1"/>
  <c r="AY158" i="9"/>
  <c r="CI158" i="9" s="1"/>
  <c r="AE110" i="9"/>
  <c r="BO110" i="9" s="1"/>
  <c r="AQ110" i="9"/>
  <c r="CA110" i="9" s="1"/>
  <c r="AF110" i="9"/>
  <c r="BP110" i="9" s="1"/>
  <c r="AL110" i="9"/>
  <c r="BV110" i="9" s="1"/>
  <c r="CW80" i="9"/>
  <c r="CW72" i="9"/>
  <c r="AQ13" i="9"/>
  <c r="CA13" i="9" s="1"/>
  <c r="AQ54" i="9"/>
  <c r="CA54" i="9" s="1"/>
  <c r="AN147" i="9"/>
  <c r="BX147" i="9" s="1"/>
  <c r="AT147" i="9"/>
  <c r="CD147" i="9" s="1"/>
  <c r="AS135" i="9"/>
  <c r="CC135" i="9" s="1"/>
  <c r="AX169" i="9"/>
  <c r="CH169" i="9" s="1"/>
  <c r="Z169" i="9"/>
  <c r="BJ169" i="9" s="1"/>
  <c r="Z82" i="9"/>
  <c r="BJ82" i="9" s="1"/>
  <c r="AL82" i="9"/>
  <c r="BV82" i="9" s="1"/>
  <c r="AR80" i="9"/>
  <c r="CB80" i="9" s="1"/>
  <c r="CW79" i="9"/>
  <c r="AA16" i="9"/>
  <c r="BK16" i="9" s="1"/>
  <c r="AL15" i="9"/>
  <c r="BV15" i="9" s="1"/>
  <c r="AK13" i="9"/>
  <c r="BU13" i="9" s="1"/>
  <c r="AL54" i="9"/>
  <c r="BV54" i="9" s="1"/>
  <c r="AL107" i="9"/>
  <c r="BV107" i="9" s="1"/>
  <c r="AX107" i="9"/>
  <c r="CH107" i="9" s="1"/>
  <c r="AC103" i="9"/>
  <c r="BM103" i="9" s="1"/>
  <c r="AU103" i="9"/>
  <c r="CE103" i="9" s="1"/>
  <c r="AY25" i="9"/>
  <c r="CI25" i="9" s="1"/>
  <c r="AW141" i="9"/>
  <c r="CG141" i="9" s="1"/>
  <c r="AU136" i="9"/>
  <c r="CE136" i="9" s="1"/>
  <c r="BA136" i="9"/>
  <c r="CK136" i="9" s="1"/>
  <c r="AB82" i="9"/>
  <c r="BL82" i="9" s="1"/>
  <c r="AB81" i="9"/>
  <c r="BL81" i="9" s="1"/>
  <c r="AX79" i="9"/>
  <c r="CH79" i="9" s="1"/>
  <c r="AW16" i="9"/>
  <c r="CG16" i="9" s="1"/>
  <c r="CW102" i="9"/>
  <c r="AM102" i="9"/>
  <c r="BW102" i="9" s="1"/>
  <c r="AH16" i="9"/>
  <c r="BR16" i="9" s="1"/>
  <c r="AR14" i="9"/>
  <c r="CB14" i="9" s="1"/>
  <c r="AG99" i="9"/>
  <c r="BQ99" i="9" s="1"/>
  <c r="AO140" i="9"/>
  <c r="BY140" i="9" s="1"/>
  <c r="AI140" i="9"/>
  <c r="BS140" i="9" s="1"/>
  <c r="AI121" i="9"/>
  <c r="BS121" i="9" s="1"/>
  <c r="AC121" i="9"/>
  <c r="BM121" i="9" s="1"/>
  <c r="BA83" i="9"/>
  <c r="CK83" i="9" s="1"/>
  <c r="AY82" i="9"/>
  <c r="CI82" i="9" s="1"/>
  <c r="AL81" i="9"/>
  <c r="BV81" i="9" s="1"/>
  <c r="AS15" i="9"/>
  <c r="CC15" i="9" s="1"/>
  <c r="BA55" i="9"/>
  <c r="CK55" i="9" s="1"/>
  <c r="AX138" i="9"/>
  <c r="CH138" i="9" s="1"/>
  <c r="AS146" i="9"/>
  <c r="CC146" i="9" s="1"/>
  <c r="AR146" i="9"/>
  <c r="CB146" i="9" s="1"/>
  <c r="AL135" i="9"/>
  <c r="BV135" i="9" s="1"/>
  <c r="AR135" i="9"/>
  <c r="CB135" i="9" s="1"/>
  <c r="AG157" i="9"/>
  <c r="BQ157" i="9" s="1"/>
  <c r="AY157" i="9"/>
  <c r="CI157" i="9" s="1"/>
  <c r="AI127" i="9"/>
  <c r="BS127" i="9" s="1"/>
  <c r="AC127" i="9"/>
  <c r="BM127" i="9" s="1"/>
  <c r="BA127" i="9"/>
  <c r="CK127" i="9" s="1"/>
  <c r="AZ81" i="9"/>
  <c r="CJ81" i="9" s="1"/>
  <c r="AE55" i="9"/>
  <c r="CW107" i="9"/>
  <c r="AC105" i="9"/>
  <c r="BM105" i="9" s="1"/>
  <c r="AT104" i="9"/>
  <c r="CD104" i="9" s="1"/>
  <c r="AR104" i="9"/>
  <c r="CB104" i="9" s="1"/>
  <c r="AK137" i="9"/>
  <c r="AM137" i="9"/>
  <c r="BW137" i="9" s="1"/>
  <c r="AR33" i="9"/>
  <c r="CB33" i="9" s="1"/>
  <c r="AX33" i="9"/>
  <c r="CH33" i="9" s="1"/>
  <c r="AS53" i="9"/>
  <c r="CC53" i="9" s="1"/>
  <c r="AT122" i="9"/>
  <c r="AH122" i="9"/>
  <c r="BR122" i="9" s="1"/>
  <c r="AZ122" i="9"/>
  <c r="CJ122" i="9" s="1"/>
  <c r="AF121" i="9"/>
  <c r="BP121" i="9" s="1"/>
  <c r="AL120" i="9"/>
  <c r="BV120" i="9" s="1"/>
  <c r="CW33" i="9"/>
  <c r="AB23" i="9"/>
  <c r="BL23" i="9" s="1"/>
  <c r="AB22" i="9"/>
  <c r="BL22" i="9" s="1"/>
  <c r="AB162" i="9"/>
  <c r="BL162" i="9" s="1"/>
  <c r="AF135" i="9"/>
  <c r="BP135" i="9" s="1"/>
  <c r="CW157" i="9"/>
  <c r="CW123" i="9"/>
  <c r="CW120" i="9"/>
  <c r="AX120" i="9"/>
  <c r="CH120" i="9" s="1"/>
  <c r="AO175" i="9"/>
  <c r="BY175" i="9" s="1"/>
  <c r="AN175" i="9"/>
  <c r="BX175" i="9" s="1"/>
  <c r="AB112" i="9"/>
  <c r="BL112" i="9" s="1"/>
  <c r="AH112" i="9"/>
  <c r="BR112" i="9" s="1"/>
  <c r="CW106" i="9"/>
  <c r="AB104" i="9"/>
  <c r="BL104" i="9" s="1"/>
  <c r="AA139" i="9"/>
  <c r="BK139" i="9" s="1"/>
  <c r="AQ102" i="9"/>
  <c r="CA102" i="9" s="1"/>
  <c r="CW12" i="9"/>
  <c r="AM61" i="9"/>
  <c r="BW61" i="9" s="1"/>
  <c r="CW161" i="9"/>
  <c r="BA53" i="9"/>
  <c r="CK53" i="9" s="1"/>
  <c r="AU129" i="9"/>
  <c r="CE129" i="9" s="1"/>
  <c r="AK124" i="9"/>
  <c r="BU124" i="9" s="1"/>
  <c r="CW169" i="9"/>
  <c r="AF166" i="9"/>
  <c r="BP166" i="9" s="1"/>
  <c r="AL166" i="9"/>
  <c r="BV166" i="9" s="1"/>
  <c r="AL140" i="9"/>
  <c r="BV140" i="9" s="1"/>
  <c r="AK102" i="9"/>
  <c r="BU102" i="9" s="1"/>
  <c r="AN146" i="9"/>
  <c r="BX146" i="9" s="1"/>
  <c r="AT53" i="9"/>
  <c r="CD53" i="9" s="1"/>
  <c r="Z136" i="9"/>
  <c r="AI135" i="9"/>
  <c r="BS135" i="9" s="1"/>
  <c r="CW134" i="9"/>
  <c r="AI133" i="9"/>
  <c r="BS133" i="9" s="1"/>
  <c r="AG132" i="9"/>
  <c r="BQ132" i="9" s="1"/>
  <c r="AG131" i="9"/>
  <c r="BQ131" i="9" s="1"/>
  <c r="AN130" i="9"/>
  <c r="BX130" i="9" s="1"/>
  <c r="BA129" i="9"/>
  <c r="CK129" i="9" s="1"/>
  <c r="AK128" i="9"/>
  <c r="Y122" i="9"/>
  <c r="BI122" i="9" s="1"/>
  <c r="AN122" i="9"/>
  <c r="BX122" i="9" s="1"/>
  <c r="AM120" i="9"/>
  <c r="BW120" i="9" s="1"/>
  <c r="AQ169" i="9"/>
  <c r="CA169" i="9" s="1"/>
  <c r="AR169" i="9"/>
  <c r="CB169" i="9" s="1"/>
  <c r="CW92" i="9"/>
  <c r="AY92" i="9"/>
  <c r="CI92" i="9" s="1"/>
  <c r="AY64" i="9"/>
  <c r="CI64" i="9" s="1"/>
  <c r="AW64" i="9"/>
  <c r="CG64" i="9" s="1"/>
  <c r="AI107" i="9"/>
  <c r="BS107" i="9" s="1"/>
  <c r="AT106" i="9"/>
  <c r="AM104" i="9"/>
  <c r="BW104" i="9" s="1"/>
  <c r="AC96" i="9"/>
  <c r="BM96" i="9" s="1"/>
  <c r="AN25" i="9"/>
  <c r="BX25" i="9" s="1"/>
  <c r="AA140" i="9"/>
  <c r="BK140" i="9" s="1"/>
  <c r="AY45" i="9"/>
  <c r="CI45" i="9" s="1"/>
  <c r="AG44" i="9"/>
  <c r="BQ44" i="9" s="1"/>
  <c r="AA138" i="9"/>
  <c r="BK138" i="9" s="1"/>
  <c r="AR161" i="9"/>
  <c r="CB161" i="9" s="1"/>
  <c r="AY146" i="9"/>
  <c r="AG53" i="9"/>
  <c r="BQ53" i="9" s="1"/>
  <c r="AW52" i="9"/>
  <c r="CG52" i="9" s="1"/>
  <c r="Y136" i="9"/>
  <c r="BI136" i="9" s="1"/>
  <c r="AW134" i="9"/>
  <c r="CG134" i="9" s="1"/>
  <c r="AQ134" i="9"/>
  <c r="CA134" i="9" s="1"/>
  <c r="AB133" i="9"/>
  <c r="BL133" i="9" s="1"/>
  <c r="AY132" i="9"/>
  <c r="CI132" i="9" s="1"/>
  <c r="AG158" i="9"/>
  <c r="BQ158" i="9" s="1"/>
  <c r="AS157" i="9"/>
  <c r="CC157" i="9" s="1"/>
  <c r="CW130" i="9"/>
  <c r="AX127" i="9"/>
  <c r="CH127" i="9" s="1"/>
  <c r="AG126" i="9"/>
  <c r="BQ126" i="9" s="1"/>
  <c r="AA125" i="9"/>
  <c r="BK125" i="9" s="1"/>
  <c r="AT121" i="9"/>
  <c r="CD121" i="9" s="1"/>
  <c r="AR92" i="9"/>
  <c r="CB92" i="9" s="1"/>
  <c r="CW54" i="9"/>
  <c r="AT54" i="9"/>
  <c r="AN107" i="9"/>
  <c r="BX107" i="9" s="1"/>
  <c r="AI105" i="9"/>
  <c r="BS105" i="9" s="1"/>
  <c r="AR103" i="9"/>
  <c r="CB103" i="9" s="1"/>
  <c r="AZ103" i="9"/>
  <c r="CJ103" i="9" s="1"/>
  <c r="AY139" i="9"/>
  <c r="CI139" i="9" s="1"/>
  <c r="BA139" i="9"/>
  <c r="CK139" i="9" s="1"/>
  <c r="AX23" i="9"/>
  <c r="CH23" i="9" s="1"/>
  <c r="AW138" i="9"/>
  <c r="CG138" i="9" s="1"/>
  <c r="Z138" i="9"/>
  <c r="BJ138" i="9" s="1"/>
  <c r="AN161" i="9"/>
  <c r="BX161" i="9" s="1"/>
  <c r="AS52" i="9"/>
  <c r="CC52" i="9" s="1"/>
  <c r="BA135" i="9"/>
  <c r="CK135" i="9" s="1"/>
  <c r="AK134" i="9"/>
  <c r="BU134" i="9" s="1"/>
  <c r="AO157" i="9"/>
  <c r="BY157" i="9" s="1"/>
  <c r="AY126" i="9"/>
  <c r="CI126" i="9" s="1"/>
  <c r="AY124" i="9"/>
  <c r="CI124" i="9" s="1"/>
  <c r="AB123" i="9"/>
  <c r="BL123" i="9" s="1"/>
  <c r="AG121" i="9"/>
  <c r="BQ121" i="9" s="1"/>
  <c r="AG30" i="9"/>
  <c r="BQ30" i="9" s="1"/>
  <c r="AM30" i="9"/>
  <c r="BW30" i="9" s="1"/>
  <c r="AY118" i="9"/>
  <c r="CI118" i="9" s="1"/>
  <c r="AZ118" i="9"/>
  <c r="CJ118" i="9" s="1"/>
  <c r="AK55" i="9"/>
  <c r="BU55" i="9" s="1"/>
  <c r="AS54" i="9"/>
  <c r="CC54" i="9" s="1"/>
  <c r="AO106" i="9"/>
  <c r="BY106" i="9" s="1"/>
  <c r="AB106" i="9"/>
  <c r="BL106" i="9" s="1"/>
  <c r="AH104" i="9"/>
  <c r="BR104" i="9" s="1"/>
  <c r="AG102" i="9"/>
  <c r="BQ102" i="9" s="1"/>
  <c r="Z12" i="9"/>
  <c r="BJ12" i="9" s="1"/>
  <c r="CW22" i="9"/>
  <c r="Z155" i="9"/>
  <c r="BJ155" i="9" s="1"/>
  <c r="AS18" i="9"/>
  <c r="CC18" i="9" s="1"/>
  <c r="AI138" i="9"/>
  <c r="BS138" i="9" s="1"/>
  <c r="AX61" i="9"/>
  <c r="CH61" i="9" s="1"/>
  <c r="AR162" i="9"/>
  <c r="CB162" i="9" s="1"/>
  <c r="AK146" i="9"/>
  <c r="BU146" i="9" s="1"/>
  <c r="AC146" i="9"/>
  <c r="BM146" i="9" s="1"/>
  <c r="AU53" i="9"/>
  <c r="AR136" i="9"/>
  <c r="CB136" i="9" s="1"/>
  <c r="AT135" i="9"/>
  <c r="CD135" i="9" s="1"/>
  <c r="AU133" i="9"/>
  <c r="CE133" i="9" s="1"/>
  <c r="AX133" i="9"/>
  <c r="CH133" i="9" s="1"/>
  <c r="AM131" i="9"/>
  <c r="BW131" i="9" s="1"/>
  <c r="AI157" i="9"/>
  <c r="BS157" i="9" s="1"/>
  <c r="AA157" i="9"/>
  <c r="BK157" i="9" s="1"/>
  <c r="AR129" i="9"/>
  <c r="CB129" i="9" s="1"/>
  <c r="AX124" i="9"/>
  <c r="CH124" i="9" s="1"/>
  <c r="AE122" i="9"/>
  <c r="BO122" i="9" s="1"/>
  <c r="AB169" i="9"/>
  <c r="BL169" i="9" s="1"/>
  <c r="AO92" i="9"/>
  <c r="BY92" i="9" s="1"/>
  <c r="AZ83" i="9"/>
  <c r="CJ83" i="9" s="1"/>
  <c r="AY66" i="9"/>
  <c r="CI66" i="9" s="1"/>
  <c r="AW85" i="9"/>
  <c r="CG85" i="9" s="1"/>
  <c r="AO101" i="9"/>
  <c r="BY101" i="9" s="1"/>
  <c r="AI176" i="9"/>
  <c r="BS176" i="9" s="1"/>
  <c r="AA176" i="9"/>
  <c r="BK176" i="9" s="1"/>
  <c r="AM153" i="9"/>
  <c r="BW153" i="9" s="1"/>
  <c r="Z153" i="9"/>
  <c r="BJ153" i="9" s="1"/>
  <c r="Z30" i="9"/>
  <c r="BJ30" i="9" s="1"/>
  <c r="CW119" i="9"/>
  <c r="AA173" i="9"/>
  <c r="BK173" i="9" s="1"/>
  <c r="AM92" i="9"/>
  <c r="BW92" i="9" s="1"/>
  <c r="AK83" i="9"/>
  <c r="BU83" i="9" s="1"/>
  <c r="CW63" i="9"/>
  <c r="AI63" i="9"/>
  <c r="BS63" i="9" s="1"/>
  <c r="AB10" i="9"/>
  <c r="BL10" i="9" s="1"/>
  <c r="BA9" i="9"/>
  <c r="CK9" i="9" s="1"/>
  <c r="Z9" i="9"/>
  <c r="BJ9" i="9" s="1"/>
  <c r="CW167" i="9"/>
  <c r="AB167" i="9"/>
  <c r="BL167" i="9" s="1"/>
  <c r="AW153" i="9"/>
  <c r="CG153" i="9" s="1"/>
  <c r="AO31" i="9"/>
  <c r="BY31" i="9" s="1"/>
  <c r="AX145" i="9"/>
  <c r="CH145" i="9" s="1"/>
  <c r="Z145" i="9"/>
  <c r="BJ145" i="9" s="1"/>
  <c r="AX174" i="9"/>
  <c r="CH174" i="9" s="1"/>
  <c r="Z174" i="9"/>
  <c r="BJ174" i="9" s="1"/>
  <c r="AF174" i="9"/>
  <c r="BP174" i="9" s="1"/>
  <c r="BA180" i="9"/>
  <c r="CK180" i="9" s="1"/>
  <c r="AI180" i="9"/>
  <c r="BS180" i="9" s="1"/>
  <c r="AC180" i="9"/>
  <c r="BM180" i="9" s="1"/>
  <c r="Y185" i="9"/>
  <c r="BI185" i="9" s="1"/>
  <c r="AE185" i="9"/>
  <c r="BO185" i="9" s="1"/>
  <c r="AE20" i="9"/>
  <c r="Y20" i="9"/>
  <c r="BI20" i="9" s="1"/>
  <c r="AG20" i="9"/>
  <c r="BQ20" i="9" s="1"/>
  <c r="AI20" i="9"/>
  <c r="BS20" i="9" s="1"/>
  <c r="AX195" i="9"/>
  <c r="CH195" i="9" s="1"/>
  <c r="AW195" i="9"/>
  <c r="CG195" i="9" s="1"/>
  <c r="Z40" i="9"/>
  <c r="BJ40" i="9" s="1"/>
  <c r="AF32" i="9"/>
  <c r="BP32" i="9" s="1"/>
  <c r="AL85" i="9"/>
  <c r="BV85" i="9" s="1"/>
  <c r="AO66" i="9"/>
  <c r="BY66" i="9" s="1"/>
  <c r="AL11" i="9"/>
  <c r="BV11" i="9" s="1"/>
  <c r="AN10" i="9"/>
  <c r="BX10" i="9" s="1"/>
  <c r="AZ9" i="9"/>
  <c r="CJ9" i="9" s="1"/>
  <c r="AS167" i="9"/>
  <c r="CC167" i="9" s="1"/>
  <c r="AF153" i="9"/>
  <c r="BP153" i="9" s="1"/>
  <c r="AQ153" i="9"/>
  <c r="CA153" i="9" s="1"/>
  <c r="AL151" i="9"/>
  <c r="BV151" i="9" s="1"/>
  <c r="AT31" i="9"/>
  <c r="CD31" i="9" s="1"/>
  <c r="AF30" i="9"/>
  <c r="BP30" i="9" s="1"/>
  <c r="CW145" i="9"/>
  <c r="AW179" i="9"/>
  <c r="CG179" i="9" s="1"/>
  <c r="AC8" i="9"/>
  <c r="BM8" i="9" s="1"/>
  <c r="BA8" i="9"/>
  <c r="CK8" i="9" s="1"/>
  <c r="AC85" i="9"/>
  <c r="BM85" i="9" s="1"/>
  <c r="AR166" i="9"/>
  <c r="CB166" i="9" s="1"/>
  <c r="AK30" i="9"/>
  <c r="BU30" i="9" s="1"/>
  <c r="AE117" i="9"/>
  <c r="BO117" i="9" s="1"/>
  <c r="AW117" i="9"/>
  <c r="CG117" i="9" s="1"/>
  <c r="BA85" i="9"/>
  <c r="CK85" i="9" s="1"/>
  <c r="AW65" i="9"/>
  <c r="CG65" i="9" s="1"/>
  <c r="AL63" i="9"/>
  <c r="BV63" i="9" s="1"/>
  <c r="AR11" i="9"/>
  <c r="CB11" i="9" s="1"/>
  <c r="AI9" i="9"/>
  <c r="BS9" i="9" s="1"/>
  <c r="AZ167" i="9"/>
  <c r="CJ167" i="9" s="1"/>
  <c r="AC167" i="9"/>
  <c r="BM167" i="9" s="1"/>
  <c r="AI153" i="9"/>
  <c r="BS153" i="9" s="1"/>
  <c r="Y153" i="9"/>
  <c r="BI153" i="9" s="1"/>
  <c r="AF175" i="9"/>
  <c r="BP175" i="9" s="1"/>
  <c r="Z171" i="9"/>
  <c r="BJ171" i="9" s="1"/>
  <c r="Y30" i="9"/>
  <c r="BI30" i="9" s="1"/>
  <c r="AO20" i="9"/>
  <c r="BY20" i="9" s="1"/>
  <c r="AU166" i="9"/>
  <c r="CE166" i="9" s="1"/>
  <c r="AN153" i="9"/>
  <c r="BX153" i="9" s="1"/>
  <c r="AW175" i="9"/>
  <c r="CG175" i="9" s="1"/>
  <c r="AU171" i="9"/>
  <c r="CE171" i="9" s="1"/>
  <c r="AT151" i="9"/>
  <c r="CD151" i="9" s="1"/>
  <c r="AL177" i="9"/>
  <c r="BV177" i="9" s="1"/>
  <c r="AI178" i="9"/>
  <c r="BS178" i="9" s="1"/>
  <c r="AU178" i="9"/>
  <c r="CE178" i="9" s="1"/>
  <c r="AG118" i="9"/>
  <c r="BQ118" i="9" s="1"/>
  <c r="AA118" i="9"/>
  <c r="BK118" i="9" s="1"/>
  <c r="AN51" i="9"/>
  <c r="BX51" i="9" s="1"/>
  <c r="AH51" i="9"/>
  <c r="BR51" i="9" s="1"/>
  <c r="AC20" i="9"/>
  <c r="BM20" i="9" s="1"/>
  <c r="AW40" i="9"/>
  <c r="CG40" i="9" s="1"/>
  <c r="AC86" i="9"/>
  <c r="BM86" i="9" s="1"/>
  <c r="AU85" i="9"/>
  <c r="CE85" i="9" s="1"/>
  <c r="AX66" i="9"/>
  <c r="CH66" i="9" s="1"/>
  <c r="AX65" i="9"/>
  <c r="CH65" i="9" s="1"/>
  <c r="AY10" i="9"/>
  <c r="CI10" i="9" s="1"/>
  <c r="AG153" i="9"/>
  <c r="BQ153" i="9" s="1"/>
  <c r="AY171" i="9"/>
  <c r="CI171" i="9" s="1"/>
  <c r="AK151" i="9"/>
  <c r="BU151" i="9" s="1"/>
  <c r="AU31" i="9"/>
  <c r="CE31" i="9" s="1"/>
  <c r="AX177" i="9"/>
  <c r="CH177" i="9" s="1"/>
  <c r="AB37" i="9"/>
  <c r="BL37" i="9" s="1"/>
  <c r="AH37" i="9"/>
  <c r="BR37" i="9" s="1"/>
  <c r="AA174" i="9"/>
  <c r="BK174" i="9" s="1"/>
  <c r="AO173" i="9"/>
  <c r="BY173" i="9" s="1"/>
  <c r="AU51" i="9"/>
  <c r="CE51" i="9" s="1"/>
  <c r="AB42" i="9"/>
  <c r="BL42" i="9" s="1"/>
  <c r="AM170" i="9"/>
  <c r="BW170" i="9" s="1"/>
  <c r="AF117" i="9"/>
  <c r="BP117" i="9" s="1"/>
  <c r="AA115" i="9"/>
  <c r="BK115" i="9" s="1"/>
  <c r="AB114" i="9"/>
  <c r="BL114" i="9" s="1"/>
  <c r="AG21" i="9"/>
  <c r="BQ21" i="9" s="1"/>
  <c r="AL8" i="9"/>
  <c r="BV8" i="9" s="1"/>
  <c r="AX113" i="9"/>
  <c r="CH113" i="9" s="1"/>
  <c r="AQ191" i="9"/>
  <c r="CA191" i="9" s="1"/>
  <c r="AI190" i="9"/>
  <c r="BS190" i="9" s="1"/>
  <c r="CW189" i="9"/>
  <c r="AG189" i="9"/>
  <c r="BQ189" i="9" s="1"/>
  <c r="AZ149" i="9"/>
  <c r="CJ149" i="9" s="1"/>
  <c r="AW185" i="9"/>
  <c r="CG185" i="9" s="1"/>
  <c r="AG37" i="9"/>
  <c r="BQ37" i="9" s="1"/>
  <c r="CW187" i="9"/>
  <c r="AQ187" i="9"/>
  <c r="CA187" i="9" s="1"/>
  <c r="Z187" i="9"/>
  <c r="BJ187" i="9" s="1"/>
  <c r="AL113" i="9"/>
  <c r="BV113" i="9" s="1"/>
  <c r="AB191" i="9"/>
  <c r="BL191" i="9" s="1"/>
  <c r="AG190" i="9"/>
  <c r="BQ190" i="9" s="1"/>
  <c r="AF189" i="9"/>
  <c r="BP189" i="9" s="1"/>
  <c r="AU111" i="9"/>
  <c r="CE111" i="9" s="1"/>
  <c r="BA111" i="9"/>
  <c r="CK111" i="9" s="1"/>
  <c r="AY119" i="9"/>
  <c r="CI119" i="9" s="1"/>
  <c r="AY173" i="9"/>
  <c r="CI173" i="9" s="1"/>
  <c r="AI116" i="9"/>
  <c r="BS116" i="9" s="1"/>
  <c r="AO115" i="9"/>
  <c r="BY115" i="9" s="1"/>
  <c r="AX115" i="9"/>
  <c r="CH115" i="9" s="1"/>
  <c r="AN114" i="9"/>
  <c r="BX114" i="9" s="1"/>
  <c r="CW50" i="9"/>
  <c r="Y50" i="9"/>
  <c r="BI50" i="9" s="1"/>
  <c r="AQ185" i="9"/>
  <c r="CA185" i="9" s="1"/>
  <c r="AF37" i="9"/>
  <c r="BP37" i="9" s="1"/>
  <c r="AR20" i="9"/>
  <c r="CB20" i="9" s="1"/>
  <c r="CW183" i="9"/>
  <c r="AA8" i="9"/>
  <c r="BK8" i="9" s="1"/>
  <c r="Z113" i="9"/>
  <c r="BJ113" i="9" s="1"/>
  <c r="AR181" i="9"/>
  <c r="CB181" i="9" s="1"/>
  <c r="AF190" i="9"/>
  <c r="BP190" i="9" s="1"/>
  <c r="AW189" i="9"/>
  <c r="CG189" i="9" s="1"/>
  <c r="Y195" i="9"/>
  <c r="BI195" i="9" s="1"/>
  <c r="AM195" i="9"/>
  <c r="BW195" i="9" s="1"/>
  <c r="AR112" i="9"/>
  <c r="CB112" i="9" s="1"/>
  <c r="CW174" i="9"/>
  <c r="Y174" i="9"/>
  <c r="AQ174" i="9"/>
  <c r="CA174" i="9" s="1"/>
  <c r="AG51" i="9"/>
  <c r="BQ51" i="9" s="1"/>
  <c r="AG42" i="9"/>
  <c r="BQ42" i="9" s="1"/>
  <c r="AM117" i="9"/>
  <c r="BW117" i="9" s="1"/>
  <c r="AK185" i="9"/>
  <c r="BU185" i="9" s="1"/>
  <c r="AL20" i="9"/>
  <c r="BV20" i="9" s="1"/>
  <c r="AT113" i="9"/>
  <c r="CD113" i="9" s="1"/>
  <c r="AO181" i="9"/>
  <c r="BY181" i="9" s="1"/>
  <c r="AG191" i="9"/>
  <c r="BQ191" i="9" s="1"/>
  <c r="AC184" i="9"/>
  <c r="BM184" i="9" s="1"/>
  <c r="CW31" i="9"/>
  <c r="AW31" i="9"/>
  <c r="CG31" i="9" s="1"/>
  <c r="AR145" i="9"/>
  <c r="CB145" i="9" s="1"/>
  <c r="AM177" i="9"/>
  <c r="BW177" i="9" s="1"/>
  <c r="AG179" i="9"/>
  <c r="BQ179" i="9" s="1"/>
  <c r="Z119" i="9"/>
  <c r="BJ119" i="9" s="1"/>
  <c r="AB118" i="9"/>
  <c r="BL118" i="9" s="1"/>
  <c r="AK174" i="9"/>
  <c r="BU174" i="9" s="1"/>
  <c r="AK173" i="9"/>
  <c r="BU173" i="9" s="1"/>
  <c r="AH172" i="9"/>
  <c r="BR172" i="9" s="1"/>
  <c r="AX51" i="9"/>
  <c r="CH51" i="9" s="1"/>
  <c r="AZ43" i="9"/>
  <c r="CJ43" i="9" s="1"/>
  <c r="BA42" i="9"/>
  <c r="CK42" i="9" s="1"/>
  <c r="AW170" i="9"/>
  <c r="CG170" i="9" s="1"/>
  <c r="AF170" i="9"/>
  <c r="BP170" i="9" s="1"/>
  <c r="AH116" i="9"/>
  <c r="BR116" i="9" s="1"/>
  <c r="AK115" i="9"/>
  <c r="BU115" i="9" s="1"/>
  <c r="AS114" i="9"/>
  <c r="CC114" i="9" s="1"/>
  <c r="AR50" i="9"/>
  <c r="CB50" i="9" s="1"/>
  <c r="AY37" i="9"/>
  <c r="CI37" i="9" s="1"/>
  <c r="Z21" i="9"/>
  <c r="BJ21" i="9" s="1"/>
  <c r="Z20" i="9"/>
  <c r="BJ20" i="9" s="1"/>
  <c r="AI8" i="9"/>
  <c r="BS8" i="9" s="1"/>
  <c r="AM113" i="9"/>
  <c r="BW113" i="9" s="1"/>
  <c r="AR191" i="9"/>
  <c r="CB191" i="9" s="1"/>
  <c r="BA173" i="9"/>
  <c r="CK173" i="9" s="1"/>
  <c r="Z51" i="9"/>
  <c r="BJ51" i="9" s="1"/>
  <c r="AX180" i="9"/>
  <c r="CH180" i="9" s="1"/>
  <c r="Z115" i="9"/>
  <c r="BJ115" i="9" s="1"/>
  <c r="AH185" i="9"/>
  <c r="BR185" i="9" s="1"/>
  <c r="AQ37" i="9"/>
  <c r="CA37" i="9" s="1"/>
  <c r="AB21" i="9"/>
  <c r="BL21" i="9" s="1"/>
  <c r="AH20" i="9"/>
  <c r="BR20" i="9" s="1"/>
  <c r="AC183" i="9"/>
  <c r="BM183" i="9" s="1"/>
  <c r="AZ150" i="9"/>
  <c r="CJ150" i="9" s="1"/>
  <c r="AU187" i="9"/>
  <c r="CE187" i="9" s="1"/>
  <c r="AS112" i="9"/>
  <c r="CC112" i="9" s="1"/>
  <c r="AQ112" i="9"/>
  <c r="CA112" i="9" s="1"/>
  <c r="AF118" i="9"/>
  <c r="BP118" i="9" s="1"/>
  <c r="AG173" i="9"/>
  <c r="BQ173" i="9" s="1"/>
  <c r="AO51" i="9"/>
  <c r="BY51" i="9" s="1"/>
  <c r="AQ43" i="9"/>
  <c r="CA43" i="9" s="1"/>
  <c r="AU180" i="9"/>
  <c r="CE180" i="9" s="1"/>
  <c r="BA50" i="9"/>
  <c r="CK50" i="9" s="1"/>
  <c r="AA185" i="9"/>
  <c r="BK185" i="9" s="1"/>
  <c r="AK37" i="9"/>
  <c r="BU37" i="9" s="1"/>
  <c r="AX21" i="9"/>
  <c r="CH21" i="9" s="1"/>
  <c r="AT183" i="9"/>
  <c r="CD183" i="9" s="1"/>
  <c r="Y150" i="9"/>
  <c r="BI150" i="9" s="1"/>
  <c r="AF150" i="9"/>
  <c r="BP150" i="9" s="1"/>
  <c r="AL188" i="9"/>
  <c r="BV188" i="9" s="1"/>
  <c r="AT187" i="9"/>
  <c r="CD187" i="9" s="1"/>
  <c r="CW113" i="9"/>
  <c r="Y113" i="9"/>
  <c r="BI113" i="9" s="1"/>
  <c r="AY181" i="9"/>
  <c r="CI181" i="9" s="1"/>
  <c r="AF191" i="9"/>
  <c r="BP191" i="9" s="1"/>
  <c r="AO190" i="9"/>
  <c r="BY190" i="9" s="1"/>
  <c r="AI194" i="9"/>
  <c r="BS194" i="9" s="1"/>
  <c r="AU194" i="9"/>
  <c r="CE194" i="9" s="1"/>
  <c r="AR164" i="9"/>
  <c r="CB164" i="9" s="1"/>
  <c r="AS109" i="9"/>
  <c r="CC109" i="9" s="1"/>
  <c r="Y109" i="9"/>
  <c r="BI109" i="9" s="1"/>
  <c r="AF109" i="9"/>
  <c r="BP109" i="9" s="1"/>
  <c r="Y108" i="9"/>
  <c r="BI108" i="9" s="1"/>
  <c r="AS108" i="9"/>
  <c r="CC108" i="9" s="1"/>
  <c r="CW57" i="9"/>
  <c r="AT57" i="9"/>
  <c r="CD57" i="9" s="1"/>
  <c r="CW56" i="9"/>
  <c r="CW98" i="9"/>
  <c r="AQ97" i="9"/>
  <c r="CA97" i="9" s="1"/>
  <c r="AF97" i="9"/>
  <c r="BP97" i="9" s="1"/>
  <c r="AT200" i="9"/>
  <c r="CD200" i="9" s="1"/>
  <c r="AX142" i="9"/>
  <c r="CH142" i="9" s="1"/>
  <c r="AG142" i="9"/>
  <c r="BQ142" i="9" s="1"/>
  <c r="AI197" i="9"/>
  <c r="BS197" i="9" s="1"/>
  <c r="AC197" i="9"/>
  <c r="BM197" i="9" s="1"/>
  <c r="AU149" i="9"/>
  <c r="CE149" i="9" s="1"/>
  <c r="Y111" i="9"/>
  <c r="BI111" i="9" s="1"/>
  <c r="Z164" i="9"/>
  <c r="BJ164" i="9" s="1"/>
  <c r="AZ163" i="9"/>
  <c r="CJ163" i="9" s="1"/>
  <c r="AM47" i="9"/>
  <c r="BW47" i="9" s="1"/>
  <c r="Z196" i="9"/>
  <c r="BJ196" i="9" s="1"/>
  <c r="AH144" i="9"/>
  <c r="BR144" i="9" s="1"/>
  <c r="AW144" i="9"/>
  <c r="CG144" i="9" s="1"/>
  <c r="AA143" i="9"/>
  <c r="BK143" i="9" s="1"/>
  <c r="AR198" i="9"/>
  <c r="CB198" i="9" s="1"/>
  <c r="AQ109" i="9"/>
  <c r="AO97" i="9"/>
  <c r="BY97" i="9" s="1"/>
  <c r="AH142" i="9"/>
  <c r="BR142" i="9" s="1"/>
  <c r="AH197" i="9"/>
  <c r="BR197" i="9" s="1"/>
  <c r="AT197" i="9"/>
  <c r="CD197" i="9" s="1"/>
  <c r="AE165" i="9"/>
  <c r="BO165" i="9" s="1"/>
  <c r="AW165" i="9"/>
  <c r="CG165" i="9" s="1"/>
  <c r="AF163" i="9"/>
  <c r="BP163" i="9" s="1"/>
  <c r="AT194" i="9"/>
  <c r="CD194" i="9" s="1"/>
  <c r="AB164" i="9"/>
  <c r="BL164" i="9" s="1"/>
  <c r="AB163" i="9"/>
  <c r="BL163" i="9" s="1"/>
  <c r="AI196" i="9"/>
  <c r="BS196" i="9" s="1"/>
  <c r="AL144" i="9"/>
  <c r="BV144" i="9" s="1"/>
  <c r="AR143" i="9"/>
  <c r="CB143" i="9" s="1"/>
  <c r="AZ198" i="9"/>
  <c r="CJ198" i="9" s="1"/>
  <c r="AX98" i="9"/>
  <c r="CH98" i="9" s="1"/>
  <c r="CW200" i="9"/>
  <c r="AQ200" i="9"/>
  <c r="CA200" i="9" s="1"/>
  <c r="AE142" i="9"/>
  <c r="BO142" i="9" s="1"/>
  <c r="AH168" i="9"/>
  <c r="BR168" i="9" s="1"/>
  <c r="AT168" i="9"/>
  <c r="CD168" i="9" s="1"/>
  <c r="CW194" i="9"/>
  <c r="AA194" i="9"/>
  <c r="BK194" i="9" s="1"/>
  <c r="CW164" i="9"/>
  <c r="AC163" i="9"/>
  <c r="BM163" i="9" s="1"/>
  <c r="AU109" i="9"/>
  <c r="CE109" i="9" s="1"/>
  <c r="AA57" i="9"/>
  <c r="BK57" i="9" s="1"/>
  <c r="AI56" i="9"/>
  <c r="BS56" i="9" s="1"/>
  <c r="AK97" i="9"/>
  <c r="BU97" i="9" s="1"/>
  <c r="AX68" i="9"/>
  <c r="CH68" i="9" s="1"/>
  <c r="AR160" i="9"/>
  <c r="CB160" i="9" s="1"/>
  <c r="AQ142" i="9"/>
  <c r="CA142" i="9" s="1"/>
  <c r="AT109" i="9"/>
  <c r="CD109" i="9" s="1"/>
  <c r="AY108" i="9"/>
  <c r="CI108" i="9" s="1"/>
  <c r="AH56" i="9"/>
  <c r="BR56" i="9" s="1"/>
  <c r="AL56" i="9"/>
  <c r="BV56" i="9" s="1"/>
  <c r="AH199" i="9"/>
  <c r="BR199" i="9" s="1"/>
  <c r="AL160" i="9"/>
  <c r="BV160" i="9" s="1"/>
  <c r="AR149" i="9"/>
  <c r="CB149" i="9" s="1"/>
  <c r="AB111" i="9"/>
  <c r="BL111" i="9" s="1"/>
  <c r="AZ47" i="9"/>
  <c r="CJ47" i="9" s="1"/>
  <c r="AW47" i="9"/>
  <c r="CG47" i="9" s="1"/>
  <c r="AF47" i="9"/>
  <c r="BP47" i="9" s="1"/>
  <c r="AC196" i="9"/>
  <c r="BM196" i="9" s="1"/>
  <c r="Y196" i="9"/>
  <c r="BI196" i="9" s="1"/>
  <c r="CW109" i="9"/>
  <c r="AW108" i="9"/>
  <c r="CG108" i="9" s="1"/>
  <c r="AF108" i="9"/>
  <c r="BP108" i="9" s="1"/>
  <c r="AH57" i="9"/>
  <c r="BR57" i="9" s="1"/>
  <c r="AB98" i="9"/>
  <c r="BL98" i="9" s="1"/>
  <c r="AQ98" i="9"/>
  <c r="CA98" i="9" s="1"/>
  <c r="CW97" i="9"/>
  <c r="AH97" i="9"/>
  <c r="BR97" i="9" s="1"/>
  <c r="AW199" i="9"/>
  <c r="CG199" i="9" s="1"/>
  <c r="Z160" i="9"/>
  <c r="BJ160" i="9" s="1"/>
  <c r="AB198" i="9"/>
  <c r="BL198" i="9" s="1"/>
  <c r="Z57" i="9"/>
  <c r="BJ57" i="9" s="1"/>
  <c r="AZ57" i="9"/>
  <c r="CJ57" i="9" s="1"/>
  <c r="AU68" i="9"/>
  <c r="CE68" i="9" s="1"/>
  <c r="Y199" i="9"/>
  <c r="BI199" i="9" s="1"/>
  <c r="AQ199" i="9"/>
  <c r="CA199" i="9" s="1"/>
  <c r="AW148" i="9"/>
  <c r="CG148" i="9" s="1"/>
  <c r="AH160" i="9"/>
  <c r="BR160" i="9" s="1"/>
  <c r="AB142" i="9"/>
  <c r="BL142" i="9" s="1"/>
  <c r="AN197" i="9"/>
  <c r="BX197" i="9" s="1"/>
  <c r="AZ156" i="9"/>
  <c r="CJ156" i="9" s="1"/>
  <c r="AI36" i="9"/>
  <c r="BS36" i="9" s="1"/>
  <c r="CW192" i="9"/>
  <c r="AF197" i="9"/>
  <c r="BP197" i="9" s="1"/>
  <c r="AW168" i="9"/>
  <c r="CG168" i="9" s="1"/>
  <c r="AK192" i="9"/>
  <c r="BU192" i="9" s="1"/>
  <c r="AM95" i="9"/>
  <c r="BW95" i="9" s="1"/>
  <c r="AK36" i="9"/>
  <c r="BU36" i="9" s="1"/>
  <c r="AX186" i="9"/>
  <c r="CH186" i="9" s="1"/>
  <c r="AL95" i="9"/>
  <c r="BV95" i="9" s="1"/>
  <c r="AQ197" i="9"/>
  <c r="CA197" i="9" s="1"/>
  <c r="Y168" i="9"/>
  <c r="BI168" i="9" s="1"/>
  <c r="AT165" i="9"/>
  <c r="CD165" i="9" s="1"/>
  <c r="AF186" i="9"/>
  <c r="BP186" i="9" s="1"/>
  <c r="AA36" i="9"/>
  <c r="BK36" i="9" s="1"/>
  <c r="AG32" i="9"/>
  <c r="BQ32" i="9" s="1"/>
  <c r="AS32" i="9"/>
  <c r="CC32" i="9" s="1"/>
  <c r="AA32" i="9"/>
  <c r="BK32" i="9" s="1"/>
  <c r="AY32" i="9"/>
  <c r="CI32" i="9" s="1"/>
  <c r="AE80" i="9"/>
  <c r="BO80" i="9" s="1"/>
  <c r="AK80" i="9"/>
  <c r="BU80" i="9" s="1"/>
  <c r="AN96" i="9"/>
  <c r="BX96" i="9" s="1"/>
  <c r="AT96" i="9"/>
  <c r="CD96" i="9" s="1"/>
  <c r="AO104" i="9"/>
  <c r="BY104" i="9" s="1"/>
  <c r="AU104" i="9"/>
  <c r="CE104" i="9" s="1"/>
  <c r="AI104" i="9"/>
  <c r="BS104" i="9" s="1"/>
  <c r="AF147" i="9"/>
  <c r="BP147" i="9" s="1"/>
  <c r="AR147" i="9"/>
  <c r="CB147" i="9" s="1"/>
  <c r="AW72" i="9"/>
  <c r="CG72" i="9" s="1"/>
  <c r="AE72" i="9"/>
  <c r="BO72" i="9" s="1"/>
  <c r="AF72" i="9"/>
  <c r="BP72" i="9" s="1"/>
  <c r="AG72" i="9"/>
  <c r="AO72" i="9"/>
  <c r="BY72" i="9" s="1"/>
  <c r="AX99" i="9"/>
  <c r="CH99" i="9" s="1"/>
  <c r="AF99" i="9"/>
  <c r="BP99" i="9" s="1"/>
  <c r="AS81" i="9"/>
  <c r="CC81" i="9" s="1"/>
  <c r="BA106" i="9"/>
  <c r="CK106" i="9" s="1"/>
  <c r="AZ106" i="9"/>
  <c r="CJ106" i="9" s="1"/>
  <c r="AZ104" i="9"/>
  <c r="CJ104" i="9" s="1"/>
  <c r="AU140" i="9"/>
  <c r="CE140" i="9" s="1"/>
  <c r="AQ140" i="9"/>
  <c r="CA140" i="9" s="1"/>
  <c r="CW147" i="9"/>
  <c r="AA12" i="9"/>
  <c r="BK12" i="9" s="1"/>
  <c r="AS12" i="9"/>
  <c r="CC12" i="9" s="1"/>
  <c r="CW81" i="9"/>
  <c r="AK16" i="9"/>
  <c r="BU16" i="9" s="1"/>
  <c r="AO16" i="9"/>
  <c r="BY16" i="9" s="1"/>
  <c r="AN105" i="9"/>
  <c r="BX105" i="9" s="1"/>
  <c r="AT105" i="9"/>
  <c r="CD105" i="9" s="1"/>
  <c r="AB105" i="9"/>
  <c r="BL105" i="9" s="1"/>
  <c r="AS25" i="9"/>
  <c r="CC25" i="9" s="1"/>
  <c r="AQ25" i="9"/>
  <c r="CA25" i="9" s="1"/>
  <c r="Y141" i="9"/>
  <c r="BI141" i="9" s="1"/>
  <c r="AE141" i="9"/>
  <c r="BO141" i="9" s="1"/>
  <c r="AN33" i="9"/>
  <c r="BX33" i="9" s="1"/>
  <c r="Z33" i="9"/>
  <c r="BJ33" i="9" s="1"/>
  <c r="AE18" i="9"/>
  <c r="BO18" i="9" s="1"/>
  <c r="AW18" i="9"/>
  <c r="CG18" i="9" s="1"/>
  <c r="AB18" i="9"/>
  <c r="BL18" i="9" s="1"/>
  <c r="AI18" i="9"/>
  <c r="BS18" i="9" s="1"/>
  <c r="AH38" i="9"/>
  <c r="BR38" i="9" s="1"/>
  <c r="AZ38" i="9"/>
  <c r="CJ38" i="9" s="1"/>
  <c r="AL80" i="9"/>
  <c r="BV80" i="9" s="1"/>
  <c r="AW79" i="9"/>
  <c r="CG79" i="9" s="1"/>
  <c r="Y79" i="9"/>
  <c r="BI79" i="9" s="1"/>
  <c r="AE79" i="9"/>
  <c r="BO79" i="9" s="1"/>
  <c r="AM72" i="9"/>
  <c r="BW72" i="9" s="1"/>
  <c r="AU13" i="9"/>
  <c r="CE13" i="9" s="1"/>
  <c r="BA13" i="9"/>
  <c r="CK13" i="9" s="1"/>
  <c r="AC13" i="9"/>
  <c r="BM13" i="9" s="1"/>
  <c r="AR54" i="9"/>
  <c r="CB54" i="9" s="1"/>
  <c r="Y96" i="9"/>
  <c r="AW96" i="9"/>
  <c r="CG96" i="9" s="1"/>
  <c r="AE96" i="9"/>
  <c r="BO96" i="9" s="1"/>
  <c r="Z137" i="9"/>
  <c r="BJ137" i="9" s="1"/>
  <c r="Y137" i="9"/>
  <c r="BI137" i="9" s="1"/>
  <c r="AI45" i="9"/>
  <c r="BS45" i="9" s="1"/>
  <c r="BA45" i="9"/>
  <c r="CK45" i="9" s="1"/>
  <c r="AA100" i="9"/>
  <c r="BK100" i="9" s="1"/>
  <c r="AN16" i="9"/>
  <c r="BX16" i="9" s="1"/>
  <c r="AY107" i="9"/>
  <c r="CI107" i="9" s="1"/>
  <c r="BA12" i="9"/>
  <c r="CK12" i="9" s="1"/>
  <c r="AX12" i="9"/>
  <c r="CH12" i="9" s="1"/>
  <c r="AO138" i="9"/>
  <c r="BY138" i="9" s="1"/>
  <c r="AK138" i="9"/>
  <c r="BU138" i="9" s="1"/>
  <c r="AL138" i="9"/>
  <c r="BV138" i="9" s="1"/>
  <c r="AN138" i="9"/>
  <c r="BX138" i="9" s="1"/>
  <c r="AN134" i="9"/>
  <c r="BX134" i="9" s="1"/>
  <c r="AZ134" i="9"/>
  <c r="CJ134" i="9" s="1"/>
  <c r="AT134" i="9"/>
  <c r="CD134" i="9" s="1"/>
  <c r="AE129" i="9"/>
  <c r="BO129" i="9" s="1"/>
  <c r="AQ129" i="9"/>
  <c r="CA129" i="9" s="1"/>
  <c r="AF129" i="9"/>
  <c r="BP129" i="9" s="1"/>
  <c r="AI129" i="9"/>
  <c r="BS129" i="9" s="1"/>
  <c r="AL129" i="9"/>
  <c r="BV129" i="9" s="1"/>
  <c r="AF128" i="9"/>
  <c r="BP128" i="9" s="1"/>
  <c r="AR128" i="9"/>
  <c r="CB128" i="9" s="1"/>
  <c r="AI100" i="9"/>
  <c r="BS100" i="9" s="1"/>
  <c r="BA100" i="9"/>
  <c r="CK100" i="9" s="1"/>
  <c r="AH72" i="9"/>
  <c r="BR72" i="9" s="1"/>
  <c r="CW99" i="9"/>
  <c r="AZ105" i="9"/>
  <c r="CJ105" i="9" s="1"/>
  <c r="BA104" i="9"/>
  <c r="CK104" i="9" s="1"/>
  <c r="AM141" i="9"/>
  <c r="BW141" i="9" s="1"/>
  <c r="AH33" i="9"/>
  <c r="BR33" i="9" s="1"/>
  <c r="AK33" i="9"/>
  <c r="BU33" i="9" s="1"/>
  <c r="Y18" i="9"/>
  <c r="BI18" i="9" s="1"/>
  <c r="AK18" i="9"/>
  <c r="BU18" i="9" s="1"/>
  <c r="AO18" i="9"/>
  <c r="AE38" i="9"/>
  <c r="BO38" i="9" s="1"/>
  <c r="AW38" i="9"/>
  <c r="CG38" i="9" s="1"/>
  <c r="AK79" i="9"/>
  <c r="BU79" i="9" s="1"/>
  <c r="AL79" i="9"/>
  <c r="BV79" i="9" s="1"/>
  <c r="AO79" i="9"/>
  <c r="BY79" i="9" s="1"/>
  <c r="AG16" i="9"/>
  <c r="BQ16" i="9" s="1"/>
  <c r="AO14" i="9"/>
  <c r="BY14" i="9" s="1"/>
  <c r="AU14" i="9"/>
  <c r="CE14" i="9" s="1"/>
  <c r="AR55" i="9"/>
  <c r="CB55" i="9" s="1"/>
  <c r="AM106" i="9"/>
  <c r="BW106" i="9" s="1"/>
  <c r="AY106" i="9"/>
  <c r="CI106" i="9" s="1"/>
  <c r="AA106" i="9"/>
  <c r="BK106" i="9" s="1"/>
  <c r="AK96" i="9"/>
  <c r="AL96" i="9"/>
  <c r="BV96" i="9" s="1"/>
  <c r="AO141" i="9"/>
  <c r="BY141" i="9" s="1"/>
  <c r="AF137" i="9"/>
  <c r="BP137" i="9" s="1"/>
  <c r="AX137" i="9"/>
  <c r="CH137" i="9" s="1"/>
  <c r="CW140" i="9"/>
  <c r="Z44" i="9"/>
  <c r="BJ44" i="9" s="1"/>
  <c r="AF44" i="9"/>
  <c r="AH102" i="9"/>
  <c r="BR102" i="9" s="1"/>
  <c r="AN102" i="9"/>
  <c r="BX102" i="9" s="1"/>
  <c r="AY100" i="9"/>
  <c r="AQ55" i="9"/>
  <c r="AU55" i="9"/>
  <c r="CE55" i="9" s="1"/>
  <c r="BA107" i="9"/>
  <c r="CK107" i="9" s="1"/>
  <c r="AR105" i="9"/>
  <c r="CB105" i="9" s="1"/>
  <c r="AU105" i="9"/>
  <c r="CE105" i="9" s="1"/>
  <c r="AH141" i="9"/>
  <c r="BR141" i="9" s="1"/>
  <c r="AB33" i="9"/>
  <c r="BL33" i="9" s="1"/>
  <c r="CW44" i="9"/>
  <c r="AS22" i="9"/>
  <c r="CC22" i="9" s="1"/>
  <c r="AU22" i="9"/>
  <c r="CE22" i="9" s="1"/>
  <c r="AR22" i="9"/>
  <c r="CB22" i="9" s="1"/>
  <c r="AA38" i="9"/>
  <c r="BK38" i="9" s="1"/>
  <c r="AS100" i="9"/>
  <c r="CC100" i="9" s="1"/>
  <c r="AT81" i="9"/>
  <c r="CD81" i="9" s="1"/>
  <c r="CW55" i="9"/>
  <c r="AL55" i="9"/>
  <c r="BV55" i="9" s="1"/>
  <c r="AO96" i="9"/>
  <c r="BY96" i="9" s="1"/>
  <c r="AG96" i="9"/>
  <c r="BQ96" i="9" s="1"/>
  <c r="AK25" i="9"/>
  <c r="BU25" i="9" s="1"/>
  <c r="AA141" i="9"/>
  <c r="BK141" i="9" s="1"/>
  <c r="Y147" i="9"/>
  <c r="BI147" i="9" s="1"/>
  <c r="AE147" i="9"/>
  <c r="BO147" i="9" s="1"/>
  <c r="AM33" i="9"/>
  <c r="BW33" i="9" s="1"/>
  <c r="AG33" i="9"/>
  <c r="BQ33" i="9" s="1"/>
  <c r="AS33" i="9"/>
  <c r="CC33" i="9" s="1"/>
  <c r="AU45" i="9"/>
  <c r="CE45" i="9" s="1"/>
  <c r="AT45" i="9"/>
  <c r="CD45" i="9" s="1"/>
  <c r="AQ45" i="9"/>
  <c r="CA45" i="9" s="1"/>
  <c r="AT44" i="9"/>
  <c r="CD44" i="9" s="1"/>
  <c r="Y22" i="9"/>
  <c r="BI22" i="9" s="1"/>
  <c r="AE22" i="9"/>
  <c r="BO22" i="9" s="1"/>
  <c r="AQ22" i="9"/>
  <c r="CA22" i="9" s="1"/>
  <c r="AN22" i="9"/>
  <c r="BX22" i="9" s="1"/>
  <c r="BA155" i="9"/>
  <c r="CK155" i="9" s="1"/>
  <c r="Y61" i="9"/>
  <c r="BI61" i="9" s="1"/>
  <c r="AK61" i="9"/>
  <c r="BU61" i="9" s="1"/>
  <c r="AC132" i="9"/>
  <c r="BM132" i="9" s="1"/>
  <c r="AI132" i="9"/>
  <c r="BS132" i="9" s="1"/>
  <c r="AI131" i="9"/>
  <c r="BS131" i="9" s="1"/>
  <c r="AU131" i="9"/>
  <c r="CE131" i="9" s="1"/>
  <c r="AB131" i="9"/>
  <c r="BL131" i="9" s="1"/>
  <c r="Z131" i="9"/>
  <c r="BJ131" i="9" s="1"/>
  <c r="AW126" i="9"/>
  <c r="CG126" i="9" s="1"/>
  <c r="Y126" i="9"/>
  <c r="BI126" i="9" s="1"/>
  <c r="AE126" i="9"/>
  <c r="BO126" i="9" s="1"/>
  <c r="BA122" i="9"/>
  <c r="CK122" i="9" s="1"/>
  <c r="AX122" i="9"/>
  <c r="CH122" i="9" s="1"/>
  <c r="AY79" i="9"/>
  <c r="CI79" i="9" s="1"/>
  <c r="AH15" i="9"/>
  <c r="BR15" i="9" s="1"/>
  <c r="AB13" i="9"/>
  <c r="BL13" i="9" s="1"/>
  <c r="AM13" i="9"/>
  <c r="BW13" i="9" s="1"/>
  <c r="AQ106" i="9"/>
  <c r="CA106" i="9" s="1"/>
  <c r="AH106" i="9"/>
  <c r="BR106" i="9" s="1"/>
  <c r="AA104" i="9"/>
  <c r="BK104" i="9" s="1"/>
  <c r="AN139" i="9"/>
  <c r="BX139" i="9" s="1"/>
  <c r="AF96" i="9"/>
  <c r="BP96" i="9" s="1"/>
  <c r="AR141" i="9"/>
  <c r="CB141" i="9" s="1"/>
  <c r="AX141" i="9"/>
  <c r="CH141" i="9" s="1"/>
  <c r="AQ147" i="9"/>
  <c r="CA147" i="9" s="1"/>
  <c r="AF33" i="9"/>
  <c r="BP33" i="9" s="1"/>
  <c r="Y23" i="9"/>
  <c r="BI23" i="9" s="1"/>
  <c r="AZ155" i="9"/>
  <c r="CJ155" i="9" s="1"/>
  <c r="AR127" i="9"/>
  <c r="CB127" i="9" s="1"/>
  <c r="AQ127" i="9"/>
  <c r="AS127" i="9"/>
  <c r="CC127" i="9" s="1"/>
  <c r="AT127" i="9"/>
  <c r="CD127" i="9" s="1"/>
  <c r="AU127" i="9"/>
  <c r="CE127" i="9" s="1"/>
  <c r="Z125" i="9"/>
  <c r="BJ125" i="9" s="1"/>
  <c r="AX125" i="9"/>
  <c r="CH125" i="9" s="1"/>
  <c r="AF125" i="9"/>
  <c r="BP125" i="9" s="1"/>
  <c r="AZ82" i="9"/>
  <c r="CJ82" i="9" s="1"/>
  <c r="AX82" i="9"/>
  <c r="CH82" i="9" s="1"/>
  <c r="AW80" i="9"/>
  <c r="CG80" i="9" s="1"/>
  <c r="AQ14" i="9"/>
  <c r="CA14" i="9" s="1"/>
  <c r="AA14" i="9"/>
  <c r="BK14" i="9" s="1"/>
  <c r="AM54" i="9"/>
  <c r="BW54" i="9" s="1"/>
  <c r="AG54" i="9"/>
  <c r="BQ54" i="9" s="1"/>
  <c r="AN104" i="9"/>
  <c r="BX104" i="9" s="1"/>
  <c r="BA103" i="9"/>
  <c r="CK103" i="9" s="1"/>
  <c r="AX139" i="9"/>
  <c r="CH139" i="9" s="1"/>
  <c r="AG141" i="9"/>
  <c r="BQ141" i="9" s="1"/>
  <c r="AK147" i="9"/>
  <c r="BU147" i="9" s="1"/>
  <c r="AC18" i="9"/>
  <c r="BM18" i="9" s="1"/>
  <c r="AF126" i="9"/>
  <c r="BP126" i="9" s="1"/>
  <c r="AA169" i="9"/>
  <c r="BK169" i="9" s="1"/>
  <c r="AS169" i="9"/>
  <c r="CC169" i="9" s="1"/>
  <c r="CW100" i="9"/>
  <c r="AQ80" i="9"/>
  <c r="CA80" i="9" s="1"/>
  <c r="AN79" i="9"/>
  <c r="BX79" i="9" s="1"/>
  <c r="CW16" i="9"/>
  <c r="AC16" i="9"/>
  <c r="BM16" i="9" s="1"/>
  <c r="BA14" i="9"/>
  <c r="CK14" i="9" s="1"/>
  <c r="AT13" i="9"/>
  <c r="CD13" i="9" s="1"/>
  <c r="AS13" i="9"/>
  <c r="CC13" i="9" s="1"/>
  <c r="AO55" i="9"/>
  <c r="BY55" i="9" s="1"/>
  <c r="Y55" i="9"/>
  <c r="BI55" i="9" s="1"/>
  <c r="AI99" i="9"/>
  <c r="Z99" i="9"/>
  <c r="BJ99" i="9" s="1"/>
  <c r="AQ105" i="9"/>
  <c r="CA105" i="9" s="1"/>
  <c r="AF105" i="9"/>
  <c r="BP105" i="9" s="1"/>
  <c r="AS104" i="9"/>
  <c r="AM103" i="9"/>
  <c r="BW103" i="9" s="1"/>
  <c r="AC139" i="9"/>
  <c r="BM139" i="9" s="1"/>
  <c r="AQ96" i="9"/>
  <c r="CA96" i="9" s="1"/>
  <c r="AX25" i="9"/>
  <c r="CH25" i="9" s="1"/>
  <c r="AQ141" i="9"/>
  <c r="CA141" i="9" s="1"/>
  <c r="CW137" i="9"/>
  <c r="AI147" i="9"/>
  <c r="BS147" i="9" s="1"/>
  <c r="AB147" i="9"/>
  <c r="BL147" i="9" s="1"/>
  <c r="AT33" i="9"/>
  <c r="CD33" i="9" s="1"/>
  <c r="AU44" i="9"/>
  <c r="CE44" i="9" s="1"/>
  <c r="AF102" i="9"/>
  <c r="BP102" i="9" s="1"/>
  <c r="AX102" i="9"/>
  <c r="CH102" i="9" s="1"/>
  <c r="AI130" i="9"/>
  <c r="BS130" i="9" s="1"/>
  <c r="AU130" i="9"/>
  <c r="AC130" i="9"/>
  <c r="BM130" i="9" s="1"/>
  <c r="BA130" i="9"/>
  <c r="CK130" i="9" s="1"/>
  <c r="AW120" i="9"/>
  <c r="CG120" i="9" s="1"/>
  <c r="AN92" i="9"/>
  <c r="BX92" i="9" s="1"/>
  <c r="AB92" i="9"/>
  <c r="BL92" i="9" s="1"/>
  <c r="AT92" i="9"/>
  <c r="CD92" i="9" s="1"/>
  <c r="AZ92" i="9"/>
  <c r="CJ92" i="9" s="1"/>
  <c r="AM38" i="9"/>
  <c r="BW38" i="9" s="1"/>
  <c r="AN72" i="9"/>
  <c r="BX72" i="9" s="1"/>
  <c r="AT55" i="9"/>
  <c r="CD55" i="9" s="1"/>
  <c r="AL33" i="9"/>
  <c r="BV33" i="9" s="1"/>
  <c r="AI12" i="9"/>
  <c r="BS12" i="9" s="1"/>
  <c r="AC12" i="9"/>
  <c r="BM12" i="9" s="1"/>
  <c r="AG161" i="9"/>
  <c r="BQ161" i="9" s="1"/>
  <c r="AY161" i="9"/>
  <c r="CI161" i="9" s="1"/>
  <c r="AS161" i="9"/>
  <c r="CC161" i="9" s="1"/>
  <c r="AZ136" i="9"/>
  <c r="CJ136" i="9" s="1"/>
  <c r="AX136" i="9"/>
  <c r="CH136" i="9" s="1"/>
  <c r="AR124" i="9"/>
  <c r="CB124" i="9" s="1"/>
  <c r="AS124" i="9"/>
  <c r="CC124" i="9" s="1"/>
  <c r="Y38" i="9"/>
  <c r="BI38" i="9" s="1"/>
  <c r="Z100" i="9"/>
  <c r="BJ100" i="9" s="1"/>
  <c r="AA81" i="9"/>
  <c r="BK81" i="9" s="1"/>
  <c r="BA80" i="9"/>
  <c r="CK80" i="9" s="1"/>
  <c r="AI80" i="9"/>
  <c r="BS80" i="9" s="1"/>
  <c r="CW15" i="9"/>
  <c r="AS14" i="9"/>
  <c r="CC14" i="9" s="1"/>
  <c r="AS55" i="9"/>
  <c r="CC55" i="9" s="1"/>
  <c r="AW54" i="9"/>
  <c r="CG54" i="9" s="1"/>
  <c r="AU99" i="9"/>
  <c r="CE99" i="9" s="1"/>
  <c r="AU106" i="9"/>
  <c r="CE106" i="9" s="1"/>
  <c r="AN106" i="9"/>
  <c r="BX106" i="9" s="1"/>
  <c r="AQ104" i="9"/>
  <c r="CA104" i="9" s="1"/>
  <c r="AN103" i="9"/>
  <c r="BX103" i="9" s="1"/>
  <c r="AS139" i="9"/>
  <c r="CC139" i="9" s="1"/>
  <c r="AS96" i="9"/>
  <c r="CC96" i="9" s="1"/>
  <c r="AI96" i="9"/>
  <c r="BS96" i="9" s="1"/>
  <c r="AI25" i="9"/>
  <c r="BS25" i="9" s="1"/>
  <c r="AL137" i="9"/>
  <c r="BV137" i="9" s="1"/>
  <c r="AM140" i="9"/>
  <c r="BW140" i="9" s="1"/>
  <c r="AZ147" i="9"/>
  <c r="CJ147" i="9" s="1"/>
  <c r="AU33" i="9"/>
  <c r="CE33" i="9" s="1"/>
  <c r="AL23" i="9"/>
  <c r="BV23" i="9" s="1"/>
  <c r="AA23" i="9"/>
  <c r="BK23" i="9" s="1"/>
  <c r="AM22" i="9"/>
  <c r="BW22" i="9" s="1"/>
  <c r="CW18" i="9"/>
  <c r="AI52" i="9"/>
  <c r="BS52" i="9" s="1"/>
  <c r="AC52" i="9"/>
  <c r="BM52" i="9" s="1"/>
  <c r="BA52" i="9"/>
  <c r="CK52" i="9" s="1"/>
  <c r="AU52" i="9"/>
  <c r="CE52" i="9" s="1"/>
  <c r="AG133" i="9"/>
  <c r="BQ133" i="9" s="1"/>
  <c r="AS133" i="9"/>
  <c r="CC133" i="9" s="1"/>
  <c r="AA129" i="9"/>
  <c r="BK129" i="9" s="1"/>
  <c r="Y12" i="9"/>
  <c r="AQ12" i="9"/>
  <c r="CA12" i="9" s="1"/>
  <c r="AO23" i="9"/>
  <c r="BY23" i="9" s="1"/>
  <c r="AH162" i="9"/>
  <c r="BR162" i="9" s="1"/>
  <c r="AZ146" i="9"/>
  <c r="CJ146" i="9" s="1"/>
  <c r="AB52" i="9"/>
  <c r="BL52" i="9" s="1"/>
  <c r="AG123" i="9"/>
  <c r="BQ123" i="9" s="1"/>
  <c r="AM123" i="9"/>
  <c r="BW123" i="9" s="1"/>
  <c r="AC122" i="9"/>
  <c r="BM122" i="9" s="1"/>
  <c r="AW121" i="9"/>
  <c r="CG121" i="9" s="1"/>
  <c r="Y121" i="9"/>
  <c r="AQ121" i="9"/>
  <c r="CA121" i="9" s="1"/>
  <c r="AH169" i="9"/>
  <c r="BR169" i="9" s="1"/>
  <c r="AA92" i="9"/>
  <c r="BK92" i="9" s="1"/>
  <c r="AE41" i="9"/>
  <c r="BO41" i="9" s="1"/>
  <c r="AW41" i="9"/>
  <c r="CG41" i="9" s="1"/>
  <c r="AH41" i="9"/>
  <c r="BR41" i="9" s="1"/>
  <c r="AF41" i="9"/>
  <c r="BP41" i="9" s="1"/>
  <c r="AF22" i="9"/>
  <c r="BP22" i="9" s="1"/>
  <c r="AN18" i="9"/>
  <c r="BX18" i="9" s="1"/>
  <c r="BA138" i="9"/>
  <c r="CK138" i="9" s="1"/>
  <c r="AF162" i="9"/>
  <c r="BP162" i="9" s="1"/>
  <c r="Y162" i="9"/>
  <c r="BI162" i="9" s="1"/>
  <c r="AQ161" i="9"/>
  <c r="CA161" i="9" s="1"/>
  <c r="Y146" i="9"/>
  <c r="BI146" i="9" s="1"/>
  <c r="AQ53" i="9"/>
  <c r="CA53" i="9" s="1"/>
  <c r="Z53" i="9"/>
  <c r="BJ53" i="9" s="1"/>
  <c r="AG52" i="9"/>
  <c r="AL136" i="9"/>
  <c r="BV136" i="9" s="1"/>
  <c r="AQ135" i="9"/>
  <c r="CA135" i="9" s="1"/>
  <c r="Z135" i="9"/>
  <c r="BJ135" i="9" s="1"/>
  <c r="AR134" i="9"/>
  <c r="CB134" i="9" s="1"/>
  <c r="AF134" i="9"/>
  <c r="BP134" i="9" s="1"/>
  <c r="BA133" i="9"/>
  <c r="CK133" i="9" s="1"/>
  <c r="AF133" i="9"/>
  <c r="BP133" i="9" s="1"/>
  <c r="Y133" i="9"/>
  <c r="BI133" i="9" s="1"/>
  <c r="AN131" i="9"/>
  <c r="BX131" i="9" s="1"/>
  <c r="AA131" i="9"/>
  <c r="BK131" i="9" s="1"/>
  <c r="AS158" i="9"/>
  <c r="CC158" i="9" s="1"/>
  <c r="AN157" i="9"/>
  <c r="BX157" i="9" s="1"/>
  <c r="CW128" i="9"/>
  <c r="AM128" i="9"/>
  <c r="BW128" i="9" s="1"/>
  <c r="CW125" i="9"/>
  <c r="AU122" i="9"/>
  <c r="CE122" i="9" s="1"/>
  <c r="Z122" i="9"/>
  <c r="BJ122" i="9" s="1"/>
  <c r="AL122" i="9"/>
  <c r="BV122" i="9" s="1"/>
  <c r="AO121" i="9"/>
  <c r="BY121" i="9" s="1"/>
  <c r="AE120" i="9"/>
  <c r="BO120" i="9" s="1"/>
  <c r="AF169" i="9"/>
  <c r="BP169" i="9" s="1"/>
  <c r="AF83" i="9"/>
  <c r="BP83" i="9" s="1"/>
  <c r="AR83" i="9"/>
  <c r="CB83" i="9" s="1"/>
  <c r="AM18" i="9"/>
  <c r="BW18" i="9" s="1"/>
  <c r="AW146" i="9"/>
  <c r="CG146" i="9" s="1"/>
  <c r="AH52" i="9"/>
  <c r="BR52" i="9" s="1"/>
  <c r="AT136" i="9"/>
  <c r="CD136" i="9" s="1"/>
  <c r="AI136" i="9"/>
  <c r="BS136" i="9" s="1"/>
  <c r="AB136" i="9"/>
  <c r="BL136" i="9" s="1"/>
  <c r="AM134" i="9"/>
  <c r="BW134" i="9" s="1"/>
  <c r="Z132" i="9"/>
  <c r="BJ132" i="9" s="1"/>
  <c r="AF131" i="9"/>
  <c r="AQ158" i="9"/>
  <c r="CA158" i="9" s="1"/>
  <c r="AM157" i="9"/>
  <c r="BW157" i="9" s="1"/>
  <c r="AH130" i="9"/>
  <c r="BR130" i="9" s="1"/>
  <c r="AL130" i="9"/>
  <c r="BV130" i="9" s="1"/>
  <c r="AM129" i="9"/>
  <c r="BW129" i="9" s="1"/>
  <c r="AQ128" i="9"/>
  <c r="CA128" i="9" s="1"/>
  <c r="AK126" i="9"/>
  <c r="BU126" i="9" s="1"/>
  <c r="AQ125" i="9"/>
  <c r="CA125" i="9" s="1"/>
  <c r="AA123" i="9"/>
  <c r="BK123" i="9" s="1"/>
  <c r="AS123" i="9"/>
  <c r="CC123" i="9" s="1"/>
  <c r="AI122" i="9"/>
  <c r="BS122" i="9" s="1"/>
  <c r="AB122" i="9"/>
  <c r="BL122" i="9" s="1"/>
  <c r="AL121" i="9"/>
  <c r="BV121" i="9" s="1"/>
  <c r="AE169" i="9"/>
  <c r="BO169" i="9" s="1"/>
  <c r="AU92" i="9"/>
  <c r="CE92" i="9" s="1"/>
  <c r="AG41" i="9"/>
  <c r="BQ41" i="9" s="1"/>
  <c r="AB12" i="9"/>
  <c r="BL12" i="9" s="1"/>
  <c r="AI61" i="9"/>
  <c r="BS61" i="9" s="1"/>
  <c r="AB61" i="9"/>
  <c r="BL61" i="9" s="1"/>
  <c r="AR133" i="9"/>
  <c r="Y130" i="9"/>
  <c r="BI130" i="9" s="1"/>
  <c r="AE128" i="9"/>
  <c r="BO128" i="9" s="1"/>
  <c r="AI126" i="9"/>
  <c r="BS126" i="9" s="1"/>
  <c r="AA126" i="9"/>
  <c r="BK126" i="9" s="1"/>
  <c r="AK125" i="9"/>
  <c r="BU125" i="9" s="1"/>
  <c r="Y123" i="9"/>
  <c r="BI123" i="9" s="1"/>
  <c r="AK123" i="9"/>
  <c r="BU123" i="9" s="1"/>
  <c r="AK121" i="9"/>
  <c r="BU121" i="9" s="1"/>
  <c r="AN41" i="9"/>
  <c r="BX41" i="9" s="1"/>
  <c r="AF138" i="9"/>
  <c r="BP138" i="9" s="1"/>
  <c r="AO146" i="9"/>
  <c r="BY146" i="9" s="1"/>
  <c r="AM146" i="9"/>
  <c r="BW146" i="9" s="1"/>
  <c r="AA53" i="9"/>
  <c r="BK53" i="9" s="1"/>
  <c r="AQ136" i="9"/>
  <c r="CA136" i="9" s="1"/>
  <c r="AA135" i="9"/>
  <c r="BK135" i="9" s="1"/>
  <c r="AU135" i="9"/>
  <c r="CE135" i="9" s="1"/>
  <c r="CW133" i="9"/>
  <c r="AT133" i="9"/>
  <c r="CD133" i="9" s="1"/>
  <c r="AA158" i="9"/>
  <c r="BK158" i="9" s="1"/>
  <c r="AK157" i="9"/>
  <c r="BU157" i="9" s="1"/>
  <c r="AC157" i="9"/>
  <c r="BM157" i="9" s="1"/>
  <c r="AZ130" i="9"/>
  <c r="CJ130" i="9" s="1"/>
  <c r="AT129" i="9"/>
  <c r="CD129" i="9" s="1"/>
  <c r="AO126" i="9"/>
  <c r="BY126" i="9" s="1"/>
  <c r="AH126" i="9"/>
  <c r="BR126" i="9" s="1"/>
  <c r="AN125" i="9"/>
  <c r="BX125" i="9" s="1"/>
  <c r="AI125" i="9"/>
  <c r="AB125" i="9"/>
  <c r="BL125" i="9" s="1"/>
  <c r="AW123" i="9"/>
  <c r="CG123" i="9" s="1"/>
  <c r="AC123" i="9"/>
  <c r="BM123" i="9" s="1"/>
  <c r="AQ122" i="9"/>
  <c r="CA122" i="9" s="1"/>
  <c r="AS122" i="9"/>
  <c r="CC122" i="9" s="1"/>
  <c r="AQ83" i="9"/>
  <c r="CA83" i="9" s="1"/>
  <c r="AS83" i="9"/>
  <c r="AK141" i="9"/>
  <c r="BU141" i="9" s="1"/>
  <c r="AC33" i="9"/>
  <c r="BM33" i="9" s="1"/>
  <c r="Y33" i="9"/>
  <c r="BI33" i="9" s="1"/>
  <c r="AN45" i="9"/>
  <c r="BX45" i="9" s="1"/>
  <c r="AL44" i="9"/>
  <c r="BV44" i="9" s="1"/>
  <c r="AK23" i="9"/>
  <c r="BU23" i="9" s="1"/>
  <c r="Z22" i="9"/>
  <c r="BJ22" i="9" s="1"/>
  <c r="AK22" i="9"/>
  <c r="BU22" i="9" s="1"/>
  <c r="AT155" i="9"/>
  <c r="CD155" i="9" s="1"/>
  <c r="AZ18" i="9"/>
  <c r="CJ18" i="9" s="1"/>
  <c r="AQ138" i="9"/>
  <c r="CA138" i="9" s="1"/>
  <c r="CW162" i="9"/>
  <c r="AT162" i="9"/>
  <c r="CD162" i="9" s="1"/>
  <c r="Z162" i="9"/>
  <c r="BJ162" i="9" s="1"/>
  <c r="AY53" i="9"/>
  <c r="AM53" i="9"/>
  <c r="BW53" i="9" s="1"/>
  <c r="AQ52" i="9"/>
  <c r="CA52" i="9" s="1"/>
  <c r="AK136" i="9"/>
  <c r="BU136" i="9" s="1"/>
  <c r="AF136" i="9"/>
  <c r="BP136" i="9" s="1"/>
  <c r="AY135" i="9"/>
  <c r="AM135" i="9"/>
  <c r="BW135" i="9" s="1"/>
  <c r="Z133" i="9"/>
  <c r="BJ133" i="9" s="1"/>
  <c r="Y132" i="9"/>
  <c r="BI132" i="9" s="1"/>
  <c r="CW131" i="9"/>
  <c r="AQ131" i="9"/>
  <c r="CA131" i="9" s="1"/>
  <c r="AB157" i="9"/>
  <c r="BL157" i="9" s="1"/>
  <c r="BA157" i="9"/>
  <c r="CK157" i="9" s="1"/>
  <c r="AB130" i="9"/>
  <c r="AG129" i="9"/>
  <c r="BQ129" i="9" s="1"/>
  <c r="AN128" i="9"/>
  <c r="BX128" i="9" s="1"/>
  <c r="Y127" i="9"/>
  <c r="BI127" i="9" s="1"/>
  <c r="AL126" i="9"/>
  <c r="BV126" i="9" s="1"/>
  <c r="AM125" i="9"/>
  <c r="BW125" i="9" s="1"/>
  <c r="AN123" i="9"/>
  <c r="BX123" i="9" s="1"/>
  <c r="AK122" i="9"/>
  <c r="BU122" i="9" s="1"/>
  <c r="AF122" i="9"/>
  <c r="Z121" i="9"/>
  <c r="BJ121" i="9" s="1"/>
  <c r="AF120" i="9"/>
  <c r="BP120" i="9" s="1"/>
  <c r="AT169" i="9"/>
  <c r="CD169" i="9" s="1"/>
  <c r="AI92" i="9"/>
  <c r="BS92" i="9" s="1"/>
  <c r="AM83" i="9"/>
  <c r="BW83" i="9" s="1"/>
  <c r="AN83" i="9"/>
  <c r="BX83" i="9" s="1"/>
  <c r="AC23" i="9"/>
  <c r="BM23" i="9" s="1"/>
  <c r="AC22" i="9"/>
  <c r="BM22" i="9" s="1"/>
  <c r="AA22" i="9"/>
  <c r="AN136" i="9"/>
  <c r="BX136" i="9" s="1"/>
  <c r="AQ133" i="9"/>
  <c r="CA133" i="9" s="1"/>
  <c r="AW132" i="9"/>
  <c r="CG132" i="9" s="1"/>
  <c r="AK132" i="9"/>
  <c r="BU132" i="9" s="1"/>
  <c r="AK131" i="9"/>
  <c r="BU131" i="9" s="1"/>
  <c r="AT130" i="9"/>
  <c r="CD130" i="9" s="1"/>
  <c r="AO130" i="9"/>
  <c r="BY130" i="9" s="1"/>
  <c r="Z129" i="9"/>
  <c r="BJ129" i="9" s="1"/>
  <c r="AG128" i="9"/>
  <c r="BQ128" i="9" s="1"/>
  <c r="Z126" i="9"/>
  <c r="BJ126" i="9" s="1"/>
  <c r="AK40" i="9"/>
  <c r="BU40" i="9" s="1"/>
  <c r="AN40" i="9"/>
  <c r="BX40" i="9" s="1"/>
  <c r="AO40" i="9"/>
  <c r="BY40" i="9" s="1"/>
  <c r="AG83" i="9"/>
  <c r="BQ83" i="9" s="1"/>
  <c r="AI41" i="9"/>
  <c r="Z41" i="9"/>
  <c r="BJ41" i="9" s="1"/>
  <c r="AX40" i="9"/>
  <c r="CH40" i="9" s="1"/>
  <c r="AI32" i="9"/>
  <c r="BS32" i="9" s="1"/>
  <c r="AS86" i="9"/>
  <c r="CC86" i="9" s="1"/>
  <c r="AM86" i="9"/>
  <c r="BW86" i="9" s="1"/>
  <c r="AK85" i="9"/>
  <c r="BU85" i="9" s="1"/>
  <c r="AS66" i="9"/>
  <c r="CC66" i="9" s="1"/>
  <c r="AN65" i="9"/>
  <c r="BX65" i="9" s="1"/>
  <c r="AO63" i="9"/>
  <c r="BY63" i="9" s="1"/>
  <c r="AZ63" i="9"/>
  <c r="CJ63" i="9" s="1"/>
  <c r="AH10" i="9"/>
  <c r="BR10" i="9" s="1"/>
  <c r="AK101" i="9"/>
  <c r="BU101" i="9" s="1"/>
  <c r="BA166" i="9"/>
  <c r="CK166" i="9" s="1"/>
  <c r="AB41" i="9"/>
  <c r="BL41" i="9" s="1"/>
  <c r="AA40" i="9"/>
  <c r="BK40" i="9" s="1"/>
  <c r="AC40" i="9"/>
  <c r="BM40" i="9" s="1"/>
  <c r="AM32" i="9"/>
  <c r="BW32" i="9" s="1"/>
  <c r="AR86" i="9"/>
  <c r="CB86" i="9" s="1"/>
  <c r="AL86" i="9"/>
  <c r="BV86" i="9" s="1"/>
  <c r="AR66" i="9"/>
  <c r="CB66" i="9" s="1"/>
  <c r="AM65" i="9"/>
  <c r="BW65" i="9" s="1"/>
  <c r="AB64" i="9"/>
  <c r="BL64" i="9" s="1"/>
  <c r="AI101" i="9"/>
  <c r="BS101" i="9" s="1"/>
  <c r="Z101" i="9"/>
  <c r="BJ101" i="9" s="1"/>
  <c r="AK167" i="9"/>
  <c r="BU167" i="9" s="1"/>
  <c r="AX32" i="9"/>
  <c r="CH32" i="9" s="1"/>
  <c r="AQ86" i="9"/>
  <c r="CA86" i="9" s="1"/>
  <c r="AE85" i="9"/>
  <c r="BO85" i="9" s="1"/>
  <c r="AQ66" i="9"/>
  <c r="CA66" i="9" s="1"/>
  <c r="AL65" i="9"/>
  <c r="BV65" i="9" s="1"/>
  <c r="AZ64" i="9"/>
  <c r="CJ64" i="9" s="1"/>
  <c r="Y64" i="9"/>
  <c r="BI64" i="9" s="1"/>
  <c r="CW9" i="9"/>
  <c r="AF9" i="9"/>
  <c r="BP9" i="9" s="1"/>
  <c r="AX101" i="9"/>
  <c r="CH101" i="9" s="1"/>
  <c r="AH101" i="9"/>
  <c r="BR101" i="9" s="1"/>
  <c r="AI167" i="9"/>
  <c r="BS167" i="9" s="1"/>
  <c r="AT166" i="9"/>
  <c r="CD166" i="9" s="1"/>
  <c r="X166" i="9"/>
  <c r="CW166" i="9"/>
  <c r="AW83" i="9"/>
  <c r="CG83" i="9" s="1"/>
  <c r="Y40" i="9"/>
  <c r="BI40" i="9" s="1"/>
  <c r="AQ40" i="9"/>
  <c r="CA40" i="9" s="1"/>
  <c r="AN32" i="9"/>
  <c r="BX32" i="9" s="1"/>
  <c r="BA86" i="9"/>
  <c r="CK86" i="9" s="1"/>
  <c r="AQ85" i="9"/>
  <c r="CA85" i="9" s="1"/>
  <c r="AF65" i="9"/>
  <c r="BP65" i="9" s="1"/>
  <c r="AQ65" i="9"/>
  <c r="CA65" i="9" s="1"/>
  <c r="AX64" i="9"/>
  <c r="CH64" i="9" s="1"/>
  <c r="AM64" i="9"/>
  <c r="BW64" i="9" s="1"/>
  <c r="AB63" i="9"/>
  <c r="BL63" i="9" s="1"/>
  <c r="AF11" i="9"/>
  <c r="BP11" i="9" s="1"/>
  <c r="AU9" i="9"/>
  <c r="CE9" i="9" s="1"/>
  <c r="AW101" i="9"/>
  <c r="CG101" i="9" s="1"/>
  <c r="AG101" i="9"/>
  <c r="AU167" i="9"/>
  <c r="CE167" i="9" s="1"/>
  <c r="AR167" i="9"/>
  <c r="CB167" i="9" s="1"/>
  <c r="AW166" i="9"/>
  <c r="CG166" i="9" s="1"/>
  <c r="AO85" i="9"/>
  <c r="BY85" i="9" s="1"/>
  <c r="Y85" i="9"/>
  <c r="BI85" i="9" s="1"/>
  <c r="CW66" i="9"/>
  <c r="AI65" i="9"/>
  <c r="BS65" i="9" s="1"/>
  <c r="Y65" i="9"/>
  <c r="BI65" i="9" s="1"/>
  <c r="AR9" i="9"/>
  <c r="CB9" i="9" s="1"/>
  <c r="AL9" i="9"/>
  <c r="BV9" i="9" s="1"/>
  <c r="AQ166" i="9"/>
  <c r="CA166" i="9" s="1"/>
  <c r="AS166" i="9"/>
  <c r="AI83" i="9"/>
  <c r="BS83" i="9" s="1"/>
  <c r="Y83" i="9"/>
  <c r="AQ41" i="9"/>
  <c r="CA41" i="9" s="1"/>
  <c r="AG40" i="9"/>
  <c r="BQ40" i="9" s="1"/>
  <c r="AR32" i="9"/>
  <c r="CB32" i="9" s="1"/>
  <c r="AK32" i="9"/>
  <c r="BU32" i="9" s="1"/>
  <c r="AC32" i="9"/>
  <c r="BM32" i="9" s="1"/>
  <c r="AU86" i="9"/>
  <c r="CE86" i="9" s="1"/>
  <c r="AO86" i="9"/>
  <c r="AN85" i="9"/>
  <c r="BX85" i="9" s="1"/>
  <c r="AC66" i="9"/>
  <c r="BM66" i="9" s="1"/>
  <c r="AA66" i="9"/>
  <c r="BK66" i="9" s="1"/>
  <c r="CW65" i="9"/>
  <c r="AZ65" i="9"/>
  <c r="CJ65" i="9" s="1"/>
  <c r="AG64" i="9"/>
  <c r="BQ64" i="9" s="1"/>
  <c r="AT10" i="9"/>
  <c r="CD10" i="9" s="1"/>
  <c r="AG10" i="9"/>
  <c r="BQ10" i="9" s="1"/>
  <c r="AQ9" i="9"/>
  <c r="CA9" i="9" s="1"/>
  <c r="AN167" i="9"/>
  <c r="BX167" i="9" s="1"/>
  <c r="AE166" i="9"/>
  <c r="BO166" i="9" s="1"/>
  <c r="AS92" i="9"/>
  <c r="CC92" i="9" s="1"/>
  <c r="CW83" i="9"/>
  <c r="AK41" i="9"/>
  <c r="BU41" i="9" s="1"/>
  <c r="AF40" i="9"/>
  <c r="AQ32" i="9"/>
  <c r="CA32" i="9" s="1"/>
  <c r="BA32" i="9"/>
  <c r="CK32" i="9" s="1"/>
  <c r="AN86" i="9"/>
  <c r="BX86" i="9" s="1"/>
  <c r="AG85" i="9"/>
  <c r="BQ85" i="9" s="1"/>
  <c r="AO65" i="9"/>
  <c r="BY65" i="9" s="1"/>
  <c r="Z64" i="9"/>
  <c r="BJ64" i="9" s="1"/>
  <c r="AM11" i="9"/>
  <c r="BW11" i="9" s="1"/>
  <c r="AS10" i="9"/>
  <c r="CC10" i="9" s="1"/>
  <c r="AN9" i="9"/>
  <c r="BX9" i="9" s="1"/>
  <c r="AE101" i="9"/>
  <c r="BO101" i="9" s="1"/>
  <c r="AM167" i="9"/>
  <c r="BW167" i="9" s="1"/>
  <c r="AY167" i="9"/>
  <c r="CI167" i="9" s="1"/>
  <c r="AI166" i="9"/>
  <c r="BS166" i="9" s="1"/>
  <c r="AC166" i="9"/>
  <c r="BM166" i="9" s="1"/>
  <c r="AF176" i="9"/>
  <c r="BP176" i="9" s="1"/>
  <c r="AX176" i="9"/>
  <c r="CH176" i="9" s="1"/>
  <c r="AH9" i="9"/>
  <c r="BR9" i="9" s="1"/>
  <c r="AL167" i="9"/>
  <c r="BV167" i="9" s="1"/>
  <c r="AM166" i="9"/>
  <c r="BW166" i="9" s="1"/>
  <c r="AQ176" i="9"/>
  <c r="CA176" i="9" s="1"/>
  <c r="AZ176" i="9"/>
  <c r="CJ176" i="9" s="1"/>
  <c r="AU153" i="9"/>
  <c r="CE153" i="9" s="1"/>
  <c r="AO153" i="9"/>
  <c r="BY153" i="9" s="1"/>
  <c r="AE152" i="9"/>
  <c r="BO152" i="9" s="1"/>
  <c r="AQ152" i="9"/>
  <c r="CA152" i="9" s="1"/>
  <c r="CW175" i="9"/>
  <c r="AE175" i="9"/>
  <c r="BO175" i="9" s="1"/>
  <c r="AY175" i="9"/>
  <c r="CI175" i="9" s="1"/>
  <c r="AZ151" i="9"/>
  <c r="CJ151" i="9" s="1"/>
  <c r="AK31" i="9"/>
  <c r="BU31" i="9" s="1"/>
  <c r="AW30" i="9"/>
  <c r="CG30" i="9" s="1"/>
  <c r="AF145" i="9"/>
  <c r="BP145" i="9" s="1"/>
  <c r="AG145" i="9"/>
  <c r="BQ145" i="9" s="1"/>
  <c r="AR177" i="9"/>
  <c r="CB177" i="9" s="1"/>
  <c r="Z179" i="9"/>
  <c r="BJ179" i="9" s="1"/>
  <c r="AN119" i="9"/>
  <c r="BX119" i="9" s="1"/>
  <c r="AB119" i="9"/>
  <c r="BL119" i="9" s="1"/>
  <c r="AW118" i="9"/>
  <c r="CG118" i="9" s="1"/>
  <c r="Y118" i="9"/>
  <c r="BI118" i="9" s="1"/>
  <c r="AK118" i="9"/>
  <c r="BU118" i="9" s="1"/>
  <c r="AC174" i="9"/>
  <c r="BM174" i="9" s="1"/>
  <c r="AL173" i="9"/>
  <c r="BV173" i="9" s="1"/>
  <c r="AT172" i="9"/>
  <c r="CD172" i="9" s="1"/>
  <c r="AB172" i="9"/>
  <c r="BL172" i="9" s="1"/>
  <c r="AT51" i="9"/>
  <c r="CD51" i="9" s="1"/>
  <c r="AF51" i="9"/>
  <c r="BP51" i="9" s="1"/>
  <c r="AZ180" i="9"/>
  <c r="CJ180" i="9" s="1"/>
  <c r="AR176" i="9"/>
  <c r="CB176" i="9" s="1"/>
  <c r="AO152" i="9"/>
  <c r="BY152" i="9" s="1"/>
  <c r="AX175" i="9"/>
  <c r="CH175" i="9" s="1"/>
  <c r="BA171" i="9"/>
  <c r="CK171" i="9" s="1"/>
  <c r="AI151" i="9"/>
  <c r="BS151" i="9" s="1"/>
  <c r="AO30" i="9"/>
  <c r="BY30" i="9" s="1"/>
  <c r="AA145" i="9"/>
  <c r="BK145" i="9" s="1"/>
  <c r="AQ177" i="9"/>
  <c r="CA177" i="9" s="1"/>
  <c r="AA178" i="9"/>
  <c r="BK178" i="9" s="1"/>
  <c r="AM178" i="9"/>
  <c r="BW178" i="9" s="1"/>
  <c r="AI119" i="9"/>
  <c r="BS119" i="9" s="1"/>
  <c r="AY174" i="9"/>
  <c r="CI174" i="9" s="1"/>
  <c r="AB173" i="9"/>
  <c r="BL173" i="9" s="1"/>
  <c r="AO172" i="9"/>
  <c r="BY172" i="9" s="1"/>
  <c r="AQ51" i="9"/>
  <c r="CA51" i="9" s="1"/>
  <c r="AY42" i="9"/>
  <c r="CI42" i="9" s="1"/>
  <c r="AO180" i="9"/>
  <c r="BY180" i="9" s="1"/>
  <c r="AL176" i="9"/>
  <c r="BV176" i="9" s="1"/>
  <c r="AS153" i="9"/>
  <c r="CC153" i="9" s="1"/>
  <c r="AI152" i="9"/>
  <c r="Y152" i="9"/>
  <c r="BI152" i="9" s="1"/>
  <c r="AK175" i="9"/>
  <c r="BU175" i="9" s="1"/>
  <c r="AZ171" i="9"/>
  <c r="CJ171" i="9" s="1"/>
  <c r="AC151" i="9"/>
  <c r="BM151" i="9" s="1"/>
  <c r="AG119" i="9"/>
  <c r="BQ119" i="9" s="1"/>
  <c r="AI118" i="9"/>
  <c r="BS118" i="9" s="1"/>
  <c r="AX42" i="9"/>
  <c r="CH42" i="9" s="1"/>
  <c r="AW42" i="9"/>
  <c r="CG42" i="9" s="1"/>
  <c r="AT180" i="9"/>
  <c r="CD180" i="9" s="1"/>
  <c r="AH152" i="9"/>
  <c r="BR152" i="9" s="1"/>
  <c r="Z175" i="9"/>
  <c r="BJ175" i="9" s="1"/>
  <c r="AN178" i="9"/>
  <c r="BX178" i="9" s="1"/>
  <c r="CW176" i="9"/>
  <c r="AT152" i="9"/>
  <c r="CD152" i="9" s="1"/>
  <c r="AA152" i="9"/>
  <c r="BK152" i="9" s="1"/>
  <c r="AB175" i="9"/>
  <c r="BL175" i="9" s="1"/>
  <c r="AH30" i="9"/>
  <c r="BR30" i="9" s="1"/>
  <c r="CW177" i="9"/>
  <c r="AN177" i="9"/>
  <c r="BX177" i="9" s="1"/>
  <c r="AT178" i="9"/>
  <c r="CD178" i="9" s="1"/>
  <c r="AG178" i="9"/>
  <c r="BQ178" i="9" s="1"/>
  <c r="AT179" i="9"/>
  <c r="CD179" i="9" s="1"/>
  <c r="AK179" i="9"/>
  <c r="BU179" i="9" s="1"/>
  <c r="AA119" i="9"/>
  <c r="BK119" i="9" s="1"/>
  <c r="AZ173" i="9"/>
  <c r="CJ173" i="9" s="1"/>
  <c r="Y173" i="9"/>
  <c r="BI173" i="9" s="1"/>
  <c r="AK172" i="9"/>
  <c r="BU172" i="9" s="1"/>
  <c r="AM172" i="9"/>
  <c r="BW172" i="9" s="1"/>
  <c r="AY43" i="9"/>
  <c r="CI43" i="9" s="1"/>
  <c r="AH42" i="9"/>
  <c r="BR42" i="9" s="1"/>
  <c r="AO166" i="9"/>
  <c r="CW153" i="9"/>
  <c r="AN152" i="9"/>
  <c r="BX152" i="9" s="1"/>
  <c r="AH175" i="9"/>
  <c r="BR175" i="9" s="1"/>
  <c r="AH171" i="9"/>
  <c r="BR171" i="9" s="1"/>
  <c r="AG154" i="9"/>
  <c r="BQ154" i="9" s="1"/>
  <c r="AQ145" i="9"/>
  <c r="CA145" i="9" s="1"/>
  <c r="AB145" i="9"/>
  <c r="BL145" i="9" s="1"/>
  <c r="AC177" i="9"/>
  <c r="BM177" i="9" s="1"/>
  <c r="AS178" i="9"/>
  <c r="CC178" i="9" s="1"/>
  <c r="AF178" i="9"/>
  <c r="BP178" i="9" s="1"/>
  <c r="AO179" i="9"/>
  <c r="AI179" i="9"/>
  <c r="BS179" i="9" s="1"/>
  <c r="Y119" i="9"/>
  <c r="BI119" i="9" s="1"/>
  <c r="AQ119" i="9"/>
  <c r="CA119" i="9" s="1"/>
  <c r="CW118" i="9"/>
  <c r="AN118" i="9"/>
  <c r="BX118" i="9" s="1"/>
  <c r="AB174" i="9"/>
  <c r="BL174" i="9" s="1"/>
  <c r="AI172" i="9"/>
  <c r="BS172" i="9" s="1"/>
  <c r="AL172" i="9"/>
  <c r="BV172" i="9" s="1"/>
  <c r="AI51" i="9"/>
  <c r="BS51" i="9" s="1"/>
  <c r="AB43" i="9"/>
  <c r="BL43" i="9" s="1"/>
  <c r="AN172" i="9"/>
  <c r="BX172" i="9" s="1"/>
  <c r="AB176" i="9"/>
  <c r="BL176" i="9" s="1"/>
  <c r="AQ151" i="9"/>
  <c r="CA151" i="9" s="1"/>
  <c r="AO151" i="9"/>
  <c r="BY151" i="9" s="1"/>
  <c r="CW30" i="9"/>
  <c r="AS177" i="9"/>
  <c r="CC177" i="9" s="1"/>
  <c r="Z177" i="9"/>
  <c r="BJ177" i="9" s="1"/>
  <c r="AQ178" i="9"/>
  <c r="AA179" i="9"/>
  <c r="BK179" i="9" s="1"/>
  <c r="AW119" i="9"/>
  <c r="CG119" i="9" s="1"/>
  <c r="AC119" i="9"/>
  <c r="BM119" i="9" s="1"/>
  <c r="AX118" i="9"/>
  <c r="CH118" i="9" s="1"/>
  <c r="AW173" i="9"/>
  <c r="CG173" i="9" s="1"/>
  <c r="AU172" i="9"/>
  <c r="CE172" i="9" s="1"/>
  <c r="AZ172" i="9"/>
  <c r="CJ172" i="9" s="1"/>
  <c r="AY180" i="9"/>
  <c r="CI180" i="9" s="1"/>
  <c r="AS170" i="9"/>
  <c r="CC170" i="9" s="1"/>
  <c r="AG170" i="9"/>
  <c r="BQ170" i="9" s="1"/>
  <c r="CW182" i="9"/>
  <c r="AH117" i="9"/>
  <c r="BR117" i="9" s="1"/>
  <c r="AW116" i="9"/>
  <c r="CG116" i="9" s="1"/>
  <c r="Y115" i="9"/>
  <c r="BI115" i="9" s="1"/>
  <c r="AH114" i="9"/>
  <c r="BR114" i="9" s="1"/>
  <c r="AA114" i="9"/>
  <c r="BK114" i="9" s="1"/>
  <c r="AK50" i="9"/>
  <c r="BU50" i="9" s="1"/>
  <c r="AG185" i="9"/>
  <c r="BQ185" i="9" s="1"/>
  <c r="AI21" i="9"/>
  <c r="BS21" i="9" s="1"/>
  <c r="AC21" i="9"/>
  <c r="BM21" i="9" s="1"/>
  <c r="AB20" i="9"/>
  <c r="BL20" i="9" s="1"/>
  <c r="AZ20" i="9"/>
  <c r="CJ20" i="9" s="1"/>
  <c r="AR183" i="9"/>
  <c r="CB183" i="9" s="1"/>
  <c r="AG183" i="9"/>
  <c r="BQ183" i="9" s="1"/>
  <c r="CW188" i="9"/>
  <c r="AN188" i="9"/>
  <c r="BX188" i="9" s="1"/>
  <c r="AR187" i="9"/>
  <c r="CB187" i="9" s="1"/>
  <c r="AG187" i="9"/>
  <c r="BQ187" i="9" s="1"/>
  <c r="AF8" i="9"/>
  <c r="BP8" i="9" s="1"/>
  <c r="AA193" i="9"/>
  <c r="BK193" i="9" s="1"/>
  <c r="AG193" i="9"/>
  <c r="BQ193" i="9" s="1"/>
  <c r="AR184" i="9"/>
  <c r="CB184" i="9" s="1"/>
  <c r="AR182" i="9"/>
  <c r="CB182" i="9" s="1"/>
  <c r="AX117" i="9"/>
  <c r="CH117" i="9" s="1"/>
  <c r="AA116" i="9"/>
  <c r="BK116" i="9" s="1"/>
  <c r="AG114" i="9"/>
  <c r="BQ114" i="9" s="1"/>
  <c r="AF114" i="9"/>
  <c r="BP114" i="9" s="1"/>
  <c r="AE50" i="9"/>
  <c r="BO50" i="9" s="1"/>
  <c r="AH21" i="9"/>
  <c r="BR21" i="9" s="1"/>
  <c r="AX20" i="9"/>
  <c r="CH20" i="9" s="1"/>
  <c r="AQ183" i="9"/>
  <c r="CA183" i="9" s="1"/>
  <c r="AF183" i="9"/>
  <c r="BP183" i="9" s="1"/>
  <c r="AE150" i="9"/>
  <c r="AX188" i="9"/>
  <c r="CH188" i="9" s="1"/>
  <c r="AN187" i="9"/>
  <c r="BX187" i="9" s="1"/>
  <c r="AG8" i="9"/>
  <c r="BQ8" i="9" s="1"/>
  <c r="AS113" i="9"/>
  <c r="CC113" i="9" s="1"/>
  <c r="AS181" i="9"/>
  <c r="CC181" i="9" s="1"/>
  <c r="AU189" i="9"/>
  <c r="CE189" i="9" s="1"/>
  <c r="AA189" i="9"/>
  <c r="BK189" i="9" s="1"/>
  <c r="Y193" i="9"/>
  <c r="BI193" i="9" s="1"/>
  <c r="AQ193" i="9"/>
  <c r="CA193" i="9" s="1"/>
  <c r="AN189" i="9"/>
  <c r="BX189" i="9" s="1"/>
  <c r="AB189" i="9"/>
  <c r="BL189" i="9" s="1"/>
  <c r="AZ189" i="9"/>
  <c r="CJ189" i="9" s="1"/>
  <c r="AL182" i="9"/>
  <c r="BV182" i="9" s="1"/>
  <c r="Y182" i="9"/>
  <c r="BI182" i="9" s="1"/>
  <c r="AI115" i="9"/>
  <c r="BS115" i="9" s="1"/>
  <c r="AI50" i="9"/>
  <c r="BS50" i="9" s="1"/>
  <c r="AX185" i="9"/>
  <c r="CH185" i="9" s="1"/>
  <c r="AF21" i="9"/>
  <c r="BP21" i="9" s="1"/>
  <c r="AK20" i="9"/>
  <c r="BU20" i="9" s="1"/>
  <c r="AK183" i="9"/>
  <c r="BU183" i="9" s="1"/>
  <c r="AI150" i="9"/>
  <c r="BS150" i="9" s="1"/>
  <c r="AK188" i="9"/>
  <c r="BU188" i="9" s="1"/>
  <c r="AF187" i="9"/>
  <c r="BP187" i="9" s="1"/>
  <c r="AZ187" i="9"/>
  <c r="CJ187" i="9" s="1"/>
  <c r="AZ8" i="9"/>
  <c r="CJ8" i="9" s="1"/>
  <c r="AB8" i="9"/>
  <c r="BL8" i="9" s="1"/>
  <c r="AB113" i="9"/>
  <c r="BL113" i="9" s="1"/>
  <c r="AA181" i="9"/>
  <c r="BK181" i="9" s="1"/>
  <c r="AU191" i="9"/>
  <c r="CE191" i="9" s="1"/>
  <c r="AK184" i="9"/>
  <c r="BU184" i="9" s="1"/>
  <c r="AL184" i="9"/>
  <c r="BV184" i="9" s="1"/>
  <c r="Z114" i="9"/>
  <c r="AN50" i="9"/>
  <c r="BX50" i="9" s="1"/>
  <c r="AX37" i="9"/>
  <c r="CH37" i="9" s="1"/>
  <c r="AI183" i="9"/>
  <c r="BS183" i="9" s="1"/>
  <c r="AA187" i="9"/>
  <c r="BK187" i="9" s="1"/>
  <c r="BA181" i="9"/>
  <c r="CK181" i="9" s="1"/>
  <c r="AT191" i="9"/>
  <c r="CD191" i="9" s="1"/>
  <c r="AC191" i="9"/>
  <c r="BM191" i="9" s="1"/>
  <c r="AI191" i="9"/>
  <c r="BS191" i="9" s="1"/>
  <c r="AU190" i="9"/>
  <c r="CE190" i="9" s="1"/>
  <c r="AE193" i="9"/>
  <c r="BO193" i="9" s="1"/>
  <c r="AH189" i="9"/>
  <c r="BR189" i="9" s="1"/>
  <c r="AO170" i="9"/>
  <c r="BY170" i="9" s="1"/>
  <c r="BA182" i="9"/>
  <c r="CK182" i="9" s="1"/>
  <c r="AE182" i="9"/>
  <c r="BO182" i="9" s="1"/>
  <c r="AQ117" i="9"/>
  <c r="CA117" i="9" s="1"/>
  <c r="CW116" i="9"/>
  <c r="AG115" i="9"/>
  <c r="BQ115" i="9" s="1"/>
  <c r="AO114" i="9"/>
  <c r="BY114" i="9" s="1"/>
  <c r="Y114" i="9"/>
  <c r="BI114" i="9" s="1"/>
  <c r="AL114" i="9"/>
  <c r="BV114" i="9" s="1"/>
  <c r="AM50" i="9"/>
  <c r="BW50" i="9" s="1"/>
  <c r="AO185" i="9"/>
  <c r="BY185" i="9" s="1"/>
  <c r="AI185" i="9"/>
  <c r="BS185" i="9" s="1"/>
  <c r="Z185" i="9"/>
  <c r="BJ185" i="9" s="1"/>
  <c r="AU37" i="9"/>
  <c r="CE37" i="9" s="1"/>
  <c r="AI37" i="9"/>
  <c r="BS37" i="9" s="1"/>
  <c r="AA37" i="9"/>
  <c r="BK37" i="9" s="1"/>
  <c r="AW21" i="9"/>
  <c r="CG21" i="9" s="1"/>
  <c r="AY21" i="9"/>
  <c r="CI21" i="9" s="1"/>
  <c r="AA20" i="9"/>
  <c r="BK20" i="9" s="1"/>
  <c r="AX183" i="9"/>
  <c r="CH183" i="9" s="1"/>
  <c r="AM183" i="9"/>
  <c r="BW183" i="9" s="1"/>
  <c r="AQ150" i="9"/>
  <c r="CA150" i="9" s="1"/>
  <c r="AA150" i="9"/>
  <c r="BK150" i="9" s="1"/>
  <c r="AE188" i="9"/>
  <c r="BO188" i="9" s="1"/>
  <c r="AQ188" i="9"/>
  <c r="CA188" i="9" s="1"/>
  <c r="AO8" i="9"/>
  <c r="BY8" i="9" s="1"/>
  <c r="AH113" i="9"/>
  <c r="BR113" i="9" s="1"/>
  <c r="AF113" i="9"/>
  <c r="BP113" i="9" s="1"/>
  <c r="AS191" i="9"/>
  <c r="CC191" i="9" s="1"/>
  <c r="AR190" i="9"/>
  <c r="CB190" i="9" s="1"/>
  <c r="AU182" i="9"/>
  <c r="CE182" i="9" s="1"/>
  <c r="AC182" i="9"/>
  <c r="BM182" i="9" s="1"/>
  <c r="AO182" i="9"/>
  <c r="BY182" i="9" s="1"/>
  <c r="CW117" i="9"/>
  <c r="AB115" i="9"/>
  <c r="BL115" i="9" s="1"/>
  <c r="AK114" i="9"/>
  <c r="BU114" i="9" s="1"/>
  <c r="AQ50" i="9"/>
  <c r="AF50" i="9"/>
  <c r="BP50" i="9" s="1"/>
  <c r="AM185" i="9"/>
  <c r="BW185" i="9" s="1"/>
  <c r="AN37" i="9"/>
  <c r="BX37" i="9" s="1"/>
  <c r="Y21" i="9"/>
  <c r="BI21" i="9" s="1"/>
  <c r="AQ21" i="9"/>
  <c r="CA21" i="9" s="1"/>
  <c r="AF20" i="9"/>
  <c r="BP20" i="9" s="1"/>
  <c r="AO150" i="9"/>
  <c r="BY150" i="9" s="1"/>
  <c r="Z188" i="9"/>
  <c r="BJ188" i="9" s="1"/>
  <c r="AB187" i="9"/>
  <c r="BL187" i="9" s="1"/>
  <c r="AN8" i="9"/>
  <c r="BX8" i="9" s="1"/>
  <c r="AW193" i="9"/>
  <c r="CG193" i="9" s="1"/>
  <c r="AU184" i="9"/>
  <c r="CE184" i="9" s="1"/>
  <c r="AI114" i="9"/>
  <c r="BS114" i="9" s="1"/>
  <c r="AL50" i="9"/>
  <c r="BV50" i="9" s="1"/>
  <c r="AL185" i="9"/>
  <c r="BV185" i="9" s="1"/>
  <c r="AN21" i="9"/>
  <c r="BX21" i="9" s="1"/>
  <c r="AK21" i="9"/>
  <c r="BU21" i="9" s="1"/>
  <c r="AN20" i="9"/>
  <c r="BX20" i="9" s="1"/>
  <c r="AS183" i="9"/>
  <c r="CC183" i="9" s="1"/>
  <c r="AN183" i="9"/>
  <c r="BX183" i="9" s="1"/>
  <c r="AK8" i="9"/>
  <c r="BU8" i="9" s="1"/>
  <c r="AC113" i="9"/>
  <c r="BM113" i="9" s="1"/>
  <c r="AL191" i="9"/>
  <c r="BV191" i="9" s="1"/>
  <c r="AX191" i="9"/>
  <c r="CH191" i="9" s="1"/>
  <c r="AT184" i="9"/>
  <c r="CD184" i="9" s="1"/>
  <c r="AK191" i="9"/>
  <c r="BU191" i="9" s="1"/>
  <c r="Z191" i="9"/>
  <c r="BJ191" i="9" s="1"/>
  <c r="AC190" i="9"/>
  <c r="BM190" i="9" s="1"/>
  <c r="AL195" i="9"/>
  <c r="BV195" i="9" s="1"/>
  <c r="AU112" i="9"/>
  <c r="CE112" i="9" s="1"/>
  <c r="AA112" i="9"/>
  <c r="BK112" i="9" s="1"/>
  <c r="AE111" i="9"/>
  <c r="BO111" i="9" s="1"/>
  <c r="AG194" i="9"/>
  <c r="BQ194" i="9" s="1"/>
  <c r="AN47" i="9"/>
  <c r="BX47" i="9" s="1"/>
  <c r="AM144" i="9"/>
  <c r="BW144" i="9" s="1"/>
  <c r="AK143" i="9"/>
  <c r="BU143" i="9" s="1"/>
  <c r="AN143" i="9"/>
  <c r="BX143" i="9" s="1"/>
  <c r="CW184" i="9"/>
  <c r="AM184" i="9"/>
  <c r="BW184" i="9" s="1"/>
  <c r="AK195" i="9"/>
  <c r="BU195" i="9" s="1"/>
  <c r="AA195" i="9"/>
  <c r="BK195" i="9" s="1"/>
  <c r="AT112" i="9"/>
  <c r="CD112" i="9" s="1"/>
  <c r="AN149" i="9"/>
  <c r="BX149" i="9" s="1"/>
  <c r="AO111" i="9"/>
  <c r="BY111" i="9" s="1"/>
  <c r="AI110" i="9"/>
  <c r="BS110" i="9" s="1"/>
  <c r="AF194" i="9"/>
  <c r="BP194" i="9" s="1"/>
  <c r="AA47" i="9"/>
  <c r="BK47" i="9" s="1"/>
  <c r="BA196" i="9"/>
  <c r="CK196" i="9" s="1"/>
  <c r="AK144" i="9"/>
  <c r="BU144" i="9" s="1"/>
  <c r="AT143" i="9"/>
  <c r="CD143" i="9" s="1"/>
  <c r="AC143" i="9"/>
  <c r="BM143" i="9" s="1"/>
  <c r="Z143" i="9"/>
  <c r="BJ143" i="9" s="1"/>
  <c r="BA198" i="9"/>
  <c r="CK198" i="9" s="1"/>
  <c r="AY189" i="9"/>
  <c r="CI189" i="9" s="1"/>
  <c r="AI195" i="9"/>
  <c r="BS195" i="9" s="1"/>
  <c r="AF195" i="9"/>
  <c r="BP195" i="9" s="1"/>
  <c r="AI111" i="9"/>
  <c r="BS111" i="9" s="1"/>
  <c r="AT110" i="9"/>
  <c r="CD110" i="9" s="1"/>
  <c r="Y164" i="9"/>
  <c r="BI164" i="9" s="1"/>
  <c r="AN164" i="9"/>
  <c r="BX164" i="9" s="1"/>
  <c r="AN163" i="9"/>
  <c r="BX163" i="9" s="1"/>
  <c r="AX196" i="9"/>
  <c r="CH196" i="9" s="1"/>
  <c r="AG199" i="9"/>
  <c r="BQ199" i="9" s="1"/>
  <c r="AS199" i="9"/>
  <c r="CC199" i="9" s="1"/>
  <c r="BA149" i="9"/>
  <c r="CK149" i="9" s="1"/>
  <c r="AG143" i="9"/>
  <c r="BQ143" i="9" s="1"/>
  <c r="AT193" i="9"/>
  <c r="CD193" i="9" s="1"/>
  <c r="AK189" i="9"/>
  <c r="BU189" i="9" s="1"/>
  <c r="BA195" i="9"/>
  <c r="CK195" i="9" s="1"/>
  <c r="AN112" i="9"/>
  <c r="BX112" i="9" s="1"/>
  <c r="Y112" i="9"/>
  <c r="BI112" i="9" s="1"/>
  <c r="AG112" i="9"/>
  <c r="BQ112" i="9" s="1"/>
  <c r="AW149" i="9"/>
  <c r="CG149" i="9" s="1"/>
  <c r="AO149" i="9"/>
  <c r="BY149" i="9" s="1"/>
  <c r="AR111" i="9"/>
  <c r="CB111" i="9" s="1"/>
  <c r="AM110" i="9"/>
  <c r="BW110" i="9" s="1"/>
  <c r="AT164" i="9"/>
  <c r="CD164" i="9" s="1"/>
  <c r="AU163" i="9"/>
  <c r="CE163" i="9" s="1"/>
  <c r="AK196" i="9"/>
  <c r="BU196" i="9" s="1"/>
  <c r="BA144" i="9"/>
  <c r="CK144" i="9" s="1"/>
  <c r="AQ144" i="9"/>
  <c r="AU144" i="9"/>
  <c r="CE144" i="9" s="1"/>
  <c r="AM143" i="9"/>
  <c r="BW143" i="9" s="1"/>
  <c r="AW198" i="9"/>
  <c r="CG198" i="9" s="1"/>
  <c r="AM68" i="9"/>
  <c r="BW68" i="9" s="1"/>
  <c r="CW111" i="9"/>
  <c r="AK110" i="9"/>
  <c r="BU110" i="9" s="1"/>
  <c r="AN194" i="9"/>
  <c r="BX194" i="9" s="1"/>
  <c r="BA164" i="9"/>
  <c r="CK164" i="9" s="1"/>
  <c r="AO164" i="9"/>
  <c r="BY164" i="9" s="1"/>
  <c r="BA163" i="9"/>
  <c r="CK163" i="9" s="1"/>
  <c r="AB196" i="9"/>
  <c r="BL196" i="9" s="1"/>
  <c r="AX109" i="9"/>
  <c r="CH109" i="9" s="1"/>
  <c r="AY109" i="9"/>
  <c r="CI109" i="9" s="1"/>
  <c r="AK108" i="9"/>
  <c r="BU108" i="9" s="1"/>
  <c r="AN108" i="9"/>
  <c r="BX108" i="9" s="1"/>
  <c r="AL98" i="9"/>
  <c r="BV98" i="9" s="1"/>
  <c r="AK98" i="9"/>
  <c r="BU98" i="9" s="1"/>
  <c r="AO98" i="9"/>
  <c r="BY98" i="9" s="1"/>
  <c r="AG97" i="9"/>
  <c r="BQ97" i="9" s="1"/>
  <c r="AS97" i="9"/>
  <c r="CC97" i="9" s="1"/>
  <c r="AO195" i="9"/>
  <c r="BY195" i="9" s="1"/>
  <c r="AZ112" i="9"/>
  <c r="CJ112" i="9" s="1"/>
  <c r="CW149" i="9"/>
  <c r="AL194" i="9"/>
  <c r="BV194" i="9" s="1"/>
  <c r="AR47" i="9"/>
  <c r="CB47" i="9" s="1"/>
  <c r="Y47" i="9"/>
  <c r="BI47" i="9" s="1"/>
  <c r="AS196" i="9"/>
  <c r="CC196" i="9" s="1"/>
  <c r="AL57" i="9"/>
  <c r="BV57" i="9" s="1"/>
  <c r="AN57" i="9"/>
  <c r="BX57" i="9" s="1"/>
  <c r="AO57" i="9"/>
  <c r="BY57" i="9" s="1"/>
  <c r="AF198" i="9"/>
  <c r="BP198" i="9" s="1"/>
  <c r="AK56" i="9"/>
  <c r="BU56" i="9" s="1"/>
  <c r="AA97" i="9"/>
  <c r="BK97" i="9" s="1"/>
  <c r="AT199" i="9"/>
  <c r="CD199" i="9" s="1"/>
  <c r="AK148" i="9"/>
  <c r="BU148" i="9" s="1"/>
  <c r="AL148" i="9"/>
  <c r="BV148" i="9" s="1"/>
  <c r="AO160" i="9"/>
  <c r="BY160" i="9" s="1"/>
  <c r="AC160" i="9"/>
  <c r="BM160" i="9" s="1"/>
  <c r="AU160" i="9"/>
  <c r="CE160" i="9" s="1"/>
  <c r="AG159" i="9"/>
  <c r="BQ159" i="9" s="1"/>
  <c r="AS159" i="9"/>
  <c r="CC159" i="9" s="1"/>
  <c r="AY159" i="9"/>
  <c r="CI159" i="9" s="1"/>
  <c r="Z159" i="9"/>
  <c r="BJ159" i="9" s="1"/>
  <c r="AR159" i="9"/>
  <c r="CB159" i="9" s="1"/>
  <c r="AQ198" i="9"/>
  <c r="CA198" i="9" s="1"/>
  <c r="AE109" i="9"/>
  <c r="BO109" i="9" s="1"/>
  <c r="AC108" i="9"/>
  <c r="BM108" i="9" s="1"/>
  <c r="AA108" i="9"/>
  <c r="BK108" i="9" s="1"/>
  <c r="AI57" i="9"/>
  <c r="BS57" i="9" s="1"/>
  <c r="BA57" i="9"/>
  <c r="CK57" i="9" s="1"/>
  <c r="Z56" i="9"/>
  <c r="BJ56" i="9" s="1"/>
  <c r="AU56" i="9"/>
  <c r="CE56" i="9" s="1"/>
  <c r="AT98" i="9"/>
  <c r="CD98" i="9" s="1"/>
  <c r="AI98" i="9"/>
  <c r="BS98" i="9" s="1"/>
  <c r="Y98" i="9"/>
  <c r="Z199" i="9"/>
  <c r="BJ199" i="9" s="1"/>
  <c r="AR199" i="9"/>
  <c r="CB199" i="9" s="1"/>
  <c r="AK109" i="9"/>
  <c r="BU109" i="9" s="1"/>
  <c r="AR108" i="9"/>
  <c r="CB108" i="9" s="1"/>
  <c r="AG57" i="9"/>
  <c r="BQ57" i="9" s="1"/>
  <c r="AS98" i="9"/>
  <c r="CC98" i="9" s="1"/>
  <c r="AI97" i="9"/>
  <c r="BS97" i="9" s="1"/>
  <c r="AI68" i="9"/>
  <c r="BS68" i="9" s="1"/>
  <c r="AG68" i="9"/>
  <c r="BQ68" i="9" s="1"/>
  <c r="AO148" i="9"/>
  <c r="BY148" i="9" s="1"/>
  <c r="AX148" i="9"/>
  <c r="CH148" i="9" s="1"/>
  <c r="AO144" i="9"/>
  <c r="BY144" i="9" s="1"/>
  <c r="Y144" i="9"/>
  <c r="BI144" i="9" s="1"/>
  <c r="AH143" i="9"/>
  <c r="BR143" i="9" s="1"/>
  <c r="AI198" i="9"/>
  <c r="BS198" i="9" s="1"/>
  <c r="Y198" i="9"/>
  <c r="BI198" i="9" s="1"/>
  <c r="AC56" i="9"/>
  <c r="BM56" i="9" s="1"/>
  <c r="AF68" i="9"/>
  <c r="BP68" i="9" s="1"/>
  <c r="AI148" i="9"/>
  <c r="BS148" i="9" s="1"/>
  <c r="AE148" i="9"/>
  <c r="BO148" i="9" s="1"/>
  <c r="Y148" i="9"/>
  <c r="BI148" i="9" s="1"/>
  <c r="AX57" i="9"/>
  <c r="CH57" i="9" s="1"/>
  <c r="AQ56" i="9"/>
  <c r="CA56" i="9" s="1"/>
  <c r="AN56" i="9"/>
  <c r="BX56" i="9" s="1"/>
  <c r="Z97" i="9"/>
  <c r="BJ97" i="9" s="1"/>
  <c r="AS68" i="9"/>
  <c r="CC68" i="9" s="1"/>
  <c r="BA199" i="9"/>
  <c r="CK199" i="9" s="1"/>
  <c r="AG148" i="9"/>
  <c r="BQ148" i="9" s="1"/>
  <c r="AO159" i="9"/>
  <c r="BY159" i="9" s="1"/>
  <c r="AL159" i="9"/>
  <c r="BV159" i="9" s="1"/>
  <c r="AA144" i="9"/>
  <c r="BK144" i="9" s="1"/>
  <c r="AG109" i="9"/>
  <c r="BQ109" i="9" s="1"/>
  <c r="AW57" i="9"/>
  <c r="CG57" i="9" s="1"/>
  <c r="AM56" i="9"/>
  <c r="BW56" i="9" s="1"/>
  <c r="AN68" i="9"/>
  <c r="BX68" i="9" s="1"/>
  <c r="AL68" i="9"/>
  <c r="BV68" i="9" s="1"/>
  <c r="AZ199" i="9"/>
  <c r="CJ199" i="9" s="1"/>
  <c r="AL197" i="9"/>
  <c r="BV197" i="9" s="1"/>
  <c r="AK168" i="9"/>
  <c r="BU168" i="9" s="1"/>
  <c r="AL168" i="9"/>
  <c r="BV168" i="9" s="1"/>
  <c r="AM168" i="9"/>
  <c r="BW168" i="9" s="1"/>
  <c r="AI199" i="9"/>
  <c r="BS199" i="9" s="1"/>
  <c r="AH148" i="9"/>
  <c r="BR148" i="9" s="1"/>
  <c r="AA160" i="9"/>
  <c r="BK160" i="9" s="1"/>
  <c r="AF159" i="9"/>
  <c r="BP159" i="9" s="1"/>
  <c r="AK142" i="9"/>
  <c r="BU142" i="9" s="1"/>
  <c r="Z108" i="9"/>
  <c r="BJ108" i="9" s="1"/>
  <c r="BA56" i="9"/>
  <c r="CK56" i="9" s="1"/>
  <c r="AR98" i="9"/>
  <c r="CB98" i="9" s="1"/>
  <c r="AL97" i="9"/>
  <c r="BV97" i="9" s="1"/>
  <c r="AR68" i="9"/>
  <c r="CB68" i="9" s="1"/>
  <c r="AA148" i="9"/>
  <c r="BK148" i="9" s="1"/>
  <c r="AF160" i="9"/>
  <c r="BP160" i="9" s="1"/>
  <c r="AR200" i="9"/>
  <c r="CB200" i="9" s="1"/>
  <c r="AL142" i="9"/>
  <c r="BV142" i="9" s="1"/>
  <c r="AI142" i="9"/>
  <c r="BS142" i="9" s="1"/>
  <c r="AA142" i="9"/>
  <c r="BK142" i="9" s="1"/>
  <c r="AW160" i="9"/>
  <c r="CG160" i="9" s="1"/>
  <c r="AK200" i="9"/>
  <c r="BU200" i="9" s="1"/>
  <c r="AI165" i="9"/>
  <c r="BS165" i="9" s="1"/>
  <c r="BA165" i="9"/>
  <c r="CK165" i="9" s="1"/>
  <c r="AC165" i="9"/>
  <c r="BM165" i="9" s="1"/>
  <c r="Y165" i="9"/>
  <c r="BI165" i="9" s="1"/>
  <c r="AB165" i="9"/>
  <c r="BL165" i="9" s="1"/>
  <c r="AI192" i="9"/>
  <c r="BS192" i="9" s="1"/>
  <c r="BA192" i="9"/>
  <c r="CK192" i="9" s="1"/>
  <c r="AW95" i="9"/>
  <c r="CG95" i="9" s="1"/>
  <c r="AG36" i="9"/>
  <c r="BQ36" i="9" s="1"/>
  <c r="CW159" i="9"/>
  <c r="AA159" i="9"/>
  <c r="BK159" i="9" s="1"/>
  <c r="AB200" i="9"/>
  <c r="BL200" i="9" s="1"/>
  <c r="AQ156" i="9"/>
  <c r="CA156" i="9" s="1"/>
  <c r="AR156" i="9"/>
  <c r="CB156" i="9" s="1"/>
  <c r="AU156" i="9"/>
  <c r="CE156" i="9" s="1"/>
  <c r="CW142" i="9"/>
  <c r="AQ168" i="9"/>
  <c r="CA168" i="9" s="1"/>
  <c r="AS168" i="9"/>
  <c r="CC168" i="9" s="1"/>
  <c r="AB36" i="9"/>
  <c r="BL36" i="9" s="1"/>
  <c r="AH165" i="9"/>
  <c r="BR165" i="9" s="1"/>
  <c r="AN192" i="9"/>
  <c r="BX192" i="9" s="1"/>
  <c r="BA156" i="9"/>
  <c r="CK156" i="9" s="1"/>
  <c r="AB156" i="9"/>
  <c r="BL156" i="9" s="1"/>
  <c r="AE95" i="9"/>
  <c r="BO95" i="9" s="1"/>
  <c r="AQ95" i="9"/>
  <c r="CA95" i="9" s="1"/>
  <c r="AO156" i="9"/>
  <c r="BY156" i="9" s="1"/>
  <c r="Y156" i="9"/>
  <c r="BI156" i="9" s="1"/>
  <c r="AO95" i="9"/>
  <c r="BY95" i="9" s="1"/>
  <c r="CW36" i="9"/>
  <c r="AC36" i="9"/>
  <c r="BM36" i="9" s="1"/>
  <c r="CW168" i="9"/>
  <c r="AN156" i="9"/>
  <c r="BX156" i="9" s="1"/>
  <c r="Y95" i="9"/>
  <c r="BI95" i="9" s="1"/>
  <c r="Z36" i="9"/>
  <c r="BJ36" i="9" s="1"/>
  <c r="Y186" i="9"/>
  <c r="BI186" i="9" s="1"/>
  <c r="AQ192" i="9"/>
  <c r="CA192" i="9" s="1"/>
  <c r="AO192" i="9"/>
  <c r="BY192" i="9" s="1"/>
  <c r="AT156" i="9"/>
  <c r="CD156" i="9" s="1"/>
  <c r="AS156" i="9"/>
  <c r="CC156" i="9" s="1"/>
  <c r="AN95" i="9"/>
  <c r="BX95" i="9" s="1"/>
  <c r="AS95" i="9"/>
  <c r="CC95" i="9" s="1"/>
  <c r="AG95" i="9"/>
  <c r="BQ95" i="9" s="1"/>
  <c r="AN36" i="9"/>
  <c r="BX36" i="9" s="1"/>
  <c r="CW14" i="9"/>
  <c r="CW13" i="9"/>
  <c r="CW165" i="9"/>
  <c r="AX38" i="9"/>
  <c r="CH38" i="9" s="1"/>
  <c r="Z38" i="9"/>
  <c r="AF38" i="9"/>
  <c r="BP38" i="9" s="1"/>
  <c r="AR38" i="9"/>
  <c r="CB38" i="9" s="1"/>
  <c r="X38" i="9"/>
  <c r="CW38" i="9"/>
  <c r="AG80" i="9"/>
  <c r="AA80" i="9"/>
  <c r="AY80" i="9"/>
  <c r="CI80" i="9" s="1"/>
  <c r="AM80" i="9"/>
  <c r="BW80" i="9" s="1"/>
  <c r="AS80" i="9"/>
  <c r="AS82" i="9"/>
  <c r="CC82" i="9" s="1"/>
  <c r="AU82" i="9"/>
  <c r="CE82" i="9" s="1"/>
  <c r="AR82" i="9"/>
  <c r="CB82" i="9" s="1"/>
  <c r="AT82" i="9"/>
  <c r="CD82" i="9" s="1"/>
  <c r="AQ79" i="9"/>
  <c r="AR79" i="9"/>
  <c r="CB79" i="9" s="1"/>
  <c r="AS79" i="9"/>
  <c r="CC79" i="9" s="1"/>
  <c r="AU79" i="9"/>
  <c r="CE79" i="9" s="1"/>
  <c r="AT79" i="9"/>
  <c r="CD79" i="9" s="1"/>
  <c r="BA15" i="9"/>
  <c r="CK15" i="9" s="1"/>
  <c r="AZ15" i="9"/>
  <c r="CJ15" i="9" s="1"/>
  <c r="AX15" i="9"/>
  <c r="CH15" i="9" s="1"/>
  <c r="AY15" i="9"/>
  <c r="CI15" i="9" s="1"/>
  <c r="AL100" i="9"/>
  <c r="BV100" i="9" s="1"/>
  <c r="AM100" i="9"/>
  <c r="BW100" i="9" s="1"/>
  <c r="AO82" i="9"/>
  <c r="BY82" i="9" s="1"/>
  <c r="AA82" i="9"/>
  <c r="AE81" i="9"/>
  <c r="Y81" i="9"/>
  <c r="AW81" i="9"/>
  <c r="AH80" i="9"/>
  <c r="BR80" i="9" s="1"/>
  <c r="AB80" i="9"/>
  <c r="AZ80" i="9"/>
  <c r="CJ80" i="9" s="1"/>
  <c r="AI72" i="9"/>
  <c r="BS72" i="9" s="1"/>
  <c r="AC72" i="9"/>
  <c r="BA72" i="9"/>
  <c r="CK72" i="9" s="1"/>
  <c r="AA72" i="9"/>
  <c r="AB72" i="9"/>
  <c r="Z72" i="9"/>
  <c r="AE15" i="9"/>
  <c r="Y15" i="9"/>
  <c r="AW15" i="9"/>
  <c r="AC15" i="9"/>
  <c r="AG15" i="9"/>
  <c r="BQ15" i="9" s="1"/>
  <c r="AO15" i="9"/>
  <c r="BY15" i="9" s="1"/>
  <c r="AB15" i="9"/>
  <c r="AK99" i="9"/>
  <c r="AL99" i="9"/>
  <c r="BV99" i="9" s="1"/>
  <c r="AM99" i="9"/>
  <c r="BW99" i="9" s="1"/>
  <c r="AO99" i="9"/>
  <c r="BY99" i="9" s="1"/>
  <c r="AE107" i="9"/>
  <c r="Y107" i="9"/>
  <c r="AW107" i="9"/>
  <c r="AC107" i="9"/>
  <c r="AG107" i="9"/>
  <c r="BQ107" i="9" s="1"/>
  <c r="AO107" i="9"/>
  <c r="BY107" i="9" s="1"/>
  <c r="Z107" i="9"/>
  <c r="AH107" i="9"/>
  <c r="BR107" i="9" s="1"/>
  <c r="AB107" i="9"/>
  <c r="AL106" i="9"/>
  <c r="BV106" i="9" s="1"/>
  <c r="AF106" i="9"/>
  <c r="Z106" i="9"/>
  <c r="AX106" i="9"/>
  <c r="CH106" i="9" s="1"/>
  <c r="X106" i="9"/>
  <c r="AO38" i="9"/>
  <c r="BY38" i="9" s="1"/>
  <c r="AB38" i="9"/>
  <c r="AG100" i="9"/>
  <c r="BQ100" i="9" s="1"/>
  <c r="AB100" i="9"/>
  <c r="CW82" i="9"/>
  <c r="Y82" i="9"/>
  <c r="AK82" i="9"/>
  <c r="AR81" i="9"/>
  <c r="CB81" i="9" s="1"/>
  <c r="AU80" i="9"/>
  <c r="CE80" i="9" s="1"/>
  <c r="AA15" i="9"/>
  <c r="AN14" i="9"/>
  <c r="BX14" i="9" s="1"/>
  <c r="AG105" i="9"/>
  <c r="BQ105" i="9" s="1"/>
  <c r="AA105" i="9"/>
  <c r="AY105" i="9"/>
  <c r="CI105" i="9" s="1"/>
  <c r="AL104" i="9"/>
  <c r="BV104" i="9" s="1"/>
  <c r="AF104" i="9"/>
  <c r="Z104" i="9"/>
  <c r="AX104" i="9"/>
  <c r="CH104" i="9" s="1"/>
  <c r="X104" i="9"/>
  <c r="AN38" i="9"/>
  <c r="BX38" i="9" s="1"/>
  <c r="AQ100" i="9"/>
  <c r="AF100" i="9"/>
  <c r="BP100" i="9" s="1"/>
  <c r="AW82" i="9"/>
  <c r="AI82" i="9"/>
  <c r="BS82" i="9" s="1"/>
  <c r="AQ81" i="9"/>
  <c r="AM81" i="9"/>
  <c r="BW81" i="9" s="1"/>
  <c r="AT80" i="9"/>
  <c r="CD80" i="9" s="1"/>
  <c r="AM79" i="9"/>
  <c r="BW79" i="9" s="1"/>
  <c r="AI79" i="9"/>
  <c r="BS79" i="9" s="1"/>
  <c r="AC79" i="9"/>
  <c r="BA79" i="9"/>
  <c r="CK79" i="9" s="1"/>
  <c r="Z79" i="9"/>
  <c r="AA79" i="9"/>
  <c r="Z15" i="9"/>
  <c r="AK15" i="9"/>
  <c r="AM14" i="9"/>
  <c r="BW14" i="9" s="1"/>
  <c r="AA107" i="9"/>
  <c r="AK107" i="9"/>
  <c r="AQ38" i="9"/>
  <c r="AS38" i="9"/>
  <c r="CC38" i="9" s="1"/>
  <c r="AT38" i="9"/>
  <c r="CD38" i="9" s="1"/>
  <c r="AC100" i="9"/>
  <c r="AH82" i="9"/>
  <c r="BR82" i="9" s="1"/>
  <c r="AN82" i="9"/>
  <c r="BX82" i="9" s="1"/>
  <c r="AH79" i="9"/>
  <c r="BR79" i="9" s="1"/>
  <c r="AB79" i="9"/>
  <c r="AZ79" i="9"/>
  <c r="CJ79" i="9" s="1"/>
  <c r="AL14" i="9"/>
  <c r="BV14" i="9" s="1"/>
  <c r="AF14" i="9"/>
  <c r="BP14" i="9" s="1"/>
  <c r="Z14" i="9"/>
  <c r="AX14" i="9"/>
  <c r="CH14" i="9" s="1"/>
  <c r="X14" i="9"/>
  <c r="AG13" i="9"/>
  <c r="BQ13" i="9" s="1"/>
  <c r="AA13" i="9"/>
  <c r="AY13" i="9"/>
  <c r="CI13" i="9" s="1"/>
  <c r="AN55" i="9"/>
  <c r="BX55" i="9" s="1"/>
  <c r="AH55" i="9"/>
  <c r="BR55" i="9" s="1"/>
  <c r="AB55" i="9"/>
  <c r="AZ55" i="9"/>
  <c r="CJ55" i="9" s="1"/>
  <c r="AO54" i="9"/>
  <c r="BY54" i="9" s="1"/>
  <c r="AN99" i="9"/>
  <c r="BX99" i="9" s="1"/>
  <c r="AG103" i="9"/>
  <c r="BQ103" i="9" s="1"/>
  <c r="AA103" i="9"/>
  <c r="AY103" i="9"/>
  <c r="CI103" i="9" s="1"/>
  <c r="AK38" i="9"/>
  <c r="AL38" i="9"/>
  <c r="BV38" i="9" s="1"/>
  <c r="AO100" i="9"/>
  <c r="BY100" i="9" s="1"/>
  <c r="AG82" i="9"/>
  <c r="BQ82" i="9" s="1"/>
  <c r="AK81" i="9"/>
  <c r="AN81" i="9"/>
  <c r="BX81" i="9" s="1"/>
  <c r="AH81" i="9"/>
  <c r="BR81" i="9" s="1"/>
  <c r="AC80" i="9"/>
  <c r="AE14" i="9"/>
  <c r="Y14" i="9"/>
  <c r="AW14" i="9"/>
  <c r="AK14" i="9"/>
  <c r="AH14" i="9"/>
  <c r="BR14" i="9" s="1"/>
  <c r="AC14" i="9"/>
  <c r="AF13" i="9"/>
  <c r="Z13" i="9"/>
  <c r="AX13" i="9"/>
  <c r="CH13" i="9" s="1"/>
  <c r="AL13" i="9"/>
  <c r="BV13" i="9" s="1"/>
  <c r="X13" i="9"/>
  <c r="AG55" i="9"/>
  <c r="BQ55" i="9" s="1"/>
  <c r="AA55" i="9"/>
  <c r="AY55" i="9"/>
  <c r="CI55" i="9" s="1"/>
  <c r="AM55" i="9"/>
  <c r="BW55" i="9" s="1"/>
  <c r="AI54" i="9"/>
  <c r="BS54" i="9" s="1"/>
  <c r="AC54" i="9"/>
  <c r="BA54" i="9"/>
  <c r="CK54" i="9" s="1"/>
  <c r="Y54" i="9"/>
  <c r="Z54" i="9"/>
  <c r="AI38" i="9"/>
  <c r="BS38" i="9" s="1"/>
  <c r="AC38" i="9"/>
  <c r="BA38" i="9"/>
  <c r="CK38" i="9" s="1"/>
  <c r="AN100" i="9"/>
  <c r="BX100" i="9" s="1"/>
  <c r="AQ82" i="9"/>
  <c r="AF82" i="9"/>
  <c r="BP82" i="9" s="1"/>
  <c r="AG81" i="9"/>
  <c r="BQ81" i="9" s="1"/>
  <c r="AN80" i="9"/>
  <c r="BX80" i="9" s="1"/>
  <c r="AO80" i="9"/>
  <c r="BY80" i="9" s="1"/>
  <c r="AU72" i="9"/>
  <c r="CE72" i="9" s="1"/>
  <c r="Y72" i="9"/>
  <c r="AQ72" i="9"/>
  <c r="AR72" i="9"/>
  <c r="CB72" i="9" s="1"/>
  <c r="AS72" i="9"/>
  <c r="CC72" i="9" s="1"/>
  <c r="AT72" i="9"/>
  <c r="CD72" i="9" s="1"/>
  <c r="AZ16" i="9"/>
  <c r="CJ16" i="9" s="1"/>
  <c r="BA16" i="9"/>
  <c r="CK16" i="9" s="1"/>
  <c r="AY16" i="9"/>
  <c r="CI16" i="9" s="1"/>
  <c r="AQ15" i="9"/>
  <c r="AI14" i="9"/>
  <c r="BS14" i="9" s="1"/>
  <c r="AH54" i="9"/>
  <c r="BR54" i="9" s="1"/>
  <c r="AB54" i="9"/>
  <c r="AZ54" i="9"/>
  <c r="CJ54" i="9" s="1"/>
  <c r="AN54" i="9"/>
  <c r="AR100" i="9"/>
  <c r="CB100" i="9" s="1"/>
  <c r="AT100" i="9"/>
  <c r="CD100" i="9" s="1"/>
  <c r="AU100" i="9"/>
  <c r="CE100" i="9" s="1"/>
  <c r="AF81" i="9"/>
  <c r="BP81" i="9" s="1"/>
  <c r="Z81" i="9"/>
  <c r="AX81" i="9"/>
  <c r="CH81" i="9" s="1"/>
  <c r="X81" i="9"/>
  <c r="Y80" i="9"/>
  <c r="Z80" i="9"/>
  <c r="AK72" i="9"/>
  <c r="AL72" i="9"/>
  <c r="BV72" i="9" s="1"/>
  <c r="AR16" i="9"/>
  <c r="CB16" i="9" s="1"/>
  <c r="AS16" i="9"/>
  <c r="CC16" i="9" s="1"/>
  <c r="AT16" i="9"/>
  <c r="CD16" i="9" s="1"/>
  <c r="AU16" i="9"/>
  <c r="CE16" i="9" s="1"/>
  <c r="AQ16" i="9"/>
  <c r="AB14" i="9"/>
  <c r="AM105" i="9"/>
  <c r="BW105" i="9" s="1"/>
  <c r="AR15" i="9"/>
  <c r="CB15" i="9" s="1"/>
  <c r="Y99" i="9"/>
  <c r="AZ107" i="9"/>
  <c r="CJ107" i="9" s="1"/>
  <c r="AR107" i="9"/>
  <c r="CB107" i="9" s="1"/>
  <c r="AK106" i="9"/>
  <c r="AC106" i="9"/>
  <c r="AL105" i="9"/>
  <c r="BV105" i="9" s="1"/>
  <c r="AK104" i="9"/>
  <c r="AC104" i="9"/>
  <c r="AL103" i="9"/>
  <c r="BV103" i="9" s="1"/>
  <c r="AZ139" i="9"/>
  <c r="CJ139" i="9" s="1"/>
  <c r="AR139" i="9"/>
  <c r="CB139" i="9" s="1"/>
  <c r="AB139" i="9"/>
  <c r="AU96" i="9"/>
  <c r="CE96" i="9" s="1"/>
  <c r="AM96" i="9"/>
  <c r="BW96" i="9" s="1"/>
  <c r="AZ25" i="9"/>
  <c r="CJ25" i="9" s="1"/>
  <c r="AR25" i="9"/>
  <c r="CB25" i="9" s="1"/>
  <c r="AB25" i="9"/>
  <c r="AZ141" i="9"/>
  <c r="CJ141" i="9" s="1"/>
  <c r="AI141" i="9"/>
  <c r="BS141" i="9" s="1"/>
  <c r="AC141" i="9"/>
  <c r="BA137" i="9"/>
  <c r="CK137" i="9" s="1"/>
  <c r="AN137" i="9"/>
  <c r="BX137" i="9" s="1"/>
  <c r="AN140" i="9"/>
  <c r="BX140" i="9" s="1"/>
  <c r="AH140" i="9"/>
  <c r="BR140" i="9" s="1"/>
  <c r="AG147" i="9"/>
  <c r="BQ147" i="9" s="1"/>
  <c r="AA147" i="9"/>
  <c r="AY147" i="9"/>
  <c r="CI147" i="9" s="1"/>
  <c r="AZ33" i="9"/>
  <c r="CJ33" i="9" s="1"/>
  <c r="AW33" i="9"/>
  <c r="AG155" i="9"/>
  <c r="BQ155" i="9" s="1"/>
  <c r="AG61" i="9"/>
  <c r="BQ61" i="9" s="1"/>
  <c r="AY61" i="9"/>
  <c r="CI61" i="9" s="1"/>
  <c r="AA61" i="9"/>
  <c r="AS61" i="9"/>
  <c r="CC61" i="9" s="1"/>
  <c r="AQ137" i="9"/>
  <c r="AR137" i="9"/>
  <c r="CB137" i="9" s="1"/>
  <c r="AT137" i="9"/>
  <c r="CD137" i="9" s="1"/>
  <c r="AM136" i="9"/>
  <c r="BW136" i="9" s="1"/>
  <c r="AG136" i="9"/>
  <c r="BQ136" i="9" s="1"/>
  <c r="AA136" i="9"/>
  <c r="AY136" i="9"/>
  <c r="CI136" i="9" s="1"/>
  <c r="AS136" i="9"/>
  <c r="CC136" i="9" s="1"/>
  <c r="AH139" i="9"/>
  <c r="BR139" i="9" s="1"/>
  <c r="Z139" i="9"/>
  <c r="AH25" i="9"/>
  <c r="BR25" i="9" s="1"/>
  <c r="Z25" i="9"/>
  <c r="AN141" i="9"/>
  <c r="BX141" i="9" s="1"/>
  <c r="AF140" i="9"/>
  <c r="Z140" i="9"/>
  <c r="AX140" i="9"/>
  <c r="CH140" i="9" s="1"/>
  <c r="X140" i="9"/>
  <c r="AK155" i="9"/>
  <c r="AE155" i="9"/>
  <c r="Y155" i="9"/>
  <c r="AW155" i="9"/>
  <c r="AC155" i="9"/>
  <c r="AF155" i="9"/>
  <c r="BP155" i="9" s="1"/>
  <c r="AN155" i="9"/>
  <c r="BX155" i="9" s="1"/>
  <c r="AH155" i="9"/>
  <c r="BR155" i="9" s="1"/>
  <c r="AB155" i="9"/>
  <c r="AW139" i="9"/>
  <c r="AO139" i="9"/>
  <c r="BY139" i="9" s="1"/>
  <c r="AG139" i="9"/>
  <c r="BQ139" i="9" s="1"/>
  <c r="Y139" i="9"/>
  <c r="AZ96" i="9"/>
  <c r="CJ96" i="9" s="1"/>
  <c r="AB96" i="9"/>
  <c r="AW25" i="9"/>
  <c r="AO25" i="9"/>
  <c r="BY25" i="9" s="1"/>
  <c r="AG25" i="9"/>
  <c r="BQ25" i="9" s="1"/>
  <c r="Y25" i="9"/>
  <c r="AO102" i="9"/>
  <c r="BY102" i="9" s="1"/>
  <c r="AI102" i="9"/>
  <c r="BS102" i="9" s="1"/>
  <c r="AC102" i="9"/>
  <c r="BA102" i="9"/>
  <c r="CK102" i="9" s="1"/>
  <c r="Y102" i="9"/>
  <c r="Z102" i="9"/>
  <c r="AZ22" i="9"/>
  <c r="CJ22" i="9" s="1"/>
  <c r="AY22" i="9"/>
  <c r="CI22" i="9" s="1"/>
  <c r="AI155" i="9"/>
  <c r="BS155" i="9" s="1"/>
  <c r="AI120" i="9"/>
  <c r="BS120" i="9" s="1"/>
  <c r="AC120" i="9"/>
  <c r="BA120" i="9"/>
  <c r="CK120" i="9" s="1"/>
  <c r="AU120" i="9"/>
  <c r="CE120" i="9" s="1"/>
  <c r="AO120" i="9"/>
  <c r="BY120" i="9" s="1"/>
  <c r="Z120" i="9"/>
  <c r="Y120" i="9"/>
  <c r="AM16" i="9"/>
  <c r="AF15" i="9"/>
  <c r="BP15" i="9" s="1"/>
  <c r="AG14" i="9"/>
  <c r="BQ14" i="9" s="1"/>
  <c r="AH13" i="9"/>
  <c r="BR13" i="9" s="1"/>
  <c r="AI55" i="9"/>
  <c r="BS55" i="9" s="1"/>
  <c r="BA99" i="9"/>
  <c r="CK99" i="9" s="1"/>
  <c r="AS99" i="9"/>
  <c r="CC99" i="9" s="1"/>
  <c r="AC99" i="9"/>
  <c r="AF107" i="9"/>
  <c r="BP107" i="9" s="1"/>
  <c r="AW106" i="9"/>
  <c r="AG106" i="9"/>
  <c r="BQ106" i="9" s="1"/>
  <c r="Y106" i="9"/>
  <c r="AX105" i="9"/>
  <c r="CH105" i="9" s="1"/>
  <c r="AH105" i="9"/>
  <c r="BR105" i="9" s="1"/>
  <c r="Z105" i="9"/>
  <c r="AW104" i="9"/>
  <c r="AG104" i="9"/>
  <c r="BQ104" i="9" s="1"/>
  <c r="Y104" i="9"/>
  <c r="AX103" i="9"/>
  <c r="CH103" i="9" s="1"/>
  <c r="AH103" i="9"/>
  <c r="BR103" i="9" s="1"/>
  <c r="Z103" i="9"/>
  <c r="AF139" i="9"/>
  <c r="BP139" i="9" s="1"/>
  <c r="AY96" i="9"/>
  <c r="CI96" i="9" s="1"/>
  <c r="AA96" i="9"/>
  <c r="AF25" i="9"/>
  <c r="BP25" i="9" s="1"/>
  <c r="AU141" i="9"/>
  <c r="CE141" i="9" s="1"/>
  <c r="AL141" i="9"/>
  <c r="BV141" i="9" s="1"/>
  <c r="AB141" i="9"/>
  <c r="AU137" i="9"/>
  <c r="CE137" i="9" s="1"/>
  <c r="AB137" i="9"/>
  <c r="AN44" i="9"/>
  <c r="BX44" i="9" s="1"/>
  <c r="AH44" i="9"/>
  <c r="BR44" i="9" s="1"/>
  <c r="AB44" i="9"/>
  <c r="AZ44" i="9"/>
  <c r="CJ44" i="9" s="1"/>
  <c r="AU102" i="9"/>
  <c r="CE102" i="9" s="1"/>
  <c r="AK12" i="9"/>
  <c r="AL12" i="9"/>
  <c r="AM12" i="9"/>
  <c r="BW12" i="9" s="1"/>
  <c r="AO12" i="9"/>
  <c r="BY12" i="9" s="1"/>
  <c r="AQ23" i="9"/>
  <c r="AR23" i="9"/>
  <c r="CB23" i="9" s="1"/>
  <c r="AS23" i="9"/>
  <c r="CC23" i="9" s="1"/>
  <c r="AT23" i="9"/>
  <c r="CD23" i="9" s="1"/>
  <c r="AU23" i="9"/>
  <c r="CE23" i="9" s="1"/>
  <c r="AX22" i="9"/>
  <c r="CH22" i="9" s="1"/>
  <c r="AA155" i="9"/>
  <c r="AM82" i="9"/>
  <c r="BW82" i="9" s="1"/>
  <c r="AO81" i="9"/>
  <c r="BY81" i="9" s="1"/>
  <c r="AL16" i="9"/>
  <c r="BV16" i="9" s="1"/>
  <c r="AU15" i="9"/>
  <c r="CE15" i="9" s="1"/>
  <c r="AM15" i="9"/>
  <c r="BW15" i="9" s="1"/>
  <c r="AW13" i="9"/>
  <c r="AO13" i="9"/>
  <c r="BY13" i="9" s="1"/>
  <c r="Y13" i="9"/>
  <c r="AX55" i="9"/>
  <c r="Z55" i="9"/>
  <c r="AY54" i="9"/>
  <c r="CI54" i="9" s="1"/>
  <c r="AA54" i="9"/>
  <c r="AZ99" i="9"/>
  <c r="AR99" i="9"/>
  <c r="AB99" i="9"/>
  <c r="AU107" i="9"/>
  <c r="CE107" i="9" s="1"/>
  <c r="AM107" i="9"/>
  <c r="BW107" i="9" s="1"/>
  <c r="AW105" i="9"/>
  <c r="AO105" i="9"/>
  <c r="BY105" i="9" s="1"/>
  <c r="Y105" i="9"/>
  <c r="AW103" i="9"/>
  <c r="AO103" i="9"/>
  <c r="BY103" i="9" s="1"/>
  <c r="Y103" i="9"/>
  <c r="AU139" i="9"/>
  <c r="CE139" i="9" s="1"/>
  <c r="AM139" i="9"/>
  <c r="BW139" i="9" s="1"/>
  <c r="AX96" i="9"/>
  <c r="AH96" i="9"/>
  <c r="BR96" i="9" s="1"/>
  <c r="Z96" i="9"/>
  <c r="AU25" i="9"/>
  <c r="CE25" i="9" s="1"/>
  <c r="AM25" i="9"/>
  <c r="BW25" i="9" s="1"/>
  <c r="AT141" i="9"/>
  <c r="CD141" i="9" s="1"/>
  <c r="Z141" i="9"/>
  <c r="AS137" i="9"/>
  <c r="CC137" i="9" s="1"/>
  <c r="AA137" i="9"/>
  <c r="AY137" i="9"/>
  <c r="CI137" i="9" s="1"/>
  <c r="AT140" i="9"/>
  <c r="CD140" i="9" s="1"/>
  <c r="AB140" i="9"/>
  <c r="AU147" i="9"/>
  <c r="CE147" i="9" s="1"/>
  <c r="AC147" i="9"/>
  <c r="AO147" i="9"/>
  <c r="BY147" i="9" s="1"/>
  <c r="AG45" i="9"/>
  <c r="BQ45" i="9" s="1"/>
  <c r="AA102" i="9"/>
  <c r="AN12" i="9"/>
  <c r="BX12" i="9" s="1"/>
  <c r="AL155" i="9"/>
  <c r="BV155" i="9" s="1"/>
  <c r="AZ72" i="9"/>
  <c r="CJ72" i="9" s="1"/>
  <c r="AT15" i="9"/>
  <c r="CD15" i="9" s="1"/>
  <c r="AA99" i="9"/>
  <c r="AT107" i="9"/>
  <c r="CD107" i="9" s="1"/>
  <c r="AT139" i="9"/>
  <c r="CD139" i="9" s="1"/>
  <c r="AL139" i="9"/>
  <c r="BV139" i="9" s="1"/>
  <c r="AT25" i="9"/>
  <c r="CD25" i="9" s="1"/>
  <c r="AL25" i="9"/>
  <c r="BV25" i="9" s="1"/>
  <c r="Z45" i="9"/>
  <c r="AY38" i="9"/>
  <c r="CI38" i="9" s="1"/>
  <c r="AZ100" i="9"/>
  <c r="CJ100" i="9" s="1"/>
  <c r="BA141" i="9"/>
  <c r="CK141" i="9" s="1"/>
  <c r="AO137" i="9"/>
  <c r="BY137" i="9" s="1"/>
  <c r="AC137" i="9"/>
  <c r="AR140" i="9"/>
  <c r="CB140" i="9" s="1"/>
  <c r="AS147" i="9"/>
  <c r="CC147" i="9" s="1"/>
  <c r="AK45" i="9"/>
  <c r="AE45" i="9"/>
  <c r="Y45" i="9"/>
  <c r="AW45" i="9"/>
  <c r="AC45" i="9"/>
  <c r="AL45" i="9"/>
  <c r="BV45" i="9" s="1"/>
  <c r="AF45" i="9"/>
  <c r="BP45" i="9" s="1"/>
  <c r="AL18" i="9"/>
  <c r="BV18" i="9" s="1"/>
  <c r="AF18" i="9"/>
  <c r="BP18" i="9" s="1"/>
  <c r="Z18" i="9"/>
  <c r="AX18" i="9"/>
  <c r="X18" i="9"/>
  <c r="CW138" i="9"/>
  <c r="AK140" i="9"/>
  <c r="AC140" i="9"/>
  <c r="AL147" i="9"/>
  <c r="BV147" i="9" s="1"/>
  <c r="AY33" i="9"/>
  <c r="CI33" i="9" s="1"/>
  <c r="AQ33" i="9"/>
  <c r="AI33" i="9"/>
  <c r="BS33" i="9" s="1"/>
  <c r="AA33" i="9"/>
  <c r="AZ45" i="9"/>
  <c r="CJ45" i="9" s="1"/>
  <c r="AR45" i="9"/>
  <c r="CB45" i="9" s="1"/>
  <c r="AB45" i="9"/>
  <c r="AM44" i="9"/>
  <c r="BW44" i="9" s="1"/>
  <c r="AW12" i="9"/>
  <c r="AG12" i="9"/>
  <c r="BQ12" i="9" s="1"/>
  <c r="AH23" i="9"/>
  <c r="BR23" i="9" s="1"/>
  <c r="Z23" i="9"/>
  <c r="AI22" i="9"/>
  <c r="BS22" i="9" s="1"/>
  <c r="AY138" i="9"/>
  <c r="CI138" i="9" s="1"/>
  <c r="AG138" i="9"/>
  <c r="BQ138" i="9" s="1"/>
  <c r="X138" i="9"/>
  <c r="AM138" i="9"/>
  <c r="BW138" i="9" s="1"/>
  <c r="AO61" i="9"/>
  <c r="BY61" i="9" s="1"/>
  <c r="AE61" i="9"/>
  <c r="AN61" i="9"/>
  <c r="BX61" i="9" s="1"/>
  <c r="AU162" i="9"/>
  <c r="CE162" i="9" s="1"/>
  <c r="AB161" i="9"/>
  <c r="AO127" i="9"/>
  <c r="AK127" i="9"/>
  <c r="AL127" i="9"/>
  <c r="BV127" i="9" s="1"/>
  <c r="AM127" i="9"/>
  <c r="BW127" i="9" s="1"/>
  <c r="AQ126" i="9"/>
  <c r="AR126" i="9"/>
  <c r="CB126" i="9" s="1"/>
  <c r="AS126" i="9"/>
  <c r="CC126" i="9" s="1"/>
  <c r="AT126" i="9"/>
  <c r="CD126" i="9" s="1"/>
  <c r="AU126" i="9"/>
  <c r="CE126" i="9" s="1"/>
  <c r="AG124" i="9"/>
  <c r="BQ124" i="9" s="1"/>
  <c r="AO33" i="9"/>
  <c r="BY33" i="9" s="1"/>
  <c r="AX45" i="9"/>
  <c r="CH45" i="9" s="1"/>
  <c r="AH45" i="9"/>
  <c r="BR45" i="9" s="1"/>
  <c r="BA44" i="9"/>
  <c r="CK44" i="9" s="1"/>
  <c r="AK44" i="9"/>
  <c r="AC44" i="9"/>
  <c r="AT102" i="9"/>
  <c r="CD102" i="9" s="1"/>
  <c r="AL102" i="9"/>
  <c r="BV102" i="9" s="1"/>
  <c r="AU12" i="9"/>
  <c r="CE12" i="9" s="1"/>
  <c r="AN23" i="9"/>
  <c r="BX23" i="9" s="1"/>
  <c r="AF23" i="9"/>
  <c r="BP23" i="9" s="1"/>
  <c r="AW22" i="9"/>
  <c r="AO22" i="9"/>
  <c r="BY22" i="9" s="1"/>
  <c r="AG22" i="9"/>
  <c r="BQ22" i="9" s="1"/>
  <c r="AX155" i="9"/>
  <c r="CH155" i="9" s="1"/>
  <c r="AY18" i="9"/>
  <c r="CI18" i="9" s="1"/>
  <c r="AQ18" i="9"/>
  <c r="AA18" i="9"/>
  <c r="AU61" i="9"/>
  <c r="CE61" i="9" s="1"/>
  <c r="AC61" i="9"/>
  <c r="AF61" i="9"/>
  <c r="BP61" i="9" s="1"/>
  <c r="AO134" i="9"/>
  <c r="BY134" i="9" s="1"/>
  <c r="AI134" i="9"/>
  <c r="BS134" i="9" s="1"/>
  <c r="AC134" i="9"/>
  <c r="BA134" i="9"/>
  <c r="CK134" i="9" s="1"/>
  <c r="Y134" i="9"/>
  <c r="AB134" i="9"/>
  <c r="AK158" i="9"/>
  <c r="AM130" i="9"/>
  <c r="BW130" i="9" s="1"/>
  <c r="AG130" i="9"/>
  <c r="BQ130" i="9" s="1"/>
  <c r="AA130" i="9"/>
  <c r="AY130" i="9"/>
  <c r="CI130" i="9" s="1"/>
  <c r="AE124" i="9"/>
  <c r="Y124" i="9"/>
  <c r="AW124" i="9"/>
  <c r="AC124" i="9"/>
  <c r="AF124" i="9"/>
  <c r="BP124" i="9" s="1"/>
  <c r="AN124" i="9"/>
  <c r="BX124" i="9" s="1"/>
  <c r="Z124" i="9"/>
  <c r="AH124" i="9"/>
  <c r="BR124" i="9" s="1"/>
  <c r="AL123" i="9"/>
  <c r="BV123" i="9" s="1"/>
  <c r="AF123" i="9"/>
  <c r="Z123" i="9"/>
  <c r="AX123" i="9"/>
  <c r="CH123" i="9" s="1"/>
  <c r="X123" i="9"/>
  <c r="AO45" i="9"/>
  <c r="BY45" i="9" s="1"/>
  <c r="AR44" i="9"/>
  <c r="CB44" i="9" s="1"/>
  <c r="AS102" i="9"/>
  <c r="CC102" i="9" s="1"/>
  <c r="AT12" i="9"/>
  <c r="CD12" i="9" s="1"/>
  <c r="AM23" i="9"/>
  <c r="BW23" i="9" s="1"/>
  <c r="AO155" i="9"/>
  <c r="BY155" i="9" s="1"/>
  <c r="AH18" i="9"/>
  <c r="BR18" i="9" s="1"/>
  <c r="AO162" i="9"/>
  <c r="BY162" i="9" s="1"/>
  <c r="AL162" i="9"/>
  <c r="AE161" i="9"/>
  <c r="Y161" i="9"/>
  <c r="AW161" i="9"/>
  <c r="AC161" i="9"/>
  <c r="Z161" i="9"/>
  <c r="AH161" i="9"/>
  <c r="BR161" i="9" s="1"/>
  <c r="AO52" i="9"/>
  <c r="BY52" i="9" s="1"/>
  <c r="AK52" i="9"/>
  <c r="AL52" i="9"/>
  <c r="BV52" i="9" s="1"/>
  <c r="AM52" i="9"/>
  <c r="BW52" i="9" s="1"/>
  <c r="AN135" i="9"/>
  <c r="BX135" i="9" s="1"/>
  <c r="AH135" i="9"/>
  <c r="BR135" i="9" s="1"/>
  <c r="AB135" i="9"/>
  <c r="AZ135" i="9"/>
  <c r="CJ135" i="9" s="1"/>
  <c r="AU134" i="9"/>
  <c r="CE134" i="9" s="1"/>
  <c r="AI124" i="9"/>
  <c r="BS124" i="9" s="1"/>
  <c r="AW140" i="9"/>
  <c r="AG140" i="9"/>
  <c r="BQ140" i="9" s="1"/>
  <c r="Y140" i="9"/>
  <c r="AX147" i="9"/>
  <c r="CH147" i="9" s="1"/>
  <c r="AH147" i="9"/>
  <c r="BR147" i="9" s="1"/>
  <c r="Z147" i="9"/>
  <c r="AY44" i="9"/>
  <c r="CI44" i="9" s="1"/>
  <c r="AA44" i="9"/>
  <c r="AZ102" i="9"/>
  <c r="CJ102" i="9" s="1"/>
  <c r="AR102" i="9"/>
  <c r="CB102" i="9" s="1"/>
  <c r="AB102" i="9"/>
  <c r="AG18" i="9"/>
  <c r="BQ18" i="9" s="1"/>
  <c r="AT138" i="9"/>
  <c r="CD138" i="9" s="1"/>
  <c r="AN162" i="9"/>
  <c r="BX162" i="9" s="1"/>
  <c r="AF161" i="9"/>
  <c r="BP161" i="9" s="1"/>
  <c r="AN53" i="9"/>
  <c r="BX53" i="9" s="1"/>
  <c r="AH53" i="9"/>
  <c r="BR53" i="9" s="1"/>
  <c r="AB53" i="9"/>
  <c r="AZ53" i="9"/>
  <c r="CJ53" i="9" s="1"/>
  <c r="AA134" i="9"/>
  <c r="AZ131" i="9"/>
  <c r="CJ131" i="9" s="1"/>
  <c r="AW131" i="9"/>
  <c r="AB158" i="9"/>
  <c r="AN127" i="9"/>
  <c r="BX127" i="9" s="1"/>
  <c r="AA124" i="9"/>
  <c r="AY141" i="9"/>
  <c r="CI141" i="9" s="1"/>
  <c r="AZ137" i="9"/>
  <c r="CJ137" i="9" s="1"/>
  <c r="AW147" i="9"/>
  <c r="AX44" i="9"/>
  <c r="AY102" i="9"/>
  <c r="CI102" i="9" s="1"/>
  <c r="AZ12" i="9"/>
  <c r="CJ12" i="9" s="1"/>
  <c r="AR12" i="9"/>
  <c r="BA23" i="9"/>
  <c r="CK23" i="9" s="1"/>
  <c r="AT22" i="9"/>
  <c r="CD22" i="9" s="1"/>
  <c r="AL22" i="9"/>
  <c r="AU155" i="9"/>
  <c r="CE155" i="9" s="1"/>
  <c r="AM155" i="9"/>
  <c r="BW155" i="9" s="1"/>
  <c r="AS138" i="9"/>
  <c r="CC138" i="9" s="1"/>
  <c r="BA61" i="9"/>
  <c r="CK61" i="9" s="1"/>
  <c r="AR61" i="9"/>
  <c r="CB61" i="9" s="1"/>
  <c r="Z61" i="9"/>
  <c r="BA162" i="9"/>
  <c r="CK162" i="9" s="1"/>
  <c r="AM162" i="9"/>
  <c r="BW162" i="9" s="1"/>
  <c r="AA161" i="9"/>
  <c r="AL146" i="9"/>
  <c r="BV146" i="9" s="1"/>
  <c r="AF146" i="9"/>
  <c r="BP146" i="9" s="1"/>
  <c r="Z146" i="9"/>
  <c r="AX146" i="9"/>
  <c r="CH146" i="9" s="1"/>
  <c r="X146" i="9"/>
  <c r="AO128" i="9"/>
  <c r="BY128" i="9" s="1"/>
  <c r="AI128" i="9"/>
  <c r="BS128" i="9" s="1"/>
  <c r="AC128" i="9"/>
  <c r="BA128" i="9"/>
  <c r="CK128" i="9" s="1"/>
  <c r="Y128" i="9"/>
  <c r="AB128" i="9"/>
  <c r="AM122" i="9"/>
  <c r="BW122" i="9" s="1"/>
  <c r="AG122" i="9"/>
  <c r="BQ122" i="9" s="1"/>
  <c r="AA122" i="9"/>
  <c r="AY122" i="9"/>
  <c r="CI122" i="9" s="1"/>
  <c r="AK169" i="9"/>
  <c r="AL169" i="9"/>
  <c r="AO169" i="9"/>
  <c r="BY169" i="9" s="1"/>
  <c r="AM169" i="9"/>
  <c r="BW169" i="9" s="1"/>
  <c r="AN169" i="9"/>
  <c r="BA33" i="9"/>
  <c r="CK33" i="9" s="1"/>
  <c r="AY12" i="9"/>
  <c r="CI12" i="9" s="1"/>
  <c r="AZ23" i="9"/>
  <c r="CJ23" i="9" s="1"/>
  <c r="BA22" i="9"/>
  <c r="CK22" i="9" s="1"/>
  <c r="AR138" i="9"/>
  <c r="CB138" i="9" s="1"/>
  <c r="AZ61" i="9"/>
  <c r="CJ61" i="9" s="1"/>
  <c r="AQ61" i="9"/>
  <c r="AH61" i="9"/>
  <c r="BR61" i="9" s="1"/>
  <c r="AK162" i="9"/>
  <c r="AG162" i="9"/>
  <c r="BQ162" i="9" s="1"/>
  <c r="AA162" i="9"/>
  <c r="AY162" i="9"/>
  <c r="CI162" i="9" s="1"/>
  <c r="AK161" i="9"/>
  <c r="AN52" i="9"/>
  <c r="BX52" i="9" s="1"/>
  <c r="AO133" i="9"/>
  <c r="BY133" i="9" s="1"/>
  <c r="AK133" i="9"/>
  <c r="AL133" i="9"/>
  <c r="AM133" i="9"/>
  <c r="BW133" i="9" s="1"/>
  <c r="AQ132" i="9"/>
  <c r="AR132" i="9"/>
  <c r="CB132" i="9" s="1"/>
  <c r="AS132" i="9"/>
  <c r="CC132" i="9" s="1"/>
  <c r="AT132" i="9"/>
  <c r="CD132" i="9" s="1"/>
  <c r="AU132" i="9"/>
  <c r="CE132" i="9" s="1"/>
  <c r="AN129" i="9"/>
  <c r="BX129" i="9" s="1"/>
  <c r="AH129" i="9"/>
  <c r="BR129" i="9" s="1"/>
  <c r="AB129" i="9"/>
  <c r="AZ129" i="9"/>
  <c r="CJ129" i="9" s="1"/>
  <c r="AU128" i="9"/>
  <c r="CE128" i="9" s="1"/>
  <c r="AE158" i="9"/>
  <c r="Y158" i="9"/>
  <c r="AW158" i="9"/>
  <c r="AC158" i="9"/>
  <c r="AF158" i="9"/>
  <c r="BP158" i="9" s="1"/>
  <c r="AN158" i="9"/>
  <c r="BX158" i="9" s="1"/>
  <c r="Z158" i="9"/>
  <c r="AH158" i="9"/>
  <c r="BR158" i="9" s="1"/>
  <c r="AL157" i="9"/>
  <c r="BV157" i="9" s="1"/>
  <c r="AF157" i="9"/>
  <c r="BP157" i="9" s="1"/>
  <c r="Z157" i="9"/>
  <c r="AX157" i="9"/>
  <c r="CH157" i="9" s="1"/>
  <c r="X157" i="9"/>
  <c r="AS130" i="9"/>
  <c r="CC130" i="9" s="1"/>
  <c r="AZ125" i="9"/>
  <c r="CJ125" i="9" s="1"/>
  <c r="AW125" i="9"/>
  <c r="AB124" i="9"/>
  <c r="AQ146" i="9"/>
  <c r="AK53" i="9"/>
  <c r="AC53" i="9"/>
  <c r="AK135" i="9"/>
  <c r="AC135" i="9"/>
  <c r="AL134" i="9"/>
  <c r="BV134" i="9" s="1"/>
  <c r="AN132" i="9"/>
  <c r="BX132" i="9" s="1"/>
  <c r="AO131" i="9"/>
  <c r="BY131" i="9" s="1"/>
  <c r="Y131" i="9"/>
  <c r="AQ157" i="9"/>
  <c r="AK129" i="9"/>
  <c r="AC129" i="9"/>
  <c r="AL128" i="9"/>
  <c r="BV128" i="9" s="1"/>
  <c r="AN126" i="9"/>
  <c r="BX126" i="9" s="1"/>
  <c r="AO125" i="9"/>
  <c r="BY125" i="9" s="1"/>
  <c r="Y125" i="9"/>
  <c r="AQ123" i="9"/>
  <c r="AH121" i="9"/>
  <c r="BR121" i="9" s="1"/>
  <c r="AB121" i="9"/>
  <c r="AH120" i="9"/>
  <c r="BR120" i="9" s="1"/>
  <c r="AB120" i="9"/>
  <c r="AZ120" i="9"/>
  <c r="CJ120" i="9" s="1"/>
  <c r="AN120" i="9"/>
  <c r="BX120" i="9" s="1"/>
  <c r="AI169" i="9"/>
  <c r="BS169" i="9" s="1"/>
  <c r="AC169" i="9"/>
  <c r="BA169" i="9"/>
  <c r="CK169" i="9" s="1"/>
  <c r="AO161" i="9"/>
  <c r="BY161" i="9" s="1"/>
  <c r="AH146" i="9"/>
  <c r="BR146" i="9" s="1"/>
  <c r="AT52" i="9"/>
  <c r="CD52" i="9" s="1"/>
  <c r="AS134" i="9"/>
  <c r="CC134" i="9" s="1"/>
  <c r="AM132" i="9"/>
  <c r="AO158" i="9"/>
  <c r="BY158" i="9" s="1"/>
  <c r="AH157" i="9"/>
  <c r="BR157" i="9" s="1"/>
  <c r="AM126" i="9"/>
  <c r="BW126" i="9" s="1"/>
  <c r="AO124" i="9"/>
  <c r="BY124" i="9" s="1"/>
  <c r="AH123" i="9"/>
  <c r="BR123" i="9" s="1"/>
  <c r="AA121" i="9"/>
  <c r="AY121" i="9"/>
  <c r="CI121" i="9" s="1"/>
  <c r="AA120" i="9"/>
  <c r="AZ162" i="9"/>
  <c r="CJ162" i="9" s="1"/>
  <c r="AU161" i="9"/>
  <c r="CE161" i="9" s="1"/>
  <c r="AM161" i="9"/>
  <c r="BW161" i="9" s="1"/>
  <c r="AX53" i="9"/>
  <c r="CH53" i="9" s="1"/>
  <c r="AZ52" i="9"/>
  <c r="CJ52" i="9" s="1"/>
  <c r="AR52" i="9"/>
  <c r="AW136" i="9"/>
  <c r="AO136" i="9"/>
  <c r="BY136" i="9" s="1"/>
  <c r="AX135" i="9"/>
  <c r="CH135" i="9" s="1"/>
  <c r="AY134" i="9"/>
  <c r="CI134" i="9" s="1"/>
  <c r="AZ133" i="9"/>
  <c r="CJ133" i="9" s="1"/>
  <c r="BA132" i="9"/>
  <c r="CK132" i="9" s="1"/>
  <c r="AT131" i="9"/>
  <c r="AL131" i="9"/>
  <c r="AU158" i="9"/>
  <c r="CE158" i="9" s="1"/>
  <c r="AM158" i="9"/>
  <c r="BW158" i="9" s="1"/>
  <c r="AW130" i="9"/>
  <c r="AX129" i="9"/>
  <c r="CH129" i="9" s="1"/>
  <c r="AY128" i="9"/>
  <c r="CI128" i="9" s="1"/>
  <c r="AA128" i="9"/>
  <c r="AZ127" i="9"/>
  <c r="CJ127" i="9" s="1"/>
  <c r="AB127" i="9"/>
  <c r="BA126" i="9"/>
  <c r="CK126" i="9" s="1"/>
  <c r="AC126" i="9"/>
  <c r="AT125" i="9"/>
  <c r="CD125" i="9" s="1"/>
  <c r="AL125" i="9"/>
  <c r="AU124" i="9"/>
  <c r="CE124" i="9" s="1"/>
  <c r="AM124" i="9"/>
  <c r="BW124" i="9" s="1"/>
  <c r="AW122" i="9"/>
  <c r="AO122" i="9"/>
  <c r="BY122" i="9" s="1"/>
  <c r="AS121" i="9"/>
  <c r="CC121" i="9" s="1"/>
  <c r="AL161" i="9"/>
  <c r="BV161" i="9" s="1"/>
  <c r="AU146" i="9"/>
  <c r="CE146" i="9" s="1"/>
  <c r="AE146" i="9"/>
  <c r="AW53" i="9"/>
  <c r="AO53" i="9"/>
  <c r="BY53" i="9" s="1"/>
  <c r="Y53" i="9"/>
  <c r="AY52" i="9"/>
  <c r="CI52" i="9" s="1"/>
  <c r="AA52" i="9"/>
  <c r="AW135" i="9"/>
  <c r="AO135" i="9"/>
  <c r="BY135" i="9" s="1"/>
  <c r="Y135" i="9"/>
  <c r="AX134" i="9"/>
  <c r="AH134" i="9"/>
  <c r="BR134" i="9" s="1"/>
  <c r="Z134" i="9"/>
  <c r="AY133" i="9"/>
  <c r="CI133" i="9" s="1"/>
  <c r="AA133" i="9"/>
  <c r="AZ132" i="9"/>
  <c r="CJ132" i="9" s="1"/>
  <c r="AB132" i="9"/>
  <c r="BA131" i="9"/>
  <c r="CK131" i="9" s="1"/>
  <c r="AS131" i="9"/>
  <c r="CC131" i="9" s="1"/>
  <c r="AC131" i="9"/>
  <c r="AT158" i="9"/>
  <c r="CD158" i="9" s="1"/>
  <c r="AL158" i="9"/>
  <c r="BV158" i="9" s="1"/>
  <c r="AU157" i="9"/>
  <c r="CE157" i="9" s="1"/>
  <c r="AE157" i="9"/>
  <c r="AF130" i="9"/>
  <c r="AW129" i="9"/>
  <c r="AO129" i="9"/>
  <c r="BY129" i="9" s="1"/>
  <c r="Y129" i="9"/>
  <c r="AX128" i="9"/>
  <c r="AH128" i="9"/>
  <c r="BR128" i="9" s="1"/>
  <c r="Z128" i="9"/>
  <c r="AY127" i="9"/>
  <c r="CI127" i="9" s="1"/>
  <c r="AA127" i="9"/>
  <c r="AZ126" i="9"/>
  <c r="CJ126" i="9" s="1"/>
  <c r="AB126" i="9"/>
  <c r="BA125" i="9"/>
  <c r="CK125" i="9" s="1"/>
  <c r="AS125" i="9"/>
  <c r="CC125" i="9" s="1"/>
  <c r="AC125" i="9"/>
  <c r="AT124" i="9"/>
  <c r="CD124" i="9" s="1"/>
  <c r="AL124" i="9"/>
  <c r="BV124" i="9" s="1"/>
  <c r="AU123" i="9"/>
  <c r="CE123" i="9" s="1"/>
  <c r="AU169" i="9"/>
  <c r="AT146" i="9"/>
  <c r="CD146" i="9" s="1"/>
  <c r="Z52" i="9"/>
  <c r="AR131" i="9"/>
  <c r="CB131" i="9" s="1"/>
  <c r="AT157" i="9"/>
  <c r="CD157" i="9" s="1"/>
  <c r="AR125" i="9"/>
  <c r="CB125" i="9" s="1"/>
  <c r="AT123" i="9"/>
  <c r="CD123" i="9" s="1"/>
  <c r="AN121" i="9"/>
  <c r="BX121" i="9" s="1"/>
  <c r="AQ120" i="9"/>
  <c r="AR120" i="9"/>
  <c r="CB120" i="9" s="1"/>
  <c r="AS120" i="9"/>
  <c r="CC120" i="9" s="1"/>
  <c r="AW162" i="9"/>
  <c r="AZ161" i="9"/>
  <c r="CJ161" i="9" s="1"/>
  <c r="AW133" i="9"/>
  <c r="AX132" i="9"/>
  <c r="CH132" i="9" s="1"/>
  <c r="AY131" i="9"/>
  <c r="CI131" i="9" s="1"/>
  <c r="AZ158" i="9"/>
  <c r="CJ158" i="9" s="1"/>
  <c r="AW127" i="9"/>
  <c r="AX126" i="9"/>
  <c r="CH126" i="9" s="1"/>
  <c r="AY125" i="9"/>
  <c r="CI125" i="9" s="1"/>
  <c r="AZ124" i="9"/>
  <c r="CJ124" i="9" s="1"/>
  <c r="BA123" i="9"/>
  <c r="CK123" i="9" s="1"/>
  <c r="AM121" i="9"/>
  <c r="BW121" i="9" s="1"/>
  <c r="AT120" i="9"/>
  <c r="CD120" i="9" s="1"/>
  <c r="AU121" i="9"/>
  <c r="CE121" i="9" s="1"/>
  <c r="AW169" i="9"/>
  <c r="AG169" i="9"/>
  <c r="BQ169" i="9" s="1"/>
  <c r="BA92" i="9"/>
  <c r="CK92" i="9" s="1"/>
  <c r="AK92" i="9"/>
  <c r="AC92" i="9"/>
  <c r="AL83" i="9"/>
  <c r="BV83" i="9" s="1"/>
  <c r="AO41" i="9"/>
  <c r="BY41" i="9" s="1"/>
  <c r="Y41" i="9"/>
  <c r="AZ32" i="9"/>
  <c r="CJ32" i="9" s="1"/>
  <c r="AB32" i="9"/>
  <c r="AK86" i="9"/>
  <c r="AM85" i="9"/>
  <c r="BW85" i="9" s="1"/>
  <c r="BA66" i="9"/>
  <c r="CK66" i="9" s="1"/>
  <c r="AI66" i="9"/>
  <c r="BS66" i="9" s="1"/>
  <c r="Z66" i="9"/>
  <c r="AQ64" i="9"/>
  <c r="AS64" i="9"/>
  <c r="CC64" i="9" s="1"/>
  <c r="AT64" i="9"/>
  <c r="CD64" i="9" s="1"/>
  <c r="AA10" i="9"/>
  <c r="AK64" i="9"/>
  <c r="AL64" i="9"/>
  <c r="BV64" i="9" s="1"/>
  <c r="AC10" i="9"/>
  <c r="BA10" i="9"/>
  <c r="CK10" i="9" s="1"/>
  <c r="AO10" i="9"/>
  <c r="BY10" i="9" s="1"/>
  <c r="AG9" i="9"/>
  <c r="BQ9" i="9" s="1"/>
  <c r="AA9" i="9"/>
  <c r="AY9" i="9"/>
  <c r="CI9" i="9" s="1"/>
  <c r="AQ101" i="9"/>
  <c r="AR101" i="9"/>
  <c r="CB101" i="9" s="1"/>
  <c r="AS101" i="9"/>
  <c r="CC101" i="9" s="1"/>
  <c r="AT101" i="9"/>
  <c r="CD101" i="9" s="1"/>
  <c r="AU101" i="9"/>
  <c r="CE101" i="9" s="1"/>
  <c r="AM41" i="9"/>
  <c r="BW41" i="9" s="1"/>
  <c r="AH32" i="9"/>
  <c r="BR32" i="9" s="1"/>
  <c r="Z32" i="9"/>
  <c r="AA65" i="9"/>
  <c r="AY65" i="9"/>
  <c r="CI65" i="9" s="1"/>
  <c r="AI64" i="9"/>
  <c r="AC64" i="9"/>
  <c r="BA64" i="9"/>
  <c r="CK64" i="9" s="1"/>
  <c r="AQ63" i="9"/>
  <c r="AR63" i="9"/>
  <c r="CB63" i="9" s="1"/>
  <c r="AT63" i="9"/>
  <c r="AU63" i="9"/>
  <c r="CE63" i="9" s="1"/>
  <c r="AB11" i="9"/>
  <c r="AZ11" i="9"/>
  <c r="CJ11" i="9" s="1"/>
  <c r="AN11" i="9"/>
  <c r="BX11" i="9" s="1"/>
  <c r="AR121" i="9"/>
  <c r="CB121" i="9" s="1"/>
  <c r="AX92" i="9"/>
  <c r="CH92" i="9" s="1"/>
  <c r="AH92" i="9"/>
  <c r="BR92" i="9" s="1"/>
  <c r="Z92" i="9"/>
  <c r="AY83" i="9"/>
  <c r="CI83" i="9" s="1"/>
  <c r="AA83" i="9"/>
  <c r="AT41" i="9"/>
  <c r="CD41" i="9" s="1"/>
  <c r="AL41" i="9"/>
  <c r="BV41" i="9" s="1"/>
  <c r="AU40" i="9"/>
  <c r="CE40" i="9" s="1"/>
  <c r="AM40" i="9"/>
  <c r="AW32" i="9"/>
  <c r="AO32" i="9"/>
  <c r="BY32" i="9" s="1"/>
  <c r="Y32" i="9"/>
  <c r="AX86" i="9"/>
  <c r="CH86" i="9" s="1"/>
  <c r="AH86" i="9"/>
  <c r="BR86" i="9" s="1"/>
  <c r="Z86" i="9"/>
  <c r="AZ85" i="9"/>
  <c r="CJ85" i="9" s="1"/>
  <c r="AR85" i="9"/>
  <c r="CB85" i="9" s="1"/>
  <c r="AB85" i="9"/>
  <c r="AN66" i="9"/>
  <c r="BX66" i="9" s="1"/>
  <c r="AU65" i="9"/>
  <c r="CE65" i="9" s="1"/>
  <c r="AC65" i="9"/>
  <c r="AU64" i="9"/>
  <c r="CE64" i="9" s="1"/>
  <c r="AW92" i="9"/>
  <c r="AG92" i="9"/>
  <c r="BQ92" i="9" s="1"/>
  <c r="Y92" i="9"/>
  <c r="AX83" i="9"/>
  <c r="CH83" i="9" s="1"/>
  <c r="Z83" i="9"/>
  <c r="BA41" i="9"/>
  <c r="CK41" i="9" s="1"/>
  <c r="AS41" i="9"/>
  <c r="CC41" i="9" s="1"/>
  <c r="AC41" i="9"/>
  <c r="AT40" i="9"/>
  <c r="CD40" i="9" s="1"/>
  <c r="AL40" i="9"/>
  <c r="AW86" i="9"/>
  <c r="AG86" i="9"/>
  <c r="BQ86" i="9" s="1"/>
  <c r="Y86" i="9"/>
  <c r="AY85" i="9"/>
  <c r="AI85" i="9"/>
  <c r="BS85" i="9" s="1"/>
  <c r="AA85" i="9"/>
  <c r="AM66" i="9"/>
  <c r="BW66" i="9" s="1"/>
  <c r="AG66" i="9"/>
  <c r="BQ66" i="9" s="1"/>
  <c r="AT65" i="9"/>
  <c r="CD65" i="9" s="1"/>
  <c r="AB65" i="9"/>
  <c r="AR64" i="9"/>
  <c r="CB64" i="9" s="1"/>
  <c r="BA63" i="9"/>
  <c r="CK63" i="9" s="1"/>
  <c r="AL10" i="9"/>
  <c r="BV10" i="9" s="1"/>
  <c r="AF10" i="9"/>
  <c r="BP10" i="9" s="1"/>
  <c r="Z10" i="9"/>
  <c r="AX10" i="9"/>
  <c r="CH10" i="9" s="1"/>
  <c r="X10" i="9"/>
  <c r="AX121" i="9"/>
  <c r="CH121" i="9" s="1"/>
  <c r="AY120" i="9"/>
  <c r="AZ169" i="9"/>
  <c r="CJ169" i="9" s="1"/>
  <c r="AF92" i="9"/>
  <c r="BP92" i="9" s="1"/>
  <c r="AO83" i="9"/>
  <c r="BY83" i="9" s="1"/>
  <c r="AZ41" i="9"/>
  <c r="CJ41" i="9" s="1"/>
  <c r="AR41" i="9"/>
  <c r="CB41" i="9" s="1"/>
  <c r="BA40" i="9"/>
  <c r="CK40" i="9" s="1"/>
  <c r="AS40" i="9"/>
  <c r="CC40" i="9" s="1"/>
  <c r="AE32" i="9"/>
  <c r="AF86" i="9"/>
  <c r="BP86" i="9" s="1"/>
  <c r="AH85" i="9"/>
  <c r="BR85" i="9" s="1"/>
  <c r="Z85" i="9"/>
  <c r="AU66" i="9"/>
  <c r="CE66" i="9" s="1"/>
  <c r="AL66" i="9"/>
  <c r="BV66" i="9" s="1"/>
  <c r="AS65" i="9"/>
  <c r="Z65" i="9"/>
  <c r="AX63" i="9"/>
  <c r="CH63" i="9" s="1"/>
  <c r="AH11" i="9"/>
  <c r="BR11" i="9" s="1"/>
  <c r="AK11" i="9"/>
  <c r="AE11" i="9"/>
  <c r="Y11" i="9"/>
  <c r="AW11" i="9"/>
  <c r="AC11" i="9"/>
  <c r="AG11" i="9"/>
  <c r="BQ11" i="9" s="1"/>
  <c r="AO11" i="9"/>
  <c r="BY11" i="9" s="1"/>
  <c r="AI10" i="9"/>
  <c r="BS10" i="9" s="1"/>
  <c r="AK10" i="9"/>
  <c r="Y10" i="9"/>
  <c r="AW10" i="9"/>
  <c r="AS9" i="9"/>
  <c r="AY169" i="9"/>
  <c r="CI169" i="9" s="1"/>
  <c r="AA41" i="9"/>
  <c r="AZ40" i="9"/>
  <c r="CJ40" i="9" s="1"/>
  <c r="AR40" i="9"/>
  <c r="CB40" i="9" s="1"/>
  <c r="AL32" i="9"/>
  <c r="BV32" i="9" s="1"/>
  <c r="AK66" i="9"/>
  <c r="AB66" i="9"/>
  <c r="Y66" i="9"/>
  <c r="AW66" i="9"/>
  <c r="BA65" i="9"/>
  <c r="CK65" i="9" s="1"/>
  <c r="AH65" i="9"/>
  <c r="BR65" i="9" s="1"/>
  <c r="AO64" i="9"/>
  <c r="BY64" i="9" s="1"/>
  <c r="AW63" i="9"/>
  <c r="AA63" i="9"/>
  <c r="AY63" i="9"/>
  <c r="CI63" i="9" s="1"/>
  <c r="AU10" i="9"/>
  <c r="CE10" i="9" s="1"/>
  <c r="CW171" i="9"/>
  <c r="AG65" i="9"/>
  <c r="BQ65" i="9" s="1"/>
  <c r="AN64" i="9"/>
  <c r="BX64" i="9" s="1"/>
  <c r="AS63" i="9"/>
  <c r="CC63" i="9" s="1"/>
  <c r="AX11" i="9"/>
  <c r="CH11" i="9" s="1"/>
  <c r="AA11" i="9"/>
  <c r="AE171" i="9"/>
  <c r="Y171" i="9"/>
  <c r="AW171" i="9"/>
  <c r="AO154" i="9"/>
  <c r="BY154" i="9" s="1"/>
  <c r="AC154" i="9"/>
  <c r="BA154" i="9"/>
  <c r="CK154" i="9" s="1"/>
  <c r="AI154" i="9"/>
  <c r="BS154" i="9" s="1"/>
  <c r="AU154" i="9"/>
  <c r="CE154" i="9" s="1"/>
  <c r="AH176" i="9"/>
  <c r="BR176" i="9" s="1"/>
  <c r="Z176" i="9"/>
  <c r="AM152" i="9"/>
  <c r="BW152" i="9" s="1"/>
  <c r="AB171" i="9"/>
  <c r="AM101" i="9"/>
  <c r="BW101" i="9" s="1"/>
  <c r="AX167" i="9"/>
  <c r="CH167" i="9" s="1"/>
  <c r="AH167" i="9"/>
  <c r="BR167" i="9" s="1"/>
  <c r="Z167" i="9"/>
  <c r="AZ166" i="9"/>
  <c r="CJ166" i="9" s="1"/>
  <c r="AB166" i="9"/>
  <c r="AW176" i="9"/>
  <c r="AO176" i="9"/>
  <c r="BY176" i="9" s="1"/>
  <c r="AG176" i="9"/>
  <c r="BQ176" i="9" s="1"/>
  <c r="Y176" i="9"/>
  <c r="BA153" i="9"/>
  <c r="CK153" i="9" s="1"/>
  <c r="AC153" i="9"/>
  <c r="AL152" i="9"/>
  <c r="BV152" i="9" s="1"/>
  <c r="AU175" i="9"/>
  <c r="CE175" i="9" s="1"/>
  <c r="AM175" i="9"/>
  <c r="BW175" i="9" s="1"/>
  <c r="AL171" i="9"/>
  <c r="BV171" i="9" s="1"/>
  <c r="AA171" i="9"/>
  <c r="AM63" i="9"/>
  <c r="AX9" i="9"/>
  <c r="CH9" i="9" s="1"/>
  <c r="AL101" i="9"/>
  <c r="BV101" i="9" s="1"/>
  <c r="AW167" i="9"/>
  <c r="AO167" i="9"/>
  <c r="BY167" i="9" s="1"/>
  <c r="AG167" i="9"/>
  <c r="BQ167" i="9" s="1"/>
  <c r="Y167" i="9"/>
  <c r="AY166" i="9"/>
  <c r="CI166" i="9" s="1"/>
  <c r="AA166" i="9"/>
  <c r="AN176" i="9"/>
  <c r="BX176" i="9" s="1"/>
  <c r="AZ153" i="9"/>
  <c r="CJ153" i="9" s="1"/>
  <c r="AR153" i="9"/>
  <c r="CB153" i="9" s="1"/>
  <c r="AB153" i="9"/>
  <c r="BA152" i="9"/>
  <c r="CK152" i="9" s="1"/>
  <c r="AS152" i="9"/>
  <c r="CC152" i="9" s="1"/>
  <c r="AK152" i="9"/>
  <c r="AC152" i="9"/>
  <c r="AT175" i="9"/>
  <c r="CD175" i="9" s="1"/>
  <c r="AL175" i="9"/>
  <c r="BV175" i="9" s="1"/>
  <c r="AX171" i="9"/>
  <c r="CH171" i="9" s="1"/>
  <c r="AK171" i="9"/>
  <c r="AM171" i="9"/>
  <c r="BW171" i="9" s="1"/>
  <c r="AU11" i="9"/>
  <c r="CE11" i="9" s="1"/>
  <c r="AW9" i="9"/>
  <c r="AO9" i="9"/>
  <c r="BY9" i="9" s="1"/>
  <c r="Y9" i="9"/>
  <c r="BA101" i="9"/>
  <c r="CK101" i="9" s="1"/>
  <c r="AC101" i="9"/>
  <c r="AF167" i="9"/>
  <c r="BP167" i="9" s="1"/>
  <c r="AX166" i="9"/>
  <c r="AH166" i="9"/>
  <c r="BR166" i="9" s="1"/>
  <c r="Z166" i="9"/>
  <c r="AU176" i="9"/>
  <c r="CE176" i="9" s="1"/>
  <c r="AM176" i="9"/>
  <c r="BW176" i="9" s="1"/>
  <c r="AE176" i="9"/>
  <c r="AY153" i="9"/>
  <c r="CI153" i="9" s="1"/>
  <c r="AA153" i="9"/>
  <c r="AZ152" i="9"/>
  <c r="CJ152" i="9" s="1"/>
  <c r="AR152" i="9"/>
  <c r="CB152" i="9" s="1"/>
  <c r="AB152" i="9"/>
  <c r="BA175" i="9"/>
  <c r="CK175" i="9" s="1"/>
  <c r="AS175" i="9"/>
  <c r="CC175" i="9" s="1"/>
  <c r="AC175" i="9"/>
  <c r="AM151" i="9"/>
  <c r="BW151" i="9" s="1"/>
  <c r="AG151" i="9"/>
  <c r="BQ151" i="9" s="1"/>
  <c r="AA151" i="9"/>
  <c r="AY151" i="9"/>
  <c r="CI151" i="9" s="1"/>
  <c r="AZ101" i="9"/>
  <c r="CJ101" i="9" s="1"/>
  <c r="AB101" i="9"/>
  <c r="AE167" i="9"/>
  <c r="AG166" i="9"/>
  <c r="BQ166" i="9" s="1"/>
  <c r="AT176" i="9"/>
  <c r="CD176" i="9" s="1"/>
  <c r="AX153" i="9"/>
  <c r="AH153" i="9"/>
  <c r="BR153" i="9" s="1"/>
  <c r="AY152" i="9"/>
  <c r="AZ175" i="9"/>
  <c r="CJ175" i="9" s="1"/>
  <c r="AR175" i="9"/>
  <c r="CB175" i="9" s="1"/>
  <c r="AI171" i="9"/>
  <c r="BS171" i="9" s="1"/>
  <c r="AN171" i="9"/>
  <c r="BX171" i="9" s="1"/>
  <c r="AS151" i="9"/>
  <c r="CC151" i="9" s="1"/>
  <c r="AS11" i="9"/>
  <c r="CC11" i="9" s="1"/>
  <c r="AM9" i="9"/>
  <c r="BW9" i="9" s="1"/>
  <c r="AA101" i="9"/>
  <c r="BA176" i="9"/>
  <c r="CK176" i="9" s="1"/>
  <c r="AS176" i="9"/>
  <c r="CC176" i="9" s="1"/>
  <c r="AC176" i="9"/>
  <c r="Z152" i="9"/>
  <c r="AA175" i="9"/>
  <c r="AG171" i="9"/>
  <c r="BQ171" i="9" s="1"/>
  <c r="AF171" i="9"/>
  <c r="BP171" i="9" s="1"/>
  <c r="X171" i="9"/>
  <c r="AR151" i="9"/>
  <c r="CB151" i="9" s="1"/>
  <c r="AB151" i="9"/>
  <c r="CW154" i="9"/>
  <c r="AN154" i="9"/>
  <c r="BX154" i="9" s="1"/>
  <c r="AH154" i="9"/>
  <c r="BR154" i="9" s="1"/>
  <c r="AQ31" i="9"/>
  <c r="AR31" i="9"/>
  <c r="CB31" i="9" s="1"/>
  <c r="AS31" i="9"/>
  <c r="CC31" i="9" s="1"/>
  <c r="AK145" i="9"/>
  <c r="AL145" i="9"/>
  <c r="BV145" i="9" s="1"/>
  <c r="AM145" i="9"/>
  <c r="BW145" i="9" s="1"/>
  <c r="AO145" i="9"/>
  <c r="BY145" i="9" s="1"/>
  <c r="AH151" i="9"/>
  <c r="BR151" i="9" s="1"/>
  <c r="Z151" i="9"/>
  <c r="AS154" i="9"/>
  <c r="CC154" i="9" s="1"/>
  <c r="AF154" i="9"/>
  <c r="BP154" i="9" s="1"/>
  <c r="Z154" i="9"/>
  <c r="AX154" i="9"/>
  <c r="CH154" i="9" s="1"/>
  <c r="AQ30" i="9"/>
  <c r="AR30" i="9"/>
  <c r="CB30" i="9" s="1"/>
  <c r="AS30" i="9"/>
  <c r="CC30" i="9" s="1"/>
  <c r="AT30" i="9"/>
  <c r="CD30" i="9" s="1"/>
  <c r="CW51" i="9"/>
  <c r="AW151" i="9"/>
  <c r="Y151" i="9"/>
  <c r="AR154" i="9"/>
  <c r="CB154" i="9" s="1"/>
  <c r="Y154" i="9"/>
  <c r="AM31" i="9"/>
  <c r="BW31" i="9" s="1"/>
  <c r="AI31" i="9"/>
  <c r="BS31" i="9" s="1"/>
  <c r="AC31" i="9"/>
  <c r="BA31" i="9"/>
  <c r="CK31" i="9" s="1"/>
  <c r="AN145" i="9"/>
  <c r="BX145" i="9" s="1"/>
  <c r="AO171" i="9"/>
  <c r="BY171" i="9" s="1"/>
  <c r="AF151" i="9"/>
  <c r="BP151" i="9" s="1"/>
  <c r="AQ154" i="9"/>
  <c r="AL31" i="9"/>
  <c r="BV31" i="9" s="1"/>
  <c r="AH31" i="9"/>
  <c r="BR31" i="9" s="1"/>
  <c r="AB31" i="9"/>
  <c r="AZ31" i="9"/>
  <c r="CJ31" i="9" s="1"/>
  <c r="AI30" i="9"/>
  <c r="BS30" i="9" s="1"/>
  <c r="AC30" i="9"/>
  <c r="BA30" i="9"/>
  <c r="CK30" i="9" s="1"/>
  <c r="AU151" i="9"/>
  <c r="CE151" i="9" s="1"/>
  <c r="AZ154" i="9"/>
  <c r="CJ154" i="9" s="1"/>
  <c r="AM154" i="9"/>
  <c r="BW154" i="9" s="1"/>
  <c r="AB154" i="9"/>
  <c r="AA31" i="9"/>
  <c r="AX30" i="9"/>
  <c r="CH30" i="9" s="1"/>
  <c r="AB30" i="9"/>
  <c r="AY154" i="9"/>
  <c r="CI154" i="9" s="1"/>
  <c r="AL154" i="9"/>
  <c r="BV154" i="9" s="1"/>
  <c r="AA154" i="9"/>
  <c r="Z31" i="9"/>
  <c r="AA30" i="9"/>
  <c r="AE145" i="9"/>
  <c r="Y145" i="9"/>
  <c r="AW145" i="9"/>
  <c r="AZ177" i="9"/>
  <c r="CJ177" i="9" s="1"/>
  <c r="BA177" i="9"/>
  <c r="CK177" i="9" s="1"/>
  <c r="AY177" i="9"/>
  <c r="CI177" i="9" s="1"/>
  <c r="AA177" i="9"/>
  <c r="AZ178" i="9"/>
  <c r="CJ178" i="9" s="1"/>
  <c r="AB178" i="9"/>
  <c r="AU179" i="9"/>
  <c r="CE179" i="9" s="1"/>
  <c r="AO119" i="9"/>
  <c r="BY119" i="9" s="1"/>
  <c r="AW174" i="9"/>
  <c r="AO174" i="9"/>
  <c r="BY174" i="9" s="1"/>
  <c r="AH173" i="9"/>
  <c r="BR173" i="9" s="1"/>
  <c r="Z173" i="9"/>
  <c r="AY172" i="9"/>
  <c r="CI172" i="9" s="1"/>
  <c r="AA172" i="9"/>
  <c r="AW51" i="9"/>
  <c r="AF43" i="9"/>
  <c r="BP43" i="9" s="1"/>
  <c r="AF42" i="9"/>
  <c r="BP42" i="9" s="1"/>
  <c r="AH180" i="9"/>
  <c r="BR180" i="9" s="1"/>
  <c r="AL180" i="9"/>
  <c r="BV180" i="9" s="1"/>
  <c r="AF180" i="9"/>
  <c r="BP180" i="9" s="1"/>
  <c r="X180" i="9"/>
  <c r="AI170" i="9"/>
  <c r="BS170" i="9" s="1"/>
  <c r="AC170" i="9"/>
  <c r="BA170" i="9"/>
  <c r="CK170" i="9" s="1"/>
  <c r="AM182" i="9"/>
  <c r="BW182" i="9" s="1"/>
  <c r="AG182" i="9"/>
  <c r="BQ182" i="9" s="1"/>
  <c r="AA182" i="9"/>
  <c r="AY182" i="9"/>
  <c r="CI182" i="9" s="1"/>
  <c r="AN117" i="9"/>
  <c r="BX117" i="9" s="1"/>
  <c r="AA117" i="9"/>
  <c r="AK42" i="9"/>
  <c r="AE42" i="9"/>
  <c r="AC42" i="9"/>
  <c r="AN42" i="9"/>
  <c r="BX42" i="9" s="1"/>
  <c r="AS180" i="9"/>
  <c r="CC180" i="9" s="1"/>
  <c r="AE180" i="9"/>
  <c r="Y180" i="9"/>
  <c r="AW180" i="9"/>
  <c r="AN170" i="9"/>
  <c r="BX170" i="9" s="1"/>
  <c r="AH170" i="9"/>
  <c r="BR170" i="9" s="1"/>
  <c r="AB170" i="9"/>
  <c r="AZ170" i="9"/>
  <c r="CJ170" i="9" s="1"/>
  <c r="AL30" i="9"/>
  <c r="AU145" i="9"/>
  <c r="CE145" i="9" s="1"/>
  <c r="AW177" i="9"/>
  <c r="AO177" i="9"/>
  <c r="AG177" i="9"/>
  <c r="BQ177" i="9" s="1"/>
  <c r="Y177" i="9"/>
  <c r="AX178" i="9"/>
  <c r="CH178" i="9" s="1"/>
  <c r="AH178" i="9"/>
  <c r="BR178" i="9" s="1"/>
  <c r="Z178" i="9"/>
  <c r="BA179" i="9"/>
  <c r="CK179" i="9" s="1"/>
  <c r="AS179" i="9"/>
  <c r="CC179" i="9" s="1"/>
  <c r="AC179" i="9"/>
  <c r="AU119" i="9"/>
  <c r="CE119" i="9" s="1"/>
  <c r="AM119" i="9"/>
  <c r="AU174" i="9"/>
  <c r="CE174" i="9" s="1"/>
  <c r="AM174" i="9"/>
  <c r="AF173" i="9"/>
  <c r="BP173" i="9" s="1"/>
  <c r="AW172" i="9"/>
  <c r="AG172" i="9"/>
  <c r="BQ172" i="9" s="1"/>
  <c r="Y172" i="9"/>
  <c r="Y51" i="9"/>
  <c r="AR51" i="9"/>
  <c r="CB51" i="9" s="1"/>
  <c r="AS51" i="9"/>
  <c r="CC51" i="9" s="1"/>
  <c r="Z43" i="9"/>
  <c r="AQ42" i="9"/>
  <c r="AA42" i="9"/>
  <c r="AR180" i="9"/>
  <c r="CB180" i="9" s="1"/>
  <c r="AB180" i="9"/>
  <c r="AT145" i="9"/>
  <c r="CD145" i="9" s="1"/>
  <c r="AF177" i="9"/>
  <c r="BP177" i="9" s="1"/>
  <c r="AW178" i="9"/>
  <c r="AO178" i="9"/>
  <c r="BY178" i="9" s="1"/>
  <c r="Y178" i="9"/>
  <c r="AZ179" i="9"/>
  <c r="CJ179" i="9" s="1"/>
  <c r="AR179" i="9"/>
  <c r="CB179" i="9" s="1"/>
  <c r="AB179" i="9"/>
  <c r="AT119" i="9"/>
  <c r="CD119" i="9" s="1"/>
  <c r="AL119" i="9"/>
  <c r="BV119" i="9" s="1"/>
  <c r="AU118" i="9"/>
  <c r="CE118" i="9" s="1"/>
  <c r="AM118" i="9"/>
  <c r="AT174" i="9"/>
  <c r="CD174" i="9" s="1"/>
  <c r="AL174" i="9"/>
  <c r="AU173" i="9"/>
  <c r="CE173" i="9" s="1"/>
  <c r="AM173" i="9"/>
  <c r="AE173" i="9"/>
  <c r="AF172" i="9"/>
  <c r="BP172" i="9" s="1"/>
  <c r="AK51" i="9"/>
  <c r="AO43" i="9"/>
  <c r="BY43" i="9" s="1"/>
  <c r="Y43" i="9"/>
  <c r="AR43" i="9"/>
  <c r="CB43" i="9" s="1"/>
  <c r="AS43" i="9"/>
  <c r="CC43" i="9" s="1"/>
  <c r="AT43" i="9"/>
  <c r="CD43" i="9" s="1"/>
  <c r="AU43" i="9"/>
  <c r="CE43" i="9" s="1"/>
  <c r="Z42" i="9"/>
  <c r="AS42" i="9"/>
  <c r="CC42" i="9" s="1"/>
  <c r="AT42" i="9"/>
  <c r="CD42" i="9" s="1"/>
  <c r="AU42" i="9"/>
  <c r="CE42" i="9" s="1"/>
  <c r="AQ180" i="9"/>
  <c r="AA180" i="9"/>
  <c r="Z170" i="9"/>
  <c r="AY115" i="9"/>
  <c r="CI115" i="9" s="1"/>
  <c r="AZ115" i="9"/>
  <c r="CJ115" i="9" s="1"/>
  <c r="AY31" i="9"/>
  <c r="CI31" i="9" s="1"/>
  <c r="AZ30" i="9"/>
  <c r="CJ30" i="9" s="1"/>
  <c r="BA145" i="9"/>
  <c r="CK145" i="9" s="1"/>
  <c r="AS145" i="9"/>
  <c r="CC145" i="9" s="1"/>
  <c r="AU177" i="9"/>
  <c r="CE177" i="9" s="1"/>
  <c r="AY179" i="9"/>
  <c r="CI179" i="9" s="1"/>
  <c r="BA119" i="9"/>
  <c r="CK119" i="9" s="1"/>
  <c r="AS119" i="9"/>
  <c r="CC119" i="9" s="1"/>
  <c r="AT118" i="9"/>
  <c r="CD118" i="9" s="1"/>
  <c r="AL118" i="9"/>
  <c r="BV118" i="9" s="1"/>
  <c r="BA174" i="9"/>
  <c r="CK174" i="9" s="1"/>
  <c r="AS174" i="9"/>
  <c r="CC174" i="9" s="1"/>
  <c r="AT173" i="9"/>
  <c r="CD173" i="9" s="1"/>
  <c r="AC51" i="9"/>
  <c r="BA51" i="9"/>
  <c r="CK51" i="9" s="1"/>
  <c r="AN43" i="9"/>
  <c r="BX43" i="9" s="1"/>
  <c r="AK43" i="9"/>
  <c r="AL43" i="9"/>
  <c r="BV43" i="9" s="1"/>
  <c r="AM43" i="9"/>
  <c r="BW43" i="9" s="1"/>
  <c r="AO42" i="9"/>
  <c r="BY42" i="9" s="1"/>
  <c r="Y42" i="9"/>
  <c r="AL42" i="9"/>
  <c r="BV42" i="9" s="1"/>
  <c r="Z180" i="9"/>
  <c r="AW115" i="9"/>
  <c r="AQ115" i="9"/>
  <c r="AR115" i="9"/>
  <c r="CB115" i="9" s="1"/>
  <c r="AS115" i="9"/>
  <c r="CC115" i="9" s="1"/>
  <c r="AT115" i="9"/>
  <c r="CD115" i="9" s="1"/>
  <c r="AU115" i="9"/>
  <c r="CE115" i="9" s="1"/>
  <c r="AX31" i="9"/>
  <c r="AY30" i="9"/>
  <c r="CI30" i="9" s="1"/>
  <c r="AZ145" i="9"/>
  <c r="CJ145" i="9" s="1"/>
  <c r="AE178" i="9"/>
  <c r="AX179" i="9"/>
  <c r="AH179" i="9"/>
  <c r="BR179" i="9" s="1"/>
  <c r="AZ119" i="9"/>
  <c r="CJ119" i="9" s="1"/>
  <c r="AR119" i="9"/>
  <c r="CB119" i="9" s="1"/>
  <c r="BA118" i="9"/>
  <c r="CK118" i="9" s="1"/>
  <c r="AS118" i="9"/>
  <c r="CC118" i="9" s="1"/>
  <c r="AZ174" i="9"/>
  <c r="CJ174" i="9" s="1"/>
  <c r="AR174" i="9"/>
  <c r="CB174" i="9" s="1"/>
  <c r="AS173" i="9"/>
  <c r="CC173" i="9" s="1"/>
  <c r="AC173" i="9"/>
  <c r="AB51" i="9"/>
  <c r="AZ51" i="9"/>
  <c r="CJ51" i="9" s="1"/>
  <c r="AI43" i="9"/>
  <c r="BS43" i="9" s="1"/>
  <c r="AC43" i="9"/>
  <c r="CW42" i="9"/>
  <c r="CW180" i="9"/>
  <c r="AK180" i="9"/>
  <c r="AO117" i="9"/>
  <c r="BY117" i="9" s="1"/>
  <c r="AK117" i="9"/>
  <c r="AL117" i="9"/>
  <c r="BV117" i="9" s="1"/>
  <c r="AQ116" i="9"/>
  <c r="AR116" i="9"/>
  <c r="CB116" i="9" s="1"/>
  <c r="AS116" i="9"/>
  <c r="CC116" i="9" s="1"/>
  <c r="AT116" i="9"/>
  <c r="CD116" i="9" s="1"/>
  <c r="AU116" i="9"/>
  <c r="CE116" i="9" s="1"/>
  <c r="AL178" i="9"/>
  <c r="BV178" i="9" s="1"/>
  <c r="AR118" i="9"/>
  <c r="CB118" i="9" s="1"/>
  <c r="AR173" i="9"/>
  <c r="CB173" i="9" s="1"/>
  <c r="BA172" i="9"/>
  <c r="CK172" i="9" s="1"/>
  <c r="AY51" i="9"/>
  <c r="CI51" i="9" s="1"/>
  <c r="AH43" i="9"/>
  <c r="BR43" i="9" s="1"/>
  <c r="AI42" i="9"/>
  <c r="BS42" i="9" s="1"/>
  <c r="AI117" i="9"/>
  <c r="BS117" i="9" s="1"/>
  <c r="AC117" i="9"/>
  <c r="BA117" i="9"/>
  <c r="CK117" i="9" s="1"/>
  <c r="Y117" i="9"/>
  <c r="Z117" i="9"/>
  <c r="AK116" i="9"/>
  <c r="AL116" i="9"/>
  <c r="AM116" i="9"/>
  <c r="BW116" i="9" s="1"/>
  <c r="AZ114" i="9"/>
  <c r="CJ114" i="9" s="1"/>
  <c r="BA114" i="9"/>
  <c r="CK114" i="9" s="1"/>
  <c r="AW114" i="9"/>
  <c r="AY114" i="9"/>
  <c r="CI114" i="9" s="1"/>
  <c r="AH119" i="9"/>
  <c r="BR119" i="9" s="1"/>
  <c r="AW43" i="9"/>
  <c r="AG43" i="9"/>
  <c r="BQ43" i="9" s="1"/>
  <c r="AM180" i="9"/>
  <c r="BW180" i="9" s="1"/>
  <c r="AG180" i="9"/>
  <c r="BQ180" i="9" s="1"/>
  <c r="AN182" i="9"/>
  <c r="BX182" i="9" s="1"/>
  <c r="AH182" i="9"/>
  <c r="BR182" i="9" s="1"/>
  <c r="AB182" i="9"/>
  <c r="AZ182" i="9"/>
  <c r="CJ182" i="9" s="1"/>
  <c r="AU117" i="9"/>
  <c r="CE117" i="9" s="1"/>
  <c r="AN116" i="9"/>
  <c r="BX116" i="9" s="1"/>
  <c r="AQ114" i="9"/>
  <c r="AN185" i="9"/>
  <c r="BX185" i="9" s="1"/>
  <c r="AW37" i="9"/>
  <c r="AO37" i="9"/>
  <c r="BY37" i="9" s="1"/>
  <c r="Y37" i="9"/>
  <c r="AY20" i="9"/>
  <c r="CI20" i="9" s="1"/>
  <c r="AQ20" i="9"/>
  <c r="AZ183" i="9"/>
  <c r="CJ183" i="9" s="1"/>
  <c r="AB183" i="9"/>
  <c r="AN150" i="9"/>
  <c r="BX150" i="9" s="1"/>
  <c r="AH190" i="9"/>
  <c r="BR190" i="9" s="1"/>
  <c r="AZ190" i="9"/>
  <c r="CJ190" i="9" s="1"/>
  <c r="AB190" i="9"/>
  <c r="AT190" i="9"/>
  <c r="CD190" i="9" s="1"/>
  <c r="AZ50" i="9"/>
  <c r="CJ50" i="9" s="1"/>
  <c r="AB50" i="9"/>
  <c r="AU185" i="9"/>
  <c r="CE185" i="9" s="1"/>
  <c r="AY183" i="9"/>
  <c r="CI183" i="9" s="1"/>
  <c r="AA183" i="9"/>
  <c r="AM150" i="9"/>
  <c r="BW150" i="9" s="1"/>
  <c r="AO188" i="9"/>
  <c r="BY188" i="9" s="1"/>
  <c r="AI188" i="9"/>
  <c r="BS188" i="9" s="1"/>
  <c r="AC188" i="9"/>
  <c r="BA188" i="9"/>
  <c r="CK188" i="9" s="1"/>
  <c r="Y188" i="9"/>
  <c r="AA188" i="9"/>
  <c r="AB188" i="9"/>
  <c r="AK170" i="9"/>
  <c r="AT117" i="9"/>
  <c r="CD117" i="9" s="1"/>
  <c r="AN115" i="9"/>
  <c r="BX115" i="9" s="1"/>
  <c r="AF115" i="9"/>
  <c r="BP115" i="9" s="1"/>
  <c r="AY50" i="9"/>
  <c r="CI50" i="9" s="1"/>
  <c r="AA50" i="9"/>
  <c r="AT185" i="9"/>
  <c r="CD185" i="9" s="1"/>
  <c r="AM37" i="9"/>
  <c r="BW37" i="9" s="1"/>
  <c r="AW20" i="9"/>
  <c r="AH183" i="9"/>
  <c r="BR183" i="9" s="1"/>
  <c r="Z183" i="9"/>
  <c r="AU150" i="9"/>
  <c r="CE150" i="9" s="1"/>
  <c r="AL150" i="9"/>
  <c r="BV150" i="9" s="1"/>
  <c r="AC150" i="9"/>
  <c r="Z150" i="9"/>
  <c r="AX150" i="9"/>
  <c r="CH150" i="9" s="1"/>
  <c r="AU188" i="9"/>
  <c r="CE188" i="9" s="1"/>
  <c r="AK187" i="9"/>
  <c r="AL187" i="9"/>
  <c r="BV187" i="9" s="1"/>
  <c r="AM187" i="9"/>
  <c r="BW187" i="9" s="1"/>
  <c r="AO187" i="9"/>
  <c r="BY187" i="9" s="1"/>
  <c r="AN190" i="9"/>
  <c r="BX190" i="9" s="1"/>
  <c r="AU193" i="9"/>
  <c r="CE193" i="9" s="1"/>
  <c r="AC193" i="9"/>
  <c r="AO193" i="9"/>
  <c r="BY193" i="9" s="1"/>
  <c r="BA193" i="9"/>
  <c r="CK193" i="9" s="1"/>
  <c r="AR170" i="9"/>
  <c r="CB170" i="9" s="1"/>
  <c r="AS117" i="9"/>
  <c r="CC117" i="9" s="1"/>
  <c r="AM115" i="9"/>
  <c r="AX50" i="9"/>
  <c r="CH50" i="9" s="1"/>
  <c r="AH50" i="9"/>
  <c r="BR50" i="9" s="1"/>
  <c r="Z50" i="9"/>
  <c r="BA185" i="9"/>
  <c r="CK185" i="9" s="1"/>
  <c r="AS185" i="9"/>
  <c r="CC185" i="9" s="1"/>
  <c r="AC185" i="9"/>
  <c r="AT37" i="9"/>
  <c r="CD37" i="9" s="1"/>
  <c r="AL37" i="9"/>
  <c r="BV37" i="9" s="1"/>
  <c r="AU21" i="9"/>
  <c r="CE21" i="9" s="1"/>
  <c r="AM21" i="9"/>
  <c r="AW183" i="9"/>
  <c r="Y183" i="9"/>
  <c r="AT150" i="9"/>
  <c r="CD150" i="9" s="1"/>
  <c r="AB150" i="9"/>
  <c r="AN181" i="9"/>
  <c r="BX181" i="9" s="1"/>
  <c r="AM42" i="9"/>
  <c r="BW42" i="9" s="1"/>
  <c r="AY170" i="9"/>
  <c r="CI170" i="9" s="1"/>
  <c r="AA170" i="9"/>
  <c r="AX182" i="9"/>
  <c r="CH182" i="9" s="1"/>
  <c r="Z182" i="9"/>
  <c r="AZ117" i="9"/>
  <c r="CJ117" i="9" s="1"/>
  <c r="AR117" i="9"/>
  <c r="AB117" i="9"/>
  <c r="BA116" i="9"/>
  <c r="CK116" i="9" s="1"/>
  <c r="AC116" i="9"/>
  <c r="AL115" i="9"/>
  <c r="AU114" i="9"/>
  <c r="CE114" i="9" s="1"/>
  <c r="AM114" i="9"/>
  <c r="AW50" i="9"/>
  <c r="AG50" i="9"/>
  <c r="BQ50" i="9" s="1"/>
  <c r="AZ185" i="9"/>
  <c r="CJ185" i="9" s="1"/>
  <c r="AR185" i="9"/>
  <c r="CB185" i="9" s="1"/>
  <c r="AB185" i="9"/>
  <c r="BA37" i="9"/>
  <c r="CK37" i="9" s="1"/>
  <c r="AS37" i="9"/>
  <c r="CC37" i="9" s="1"/>
  <c r="AC37" i="9"/>
  <c r="AT21" i="9"/>
  <c r="CD21" i="9" s="1"/>
  <c r="AL21" i="9"/>
  <c r="AU20" i="9"/>
  <c r="CE20" i="9" s="1"/>
  <c r="AM20" i="9"/>
  <c r="BW20" i="9" s="1"/>
  <c r="AS150" i="9"/>
  <c r="CC150" i="9" s="1"/>
  <c r="AM181" i="9"/>
  <c r="BW181" i="9" s="1"/>
  <c r="BA43" i="9"/>
  <c r="CK43" i="9" s="1"/>
  <c r="AX170" i="9"/>
  <c r="AW182" i="9"/>
  <c r="AY117" i="9"/>
  <c r="CI117" i="9" s="1"/>
  <c r="AZ116" i="9"/>
  <c r="CJ116" i="9" s="1"/>
  <c r="BA115" i="9"/>
  <c r="CK115" i="9" s="1"/>
  <c r="AT114" i="9"/>
  <c r="CD114" i="9" s="1"/>
  <c r="AY185" i="9"/>
  <c r="CI185" i="9" s="1"/>
  <c r="AZ37" i="9"/>
  <c r="CJ37" i="9" s="1"/>
  <c r="AR37" i="9"/>
  <c r="CB37" i="9" s="1"/>
  <c r="BA21" i="9"/>
  <c r="CK21" i="9" s="1"/>
  <c r="AS21" i="9"/>
  <c r="CC21" i="9" s="1"/>
  <c r="AT20" i="9"/>
  <c r="CD20" i="9" s="1"/>
  <c r="BA150" i="9"/>
  <c r="CK150" i="9" s="1"/>
  <c r="AR150" i="9"/>
  <c r="CB150" i="9" s="1"/>
  <c r="AQ8" i="9"/>
  <c r="AR8" i="9"/>
  <c r="CB8" i="9" s="1"/>
  <c r="AS8" i="9"/>
  <c r="CC8" i="9" s="1"/>
  <c r="AT8" i="9"/>
  <c r="CD8" i="9" s="1"/>
  <c r="AU8" i="9"/>
  <c r="CE8" i="9" s="1"/>
  <c r="AZ21" i="9"/>
  <c r="CJ21" i="9" s="1"/>
  <c r="AR21" i="9"/>
  <c r="CB21" i="9" s="1"/>
  <c r="BA20" i="9"/>
  <c r="CK20" i="9" s="1"/>
  <c r="AS20" i="9"/>
  <c r="CC20" i="9" s="1"/>
  <c r="AW188" i="9"/>
  <c r="AY188" i="9"/>
  <c r="CI188" i="9" s="1"/>
  <c r="AZ188" i="9"/>
  <c r="CJ188" i="9" s="1"/>
  <c r="AK181" i="9"/>
  <c r="AE181" i="9"/>
  <c r="Y181" i="9"/>
  <c r="AW181" i="9"/>
  <c r="AC181" i="9"/>
  <c r="AL181" i="9"/>
  <c r="BV181" i="9" s="1"/>
  <c r="AF181" i="9"/>
  <c r="BP181" i="9" s="1"/>
  <c r="Z181" i="9"/>
  <c r="AN195" i="9"/>
  <c r="BX195" i="9" s="1"/>
  <c r="AH195" i="9"/>
  <c r="BR195" i="9" s="1"/>
  <c r="AB195" i="9"/>
  <c r="AZ195" i="9"/>
  <c r="CJ195" i="9" s="1"/>
  <c r="AT195" i="9"/>
  <c r="CD195" i="9" s="1"/>
  <c r="AE187" i="9"/>
  <c r="Y187" i="9"/>
  <c r="AW187" i="9"/>
  <c r="BA113" i="9"/>
  <c r="CK113" i="9" s="1"/>
  <c r="AW113" i="9"/>
  <c r="AI181" i="9"/>
  <c r="BS181" i="9" s="1"/>
  <c r="AW184" i="9"/>
  <c r="AX184" i="9"/>
  <c r="CH184" i="9" s="1"/>
  <c r="AF188" i="9"/>
  <c r="BP188" i="9" s="1"/>
  <c r="AX8" i="9"/>
  <c r="CH8" i="9" s="1"/>
  <c r="Z8" i="9"/>
  <c r="AY113" i="9"/>
  <c r="CI113" i="9" s="1"/>
  <c r="AQ113" i="9"/>
  <c r="AA113" i="9"/>
  <c r="AZ181" i="9"/>
  <c r="CJ181" i="9" s="1"/>
  <c r="AB181" i="9"/>
  <c r="AW191" i="9"/>
  <c r="AO191" i="9"/>
  <c r="BY191" i="9" s="1"/>
  <c r="Y191" i="9"/>
  <c r="AY190" i="9"/>
  <c r="CI190" i="9" s="1"/>
  <c r="AT188" i="9"/>
  <c r="CD188" i="9" s="1"/>
  <c r="AG113" i="9"/>
  <c r="BQ113" i="9" s="1"/>
  <c r="AH181" i="9"/>
  <c r="BR181" i="9" s="1"/>
  <c r="AM191" i="9"/>
  <c r="BW191" i="9" s="1"/>
  <c r="AE191" i="9"/>
  <c r="AM190" i="9"/>
  <c r="BW190" i="9" s="1"/>
  <c r="AH193" i="9"/>
  <c r="BR193" i="9" s="1"/>
  <c r="AN193" i="9"/>
  <c r="BX193" i="9" s="1"/>
  <c r="Z184" i="9"/>
  <c r="Z189" i="9"/>
  <c r="AX189" i="9"/>
  <c r="CH189" i="9" s="1"/>
  <c r="AS188" i="9"/>
  <c r="CC188" i="9" s="1"/>
  <c r="AM8" i="9"/>
  <c r="BW8" i="9" s="1"/>
  <c r="AN113" i="9"/>
  <c r="AG181" i="9"/>
  <c r="BQ181" i="9" s="1"/>
  <c r="AL190" i="9"/>
  <c r="BV190" i="9" s="1"/>
  <c r="BA184" i="9"/>
  <c r="CK184" i="9" s="1"/>
  <c r="AO184" i="9"/>
  <c r="BY184" i="9" s="1"/>
  <c r="AR189" i="9"/>
  <c r="CB189" i="9" s="1"/>
  <c r="AF112" i="9"/>
  <c r="Z112" i="9"/>
  <c r="AX112" i="9"/>
  <c r="CH112" i="9" s="1"/>
  <c r="X112" i="9"/>
  <c r="AR188" i="9"/>
  <c r="CB188" i="9" s="1"/>
  <c r="BA187" i="9"/>
  <c r="CK187" i="9" s="1"/>
  <c r="AC187" i="9"/>
  <c r="AU113" i="9"/>
  <c r="CE113" i="9" s="1"/>
  <c r="BA191" i="9"/>
  <c r="CK191" i="9" s="1"/>
  <c r="AK190" i="9"/>
  <c r="Y190" i="9"/>
  <c r="AW190" i="9"/>
  <c r="AZ193" i="9"/>
  <c r="CJ193" i="9" s="1"/>
  <c r="Z193" i="9"/>
  <c r="AX193" i="9"/>
  <c r="CH193" i="9" s="1"/>
  <c r="AF193" i="9"/>
  <c r="BP193" i="9" s="1"/>
  <c r="AS190" i="9"/>
  <c r="CC190" i="9" s="1"/>
  <c r="AA190" i="9"/>
  <c r="AY193" i="9"/>
  <c r="CI193" i="9" s="1"/>
  <c r="AM193" i="9"/>
  <c r="BW193" i="9" s="1"/>
  <c r="AB184" i="9"/>
  <c r="AZ184" i="9"/>
  <c r="CJ184" i="9" s="1"/>
  <c r="AN184" i="9"/>
  <c r="AS189" i="9"/>
  <c r="CC189" i="9" s="1"/>
  <c r="AT189" i="9"/>
  <c r="CD189" i="9" s="1"/>
  <c r="AQ189" i="9"/>
  <c r="AA184" i="9"/>
  <c r="AY184" i="9"/>
  <c r="CI184" i="9" s="1"/>
  <c r="AG184" i="9"/>
  <c r="BQ184" i="9" s="1"/>
  <c r="AU195" i="9"/>
  <c r="CE195" i="9" s="1"/>
  <c r="AQ195" i="9"/>
  <c r="AR195" i="9"/>
  <c r="CB195" i="9" s="1"/>
  <c r="AS195" i="9"/>
  <c r="AH187" i="9"/>
  <c r="BR187" i="9" s="1"/>
  <c r="AY8" i="9"/>
  <c r="CI8" i="9" s="1"/>
  <c r="AZ113" i="9"/>
  <c r="CJ113" i="9" s="1"/>
  <c r="AH191" i="9"/>
  <c r="BR191" i="9" s="1"/>
  <c r="AS184" i="9"/>
  <c r="CC184" i="9" s="1"/>
  <c r="AC189" i="9"/>
  <c r="BA189" i="9"/>
  <c r="CK189" i="9" s="1"/>
  <c r="AI189" i="9"/>
  <c r="BS189" i="9" s="1"/>
  <c r="AI112" i="9"/>
  <c r="BS112" i="9" s="1"/>
  <c r="AB149" i="9"/>
  <c r="AT111" i="9"/>
  <c r="CD111" i="9" s="1"/>
  <c r="AU110" i="9"/>
  <c r="CE110" i="9" s="1"/>
  <c r="AS149" i="9"/>
  <c r="CC149" i="9" s="1"/>
  <c r="AC110" i="9"/>
  <c r="AY195" i="9"/>
  <c r="AW112" i="9"/>
  <c r="AO112" i="9"/>
  <c r="BY112" i="9" s="1"/>
  <c r="AO110" i="9"/>
  <c r="BY110" i="9" s="1"/>
  <c r="AM196" i="9"/>
  <c r="BW196" i="9" s="1"/>
  <c r="AL196" i="9"/>
  <c r="AN196" i="9"/>
  <c r="BX196" i="9" s="1"/>
  <c r="AO196" i="9"/>
  <c r="BY196" i="9" s="1"/>
  <c r="AM112" i="9"/>
  <c r="BW112" i="9" s="1"/>
  <c r="AM149" i="9"/>
  <c r="BW149" i="9" s="1"/>
  <c r="AG149" i="9"/>
  <c r="BQ149" i="9" s="1"/>
  <c r="AN111" i="9"/>
  <c r="BX111" i="9" s="1"/>
  <c r="AH111" i="9"/>
  <c r="BR111" i="9" s="1"/>
  <c r="AH110" i="9"/>
  <c r="BR110" i="9" s="1"/>
  <c r="AB110" i="9"/>
  <c r="AZ110" i="9"/>
  <c r="CJ110" i="9" s="1"/>
  <c r="AN110" i="9"/>
  <c r="BX110" i="9" s="1"/>
  <c r="AL189" i="9"/>
  <c r="BV189" i="9" s="1"/>
  <c r="AL112" i="9"/>
  <c r="BV112" i="9" s="1"/>
  <c r="AF149" i="9"/>
  <c r="BP149" i="9" s="1"/>
  <c r="Z149" i="9"/>
  <c r="AX149" i="9"/>
  <c r="CH149" i="9" s="1"/>
  <c r="AL149" i="9"/>
  <c r="BV149" i="9" s="1"/>
  <c r="AG111" i="9"/>
  <c r="BQ111" i="9" s="1"/>
  <c r="AA111" i="9"/>
  <c r="AY111" i="9"/>
  <c r="CI111" i="9" s="1"/>
  <c r="AM111" i="9"/>
  <c r="BW111" i="9" s="1"/>
  <c r="AG110" i="9"/>
  <c r="BQ110" i="9" s="1"/>
  <c r="AA110" i="9"/>
  <c r="AY110" i="9"/>
  <c r="CI110" i="9" s="1"/>
  <c r="AH194" i="9"/>
  <c r="BR194" i="9" s="1"/>
  <c r="AB194" i="9"/>
  <c r="AZ194" i="9"/>
  <c r="CJ194" i="9" s="1"/>
  <c r="BA112" i="9"/>
  <c r="CK112" i="9" s="1"/>
  <c r="AE149" i="9"/>
  <c r="Y149" i="9"/>
  <c r="AZ111" i="9"/>
  <c r="CJ111" i="9" s="1"/>
  <c r="AF111" i="9"/>
  <c r="Z111" i="9"/>
  <c r="AX111" i="9"/>
  <c r="CH111" i="9" s="1"/>
  <c r="X111" i="9"/>
  <c r="Z110" i="9"/>
  <c r="AY149" i="9"/>
  <c r="CI149" i="9" s="1"/>
  <c r="AC149" i="9"/>
  <c r="BA110" i="9"/>
  <c r="CK110" i="9" s="1"/>
  <c r="Y110" i="9"/>
  <c r="AT149" i="9"/>
  <c r="CD149" i="9" s="1"/>
  <c r="AO194" i="9"/>
  <c r="BY194" i="9" s="1"/>
  <c r="AM164" i="9"/>
  <c r="BW164" i="9" s="1"/>
  <c r="AC164" i="9"/>
  <c r="AI163" i="9"/>
  <c r="AG163" i="9"/>
  <c r="BQ163" i="9" s="1"/>
  <c r="AL47" i="9"/>
  <c r="BV47" i="9" s="1"/>
  <c r="AO47" i="9"/>
  <c r="BY47" i="9" s="1"/>
  <c r="AK47" i="9"/>
  <c r="Z163" i="9"/>
  <c r="AX163" i="9"/>
  <c r="CH163" i="9" s="1"/>
  <c r="AI47" i="9"/>
  <c r="AC47" i="9"/>
  <c r="BA47" i="9"/>
  <c r="CK47" i="9" s="1"/>
  <c r="AM194" i="9"/>
  <c r="BW194" i="9" s="1"/>
  <c r="AA164" i="9"/>
  <c r="AE163" i="9"/>
  <c r="Y163" i="9"/>
  <c r="AW163" i="9"/>
  <c r="AU196" i="9"/>
  <c r="CE196" i="9" s="1"/>
  <c r="AQ196" i="9"/>
  <c r="AR196" i="9"/>
  <c r="CB196" i="9" s="1"/>
  <c r="AT196" i="9"/>
  <c r="CD196" i="9" s="1"/>
  <c r="AX143" i="9"/>
  <c r="CH143" i="9" s="1"/>
  <c r="AY143" i="9"/>
  <c r="CI143" i="9" s="1"/>
  <c r="AH149" i="9"/>
  <c r="BR149" i="9" s="1"/>
  <c r="BA194" i="9"/>
  <c r="CK194" i="9" s="1"/>
  <c r="AS194" i="9"/>
  <c r="CC194" i="9" s="1"/>
  <c r="AC194" i="9"/>
  <c r="AZ164" i="9"/>
  <c r="CJ164" i="9" s="1"/>
  <c r="AQ164" i="9"/>
  <c r="AH164" i="9"/>
  <c r="BR164" i="9" s="1"/>
  <c r="AL164" i="9"/>
  <c r="BV164" i="9" s="1"/>
  <c r="AQ163" i="9"/>
  <c r="AA163" i="9"/>
  <c r="Z47" i="9"/>
  <c r="AX47" i="9"/>
  <c r="CH47" i="9" s="1"/>
  <c r="AF144" i="9"/>
  <c r="BP144" i="9" s="1"/>
  <c r="AX144" i="9"/>
  <c r="CH144" i="9" s="1"/>
  <c r="Z144" i="9"/>
  <c r="AR144" i="9"/>
  <c r="CB144" i="9" s="1"/>
  <c r="X144" i="9"/>
  <c r="CW144" i="9"/>
  <c r="AG164" i="9"/>
  <c r="BQ164" i="9" s="1"/>
  <c r="CW163" i="9"/>
  <c r="X163" i="9"/>
  <c r="AL163" i="9"/>
  <c r="BV163" i="9" s="1"/>
  <c r="AM163" i="9"/>
  <c r="BW163" i="9" s="1"/>
  <c r="AO163" i="9"/>
  <c r="BY163" i="9" s="1"/>
  <c r="AW111" i="9"/>
  <c r="AX110" i="9"/>
  <c r="CH110" i="9" s="1"/>
  <c r="AY194" i="9"/>
  <c r="CI194" i="9" s="1"/>
  <c r="AX164" i="9"/>
  <c r="CH164" i="9" s="1"/>
  <c r="AK163" i="9"/>
  <c r="AU47" i="9"/>
  <c r="CE47" i="9" s="1"/>
  <c r="AA196" i="9"/>
  <c r="AY196" i="9"/>
  <c r="CI196" i="9" s="1"/>
  <c r="AW110" i="9"/>
  <c r="AX194" i="9"/>
  <c r="AW164" i="9"/>
  <c r="AE164" i="9"/>
  <c r="AY163" i="9"/>
  <c r="CI163" i="9" s="1"/>
  <c r="AH163" i="9"/>
  <c r="BR163" i="9" s="1"/>
  <c r="AB47" i="9"/>
  <c r="AS47" i="9"/>
  <c r="CC47" i="9" s="1"/>
  <c r="AB143" i="9"/>
  <c r="Y143" i="9"/>
  <c r="AW143" i="9"/>
  <c r="AY47" i="9"/>
  <c r="CI47" i="9" s="1"/>
  <c r="AQ47" i="9"/>
  <c r="AZ196" i="9"/>
  <c r="CJ196" i="9" s="1"/>
  <c r="AT144" i="9"/>
  <c r="CD144" i="9" s="1"/>
  <c r="AB144" i="9"/>
  <c r="BA143" i="9"/>
  <c r="CK143" i="9" s="1"/>
  <c r="AI143" i="9"/>
  <c r="BS143" i="9" s="1"/>
  <c r="AS144" i="9"/>
  <c r="CC144" i="9" s="1"/>
  <c r="AZ143" i="9"/>
  <c r="CJ143" i="9" s="1"/>
  <c r="AQ143" i="9"/>
  <c r="AO143" i="9"/>
  <c r="BY143" i="9" s="1"/>
  <c r="AN144" i="9"/>
  <c r="BX144" i="9" s="1"/>
  <c r="AU143" i="9"/>
  <c r="CE143" i="9" s="1"/>
  <c r="AL143" i="9"/>
  <c r="AU198" i="9"/>
  <c r="CE198" i="9" s="1"/>
  <c r="AO198" i="9"/>
  <c r="BY198" i="9" s="1"/>
  <c r="AL198" i="9"/>
  <c r="BV198" i="9" s="1"/>
  <c r="AC109" i="9"/>
  <c r="BA109" i="9"/>
  <c r="CK109" i="9" s="1"/>
  <c r="AI109" i="9"/>
  <c r="BS109" i="9" s="1"/>
  <c r="Z109" i="9"/>
  <c r="AA109" i="9"/>
  <c r="AM198" i="9"/>
  <c r="BW198" i="9" s="1"/>
  <c r="AB109" i="9"/>
  <c r="AK198" i="9"/>
  <c r="AG198" i="9"/>
  <c r="AA198" i="9"/>
  <c r="AY198" i="9"/>
  <c r="CI198" i="9" s="1"/>
  <c r="Z198" i="9"/>
  <c r="AX198" i="9"/>
  <c r="CH198" i="9" s="1"/>
  <c r="AS57" i="9"/>
  <c r="CC57" i="9" s="1"/>
  <c r="AO199" i="9"/>
  <c r="BY199" i="9" s="1"/>
  <c r="AK199" i="9"/>
  <c r="AL199" i="9"/>
  <c r="BV199" i="9" s="1"/>
  <c r="AM199" i="9"/>
  <c r="BW199" i="9" s="1"/>
  <c r="AH109" i="9"/>
  <c r="BR109" i="9" s="1"/>
  <c r="AQ108" i="9"/>
  <c r="AI108" i="9"/>
  <c r="BS108" i="9" s="1"/>
  <c r="AR57" i="9"/>
  <c r="CB57" i="9" s="1"/>
  <c r="Z98" i="9"/>
  <c r="BA97" i="9"/>
  <c r="CK97" i="9" s="1"/>
  <c r="Y97" i="9"/>
  <c r="AZ68" i="9"/>
  <c r="CJ68" i="9" s="1"/>
  <c r="AN199" i="9"/>
  <c r="BX199" i="9" s="1"/>
  <c r="AT198" i="9"/>
  <c r="CD198" i="9" s="1"/>
  <c r="AW109" i="9"/>
  <c r="AO109" i="9"/>
  <c r="BY109" i="9" s="1"/>
  <c r="AX108" i="9"/>
  <c r="CH108" i="9" s="1"/>
  <c r="AY57" i="9"/>
  <c r="CI57" i="9" s="1"/>
  <c r="AQ57" i="9"/>
  <c r="AZ56" i="9"/>
  <c r="CJ56" i="9" s="1"/>
  <c r="AR56" i="9"/>
  <c r="CB56" i="9" s="1"/>
  <c r="AB56" i="9"/>
  <c r="BA98" i="9"/>
  <c r="CK98" i="9" s="1"/>
  <c r="AY97" i="9"/>
  <c r="CI97" i="9" s="1"/>
  <c r="AY68" i="9"/>
  <c r="CI68" i="9" s="1"/>
  <c r="AQ148" i="9"/>
  <c r="AR148" i="9"/>
  <c r="CB148" i="9" s="1"/>
  <c r="AS148" i="9"/>
  <c r="CC148" i="9" s="1"/>
  <c r="AT148" i="9"/>
  <c r="CD148" i="9" s="1"/>
  <c r="AU148" i="9"/>
  <c r="CE148" i="9" s="1"/>
  <c r="AN109" i="9"/>
  <c r="BX109" i="9" s="1"/>
  <c r="AO108" i="9"/>
  <c r="BY108" i="9" s="1"/>
  <c r="AY56" i="9"/>
  <c r="CI56" i="9" s="1"/>
  <c r="AA56" i="9"/>
  <c r="AZ98" i="9"/>
  <c r="CJ98" i="9" s="1"/>
  <c r="AX97" i="9"/>
  <c r="CH97" i="9" s="1"/>
  <c r="AB68" i="9"/>
  <c r="Y68" i="9"/>
  <c r="AW68" i="9"/>
  <c r="AB97" i="9"/>
  <c r="AZ97" i="9"/>
  <c r="CJ97" i="9" s="1"/>
  <c r="AL109" i="9"/>
  <c r="BV109" i="9" s="1"/>
  <c r="AU108" i="9"/>
  <c r="CE108" i="9" s="1"/>
  <c r="AM108" i="9"/>
  <c r="BW108" i="9" s="1"/>
  <c r="AW56" i="9"/>
  <c r="AO56" i="9"/>
  <c r="BY56" i="9" s="1"/>
  <c r="AG56" i="9"/>
  <c r="BQ56" i="9" s="1"/>
  <c r="Y56" i="9"/>
  <c r="AN98" i="9"/>
  <c r="BX98" i="9" s="1"/>
  <c r="AM97" i="9"/>
  <c r="BW97" i="9" s="1"/>
  <c r="CW68" i="9"/>
  <c r="Z68" i="9"/>
  <c r="AT108" i="9"/>
  <c r="CD108" i="9" s="1"/>
  <c r="AL108" i="9"/>
  <c r="AU57" i="9"/>
  <c r="CE57" i="9" s="1"/>
  <c r="AM57" i="9"/>
  <c r="BW57" i="9" s="1"/>
  <c r="AM98" i="9"/>
  <c r="BW98" i="9" s="1"/>
  <c r="AA98" i="9"/>
  <c r="AY98" i="9"/>
  <c r="CI98" i="9" s="1"/>
  <c r="AU97" i="9"/>
  <c r="CE97" i="9" s="1"/>
  <c r="AT68" i="9"/>
  <c r="CD68" i="9" s="1"/>
  <c r="AK68" i="9"/>
  <c r="AO68" i="9"/>
  <c r="BY68" i="9" s="1"/>
  <c r="AZ109" i="9"/>
  <c r="CJ109" i="9" s="1"/>
  <c r="BA108" i="9"/>
  <c r="CK108" i="9" s="1"/>
  <c r="AU98" i="9"/>
  <c r="CE98" i="9" s="1"/>
  <c r="AC98" i="9"/>
  <c r="AT97" i="9"/>
  <c r="CD97" i="9" s="1"/>
  <c r="AC68" i="9"/>
  <c r="BA68" i="9"/>
  <c r="CK68" i="9" s="1"/>
  <c r="AU199" i="9"/>
  <c r="AN148" i="9"/>
  <c r="BX148" i="9" s="1"/>
  <c r="AT160" i="9"/>
  <c r="CD160" i="9" s="1"/>
  <c r="AI160" i="9"/>
  <c r="BS160" i="9" s="1"/>
  <c r="Y160" i="9"/>
  <c r="AM148" i="9"/>
  <c r="AS160" i="9"/>
  <c r="CC160" i="9" s="1"/>
  <c r="AQ160" i="9"/>
  <c r="AG160" i="9"/>
  <c r="BQ160" i="9" s="1"/>
  <c r="AN160" i="9"/>
  <c r="BX160" i="9" s="1"/>
  <c r="AB160" i="9"/>
  <c r="AZ160" i="9"/>
  <c r="CJ160" i="9" s="1"/>
  <c r="AC159" i="9"/>
  <c r="BA159" i="9"/>
  <c r="CK159" i="9" s="1"/>
  <c r="AE200" i="9"/>
  <c r="Y200" i="9"/>
  <c r="AW200" i="9"/>
  <c r="AM200" i="9"/>
  <c r="BW200" i="9" s="1"/>
  <c r="AF200" i="9"/>
  <c r="BP200" i="9" s="1"/>
  <c r="AN200" i="9"/>
  <c r="BX200" i="9" s="1"/>
  <c r="AG200" i="9"/>
  <c r="BQ200" i="9" s="1"/>
  <c r="Z200" i="9"/>
  <c r="AH200" i="9"/>
  <c r="BR200" i="9" s="1"/>
  <c r="AN159" i="9"/>
  <c r="BX159" i="9" s="1"/>
  <c r="AH159" i="9"/>
  <c r="BR159" i="9" s="1"/>
  <c r="AB159" i="9"/>
  <c r="AZ159" i="9"/>
  <c r="CJ159" i="9" s="1"/>
  <c r="AI200" i="9"/>
  <c r="BS200" i="9" s="1"/>
  <c r="AY199" i="9"/>
  <c r="CI199" i="9" s="1"/>
  <c r="AA199" i="9"/>
  <c r="AZ148" i="9"/>
  <c r="CJ148" i="9" s="1"/>
  <c r="AB148" i="9"/>
  <c r="AY160" i="9"/>
  <c r="CI160" i="9" s="1"/>
  <c r="AA200" i="9"/>
  <c r="AX199" i="9"/>
  <c r="CH199" i="9" s="1"/>
  <c r="AY148" i="9"/>
  <c r="CI148" i="9" s="1"/>
  <c r="AM160" i="9"/>
  <c r="BW160" i="9" s="1"/>
  <c r="AY142" i="9"/>
  <c r="CI142" i="9" s="1"/>
  <c r="AW142" i="9"/>
  <c r="AU159" i="9"/>
  <c r="CE159" i="9" s="1"/>
  <c r="Y159" i="9"/>
  <c r="AW159" i="9"/>
  <c r="AK159" i="9"/>
  <c r="AC200" i="9"/>
  <c r="AO200" i="9"/>
  <c r="BY200" i="9" s="1"/>
  <c r="AN142" i="9"/>
  <c r="BX142" i="9" s="1"/>
  <c r="AU142" i="9"/>
  <c r="CE142" i="9" s="1"/>
  <c r="AM142" i="9"/>
  <c r="BW142" i="9" s="1"/>
  <c r="AT142" i="9"/>
  <c r="CD142" i="9" s="1"/>
  <c r="AX159" i="9"/>
  <c r="CH159" i="9" s="1"/>
  <c r="AL200" i="9"/>
  <c r="BV200" i="9" s="1"/>
  <c r="BA142" i="9"/>
  <c r="CK142" i="9" s="1"/>
  <c r="AS142" i="9"/>
  <c r="CC142" i="9" s="1"/>
  <c r="AC142" i="9"/>
  <c r="BA200" i="9"/>
  <c r="CK200" i="9" s="1"/>
  <c r="AS200" i="9"/>
  <c r="CC200" i="9" s="1"/>
  <c r="AZ142" i="9"/>
  <c r="CJ142" i="9" s="1"/>
  <c r="AR142" i="9"/>
  <c r="CB142" i="9" s="1"/>
  <c r="AG197" i="9"/>
  <c r="BQ197" i="9" s="1"/>
  <c r="AA197" i="9"/>
  <c r="AY197" i="9"/>
  <c r="CI197" i="9" s="1"/>
  <c r="AM197" i="9"/>
  <c r="BW197" i="9" s="1"/>
  <c r="AS197" i="9"/>
  <c r="CC197" i="9" s="1"/>
  <c r="AZ200" i="9"/>
  <c r="CJ200" i="9" s="1"/>
  <c r="BA197" i="9"/>
  <c r="CK197" i="9" s="1"/>
  <c r="Z197" i="9"/>
  <c r="AX197" i="9"/>
  <c r="AO197" i="9"/>
  <c r="BY197" i="9" s="1"/>
  <c r="AU197" i="9"/>
  <c r="CE197" i="9" s="1"/>
  <c r="AB197" i="9"/>
  <c r="AZ197" i="9"/>
  <c r="CJ197" i="9" s="1"/>
  <c r="AO168" i="9"/>
  <c r="BY168" i="9" s="1"/>
  <c r="AI168" i="9"/>
  <c r="BS168" i="9" s="1"/>
  <c r="AC168" i="9"/>
  <c r="BA168" i="9"/>
  <c r="CK168" i="9" s="1"/>
  <c r="AB168" i="9"/>
  <c r="AR197" i="9"/>
  <c r="AU168" i="9"/>
  <c r="CE168" i="9" s="1"/>
  <c r="Z168" i="9"/>
  <c r="AN168" i="9"/>
  <c r="BX168" i="9" s="1"/>
  <c r="AA165" i="9"/>
  <c r="AY165" i="9"/>
  <c r="CI165" i="9" s="1"/>
  <c r="Z165" i="9"/>
  <c r="AX165" i="9"/>
  <c r="CH165" i="9" s="1"/>
  <c r="AF165" i="9"/>
  <c r="AR165" i="9"/>
  <c r="CB165" i="9" s="1"/>
  <c r="AZ168" i="9"/>
  <c r="CJ168" i="9" s="1"/>
  <c r="AR168" i="9"/>
  <c r="CB168" i="9" s="1"/>
  <c r="AY168" i="9"/>
  <c r="CI168" i="9" s="1"/>
  <c r="AA168" i="9"/>
  <c r="AS165" i="9"/>
  <c r="CC165" i="9" s="1"/>
  <c r="AL165" i="9"/>
  <c r="BV165" i="9" s="1"/>
  <c r="AM165" i="9"/>
  <c r="BW165" i="9" s="1"/>
  <c r="AK165" i="9"/>
  <c r="AN165" i="9"/>
  <c r="BX165" i="9" s="1"/>
  <c r="AO165" i="9"/>
  <c r="BY165" i="9" s="1"/>
  <c r="AC186" i="9"/>
  <c r="BA186" i="9"/>
  <c r="CK186" i="9" s="1"/>
  <c r="AO186" i="9"/>
  <c r="BY186" i="9" s="1"/>
  <c r="AU186" i="9"/>
  <c r="CE186" i="9" s="1"/>
  <c r="AI186" i="9"/>
  <c r="BS186" i="9" s="1"/>
  <c r="Z186" i="9"/>
  <c r="AA186" i="9"/>
  <c r="AH186" i="9"/>
  <c r="BR186" i="9" s="1"/>
  <c r="AB186" i="9"/>
  <c r="AZ186" i="9"/>
  <c r="CJ186" i="9" s="1"/>
  <c r="AN186" i="9"/>
  <c r="BX186" i="9" s="1"/>
  <c r="AT186" i="9"/>
  <c r="CD186" i="9" s="1"/>
  <c r="AQ165" i="9"/>
  <c r="AW186" i="9"/>
  <c r="AG186" i="9"/>
  <c r="BQ186" i="9" s="1"/>
  <c r="AE186" i="9"/>
  <c r="AG192" i="9"/>
  <c r="BQ192" i="9" s="1"/>
  <c r="AA192" i="9"/>
  <c r="AS192" i="9"/>
  <c r="CC192" i="9" s="1"/>
  <c r="AY192" i="9"/>
  <c r="CI192" i="9" s="1"/>
  <c r="AL192" i="9"/>
  <c r="BV192" i="9" s="1"/>
  <c r="AF192" i="9"/>
  <c r="BP192" i="9" s="1"/>
  <c r="Z192" i="9"/>
  <c r="AX192" i="9"/>
  <c r="CH192" i="9" s="1"/>
  <c r="AR192" i="9"/>
  <c r="CB192" i="9" s="1"/>
  <c r="X192" i="9"/>
  <c r="AQ186" i="9"/>
  <c r="AU165" i="9"/>
  <c r="CE165" i="9" s="1"/>
  <c r="AR186" i="9"/>
  <c r="CB186" i="9" s="1"/>
  <c r="AS186" i="9"/>
  <c r="CC186" i="9" s="1"/>
  <c r="AM186" i="9"/>
  <c r="BW186" i="9" s="1"/>
  <c r="AK186" i="9"/>
  <c r="AL156" i="9"/>
  <c r="BV156" i="9" s="1"/>
  <c r="AF156" i="9"/>
  <c r="Z156" i="9"/>
  <c r="AX156" i="9"/>
  <c r="CH156" i="9" s="1"/>
  <c r="X156" i="9"/>
  <c r="AI95" i="9"/>
  <c r="BS95" i="9" s="1"/>
  <c r="AC95" i="9"/>
  <c r="BA95" i="9"/>
  <c r="CK95" i="9" s="1"/>
  <c r="AY36" i="9"/>
  <c r="CI36" i="9" s="1"/>
  <c r="BA36" i="9"/>
  <c r="CK36" i="9" s="1"/>
  <c r="AW36" i="9"/>
  <c r="AE192" i="9"/>
  <c r="Y192" i="9"/>
  <c r="AW192" i="9"/>
  <c r="Z95" i="9"/>
  <c r="AC192" i="9"/>
  <c r="AM192" i="9"/>
  <c r="BW192" i="9" s="1"/>
  <c r="CW156" i="9"/>
  <c r="AM156" i="9"/>
  <c r="BW156" i="9" s="1"/>
  <c r="AG156" i="9"/>
  <c r="BQ156" i="9" s="1"/>
  <c r="AA156" i="9"/>
  <c r="AY156" i="9"/>
  <c r="CI156" i="9" s="1"/>
  <c r="AX36" i="9"/>
  <c r="CH36" i="9" s="1"/>
  <c r="AH192" i="9"/>
  <c r="BR192" i="9" s="1"/>
  <c r="AI156" i="9"/>
  <c r="BS156" i="9" s="1"/>
  <c r="AK95" i="9"/>
  <c r="AH156" i="9"/>
  <c r="BR156" i="9" s="1"/>
  <c r="AZ95" i="9"/>
  <c r="CJ95" i="9" s="1"/>
  <c r="AR95" i="9"/>
  <c r="CB95" i="9" s="1"/>
  <c r="AB95" i="9"/>
  <c r="AU36" i="9"/>
  <c r="CE36" i="9" s="1"/>
  <c r="AM36" i="9"/>
  <c r="BW36" i="9" s="1"/>
  <c r="AY95" i="9"/>
  <c r="CI95" i="9" s="1"/>
  <c r="AA95" i="9"/>
  <c r="AT36" i="9"/>
  <c r="AL36" i="9"/>
  <c r="BV36" i="9" s="1"/>
  <c r="AU192" i="9"/>
  <c r="CE192" i="9" s="1"/>
  <c r="AX95" i="9"/>
  <c r="AH95" i="9"/>
  <c r="BR95" i="9" s="1"/>
  <c r="AS36" i="9"/>
  <c r="CC36" i="9" s="1"/>
  <c r="AZ36" i="9"/>
  <c r="CJ36" i="9" s="1"/>
  <c r="AR36" i="9"/>
  <c r="CB36" i="9" s="1"/>
  <c r="AJ39" i="9" l="1"/>
  <c r="BT39" i="9" s="1"/>
  <c r="CY39" i="9" s="1"/>
  <c r="AJ75" i="9"/>
  <c r="BT75" i="9" s="1"/>
  <c r="CY75" i="9" s="1"/>
  <c r="BS75" i="9"/>
  <c r="AJ17" i="9"/>
  <c r="BT17" i="9" s="1"/>
  <c r="CY17" i="9" s="1"/>
  <c r="AJ59" i="9"/>
  <c r="BT59" i="9" s="1"/>
  <c r="CY59" i="9" s="1"/>
  <c r="AJ29" i="9"/>
  <c r="BT29" i="9" s="1"/>
  <c r="CY29" i="9" s="1"/>
  <c r="AJ77" i="9"/>
  <c r="BT77" i="9" s="1"/>
  <c r="CY77" i="9" s="1"/>
  <c r="AV17" i="9"/>
  <c r="CF17" i="9" s="1"/>
  <c r="DA17" i="9" s="1"/>
  <c r="AP89" i="9"/>
  <c r="BZ89" i="9" s="1"/>
  <c r="CZ89" i="9" s="1"/>
  <c r="AJ24" i="9"/>
  <c r="BT24" i="9" s="1"/>
  <c r="CY24" i="9" s="1"/>
  <c r="AJ76" i="9"/>
  <c r="BT76" i="9" s="1"/>
  <c r="CY76" i="9" s="1"/>
  <c r="AD75" i="9"/>
  <c r="BN75" i="9" s="1"/>
  <c r="CX75" i="9" s="1"/>
  <c r="BO24" i="9"/>
  <c r="AJ19" i="9"/>
  <c r="BT19" i="9" s="1"/>
  <c r="CY19" i="9" s="1"/>
  <c r="BD17" i="9"/>
  <c r="CN17" i="9" s="1"/>
  <c r="BD24" i="9"/>
  <c r="CN24" i="9" s="1"/>
  <c r="AJ78" i="9"/>
  <c r="BT78" i="9" s="1"/>
  <c r="CY78" i="9" s="1"/>
  <c r="BO19" i="9"/>
  <c r="AP34" i="9"/>
  <c r="BZ34" i="9" s="1"/>
  <c r="CZ34" i="9" s="1"/>
  <c r="BJ28" i="9"/>
  <c r="BD28" i="9"/>
  <c r="CN28" i="9" s="1"/>
  <c r="BC76" i="9"/>
  <c r="CM76" i="9" s="1"/>
  <c r="CB19" i="9"/>
  <c r="AV19" i="9"/>
  <c r="CF19" i="9" s="1"/>
  <c r="DA19" i="9" s="1"/>
  <c r="CA24" i="9"/>
  <c r="AV24" i="9"/>
  <c r="CF24" i="9" s="1"/>
  <c r="DA24" i="9" s="1"/>
  <c r="BU91" i="9"/>
  <c r="AP91" i="9"/>
  <c r="BZ91" i="9" s="1"/>
  <c r="CZ91" i="9" s="1"/>
  <c r="BE69" i="9"/>
  <c r="CO69" i="9" s="1"/>
  <c r="BK69" i="9"/>
  <c r="BJ89" i="9"/>
  <c r="BD89" i="9"/>
  <c r="CN89" i="9" s="1"/>
  <c r="BM90" i="9"/>
  <c r="BG90" i="9"/>
  <c r="CQ90" i="9" s="1"/>
  <c r="CA77" i="9"/>
  <c r="AV77" i="9"/>
  <c r="CF77" i="9" s="1"/>
  <c r="DA77" i="9" s="1"/>
  <c r="BV91" i="9"/>
  <c r="BD91" i="9"/>
  <c r="CN91" i="9" s="1"/>
  <c r="BJ48" i="9"/>
  <c r="BD48" i="9"/>
  <c r="CN48" i="9" s="1"/>
  <c r="AD35" i="9"/>
  <c r="BN35" i="9" s="1"/>
  <c r="CX35" i="9" s="1"/>
  <c r="BX48" i="9"/>
  <c r="AP48" i="9"/>
  <c r="BZ48" i="9" s="1"/>
  <c r="CZ48" i="9" s="1"/>
  <c r="AJ60" i="9"/>
  <c r="BT60" i="9" s="1"/>
  <c r="CY60" i="9" s="1"/>
  <c r="BC46" i="9"/>
  <c r="CM46" i="9" s="1"/>
  <c r="BC27" i="9"/>
  <c r="CM27" i="9" s="1"/>
  <c r="AD76" i="9"/>
  <c r="BN76" i="9" s="1"/>
  <c r="CX76" i="9" s="1"/>
  <c r="CC69" i="9"/>
  <c r="AV69" i="9"/>
  <c r="CF69" i="9" s="1"/>
  <c r="DA69" i="9" s="1"/>
  <c r="BJ26" i="9"/>
  <c r="BD26" i="9"/>
  <c r="CN26" i="9" s="1"/>
  <c r="BO67" i="9"/>
  <c r="AJ67" i="9"/>
  <c r="BT67" i="9" s="1"/>
  <c r="CY67" i="9" s="1"/>
  <c r="CI77" i="9"/>
  <c r="BE77" i="9"/>
  <c r="CO77" i="9" s="1"/>
  <c r="CJ77" i="9"/>
  <c r="BF77" i="9"/>
  <c r="CP77" i="9" s="1"/>
  <c r="CI78" i="9"/>
  <c r="BE78" i="9"/>
  <c r="CO78" i="9" s="1"/>
  <c r="CI70" i="9"/>
  <c r="BE70" i="9"/>
  <c r="CO70" i="9" s="1"/>
  <c r="BW84" i="9"/>
  <c r="BE84" i="9"/>
  <c r="CO84" i="9" s="1"/>
  <c r="BE7" i="9"/>
  <c r="CO7" i="9" s="1"/>
  <c r="BC73" i="9"/>
  <c r="CM73" i="9" s="1"/>
  <c r="BC35" i="9"/>
  <c r="CM35" i="9" s="1"/>
  <c r="BC59" i="9"/>
  <c r="CM59" i="9" s="1"/>
  <c r="BC91" i="9"/>
  <c r="CM91" i="9" s="1"/>
  <c r="AD73" i="9"/>
  <c r="BN73" i="9" s="1"/>
  <c r="CX73" i="9" s="1"/>
  <c r="BC75" i="9"/>
  <c r="CM75" i="9" s="1"/>
  <c r="BV7" i="9"/>
  <c r="AP7" i="9"/>
  <c r="BZ7" i="9" s="1"/>
  <c r="CZ7" i="9" s="1"/>
  <c r="CJ28" i="9"/>
  <c r="BB28" i="9"/>
  <c r="CL28" i="9" s="1"/>
  <c r="DB28" i="9" s="1"/>
  <c r="BY35" i="9"/>
  <c r="BG35" i="9"/>
  <c r="CQ35" i="9" s="1"/>
  <c r="BW19" i="9"/>
  <c r="BE19" i="9"/>
  <c r="CO19" i="9" s="1"/>
  <c r="CE7" i="9"/>
  <c r="BG7" i="9"/>
  <c r="CQ7" i="9" s="1"/>
  <c r="CD34" i="9"/>
  <c r="AV34" i="9"/>
  <c r="CF34" i="9" s="1"/>
  <c r="DA34" i="9" s="1"/>
  <c r="BR58" i="9"/>
  <c r="AJ58" i="9"/>
  <c r="BT58" i="9" s="1"/>
  <c r="CY58" i="9" s="1"/>
  <c r="BW58" i="9"/>
  <c r="BE58" i="9"/>
  <c r="CO58" i="9" s="1"/>
  <c r="CI27" i="9"/>
  <c r="BB27" i="9"/>
  <c r="CL27" i="9" s="1"/>
  <c r="DB27" i="9" s="1"/>
  <c r="CB27" i="9"/>
  <c r="BD27" i="9"/>
  <c r="CN27" i="9" s="1"/>
  <c r="CH76" i="9"/>
  <c r="BB76" i="9"/>
  <c r="CL76" i="9" s="1"/>
  <c r="DB76" i="9" s="1"/>
  <c r="CK75" i="9"/>
  <c r="BG75" i="9"/>
  <c r="CQ75" i="9" s="1"/>
  <c r="CE89" i="9"/>
  <c r="BG89" i="9"/>
  <c r="CQ89" i="9" s="1"/>
  <c r="BD75" i="9"/>
  <c r="CN75" i="9" s="1"/>
  <c r="AJ62" i="9"/>
  <c r="BT62" i="9" s="1"/>
  <c r="CY62" i="9" s="1"/>
  <c r="BE29" i="9"/>
  <c r="CO29" i="9" s="1"/>
  <c r="BO73" i="9"/>
  <c r="AJ88" i="9"/>
  <c r="BT88" i="9" s="1"/>
  <c r="CY88" i="9" s="1"/>
  <c r="AJ27" i="9"/>
  <c r="BT27" i="9" s="1"/>
  <c r="CY27" i="9" s="1"/>
  <c r="AP29" i="9"/>
  <c r="BZ29" i="9" s="1"/>
  <c r="CZ29" i="9" s="1"/>
  <c r="AP49" i="9"/>
  <c r="BZ49" i="9" s="1"/>
  <c r="CZ49" i="9" s="1"/>
  <c r="BU49" i="9"/>
  <c r="AJ93" i="9"/>
  <c r="BT93" i="9" s="1"/>
  <c r="CY93" i="9" s="1"/>
  <c r="AJ73" i="9"/>
  <c r="BT73" i="9" s="1"/>
  <c r="CY73" i="9" s="1"/>
  <c r="AJ84" i="9"/>
  <c r="BT84" i="9" s="1"/>
  <c r="CY84" i="9" s="1"/>
  <c r="BF87" i="9"/>
  <c r="CP87" i="9" s="1"/>
  <c r="AJ94" i="9"/>
  <c r="BT94" i="9" s="1"/>
  <c r="CY94" i="9" s="1"/>
  <c r="AJ49" i="9"/>
  <c r="BT49" i="9" s="1"/>
  <c r="CY49" i="9" s="1"/>
  <c r="BD7" i="9"/>
  <c r="CN7" i="9" s="1"/>
  <c r="AP93" i="9"/>
  <c r="BZ93" i="9" s="1"/>
  <c r="CZ93" i="9" s="1"/>
  <c r="BE35" i="9"/>
  <c r="CO35" i="9" s="1"/>
  <c r="BJ94" i="9"/>
  <c r="BD94" i="9"/>
  <c r="CN94" i="9" s="1"/>
  <c r="BE71" i="9"/>
  <c r="CO71" i="9" s="1"/>
  <c r="CA67" i="9"/>
  <c r="AV67" i="9"/>
  <c r="CF67" i="9" s="1"/>
  <c r="DA67" i="9" s="1"/>
  <c r="AP62" i="9"/>
  <c r="BZ62" i="9" s="1"/>
  <c r="CZ62" i="9" s="1"/>
  <c r="BU62" i="9"/>
  <c r="BB19" i="9"/>
  <c r="CL19" i="9" s="1"/>
  <c r="DB19" i="9" s="1"/>
  <c r="CG19" i="9"/>
  <c r="BG48" i="9"/>
  <c r="CQ48" i="9" s="1"/>
  <c r="BC39" i="9"/>
  <c r="AD39" i="9"/>
  <c r="BN39" i="9" s="1"/>
  <c r="CX39" i="9" s="1"/>
  <c r="BI39" i="9"/>
  <c r="BG91" i="9"/>
  <c r="CQ91" i="9" s="1"/>
  <c r="BM91" i="9"/>
  <c r="BI94" i="9"/>
  <c r="BC94" i="9"/>
  <c r="AD94" i="9"/>
  <c r="BN94" i="9" s="1"/>
  <c r="CX94" i="9" s="1"/>
  <c r="BB89" i="9"/>
  <c r="CL89" i="9" s="1"/>
  <c r="DB89" i="9" s="1"/>
  <c r="BM94" i="9"/>
  <c r="BG94" i="9"/>
  <c r="CQ94" i="9" s="1"/>
  <c r="BI93" i="9"/>
  <c r="BC93" i="9"/>
  <c r="AD93" i="9"/>
  <c r="BN93" i="9" s="1"/>
  <c r="CX93" i="9" s="1"/>
  <c r="AP74" i="9"/>
  <c r="BZ74" i="9" s="1"/>
  <c r="CZ74" i="9" s="1"/>
  <c r="BU74" i="9"/>
  <c r="BI78" i="9"/>
  <c r="BC78" i="9"/>
  <c r="AD78" i="9"/>
  <c r="BN78" i="9" s="1"/>
  <c r="CX78" i="9" s="1"/>
  <c r="BM78" i="9"/>
  <c r="BG78" i="9"/>
  <c r="CQ78" i="9" s="1"/>
  <c r="CG77" i="9"/>
  <c r="BB77" i="9"/>
  <c r="CL77" i="9" s="1"/>
  <c r="DB77" i="9" s="1"/>
  <c r="BE76" i="9"/>
  <c r="CO76" i="9" s="1"/>
  <c r="CG87" i="9"/>
  <c r="BB87" i="9"/>
  <c r="CL87" i="9" s="1"/>
  <c r="DB87" i="9" s="1"/>
  <c r="BU71" i="9"/>
  <c r="AP71" i="9"/>
  <c r="BZ71" i="9" s="1"/>
  <c r="CZ71" i="9" s="1"/>
  <c r="BI71" i="9"/>
  <c r="BC71" i="9"/>
  <c r="AD71" i="9"/>
  <c r="BN71" i="9" s="1"/>
  <c r="CX71" i="9" s="1"/>
  <c r="BK67" i="9"/>
  <c r="BE67" i="9"/>
  <c r="CO67" i="9" s="1"/>
  <c r="BC67" i="9"/>
  <c r="BU84" i="9"/>
  <c r="AP84" i="9"/>
  <c r="BZ84" i="9" s="1"/>
  <c r="CZ84" i="9" s="1"/>
  <c r="AV62" i="9"/>
  <c r="CF62" i="9" s="1"/>
  <c r="DA62" i="9" s="1"/>
  <c r="CA62" i="9"/>
  <c r="AV28" i="9"/>
  <c r="CF28" i="9" s="1"/>
  <c r="DA28" i="9" s="1"/>
  <c r="CA28" i="9"/>
  <c r="AJ7" i="9"/>
  <c r="BT7" i="9" s="1"/>
  <c r="CY7" i="9" s="1"/>
  <c r="BO7" i="9"/>
  <c r="BM28" i="9"/>
  <c r="BG28" i="9"/>
  <c r="CQ28" i="9" s="1"/>
  <c r="CA39" i="9"/>
  <c r="AV39" i="9"/>
  <c r="CF39" i="9" s="1"/>
  <c r="DA39" i="9" s="1"/>
  <c r="BE39" i="9"/>
  <c r="CO39" i="9" s="1"/>
  <c r="BI88" i="9"/>
  <c r="BC88" i="9"/>
  <c r="AD88" i="9"/>
  <c r="BN88" i="9" s="1"/>
  <c r="CX88" i="9" s="1"/>
  <c r="BK49" i="9"/>
  <c r="BE49" i="9"/>
  <c r="CO49" i="9" s="1"/>
  <c r="BB35" i="9"/>
  <c r="CL35" i="9" s="1"/>
  <c r="DB35" i="9" s="1"/>
  <c r="CG35" i="9"/>
  <c r="BL89" i="9"/>
  <c r="BF89" i="9"/>
  <c r="CP89" i="9" s="1"/>
  <c r="AV94" i="9"/>
  <c r="CF94" i="9" s="1"/>
  <c r="DA94" i="9" s="1"/>
  <c r="AV89" i="9"/>
  <c r="CF89" i="9" s="1"/>
  <c r="DA89" i="9" s="1"/>
  <c r="CA89" i="9"/>
  <c r="BL76" i="9"/>
  <c r="BF76" i="9"/>
  <c r="CP76" i="9" s="1"/>
  <c r="CG84" i="9"/>
  <c r="BB84" i="9"/>
  <c r="CL84" i="9" s="1"/>
  <c r="DB84" i="9" s="1"/>
  <c r="BI77" i="9"/>
  <c r="AD77" i="9"/>
  <c r="BN77" i="9" s="1"/>
  <c r="CX77" i="9" s="1"/>
  <c r="BC77" i="9"/>
  <c r="BI87" i="9"/>
  <c r="AD87" i="9"/>
  <c r="BN87" i="9" s="1"/>
  <c r="CX87" i="9" s="1"/>
  <c r="BC87" i="9"/>
  <c r="AV74" i="9"/>
  <c r="CF74" i="9" s="1"/>
  <c r="DA74" i="9" s="1"/>
  <c r="AV84" i="9"/>
  <c r="CF84" i="9" s="1"/>
  <c r="DA84" i="9" s="1"/>
  <c r="AJ71" i="9"/>
  <c r="BT71" i="9" s="1"/>
  <c r="CY71" i="9" s="1"/>
  <c r="BO71" i="9"/>
  <c r="BU87" i="9"/>
  <c r="AP87" i="9"/>
  <c r="BZ87" i="9" s="1"/>
  <c r="CZ87" i="9" s="1"/>
  <c r="BE62" i="9"/>
  <c r="CO62" i="9" s="1"/>
  <c r="BK62" i="9"/>
  <c r="AD67" i="9"/>
  <c r="BN67" i="9" s="1"/>
  <c r="CX67" i="9" s="1"/>
  <c r="BD62" i="9"/>
  <c r="CN62" i="9" s="1"/>
  <c r="BJ62" i="9"/>
  <c r="BL59" i="9"/>
  <c r="BF59" i="9"/>
  <c r="CP59" i="9" s="1"/>
  <c r="BF46" i="9"/>
  <c r="CP46" i="9" s="1"/>
  <c r="BL46" i="9"/>
  <c r="BC62" i="9"/>
  <c r="BL34" i="9"/>
  <c r="BF34" i="9"/>
  <c r="CP34" i="9" s="1"/>
  <c r="BD29" i="9"/>
  <c r="CN29" i="9" s="1"/>
  <c r="BV29" i="9"/>
  <c r="BM49" i="9"/>
  <c r="BG49" i="9"/>
  <c r="CQ49" i="9" s="1"/>
  <c r="AD24" i="9"/>
  <c r="BN24" i="9" s="1"/>
  <c r="CX24" i="9" s="1"/>
  <c r="BC24" i="9"/>
  <c r="BI24" i="9"/>
  <c r="AD17" i="9"/>
  <c r="BN17" i="9" s="1"/>
  <c r="CX17" i="9" s="1"/>
  <c r="BC17" i="9"/>
  <c r="BI17" i="9"/>
  <c r="AJ28" i="9"/>
  <c r="BT28" i="9" s="1"/>
  <c r="CY28" i="9" s="1"/>
  <c r="AJ46" i="9"/>
  <c r="BT46" i="9" s="1"/>
  <c r="CY46" i="9" s="1"/>
  <c r="BE28" i="9"/>
  <c r="CO28" i="9" s="1"/>
  <c r="BC29" i="9"/>
  <c r="AD29" i="9"/>
  <c r="BN29" i="9" s="1"/>
  <c r="CX29" i="9" s="1"/>
  <c r="BI29" i="9"/>
  <c r="BB49" i="9"/>
  <c r="CL49" i="9" s="1"/>
  <c r="DB49" i="9" s="1"/>
  <c r="AP39" i="9"/>
  <c r="BZ39" i="9" s="1"/>
  <c r="CZ39" i="9" s="1"/>
  <c r="BF91" i="9"/>
  <c r="CP91" i="9" s="1"/>
  <c r="BL91" i="9"/>
  <c r="AV90" i="9"/>
  <c r="CF90" i="9" s="1"/>
  <c r="DA90" i="9" s="1"/>
  <c r="CA90" i="9"/>
  <c r="BM93" i="9"/>
  <c r="BG93" i="9"/>
  <c r="CQ93" i="9" s="1"/>
  <c r="BE90" i="9"/>
  <c r="CO90" i="9" s="1"/>
  <c r="CA75" i="9"/>
  <c r="AV75" i="9"/>
  <c r="CF75" i="9" s="1"/>
  <c r="DA75" i="9" s="1"/>
  <c r="BE74" i="9"/>
  <c r="CO74" i="9" s="1"/>
  <c r="BJ74" i="9"/>
  <c r="BD74" i="9"/>
  <c r="CN74" i="9" s="1"/>
  <c r="BI84" i="9"/>
  <c r="AD84" i="9"/>
  <c r="BN84" i="9" s="1"/>
  <c r="CX84" i="9" s="1"/>
  <c r="BC84" i="9"/>
  <c r="BU78" i="9"/>
  <c r="AP78" i="9"/>
  <c r="BZ78" i="9" s="1"/>
  <c r="CZ78" i="9" s="1"/>
  <c r="BJ87" i="9"/>
  <c r="BD87" i="9"/>
  <c r="CN87" i="9" s="1"/>
  <c r="BU69" i="9"/>
  <c r="AP69" i="9"/>
  <c r="BZ69" i="9" s="1"/>
  <c r="CZ69" i="9" s="1"/>
  <c r="AV71" i="9"/>
  <c r="CF71" i="9" s="1"/>
  <c r="DA71" i="9" s="1"/>
  <c r="CB71" i="9"/>
  <c r="BI70" i="9"/>
  <c r="AD70" i="9"/>
  <c r="BN70" i="9" s="1"/>
  <c r="CX70" i="9" s="1"/>
  <c r="BC70" i="9"/>
  <c r="BJ78" i="9"/>
  <c r="BD78" i="9"/>
  <c r="CN78" i="9" s="1"/>
  <c r="BD84" i="9"/>
  <c r="CN84" i="9" s="1"/>
  <c r="BJ84" i="9"/>
  <c r="BG27" i="9"/>
  <c r="BF7" i="9"/>
  <c r="CP7" i="9" s="1"/>
  <c r="BL7" i="9"/>
  <c r="CA59" i="9"/>
  <c r="AV59" i="9"/>
  <c r="CF59" i="9" s="1"/>
  <c r="DA59" i="9" s="1"/>
  <c r="AJ34" i="9"/>
  <c r="BT34" i="9" s="1"/>
  <c r="CY34" i="9" s="1"/>
  <c r="BL48" i="9"/>
  <c r="BF48" i="9"/>
  <c r="CP48" i="9" s="1"/>
  <c r="BG60" i="9"/>
  <c r="CQ60" i="9" s="1"/>
  <c r="BC34" i="9"/>
  <c r="AD34" i="9"/>
  <c r="BN34" i="9" s="1"/>
  <c r="CX34" i="9" s="1"/>
  <c r="BI34" i="9"/>
  <c r="CD35" i="9"/>
  <c r="BF35" i="9"/>
  <c r="CP35" i="9" s="1"/>
  <c r="BG59" i="9"/>
  <c r="CQ59" i="9" s="1"/>
  <c r="AD59" i="9"/>
  <c r="BN59" i="9" s="1"/>
  <c r="CX59" i="9" s="1"/>
  <c r="BL29" i="9"/>
  <c r="BF29" i="9"/>
  <c r="CP29" i="9" s="1"/>
  <c r="BG24" i="9"/>
  <c r="CQ24" i="9" s="1"/>
  <c r="BY24" i="9"/>
  <c r="BG17" i="9"/>
  <c r="CQ17" i="9" s="1"/>
  <c r="BY17" i="9"/>
  <c r="AJ35" i="9"/>
  <c r="BT35" i="9" s="1"/>
  <c r="CY35" i="9" s="1"/>
  <c r="BO35" i="9"/>
  <c r="AV35" i="9"/>
  <c r="CF35" i="9" s="1"/>
  <c r="DA35" i="9" s="1"/>
  <c r="CA35" i="9"/>
  <c r="CA29" i="9"/>
  <c r="AV29" i="9"/>
  <c r="CF29" i="9" s="1"/>
  <c r="DA29" i="9" s="1"/>
  <c r="BL17" i="9"/>
  <c r="BF17" i="9"/>
  <c r="CP17" i="9" s="1"/>
  <c r="BD19" i="9"/>
  <c r="CN19" i="9" s="1"/>
  <c r="AJ74" i="9"/>
  <c r="BT74" i="9" s="1"/>
  <c r="CY74" i="9" s="1"/>
  <c r="BO74" i="9"/>
  <c r="AJ87" i="9"/>
  <c r="BT87" i="9" s="1"/>
  <c r="CY87" i="9" s="1"/>
  <c r="BO87" i="9"/>
  <c r="CG71" i="9"/>
  <c r="BB71" i="9"/>
  <c r="CL71" i="9" s="1"/>
  <c r="DB71" i="9" s="1"/>
  <c r="AJ91" i="9"/>
  <c r="BT91" i="9" s="1"/>
  <c r="CY91" i="9" s="1"/>
  <c r="BK93" i="9"/>
  <c r="BE93" i="9"/>
  <c r="CO93" i="9" s="1"/>
  <c r="BL94" i="9"/>
  <c r="BF94" i="9"/>
  <c r="CP94" i="9" s="1"/>
  <c r="AD90" i="9"/>
  <c r="BN90" i="9" s="1"/>
  <c r="CX90" i="9" s="1"/>
  <c r="BC90" i="9"/>
  <c r="BI90" i="9"/>
  <c r="BB75" i="9"/>
  <c r="CL75" i="9" s="1"/>
  <c r="DB75" i="9" s="1"/>
  <c r="CA73" i="9"/>
  <c r="AV73" i="9"/>
  <c r="CF73" i="9" s="1"/>
  <c r="DA73" i="9" s="1"/>
  <c r="BX75" i="9"/>
  <c r="BF75" i="9"/>
  <c r="CP75" i="9" s="1"/>
  <c r="BB73" i="9"/>
  <c r="CL73" i="9" s="1"/>
  <c r="DB73" i="9" s="1"/>
  <c r="BG74" i="9"/>
  <c r="CQ74" i="9" s="1"/>
  <c r="BF84" i="9"/>
  <c r="CP84" i="9" s="1"/>
  <c r="BL84" i="9"/>
  <c r="BD77" i="9"/>
  <c r="CN77" i="9" s="1"/>
  <c r="BJ77" i="9"/>
  <c r="BJ70" i="9"/>
  <c r="BD70" i="9"/>
  <c r="CN70" i="9" s="1"/>
  <c r="BG71" i="9"/>
  <c r="CQ71" i="9" s="1"/>
  <c r="CA70" i="9"/>
  <c r="AV70" i="9"/>
  <c r="CF70" i="9" s="1"/>
  <c r="DA70" i="9" s="1"/>
  <c r="BB67" i="9"/>
  <c r="CL67" i="9" s="1"/>
  <c r="DB67" i="9" s="1"/>
  <c r="BD88" i="9"/>
  <c r="CN88" i="9" s="1"/>
  <c r="BJ88" i="9"/>
  <c r="AP67" i="9"/>
  <c r="BZ67" i="9" s="1"/>
  <c r="CZ67" i="9" s="1"/>
  <c r="BM26" i="9"/>
  <c r="BG26" i="9"/>
  <c r="CQ26" i="9" s="1"/>
  <c r="BB62" i="9"/>
  <c r="CL62" i="9" s="1"/>
  <c r="DB62" i="9" s="1"/>
  <c r="CG26" i="9"/>
  <c r="BB26" i="9"/>
  <c r="CL26" i="9" s="1"/>
  <c r="DB26" i="9" s="1"/>
  <c r="BK34" i="9"/>
  <c r="BE34" i="9"/>
  <c r="CO34" i="9" s="1"/>
  <c r="BE59" i="9"/>
  <c r="CO59" i="9" s="1"/>
  <c r="CG46" i="9"/>
  <c r="BB46" i="9"/>
  <c r="CL46" i="9" s="1"/>
  <c r="DB46" i="9" s="1"/>
  <c r="AD62" i="9"/>
  <c r="BN62" i="9" s="1"/>
  <c r="CX62" i="9" s="1"/>
  <c r="BL49" i="9"/>
  <c r="BF49" i="9"/>
  <c r="CP49" i="9" s="1"/>
  <c r="AP58" i="9"/>
  <c r="BZ58" i="9" s="1"/>
  <c r="CZ58" i="9" s="1"/>
  <c r="AJ48" i="9"/>
  <c r="BT48" i="9" s="1"/>
  <c r="CY48" i="9" s="1"/>
  <c r="BO48" i="9"/>
  <c r="BE46" i="9"/>
  <c r="CO46" i="9" s="1"/>
  <c r="BK46" i="9"/>
  <c r="BD34" i="9"/>
  <c r="CN34" i="9" s="1"/>
  <c r="BJ34" i="9"/>
  <c r="BB34" i="9"/>
  <c r="CL34" i="9" s="1"/>
  <c r="DB34" i="9" s="1"/>
  <c r="BL39" i="9"/>
  <c r="BF39" i="9"/>
  <c r="CP39" i="9" s="1"/>
  <c r="BB24" i="9"/>
  <c r="CL24" i="9" s="1"/>
  <c r="DB24" i="9" s="1"/>
  <c r="CG24" i="9"/>
  <c r="BB17" i="9"/>
  <c r="CL17" i="9" s="1"/>
  <c r="DB17" i="9" s="1"/>
  <c r="CG17" i="9"/>
  <c r="BB59" i="9"/>
  <c r="CL59" i="9" s="1"/>
  <c r="DB59" i="9" s="1"/>
  <c r="BC48" i="9"/>
  <c r="BL28" i="9"/>
  <c r="BF28" i="9"/>
  <c r="CP28" i="9" s="1"/>
  <c r="BG39" i="9"/>
  <c r="CQ39" i="9" s="1"/>
  <c r="CG78" i="9"/>
  <c r="BB78" i="9"/>
  <c r="CL78" i="9" s="1"/>
  <c r="DB78" i="9" s="1"/>
  <c r="BI69" i="9"/>
  <c r="AD69" i="9"/>
  <c r="BN69" i="9" s="1"/>
  <c r="CX69" i="9" s="1"/>
  <c r="BC69" i="9"/>
  <c r="BK48" i="9"/>
  <c r="BE48" i="9"/>
  <c r="CO48" i="9" s="1"/>
  <c r="AD48" i="9"/>
  <c r="BN48" i="9" s="1"/>
  <c r="CX48" i="9" s="1"/>
  <c r="BB7" i="9"/>
  <c r="CL7" i="9" s="1"/>
  <c r="DB7" i="9" s="1"/>
  <c r="CG7" i="9"/>
  <c r="BL93" i="9"/>
  <c r="BF93" i="9"/>
  <c r="CP93" i="9" s="1"/>
  <c r="CG90" i="9"/>
  <c r="BB90" i="9"/>
  <c r="CL90" i="9" s="1"/>
  <c r="DB90" i="9" s="1"/>
  <c r="AP94" i="9"/>
  <c r="BZ94" i="9" s="1"/>
  <c r="CZ94" i="9" s="1"/>
  <c r="BE73" i="9"/>
  <c r="CO73" i="9" s="1"/>
  <c r="BW73" i="9"/>
  <c r="BM76" i="9"/>
  <c r="BG76" i="9"/>
  <c r="CQ76" i="9" s="1"/>
  <c r="BF73" i="9"/>
  <c r="CP73" i="9" s="1"/>
  <c r="BL73" i="9"/>
  <c r="AP73" i="9"/>
  <c r="BZ73" i="9" s="1"/>
  <c r="CZ73" i="9" s="1"/>
  <c r="BF78" i="9"/>
  <c r="CP78" i="9" s="1"/>
  <c r="BM69" i="9"/>
  <c r="BG69" i="9"/>
  <c r="CQ69" i="9" s="1"/>
  <c r="BF88" i="9"/>
  <c r="CP88" i="9" s="1"/>
  <c r="BF69" i="9"/>
  <c r="CP69" i="9" s="1"/>
  <c r="BL69" i="9"/>
  <c r="BO70" i="9"/>
  <c r="AJ70" i="9"/>
  <c r="BT70" i="9" s="1"/>
  <c r="CY70" i="9" s="1"/>
  <c r="AV88" i="9"/>
  <c r="CF88" i="9" s="1"/>
  <c r="DA88" i="9" s="1"/>
  <c r="BD67" i="9"/>
  <c r="CN67" i="9" s="1"/>
  <c r="AJ69" i="9"/>
  <c r="BT69" i="9" s="1"/>
  <c r="CY69" i="9" s="1"/>
  <c r="BK27" i="9"/>
  <c r="BE27" i="9"/>
  <c r="CO27" i="9" s="1"/>
  <c r="BU88" i="9"/>
  <c r="AP88" i="9"/>
  <c r="BZ88" i="9" s="1"/>
  <c r="CZ88" i="9" s="1"/>
  <c r="BL27" i="9"/>
  <c r="BF27" i="9"/>
  <c r="CP27" i="9" s="1"/>
  <c r="BC60" i="9"/>
  <c r="BI60" i="9"/>
  <c r="AD60" i="9"/>
  <c r="BN60" i="9" s="1"/>
  <c r="CX60" i="9" s="1"/>
  <c r="BD60" i="9"/>
  <c r="CN60" i="9" s="1"/>
  <c r="BD59" i="9"/>
  <c r="CN59" i="9" s="1"/>
  <c r="BB48" i="9"/>
  <c r="CL48" i="9" s="1"/>
  <c r="DB48" i="9" s="1"/>
  <c r="CG48" i="9"/>
  <c r="AP46" i="9"/>
  <c r="BZ46" i="9" s="1"/>
  <c r="CZ46" i="9" s="1"/>
  <c r="BU46" i="9"/>
  <c r="BD46" i="9"/>
  <c r="CN46" i="9" s="1"/>
  <c r="AD46" i="9"/>
  <c r="BN46" i="9" s="1"/>
  <c r="CX46" i="9" s="1"/>
  <c r="BL60" i="9"/>
  <c r="BF60" i="9"/>
  <c r="CP60" i="9" s="1"/>
  <c r="BB29" i="9"/>
  <c r="CL29" i="9" s="1"/>
  <c r="DB29" i="9" s="1"/>
  <c r="CG29" i="9"/>
  <c r="BE24" i="9"/>
  <c r="CO24" i="9" s="1"/>
  <c r="BE17" i="9"/>
  <c r="CO17" i="9" s="1"/>
  <c r="AV60" i="9"/>
  <c r="CF60" i="9" s="1"/>
  <c r="DA60" i="9" s="1"/>
  <c r="BL19" i="9"/>
  <c r="BF19" i="9"/>
  <c r="CP19" i="9" s="1"/>
  <c r="BU19" i="9"/>
  <c r="AP19" i="9"/>
  <c r="BZ19" i="9" s="1"/>
  <c r="CZ19" i="9" s="1"/>
  <c r="BD39" i="9"/>
  <c r="CN39" i="9" s="1"/>
  <c r="AP28" i="9"/>
  <c r="BZ28" i="9" s="1"/>
  <c r="CZ28" i="9" s="1"/>
  <c r="BB91" i="9"/>
  <c r="CL91" i="9" s="1"/>
  <c r="DB91" i="9" s="1"/>
  <c r="CG91" i="9"/>
  <c r="AV78" i="9"/>
  <c r="CF78" i="9" s="1"/>
  <c r="DA78" i="9" s="1"/>
  <c r="CA78" i="9"/>
  <c r="BM84" i="9"/>
  <c r="BG84" i="9"/>
  <c r="CQ84" i="9" s="1"/>
  <c r="BU17" i="9"/>
  <c r="AP17" i="9"/>
  <c r="BZ17" i="9" s="1"/>
  <c r="CZ17" i="9" s="1"/>
  <c r="BE89" i="9"/>
  <c r="CO89" i="9" s="1"/>
  <c r="BB94" i="9"/>
  <c r="CL94" i="9" s="1"/>
  <c r="DB94" i="9" s="1"/>
  <c r="CG94" i="9"/>
  <c r="AJ90" i="9"/>
  <c r="BT90" i="9" s="1"/>
  <c r="CY90" i="9" s="1"/>
  <c r="BO90" i="9"/>
  <c r="AP90" i="9"/>
  <c r="BZ90" i="9" s="1"/>
  <c r="CZ90" i="9" s="1"/>
  <c r="BU90" i="9"/>
  <c r="AD89" i="9"/>
  <c r="BN89" i="9" s="1"/>
  <c r="CX89" i="9" s="1"/>
  <c r="BM73" i="9"/>
  <c r="BG73" i="9"/>
  <c r="CQ73" i="9" s="1"/>
  <c r="BW75" i="9"/>
  <c r="BE75" i="9"/>
  <c r="CO75" i="9" s="1"/>
  <c r="BM77" i="9"/>
  <c r="BG77" i="9"/>
  <c r="CQ77" i="9" s="1"/>
  <c r="BI74" i="9"/>
  <c r="BC74" i="9"/>
  <c r="AD74" i="9"/>
  <c r="BN74" i="9" s="1"/>
  <c r="CX74" i="9" s="1"/>
  <c r="BU77" i="9"/>
  <c r="AP77" i="9"/>
  <c r="BZ77" i="9" s="1"/>
  <c r="CZ77" i="9" s="1"/>
  <c r="BM87" i="9"/>
  <c r="BG87" i="9"/>
  <c r="CQ87" i="9" s="1"/>
  <c r="AV76" i="9"/>
  <c r="CF76" i="9" s="1"/>
  <c r="DA76" i="9" s="1"/>
  <c r="CA76" i="9"/>
  <c r="AP26" i="9"/>
  <c r="BZ26" i="9" s="1"/>
  <c r="CZ26" i="9" s="1"/>
  <c r="BU26" i="9"/>
  <c r="BE87" i="9"/>
  <c r="CO87" i="9" s="1"/>
  <c r="BD71" i="9"/>
  <c r="CN71" i="9" s="1"/>
  <c r="BJ71" i="9"/>
  <c r="CA26" i="9"/>
  <c r="AV26" i="9"/>
  <c r="CF26" i="9" s="1"/>
  <c r="DA26" i="9" s="1"/>
  <c r="AV27" i="9"/>
  <c r="CF27" i="9" s="1"/>
  <c r="DA27" i="9" s="1"/>
  <c r="CA27" i="9"/>
  <c r="BG70" i="9"/>
  <c r="CQ70" i="9" s="1"/>
  <c r="BM70" i="9"/>
  <c r="BK26" i="9"/>
  <c r="BE26" i="9"/>
  <c r="CO26" i="9" s="1"/>
  <c r="AP27" i="9"/>
  <c r="BZ27" i="9" s="1"/>
  <c r="CZ27" i="9" s="1"/>
  <c r="BB60" i="9"/>
  <c r="CL60" i="9" s="1"/>
  <c r="DB60" i="9" s="1"/>
  <c r="CG60" i="9"/>
  <c r="AP60" i="9"/>
  <c r="BZ60" i="9" s="1"/>
  <c r="CZ60" i="9" s="1"/>
  <c r="BU60" i="9"/>
  <c r="BC58" i="9"/>
  <c r="BI58" i="9"/>
  <c r="AD58" i="9"/>
  <c r="BN58" i="9" s="1"/>
  <c r="CX58" i="9" s="1"/>
  <c r="BD58" i="9"/>
  <c r="CN58" i="9" s="1"/>
  <c r="BB70" i="9"/>
  <c r="CL70" i="9" s="1"/>
  <c r="DB70" i="9" s="1"/>
  <c r="AP59" i="9"/>
  <c r="BZ59" i="9" s="1"/>
  <c r="CZ59" i="9" s="1"/>
  <c r="BU59" i="9"/>
  <c r="BF70" i="9"/>
  <c r="CP70" i="9" s="1"/>
  <c r="BL58" i="9"/>
  <c r="BF58" i="9"/>
  <c r="CP58" i="9" s="1"/>
  <c r="BG46" i="9"/>
  <c r="CQ46" i="9" s="1"/>
  <c r="AV49" i="9"/>
  <c r="CF49" i="9" s="1"/>
  <c r="DA49" i="9" s="1"/>
  <c r="BD35" i="9"/>
  <c r="CN35" i="9" s="1"/>
  <c r="BJ35" i="9"/>
  <c r="BG58" i="9"/>
  <c r="CQ58" i="9" s="1"/>
  <c r="CA7" i="9"/>
  <c r="AV7" i="9"/>
  <c r="CF7" i="9" s="1"/>
  <c r="DA7" i="9" s="1"/>
  <c r="BC49" i="9"/>
  <c r="AD49" i="9"/>
  <c r="BN49" i="9" s="1"/>
  <c r="CX49" i="9" s="1"/>
  <c r="BI49" i="9"/>
  <c r="CG39" i="9"/>
  <c r="BB39" i="9"/>
  <c r="CL39" i="9" s="1"/>
  <c r="DB39" i="9" s="1"/>
  <c r="AD19" i="9"/>
  <c r="BN19" i="9" s="1"/>
  <c r="CX19" i="9" s="1"/>
  <c r="BC19" i="9"/>
  <c r="BI19" i="9"/>
  <c r="BU24" i="9"/>
  <c r="AP24" i="9"/>
  <c r="BZ24" i="9" s="1"/>
  <c r="CZ24" i="9" s="1"/>
  <c r="AD28" i="9"/>
  <c r="BN28" i="9" s="1"/>
  <c r="CX28" i="9" s="1"/>
  <c r="BG29" i="9"/>
  <c r="CQ29" i="9" s="1"/>
  <c r="BJ93" i="9"/>
  <c r="BD93" i="9"/>
  <c r="CN93" i="9" s="1"/>
  <c r="BF90" i="9"/>
  <c r="CP90" i="9" s="1"/>
  <c r="BL90" i="9"/>
  <c r="CA91" i="9"/>
  <c r="AV91" i="9"/>
  <c r="CF91" i="9" s="1"/>
  <c r="DA91" i="9" s="1"/>
  <c r="AV93" i="9"/>
  <c r="CF93" i="9" s="1"/>
  <c r="DA93" i="9" s="1"/>
  <c r="BB93" i="9"/>
  <c r="CL93" i="9" s="1"/>
  <c r="DB93" i="9" s="1"/>
  <c r="CG93" i="9"/>
  <c r="BK94" i="9"/>
  <c r="BE94" i="9"/>
  <c r="CO94" i="9" s="1"/>
  <c r="BD90" i="9"/>
  <c r="CN90" i="9" s="1"/>
  <c r="BC89" i="9"/>
  <c r="AD91" i="9"/>
  <c r="BN91" i="9" s="1"/>
  <c r="CX91" i="9" s="1"/>
  <c r="BK91" i="9"/>
  <c r="BE91" i="9"/>
  <c r="CO91" i="9" s="1"/>
  <c r="BU75" i="9"/>
  <c r="AP75" i="9"/>
  <c r="BZ75" i="9" s="1"/>
  <c r="CZ75" i="9" s="1"/>
  <c r="BF74" i="9"/>
  <c r="CP74" i="9" s="1"/>
  <c r="CG74" i="9"/>
  <c r="BB74" i="9"/>
  <c r="CL74" i="9" s="1"/>
  <c r="DB74" i="9" s="1"/>
  <c r="BU76" i="9"/>
  <c r="AP76" i="9"/>
  <c r="BZ76" i="9" s="1"/>
  <c r="CZ76" i="9" s="1"/>
  <c r="CG88" i="9"/>
  <c r="BB88" i="9"/>
  <c r="CL88" i="9" s="1"/>
  <c r="DB88" i="9" s="1"/>
  <c r="BD76" i="9"/>
  <c r="CN76" i="9" s="1"/>
  <c r="BD73" i="9"/>
  <c r="CN73" i="9" s="1"/>
  <c r="CA87" i="9"/>
  <c r="AV87" i="9"/>
  <c r="CF87" i="9" s="1"/>
  <c r="DA87" i="9" s="1"/>
  <c r="BS88" i="9"/>
  <c r="BG88" i="9"/>
  <c r="CQ88" i="9" s="1"/>
  <c r="BK88" i="9"/>
  <c r="BE88" i="9"/>
  <c r="CO88" i="9" s="1"/>
  <c r="AP70" i="9"/>
  <c r="BZ70" i="9" s="1"/>
  <c r="CZ70" i="9" s="1"/>
  <c r="BU70" i="9"/>
  <c r="CG69" i="9"/>
  <c r="BB69" i="9"/>
  <c r="CL69" i="9" s="1"/>
  <c r="DB69" i="9" s="1"/>
  <c r="BI26" i="9"/>
  <c r="AD26" i="9"/>
  <c r="BN26" i="9" s="1"/>
  <c r="CX26" i="9" s="1"/>
  <c r="BC26" i="9"/>
  <c r="BG62" i="9"/>
  <c r="CQ62" i="9" s="1"/>
  <c r="BJ69" i="9"/>
  <c r="BD69" i="9"/>
  <c r="CN69" i="9" s="1"/>
  <c r="BF71" i="9"/>
  <c r="CP71" i="9" s="1"/>
  <c r="BF26" i="9"/>
  <c r="CP26" i="9" s="1"/>
  <c r="BL26" i="9"/>
  <c r="BG67" i="9"/>
  <c r="CQ67" i="9" s="1"/>
  <c r="BF62" i="9"/>
  <c r="CP62" i="9" s="1"/>
  <c r="CA48" i="9"/>
  <c r="AV48" i="9"/>
  <c r="CF48" i="9" s="1"/>
  <c r="DA48" i="9" s="1"/>
  <c r="BF67" i="9"/>
  <c r="CP67" i="9" s="1"/>
  <c r="CG58" i="9"/>
  <c r="BB58" i="9"/>
  <c r="CL58" i="9" s="1"/>
  <c r="DB58" i="9" s="1"/>
  <c r="BQ60" i="9"/>
  <c r="BE60" i="9"/>
  <c r="CO60" i="9" s="1"/>
  <c r="AJ26" i="9"/>
  <c r="BT26" i="9" s="1"/>
  <c r="CY26" i="9" s="1"/>
  <c r="CA58" i="9"/>
  <c r="AV58" i="9"/>
  <c r="CF58" i="9" s="1"/>
  <c r="DA58" i="9" s="1"/>
  <c r="AD27" i="9"/>
  <c r="BN27" i="9" s="1"/>
  <c r="CX27" i="9" s="1"/>
  <c r="BM34" i="9"/>
  <c r="BG34" i="9"/>
  <c r="CQ34" i="9" s="1"/>
  <c r="BU35" i="9"/>
  <c r="AP35" i="9"/>
  <c r="BZ35" i="9" s="1"/>
  <c r="CZ35" i="9" s="1"/>
  <c r="BI7" i="9"/>
  <c r="AD7" i="9"/>
  <c r="BN7" i="9" s="1"/>
  <c r="CX7" i="9" s="1"/>
  <c r="BC7" i="9"/>
  <c r="BD49" i="9"/>
  <c r="CN49" i="9" s="1"/>
  <c r="BJ49" i="9"/>
  <c r="BG19" i="9"/>
  <c r="CQ19" i="9" s="1"/>
  <c r="BY19" i="9"/>
  <c r="BL24" i="9"/>
  <c r="BF24" i="9"/>
  <c r="CP24" i="9" s="1"/>
  <c r="AV46" i="9"/>
  <c r="CF46" i="9" s="1"/>
  <c r="DA46" i="9" s="1"/>
  <c r="BC28" i="9"/>
  <c r="AV171" i="9"/>
  <c r="CF171" i="9" s="1"/>
  <c r="DA171" i="9" s="1"/>
  <c r="AJ114" i="9"/>
  <c r="BT114" i="9" s="1"/>
  <c r="CY114" i="9" s="1"/>
  <c r="BB173" i="9"/>
  <c r="CL173" i="9" s="1"/>
  <c r="DB173" i="9" s="1"/>
  <c r="AD112" i="9"/>
  <c r="BN112" i="9" s="1"/>
  <c r="CX112" i="9" s="1"/>
  <c r="BF83" i="9"/>
  <c r="CP83" i="9" s="1"/>
  <c r="AJ142" i="9"/>
  <c r="BT142" i="9" s="1"/>
  <c r="CY142" i="9" s="1"/>
  <c r="AJ137" i="9"/>
  <c r="BT137" i="9" s="1"/>
  <c r="CY137" i="9" s="1"/>
  <c r="BC168" i="9"/>
  <c r="CM168" i="9" s="1"/>
  <c r="BC30" i="9"/>
  <c r="CM30" i="9" s="1"/>
  <c r="BO114" i="9"/>
  <c r="BC36" i="9"/>
  <c r="CM36" i="9" s="1"/>
  <c r="AD8" i="9"/>
  <c r="BN8" i="9" s="1"/>
  <c r="CX8" i="9" s="1"/>
  <c r="BC197" i="9"/>
  <c r="CM197" i="9" s="1"/>
  <c r="BC100" i="9"/>
  <c r="CM100" i="9" s="1"/>
  <c r="AD52" i="9"/>
  <c r="BN52" i="9" s="1"/>
  <c r="CX52" i="9" s="1"/>
  <c r="AJ37" i="9"/>
  <c r="BT37" i="9" s="1"/>
  <c r="CY37" i="9" s="1"/>
  <c r="AD196" i="9"/>
  <c r="BN196" i="9" s="1"/>
  <c r="CX196" i="9" s="1"/>
  <c r="AJ8" i="9"/>
  <c r="BT8" i="9" s="1"/>
  <c r="CY8" i="9" s="1"/>
  <c r="AJ144" i="9"/>
  <c r="BT144" i="9" s="1"/>
  <c r="CY144" i="9" s="1"/>
  <c r="AJ118" i="9"/>
  <c r="BT118" i="9" s="1"/>
  <c r="CY118" i="9" s="1"/>
  <c r="AJ184" i="9"/>
  <c r="BT184" i="9" s="1"/>
  <c r="CY184" i="9" s="1"/>
  <c r="BC185" i="9"/>
  <c r="CM185" i="9" s="1"/>
  <c r="BC136" i="9"/>
  <c r="CM136" i="9" s="1"/>
  <c r="AV56" i="9"/>
  <c r="CF56" i="9" s="1"/>
  <c r="DA56" i="9" s="1"/>
  <c r="BC194" i="9"/>
  <c r="CM194" i="9" s="1"/>
  <c r="BO144" i="9"/>
  <c r="AJ185" i="9"/>
  <c r="BT185" i="9" s="1"/>
  <c r="CY185" i="9" s="1"/>
  <c r="AD169" i="9"/>
  <c r="BN169" i="9" s="1"/>
  <c r="CX169" i="9" s="1"/>
  <c r="AJ148" i="9"/>
  <c r="BT148" i="9" s="1"/>
  <c r="CY148" i="9" s="1"/>
  <c r="AD118" i="9"/>
  <c r="BN118" i="9" s="1"/>
  <c r="CX118" i="9" s="1"/>
  <c r="AJ16" i="9"/>
  <c r="BT16" i="9" s="1"/>
  <c r="CY16" i="9" s="1"/>
  <c r="BD143" i="9"/>
  <c r="CN143" i="9" s="1"/>
  <c r="BC150" i="9"/>
  <c r="CM150" i="9" s="1"/>
  <c r="AD21" i="9"/>
  <c r="BN21" i="9" s="1"/>
  <c r="CX21" i="9" s="1"/>
  <c r="AD123" i="9"/>
  <c r="BN123" i="9" s="1"/>
  <c r="CX123" i="9" s="1"/>
  <c r="BC144" i="9"/>
  <c r="CM144" i="9" s="1"/>
  <c r="AD115" i="9"/>
  <c r="BN115" i="9" s="1"/>
  <c r="CX115" i="9" s="1"/>
  <c r="BC179" i="9"/>
  <c r="CM179" i="9" s="1"/>
  <c r="BF199" i="9"/>
  <c r="CP199" i="9" s="1"/>
  <c r="AV86" i="9"/>
  <c r="CF86" i="9" s="1"/>
  <c r="DA86" i="9" s="1"/>
  <c r="BC142" i="9"/>
  <c r="CM142" i="9" s="1"/>
  <c r="BC8" i="9"/>
  <c r="CM8" i="9" s="1"/>
  <c r="AJ133" i="9"/>
  <c r="BT133" i="9" s="1"/>
  <c r="CY133" i="9" s="1"/>
  <c r="AD195" i="9"/>
  <c r="BN195" i="9" s="1"/>
  <c r="CX195" i="9" s="1"/>
  <c r="BO150" i="9"/>
  <c r="BC65" i="9"/>
  <c r="CM65" i="9" s="1"/>
  <c r="AJ175" i="9"/>
  <c r="BT175" i="9" s="1"/>
  <c r="CY175" i="9" s="1"/>
  <c r="AJ121" i="9"/>
  <c r="BT121" i="9" s="1"/>
  <c r="CY121" i="9" s="1"/>
  <c r="BC52" i="9"/>
  <c r="CM52" i="9" s="1"/>
  <c r="BC123" i="9"/>
  <c r="CM123" i="9" s="1"/>
  <c r="AJ68" i="9"/>
  <c r="BT68" i="9" s="1"/>
  <c r="CY68" i="9" s="1"/>
  <c r="AJ126" i="9"/>
  <c r="BT126" i="9" s="1"/>
  <c r="CY126" i="9" s="1"/>
  <c r="BC195" i="9"/>
  <c r="CM195" i="9" s="1"/>
  <c r="AV92" i="9"/>
  <c r="CF92" i="9" s="1"/>
  <c r="DA92" i="9" s="1"/>
  <c r="CA144" i="9"/>
  <c r="BG182" i="9"/>
  <c r="CQ182" i="9" s="1"/>
  <c r="CA179" i="9"/>
  <c r="AD63" i="9"/>
  <c r="BN63" i="9" s="1"/>
  <c r="CX63" i="9" s="1"/>
  <c r="BE32" i="9"/>
  <c r="CO32" i="9" s="1"/>
  <c r="BE157" i="9"/>
  <c r="CO157" i="9" s="1"/>
  <c r="BG144" i="9"/>
  <c r="CQ144" i="9" s="1"/>
  <c r="BG180" i="9"/>
  <c r="CQ180" i="9" s="1"/>
  <c r="AV105" i="9"/>
  <c r="CF105" i="9" s="1"/>
  <c r="DA105" i="9" s="1"/>
  <c r="BF57" i="9"/>
  <c r="CP57" i="9" s="1"/>
  <c r="AJ132" i="9"/>
  <c r="BT132" i="9" s="1"/>
  <c r="CY132" i="9" s="1"/>
  <c r="AV182" i="9"/>
  <c r="CF182" i="9" s="1"/>
  <c r="DA182" i="9" s="1"/>
  <c r="AV167" i="9"/>
  <c r="CF167" i="9" s="1"/>
  <c r="DA167" i="9" s="1"/>
  <c r="AP85" i="9"/>
  <c r="BZ85" i="9" s="1"/>
  <c r="CZ85" i="9" s="1"/>
  <c r="AP146" i="9"/>
  <c r="BZ146" i="9" s="1"/>
  <c r="CZ146" i="9" s="1"/>
  <c r="AD16" i="9"/>
  <c r="BN16" i="9" s="1"/>
  <c r="CX16" i="9" s="1"/>
  <c r="BF10" i="9"/>
  <c r="CP10" i="9" s="1"/>
  <c r="AJ127" i="9"/>
  <c r="BT127" i="9" s="1"/>
  <c r="CY127" i="9" s="1"/>
  <c r="BM144" i="9"/>
  <c r="AP195" i="9"/>
  <c r="BZ195" i="9" s="1"/>
  <c r="CZ195" i="9" s="1"/>
  <c r="BC175" i="9"/>
  <c r="CM175" i="9" s="1"/>
  <c r="AD108" i="9"/>
  <c r="BN108" i="9" s="1"/>
  <c r="CX108" i="9" s="1"/>
  <c r="BD20" i="9"/>
  <c r="CN20" i="9" s="1"/>
  <c r="AJ36" i="9"/>
  <c r="BT36" i="9" s="1"/>
  <c r="CY36" i="9" s="1"/>
  <c r="AD40" i="9"/>
  <c r="BN40" i="9" s="1"/>
  <c r="CX40" i="9" s="1"/>
  <c r="BC130" i="9"/>
  <c r="CM130" i="9" s="1"/>
  <c r="AV14" i="9"/>
  <c r="CF14" i="9" s="1"/>
  <c r="DA14" i="9" s="1"/>
  <c r="BC156" i="9"/>
  <c r="CM156" i="9" s="1"/>
  <c r="AD148" i="9"/>
  <c r="BN148" i="9" s="1"/>
  <c r="CX148" i="9" s="1"/>
  <c r="BC108" i="9"/>
  <c r="CM108" i="9" s="1"/>
  <c r="AJ57" i="9"/>
  <c r="BT57" i="9" s="1"/>
  <c r="CY57" i="9" s="1"/>
  <c r="AJ63" i="9"/>
  <c r="BT63" i="9" s="1"/>
  <c r="CY63" i="9" s="1"/>
  <c r="AD146" i="9"/>
  <c r="BN146" i="9" s="1"/>
  <c r="CX146" i="9" s="1"/>
  <c r="AV13" i="9"/>
  <c r="CF13" i="9" s="1"/>
  <c r="DA13" i="9" s="1"/>
  <c r="AD36" i="9"/>
  <c r="BN36" i="9" s="1"/>
  <c r="CX36" i="9" s="1"/>
  <c r="AP188" i="9"/>
  <c r="BZ188" i="9" s="1"/>
  <c r="CZ188" i="9" s="1"/>
  <c r="BC95" i="9"/>
  <c r="CM95" i="9" s="1"/>
  <c r="BG199" i="9"/>
  <c r="CQ199" i="9" s="1"/>
  <c r="AP166" i="9"/>
  <c r="BZ166" i="9" s="1"/>
  <c r="CZ166" i="9" s="1"/>
  <c r="BC166" i="9"/>
  <c r="CM166" i="9" s="1"/>
  <c r="AV103" i="9"/>
  <c r="CF103" i="9" s="1"/>
  <c r="DA103" i="9" s="1"/>
  <c r="AP172" i="9"/>
  <c r="BZ172" i="9" s="1"/>
  <c r="CZ172" i="9" s="1"/>
  <c r="BD160" i="9"/>
  <c r="CN160" i="9" s="1"/>
  <c r="AJ141" i="9"/>
  <c r="BT141" i="9" s="1"/>
  <c r="CY141" i="9" s="1"/>
  <c r="AD122" i="9"/>
  <c r="BN122" i="9" s="1"/>
  <c r="CX122" i="9" s="1"/>
  <c r="AJ174" i="9"/>
  <c r="BT174" i="9" s="1"/>
  <c r="CY174" i="9" s="1"/>
  <c r="AJ98" i="9"/>
  <c r="BT98" i="9" s="1"/>
  <c r="CY98" i="9" s="1"/>
  <c r="AV135" i="9"/>
  <c r="CF135" i="9" s="1"/>
  <c r="DA135" i="9" s="1"/>
  <c r="AV156" i="9"/>
  <c r="CF156" i="9" s="1"/>
  <c r="DA156" i="9" s="1"/>
  <c r="BE159" i="9"/>
  <c r="CO159" i="9" s="1"/>
  <c r="AJ199" i="9"/>
  <c r="BT199" i="9" s="1"/>
  <c r="CY199" i="9" s="1"/>
  <c r="AD20" i="9"/>
  <c r="BN20" i="9" s="1"/>
  <c r="CX20" i="9" s="1"/>
  <c r="CC104" i="9"/>
  <c r="AV104" i="9"/>
  <c r="CF104" i="9" s="1"/>
  <c r="DA104" i="9" s="1"/>
  <c r="AJ159" i="9"/>
  <c r="BT159" i="9" s="1"/>
  <c r="CY159" i="9" s="1"/>
  <c r="BF172" i="9"/>
  <c r="CP172" i="9" s="1"/>
  <c r="AP132" i="9"/>
  <c r="BZ132" i="9" s="1"/>
  <c r="CZ132" i="9" s="1"/>
  <c r="BD22" i="9"/>
  <c r="CN22" i="9" s="1"/>
  <c r="AJ170" i="9"/>
  <c r="BT170" i="9" s="1"/>
  <c r="CY170" i="9" s="1"/>
  <c r="AV55" i="9"/>
  <c r="CF55" i="9" s="1"/>
  <c r="DA55" i="9" s="1"/>
  <c r="CA55" i="9"/>
  <c r="BU96" i="9"/>
  <c r="AP96" i="9"/>
  <c r="BZ96" i="9" s="1"/>
  <c r="CZ96" i="9" s="1"/>
  <c r="BB165" i="9"/>
  <c r="CL165" i="9" s="1"/>
  <c r="DB165" i="9" s="1"/>
  <c r="BF8" i="9"/>
  <c r="CP8" i="9" s="1"/>
  <c r="BE114" i="9"/>
  <c r="CO114" i="9" s="1"/>
  <c r="BC40" i="9"/>
  <c r="CM40" i="9" s="1"/>
  <c r="AP65" i="9"/>
  <c r="BZ65" i="9" s="1"/>
  <c r="CZ65" i="9" s="1"/>
  <c r="AJ53" i="9"/>
  <c r="BT53" i="9" s="1"/>
  <c r="CY53" i="9" s="1"/>
  <c r="AJ12" i="9"/>
  <c r="BT12" i="9" s="1"/>
  <c r="CY12" i="9" s="1"/>
  <c r="AJ195" i="9"/>
  <c r="BT195" i="9" s="1"/>
  <c r="CY195" i="9" s="1"/>
  <c r="AV32" i="9"/>
  <c r="CF32" i="9" s="1"/>
  <c r="DA32" i="9" s="1"/>
  <c r="BC101" i="9"/>
  <c r="CM101" i="9" s="1"/>
  <c r="AJ83" i="9"/>
  <c r="BT83" i="9" s="1"/>
  <c r="CY83" i="9" s="1"/>
  <c r="BC122" i="9"/>
  <c r="CM122" i="9" s="1"/>
  <c r="AD162" i="9"/>
  <c r="BN162" i="9" s="1"/>
  <c r="CX162" i="9" s="1"/>
  <c r="AJ21" i="9"/>
  <c r="BT21" i="9" s="1"/>
  <c r="CY21" i="9" s="1"/>
  <c r="AJ120" i="9"/>
  <c r="BT120" i="9" s="1"/>
  <c r="CY120" i="9" s="1"/>
  <c r="AJ136" i="9"/>
  <c r="BT136" i="9" s="1"/>
  <c r="CY136" i="9" s="1"/>
  <c r="AD61" i="9"/>
  <c r="BN61" i="9" s="1"/>
  <c r="CX61" i="9" s="1"/>
  <c r="AD100" i="9"/>
  <c r="BN100" i="9" s="1"/>
  <c r="CX100" i="9" s="1"/>
  <c r="BD114" i="9"/>
  <c r="CN114" i="9" s="1"/>
  <c r="BC98" i="9"/>
  <c r="CM98" i="9" s="1"/>
  <c r="BI98" i="9"/>
  <c r="BJ114" i="9"/>
  <c r="BC138" i="9"/>
  <c r="CM138" i="9" s="1"/>
  <c r="BF105" i="9"/>
  <c r="CP105" i="9" s="1"/>
  <c r="BC113" i="9"/>
  <c r="CM113" i="9" s="1"/>
  <c r="BG50" i="9"/>
  <c r="CQ50" i="9" s="1"/>
  <c r="BE178" i="9"/>
  <c r="CO178" i="9" s="1"/>
  <c r="BC21" i="9"/>
  <c r="CM21" i="9" s="1"/>
  <c r="BC57" i="9"/>
  <c r="CM57" i="9" s="1"/>
  <c r="BC31" i="9"/>
  <c r="CM31" i="9" s="1"/>
  <c r="AD130" i="9"/>
  <c r="BN130" i="9" s="1"/>
  <c r="CX130" i="9" s="1"/>
  <c r="BE143" i="9"/>
  <c r="CO143" i="9" s="1"/>
  <c r="BC119" i="9"/>
  <c r="CM119" i="9" s="1"/>
  <c r="BD187" i="9"/>
  <c r="CN187" i="9" s="1"/>
  <c r="BC118" i="9"/>
  <c r="CM118" i="9" s="1"/>
  <c r="BD145" i="9"/>
  <c r="CN145" i="9" s="1"/>
  <c r="BD130" i="9"/>
  <c r="CN130" i="9" s="1"/>
  <c r="BF136" i="9"/>
  <c r="CP136" i="9" s="1"/>
  <c r="BE123" i="9"/>
  <c r="CO123" i="9" s="1"/>
  <c r="BC33" i="9"/>
  <c r="CM33" i="9" s="1"/>
  <c r="AD165" i="9"/>
  <c r="BN165" i="9" s="1"/>
  <c r="CX165" i="9" s="1"/>
  <c r="AD198" i="9"/>
  <c r="BN198" i="9" s="1"/>
  <c r="CX198" i="9" s="1"/>
  <c r="AJ79" i="9"/>
  <c r="BT79" i="9" s="1"/>
  <c r="CY79" i="9" s="1"/>
  <c r="BD33" i="9"/>
  <c r="CN33" i="9" s="1"/>
  <c r="BC174" i="9"/>
  <c r="CM174" i="9" s="1"/>
  <c r="CE53" i="9"/>
  <c r="AV53" i="9"/>
  <c r="CF53" i="9" s="1"/>
  <c r="DA53" i="9" s="1"/>
  <c r="CC129" i="9"/>
  <c r="BE129" i="9"/>
  <c r="CO129" i="9" s="1"/>
  <c r="AJ116" i="9"/>
  <c r="BT116" i="9" s="1"/>
  <c r="CY116" i="9" s="1"/>
  <c r="AD119" i="9"/>
  <c r="BN119" i="9" s="1"/>
  <c r="CX119" i="9" s="1"/>
  <c r="BF9" i="9"/>
  <c r="CP9" i="9" s="1"/>
  <c r="AJ20" i="9"/>
  <c r="BT20" i="9" s="1"/>
  <c r="CY20" i="9" s="1"/>
  <c r="BO20" i="9"/>
  <c r="BJ136" i="9"/>
  <c r="BD136" i="9"/>
  <c r="CN136" i="9" s="1"/>
  <c r="CD122" i="9"/>
  <c r="BF122" i="9"/>
  <c r="CP122" i="9" s="1"/>
  <c r="AV122" i="9"/>
  <c r="CF122" i="9" s="1"/>
  <c r="DA122" i="9" s="1"/>
  <c r="AD95" i="9"/>
  <c r="BN95" i="9" s="1"/>
  <c r="CX95" i="9" s="1"/>
  <c r="BC199" i="9"/>
  <c r="CM199" i="9" s="1"/>
  <c r="AJ190" i="9"/>
  <c r="BT190" i="9" s="1"/>
  <c r="CY190" i="9" s="1"/>
  <c r="BG183" i="9"/>
  <c r="CQ183" i="9" s="1"/>
  <c r="BD113" i="9"/>
  <c r="CN113" i="9" s="1"/>
  <c r="BC153" i="9"/>
  <c r="CM153" i="9" s="1"/>
  <c r="AD136" i="9"/>
  <c r="BN136" i="9" s="1"/>
  <c r="CX136" i="9" s="1"/>
  <c r="CI146" i="9"/>
  <c r="BE146" i="9"/>
  <c r="CO146" i="9" s="1"/>
  <c r="BO55" i="9"/>
  <c r="BC55" i="9"/>
  <c r="CM55" i="9" s="1"/>
  <c r="BM138" i="9"/>
  <c r="AD138" i="9"/>
  <c r="BN138" i="9" s="1"/>
  <c r="CX138" i="9" s="1"/>
  <c r="BG138" i="9"/>
  <c r="CQ138" i="9" s="1"/>
  <c r="BE68" i="9"/>
  <c r="CO68" i="9" s="1"/>
  <c r="BC193" i="9"/>
  <c r="CM193" i="9" s="1"/>
  <c r="AV181" i="9"/>
  <c r="CF181" i="9" s="1"/>
  <c r="DA181" i="9" s="1"/>
  <c r="BG190" i="9"/>
  <c r="CQ190" i="9" s="1"/>
  <c r="BQ80" i="9"/>
  <c r="AJ80" i="9"/>
  <c r="BT80" i="9" s="1"/>
  <c r="CY80" i="9" s="1"/>
  <c r="CA178" i="9"/>
  <c r="AV178" i="9"/>
  <c r="CF178" i="9" s="1"/>
  <c r="DA178" i="9" s="1"/>
  <c r="CD54" i="9"/>
  <c r="AV54" i="9"/>
  <c r="CF54" i="9" s="1"/>
  <c r="DA54" i="9" s="1"/>
  <c r="BU128" i="9"/>
  <c r="AP128" i="9"/>
  <c r="BZ128" i="9" s="1"/>
  <c r="CZ128" i="9" s="1"/>
  <c r="BM133" i="9"/>
  <c r="BG133" i="9"/>
  <c r="CQ133" i="9" s="1"/>
  <c r="AD193" i="9"/>
  <c r="BN193" i="9" s="1"/>
  <c r="CX193" i="9" s="1"/>
  <c r="BD191" i="9"/>
  <c r="CN191" i="9" s="1"/>
  <c r="AV183" i="9"/>
  <c r="CF183" i="9" s="1"/>
  <c r="DA183" i="9" s="1"/>
  <c r="AV187" i="9"/>
  <c r="CF187" i="9" s="1"/>
  <c r="DA187" i="9" s="1"/>
  <c r="BX54" i="9"/>
  <c r="AP54" i="9"/>
  <c r="BZ54" i="9" s="1"/>
  <c r="CZ54" i="9" s="1"/>
  <c r="CA109" i="9"/>
  <c r="AV109" i="9"/>
  <c r="CF109" i="9" s="1"/>
  <c r="DA109" i="9" s="1"/>
  <c r="BI174" i="9"/>
  <c r="AD174" i="9"/>
  <c r="BN174" i="9" s="1"/>
  <c r="CX174" i="9" s="1"/>
  <c r="CD106" i="9"/>
  <c r="AV106" i="9"/>
  <c r="CF106" i="9" s="1"/>
  <c r="DA106" i="9" s="1"/>
  <c r="BF106" i="9"/>
  <c r="CP106" i="9" s="1"/>
  <c r="BC109" i="9"/>
  <c r="CM109" i="9" s="1"/>
  <c r="BC114" i="9"/>
  <c r="CM114" i="9" s="1"/>
  <c r="AP50" i="9"/>
  <c r="BZ50" i="9" s="1"/>
  <c r="CZ50" i="9" s="1"/>
  <c r="AP153" i="9"/>
  <c r="BZ153" i="9" s="1"/>
  <c r="CZ153" i="9" s="1"/>
  <c r="BC85" i="9"/>
  <c r="CM85" i="9" s="1"/>
  <c r="BF104" i="9"/>
  <c r="CP104" i="9" s="1"/>
  <c r="BQ72" i="9"/>
  <c r="AJ72" i="9"/>
  <c r="BT72" i="9" s="1"/>
  <c r="CY72" i="9" s="1"/>
  <c r="BI157" i="9"/>
  <c r="AD157" i="9"/>
  <c r="BN157" i="9" s="1"/>
  <c r="CX157" i="9" s="1"/>
  <c r="AJ97" i="9"/>
  <c r="BT97" i="9" s="1"/>
  <c r="CY97" i="9" s="1"/>
  <c r="AJ196" i="9"/>
  <c r="BT196" i="9" s="1"/>
  <c r="CY196" i="9" s="1"/>
  <c r="AV112" i="9"/>
  <c r="CF112" i="9" s="1"/>
  <c r="DA112" i="9" s="1"/>
  <c r="AD114" i="9"/>
  <c r="BN114" i="9" s="1"/>
  <c r="CX114" i="9" s="1"/>
  <c r="BY127" i="9"/>
  <c r="BG127" i="9"/>
  <c r="CQ127" i="9" s="1"/>
  <c r="BP131" i="9"/>
  <c r="AJ131" i="9"/>
  <c r="BT131" i="9" s="1"/>
  <c r="CY131" i="9" s="1"/>
  <c r="BQ52" i="9"/>
  <c r="AJ52" i="9"/>
  <c r="BT52" i="9" s="1"/>
  <c r="CY52" i="9" s="1"/>
  <c r="BC121" i="9"/>
  <c r="CM121" i="9" s="1"/>
  <c r="BI121" i="9"/>
  <c r="CE130" i="9"/>
  <c r="BG130" i="9"/>
  <c r="CQ130" i="9" s="1"/>
  <c r="BS99" i="9"/>
  <c r="AJ99" i="9"/>
  <c r="BT99" i="9" s="1"/>
  <c r="CY99" i="9" s="1"/>
  <c r="CI100" i="9"/>
  <c r="BE100" i="9"/>
  <c r="CO100" i="9" s="1"/>
  <c r="BP44" i="9"/>
  <c r="AJ44" i="9"/>
  <c r="BT44" i="9" s="1"/>
  <c r="CY44" i="9" s="1"/>
  <c r="BY18" i="9"/>
  <c r="BG18" i="9"/>
  <c r="CQ18" i="9" s="1"/>
  <c r="BU137" i="9"/>
  <c r="BC137" i="9"/>
  <c r="CM137" i="9" s="1"/>
  <c r="AD199" i="9"/>
  <c r="BN199" i="9" s="1"/>
  <c r="CX199" i="9" s="1"/>
  <c r="BD148" i="9"/>
  <c r="CN148" i="9" s="1"/>
  <c r="BG111" i="9"/>
  <c r="CQ111" i="9" s="1"/>
  <c r="BF112" i="9"/>
  <c r="CP112" i="9" s="1"/>
  <c r="BC20" i="9"/>
  <c r="CM20" i="9" s="1"/>
  <c r="AP183" i="9"/>
  <c r="BZ183" i="9" s="1"/>
  <c r="CZ183" i="9" s="1"/>
  <c r="AJ150" i="9"/>
  <c r="BT150" i="9" s="1"/>
  <c r="CY150" i="9" s="1"/>
  <c r="AV172" i="9"/>
  <c r="CF172" i="9" s="1"/>
  <c r="DA172" i="9" s="1"/>
  <c r="BB42" i="9"/>
  <c r="CL42" i="9" s="1"/>
  <c r="DB42" i="9" s="1"/>
  <c r="AV129" i="9"/>
  <c r="CF129" i="9" s="1"/>
  <c r="DA129" i="9" s="1"/>
  <c r="BY179" i="9"/>
  <c r="AP179" i="9"/>
  <c r="BZ179" i="9" s="1"/>
  <c r="CZ179" i="9" s="1"/>
  <c r="BY166" i="9"/>
  <c r="BG166" i="9"/>
  <c r="CQ166" i="9" s="1"/>
  <c r="BS152" i="9"/>
  <c r="AJ152" i="9"/>
  <c r="BT152" i="9" s="1"/>
  <c r="CY152" i="9" s="1"/>
  <c r="BP40" i="9"/>
  <c r="AJ40" i="9"/>
  <c r="BT40" i="9" s="1"/>
  <c r="CY40" i="9" s="1"/>
  <c r="BY86" i="9"/>
  <c r="BG86" i="9"/>
  <c r="CQ86" i="9" s="1"/>
  <c r="BC83" i="9"/>
  <c r="CM83" i="9" s="1"/>
  <c r="BI83" i="9"/>
  <c r="CC166" i="9"/>
  <c r="AV166" i="9"/>
  <c r="CF166" i="9" s="1"/>
  <c r="DA166" i="9" s="1"/>
  <c r="BQ101" i="9"/>
  <c r="AJ101" i="9"/>
  <c r="BT101" i="9" s="1"/>
  <c r="CY101" i="9" s="1"/>
  <c r="BS41" i="9"/>
  <c r="AJ41" i="9"/>
  <c r="BT41" i="9" s="1"/>
  <c r="CY41" i="9" s="1"/>
  <c r="AD22" i="9"/>
  <c r="BN22" i="9" s="1"/>
  <c r="CX22" i="9" s="1"/>
  <c r="BK22" i="9"/>
  <c r="BP122" i="9"/>
  <c r="BD122" i="9"/>
  <c r="CN122" i="9" s="1"/>
  <c r="AJ122" i="9"/>
  <c r="BT122" i="9" s="1"/>
  <c r="CY122" i="9" s="1"/>
  <c r="BL130" i="9"/>
  <c r="BF130" i="9"/>
  <c r="CP130" i="9" s="1"/>
  <c r="CI135" i="9"/>
  <c r="BE135" i="9"/>
  <c r="CO135" i="9" s="1"/>
  <c r="CI53" i="9"/>
  <c r="BE53" i="9"/>
  <c r="CO53" i="9" s="1"/>
  <c r="CC83" i="9"/>
  <c r="AV83" i="9"/>
  <c r="CF83" i="9" s="1"/>
  <c r="DA83" i="9" s="1"/>
  <c r="BS125" i="9"/>
  <c r="AJ125" i="9"/>
  <c r="BT125" i="9" s="1"/>
  <c r="CY125" i="9" s="1"/>
  <c r="BC64" i="9"/>
  <c r="CM64" i="9" s="1"/>
  <c r="AD33" i="9"/>
  <c r="BN33" i="9" s="1"/>
  <c r="CX33" i="9" s="1"/>
  <c r="AD152" i="9"/>
  <c r="BN152" i="9" s="1"/>
  <c r="CX152" i="9" s="1"/>
  <c r="BD30" i="9"/>
  <c r="CN30" i="9" s="1"/>
  <c r="BC152" i="9"/>
  <c r="CM152" i="9" s="1"/>
  <c r="BC146" i="9"/>
  <c r="CM146" i="9" s="1"/>
  <c r="AD147" i="9"/>
  <c r="BN147" i="9" s="1"/>
  <c r="CX147" i="9" s="1"/>
  <c r="BC16" i="9"/>
  <c r="CM16" i="9" s="1"/>
  <c r="BC38" i="9"/>
  <c r="CM38" i="9" s="1"/>
  <c r="BF165" i="9"/>
  <c r="CP165" i="9" s="1"/>
  <c r="AD164" i="9"/>
  <c r="BN164" i="9" s="1"/>
  <c r="CX164" i="9" s="1"/>
  <c r="AD83" i="9"/>
  <c r="BN83" i="9" s="1"/>
  <c r="CX83" i="9" s="1"/>
  <c r="BG121" i="9"/>
  <c r="CQ121" i="9" s="1"/>
  <c r="BG52" i="9"/>
  <c r="CQ52" i="9" s="1"/>
  <c r="AD141" i="9"/>
  <c r="BN141" i="9" s="1"/>
  <c r="CX141" i="9" s="1"/>
  <c r="BC12" i="9"/>
  <c r="CM12" i="9" s="1"/>
  <c r="AD85" i="9"/>
  <c r="BN85" i="9" s="1"/>
  <c r="CX85" i="9" s="1"/>
  <c r="BF193" i="9"/>
  <c r="CP193" i="9" s="1"/>
  <c r="AP151" i="9"/>
  <c r="BZ151" i="9" s="1"/>
  <c r="CZ151" i="9" s="1"/>
  <c r="BD57" i="9"/>
  <c r="CN57" i="9" s="1"/>
  <c r="AD65" i="9"/>
  <c r="BN65" i="9" s="1"/>
  <c r="CX65" i="9" s="1"/>
  <c r="BB146" i="9"/>
  <c r="CL146" i="9" s="1"/>
  <c r="DB146" i="9" s="1"/>
  <c r="BE140" i="9"/>
  <c r="CO140" i="9" s="1"/>
  <c r="AD57" i="9"/>
  <c r="BN57" i="9" s="1"/>
  <c r="CX57" i="9" s="1"/>
  <c r="AJ110" i="9"/>
  <c r="BT110" i="9" s="1"/>
  <c r="CY110" i="9" s="1"/>
  <c r="AV110" i="9"/>
  <c r="CF110" i="9" s="1"/>
  <c r="DA110" i="9" s="1"/>
  <c r="AD101" i="9"/>
  <c r="BN101" i="9" s="1"/>
  <c r="CX101" i="9" s="1"/>
  <c r="AD153" i="9"/>
  <c r="BN153" i="9" s="1"/>
  <c r="CX153" i="9" s="1"/>
  <c r="BB157" i="9"/>
  <c r="CL157" i="9" s="1"/>
  <c r="DB157" i="9" s="1"/>
  <c r="BC165" i="9"/>
  <c r="CM165" i="9" s="1"/>
  <c r="AP174" i="9"/>
  <c r="BZ174" i="9" s="1"/>
  <c r="CZ174" i="9" s="1"/>
  <c r="AJ197" i="9"/>
  <c r="BT197" i="9" s="1"/>
  <c r="CY197" i="9" s="1"/>
  <c r="AJ160" i="9"/>
  <c r="BT160" i="9" s="1"/>
  <c r="CY160" i="9" s="1"/>
  <c r="AJ194" i="9"/>
  <c r="BT194" i="9" s="1"/>
  <c r="CY194" i="9" s="1"/>
  <c r="AV111" i="9"/>
  <c r="CF111" i="9" s="1"/>
  <c r="DA111" i="9" s="1"/>
  <c r="AV193" i="9"/>
  <c r="CF193" i="9" s="1"/>
  <c r="DA193" i="9" s="1"/>
  <c r="AJ135" i="9"/>
  <c r="BT135" i="9" s="1"/>
  <c r="CY135" i="9" s="1"/>
  <c r="AD137" i="9"/>
  <c r="BN137" i="9" s="1"/>
  <c r="CX137" i="9" s="1"/>
  <c r="AJ51" i="9"/>
  <c r="BT51" i="9" s="1"/>
  <c r="CY51" i="9" s="1"/>
  <c r="BG21" i="9"/>
  <c r="CQ21" i="9" s="1"/>
  <c r="AJ154" i="9"/>
  <c r="BT154" i="9" s="1"/>
  <c r="CY154" i="9" s="1"/>
  <c r="AP122" i="9"/>
  <c r="BZ122" i="9" s="1"/>
  <c r="CZ122" i="9" s="1"/>
  <c r="AP141" i="9"/>
  <c r="BZ141" i="9" s="1"/>
  <c r="CZ141" i="9" s="1"/>
  <c r="BC96" i="9"/>
  <c r="CM96" i="9" s="1"/>
  <c r="BI96" i="9"/>
  <c r="AV68" i="9"/>
  <c r="CF68" i="9" s="1"/>
  <c r="DA68" i="9" s="1"/>
  <c r="AJ172" i="9"/>
  <c r="BT172" i="9" s="1"/>
  <c r="CY172" i="9" s="1"/>
  <c r="BE66" i="9"/>
  <c r="CO66" i="9" s="1"/>
  <c r="AV41" i="9"/>
  <c r="CF41" i="9" s="1"/>
  <c r="DA41" i="9" s="1"/>
  <c r="AJ66" i="9"/>
  <c r="BT66" i="9" s="1"/>
  <c r="CY66" i="9" s="1"/>
  <c r="BF123" i="9"/>
  <c r="CP123" i="9" s="1"/>
  <c r="AP33" i="9"/>
  <c r="BZ33" i="9" s="1"/>
  <c r="CZ33" i="9" s="1"/>
  <c r="BG96" i="9"/>
  <c r="CQ96" i="9" s="1"/>
  <c r="AJ100" i="9"/>
  <c r="BT100" i="9" s="1"/>
  <c r="CY100" i="9" s="1"/>
  <c r="AD38" i="9"/>
  <c r="BN38" i="9" s="1"/>
  <c r="CX38" i="9" s="1"/>
  <c r="BB168" i="9"/>
  <c r="CL168" i="9" s="1"/>
  <c r="DB168" i="9" s="1"/>
  <c r="AP149" i="9"/>
  <c r="BZ149" i="9" s="1"/>
  <c r="CZ149" i="9" s="1"/>
  <c r="BG177" i="9"/>
  <c r="CQ177" i="9" s="1"/>
  <c r="BF115" i="9"/>
  <c r="CP115" i="9" s="1"/>
  <c r="BC63" i="9"/>
  <c r="CM63" i="9" s="1"/>
  <c r="BF138" i="9"/>
  <c r="CP138" i="9" s="1"/>
  <c r="BG23" i="9"/>
  <c r="CQ23" i="9" s="1"/>
  <c r="AP147" i="9"/>
  <c r="BZ147" i="9" s="1"/>
  <c r="CZ147" i="9" s="1"/>
  <c r="BE139" i="9"/>
  <c r="CO139" i="9" s="1"/>
  <c r="BG13" i="9"/>
  <c r="CQ13" i="9" s="1"/>
  <c r="AV191" i="9"/>
  <c r="CF191" i="9" s="1"/>
  <c r="DA191" i="9" s="1"/>
  <c r="AV133" i="9"/>
  <c r="CF133" i="9" s="1"/>
  <c r="DA133" i="9" s="1"/>
  <c r="CB133" i="9"/>
  <c r="AD168" i="9"/>
  <c r="BN168" i="9" s="1"/>
  <c r="CX168" i="9" s="1"/>
  <c r="BD172" i="9"/>
  <c r="CN172" i="9" s="1"/>
  <c r="BG157" i="9"/>
  <c r="CQ157" i="9" s="1"/>
  <c r="AJ38" i="9"/>
  <c r="BT38" i="9" s="1"/>
  <c r="CY38" i="9" s="1"/>
  <c r="AJ193" i="9"/>
  <c r="BT193" i="9" s="1"/>
  <c r="CY193" i="9" s="1"/>
  <c r="BD179" i="9"/>
  <c r="CN179" i="9" s="1"/>
  <c r="AP167" i="9"/>
  <c r="BZ167" i="9" s="1"/>
  <c r="CZ167" i="9" s="1"/>
  <c r="BD131" i="9"/>
  <c r="CN131" i="9" s="1"/>
  <c r="AV140" i="9"/>
  <c r="CF140" i="9" s="1"/>
  <c r="DA140" i="9" s="1"/>
  <c r="AJ33" i="9"/>
  <c r="BT33" i="9" s="1"/>
  <c r="CY33" i="9" s="1"/>
  <c r="BF22" i="9"/>
  <c r="CP22" i="9" s="1"/>
  <c r="AV96" i="9"/>
  <c r="CF96" i="9" s="1"/>
  <c r="DA96" i="9" s="1"/>
  <c r="AV50" i="9"/>
  <c r="CF50" i="9" s="1"/>
  <c r="DA50" i="9" s="1"/>
  <c r="CA50" i="9"/>
  <c r="AD12" i="9"/>
  <c r="BN12" i="9" s="1"/>
  <c r="CX12" i="9" s="1"/>
  <c r="BI12" i="9"/>
  <c r="BG8" i="9"/>
  <c r="CQ8" i="9" s="1"/>
  <c r="AP37" i="9"/>
  <c r="BZ37" i="9" s="1"/>
  <c r="CZ37" i="9" s="1"/>
  <c r="BE145" i="9"/>
  <c r="CO145" i="9" s="1"/>
  <c r="BD127" i="9"/>
  <c r="CN127" i="9" s="1"/>
  <c r="BG105" i="9"/>
  <c r="CQ105" i="9" s="1"/>
  <c r="BB141" i="9"/>
  <c r="CL141" i="9" s="1"/>
  <c r="DB141" i="9" s="1"/>
  <c r="AP56" i="9"/>
  <c r="BZ56" i="9" s="1"/>
  <c r="CZ56" i="9" s="1"/>
  <c r="AD47" i="9"/>
  <c r="BN47" i="9" s="1"/>
  <c r="CX47" i="9" s="1"/>
  <c r="AV188" i="9"/>
  <c r="CF188" i="9" s="1"/>
  <c r="DA188" i="9" s="1"/>
  <c r="AJ177" i="9"/>
  <c r="BT177" i="9" s="1"/>
  <c r="CY177" i="9" s="1"/>
  <c r="BF118" i="9"/>
  <c r="CP118" i="9" s="1"/>
  <c r="BD63" i="9"/>
  <c r="CN63" i="9" s="1"/>
  <c r="BC162" i="9"/>
  <c r="CM162" i="9" s="1"/>
  <c r="CA127" i="9"/>
  <c r="AV127" i="9"/>
  <c r="CF127" i="9" s="1"/>
  <c r="DA127" i="9" s="1"/>
  <c r="AP196" i="9"/>
  <c r="BZ196" i="9" s="1"/>
  <c r="CZ196" i="9" s="1"/>
  <c r="BD11" i="9"/>
  <c r="CN11" i="9" s="1"/>
  <c r="AJ86" i="9"/>
  <c r="BT86" i="9" s="1"/>
  <c r="CY86" i="9" s="1"/>
  <c r="AV44" i="9"/>
  <c r="CF44" i="9" s="1"/>
  <c r="DA44" i="9" s="1"/>
  <c r="AP55" i="9"/>
  <c r="BZ55" i="9" s="1"/>
  <c r="CZ55" i="9" s="1"/>
  <c r="BC141" i="9"/>
  <c r="CM141" i="9" s="1"/>
  <c r="BL197" i="9"/>
  <c r="BF197" i="9"/>
  <c r="CP197" i="9" s="1"/>
  <c r="BD184" i="9"/>
  <c r="CN184" i="9" s="1"/>
  <c r="BJ184" i="9"/>
  <c r="CG183" i="9"/>
  <c r="BB183" i="9"/>
  <c r="CL183" i="9" s="1"/>
  <c r="DB183" i="9" s="1"/>
  <c r="AJ11" i="9"/>
  <c r="BT11" i="9" s="1"/>
  <c r="CY11" i="9" s="1"/>
  <c r="BO11" i="9"/>
  <c r="BU86" i="9"/>
  <c r="AP86" i="9"/>
  <c r="BZ86" i="9" s="1"/>
  <c r="CZ86" i="9" s="1"/>
  <c r="BK107" i="9"/>
  <c r="BE107" i="9"/>
  <c r="CO107" i="9" s="1"/>
  <c r="BF16" i="9"/>
  <c r="CP16" i="9" s="1"/>
  <c r="BO192" i="9"/>
  <c r="AJ192" i="9"/>
  <c r="BT192" i="9" s="1"/>
  <c r="CY192" i="9" s="1"/>
  <c r="BJ156" i="9"/>
  <c r="BD156" i="9"/>
  <c r="CN156" i="9" s="1"/>
  <c r="BK192" i="9"/>
  <c r="BE192" i="9"/>
  <c r="CO192" i="9" s="1"/>
  <c r="AP36" i="9"/>
  <c r="BZ36" i="9" s="1"/>
  <c r="CZ36" i="9" s="1"/>
  <c r="AJ165" i="9"/>
  <c r="BT165" i="9" s="1"/>
  <c r="CY165" i="9" s="1"/>
  <c r="BP165" i="9"/>
  <c r="BG36" i="9"/>
  <c r="CQ36" i="9" s="1"/>
  <c r="AP168" i="9"/>
  <c r="BZ168" i="9" s="1"/>
  <c r="CZ168" i="9" s="1"/>
  <c r="BL168" i="9"/>
  <c r="BF168" i="9"/>
  <c r="CP168" i="9" s="1"/>
  <c r="BD159" i="9"/>
  <c r="CN159" i="9" s="1"/>
  <c r="BE98" i="9"/>
  <c r="CO98" i="9" s="1"/>
  <c r="BK98" i="9"/>
  <c r="CA148" i="9"/>
  <c r="AV148" i="9"/>
  <c r="CF148" i="9" s="1"/>
  <c r="DA148" i="9" s="1"/>
  <c r="BE160" i="9"/>
  <c r="CO160" i="9" s="1"/>
  <c r="BG148" i="9"/>
  <c r="CQ148" i="9" s="1"/>
  <c r="BC97" i="9"/>
  <c r="AD97" i="9"/>
  <c r="BN97" i="9" s="1"/>
  <c r="CX97" i="9" s="1"/>
  <c r="BI97" i="9"/>
  <c r="BD56" i="9"/>
  <c r="CN56" i="9" s="1"/>
  <c r="AJ109" i="9"/>
  <c r="BT109" i="9" s="1"/>
  <c r="CY109" i="9" s="1"/>
  <c r="BF143" i="9"/>
  <c r="CP143" i="9" s="1"/>
  <c r="BL143" i="9"/>
  <c r="BK163" i="9"/>
  <c r="BE163" i="9"/>
  <c r="CO163" i="9" s="1"/>
  <c r="AP110" i="9"/>
  <c r="BZ110" i="9" s="1"/>
  <c r="CZ110" i="9" s="1"/>
  <c r="BC149" i="9"/>
  <c r="AD149" i="9"/>
  <c r="BN149" i="9" s="1"/>
  <c r="CX149" i="9" s="1"/>
  <c r="BI149" i="9"/>
  <c r="AP193" i="9"/>
  <c r="BZ193" i="9" s="1"/>
  <c r="CZ193" i="9" s="1"/>
  <c r="BE184" i="9"/>
  <c r="CO184" i="9" s="1"/>
  <c r="BK184" i="9"/>
  <c r="BG195" i="9"/>
  <c r="CQ195" i="9" s="1"/>
  <c r="BF189" i="9"/>
  <c r="CP189" i="9" s="1"/>
  <c r="BI190" i="9"/>
  <c r="BC190" i="9"/>
  <c r="AD190" i="9"/>
  <c r="BN190" i="9" s="1"/>
  <c r="CX190" i="9" s="1"/>
  <c r="BX113" i="9"/>
  <c r="BF113" i="9"/>
  <c r="CP113" i="9" s="1"/>
  <c r="AP113" i="9"/>
  <c r="BZ113" i="9" s="1"/>
  <c r="CZ113" i="9" s="1"/>
  <c r="BK113" i="9"/>
  <c r="BE113" i="9"/>
  <c r="CO113" i="9" s="1"/>
  <c r="AJ188" i="9"/>
  <c r="BT188" i="9" s="1"/>
  <c r="CY188" i="9" s="1"/>
  <c r="BF185" i="9"/>
  <c r="CP185" i="9" s="1"/>
  <c r="BL185" i="9"/>
  <c r="BJ50" i="9"/>
  <c r="BD50" i="9"/>
  <c r="CN50" i="9" s="1"/>
  <c r="BG193" i="9"/>
  <c r="CQ193" i="9" s="1"/>
  <c r="BM193" i="9"/>
  <c r="CG20" i="9"/>
  <c r="BB20" i="9"/>
  <c r="CL20" i="9" s="1"/>
  <c r="DB20" i="9" s="1"/>
  <c r="BI188" i="9"/>
  <c r="AD188" i="9"/>
  <c r="BN188" i="9" s="1"/>
  <c r="CX188" i="9" s="1"/>
  <c r="BC188" i="9"/>
  <c r="BB193" i="9"/>
  <c r="CL193" i="9" s="1"/>
  <c r="DB193" i="9" s="1"/>
  <c r="BL183" i="9"/>
  <c r="BF183" i="9"/>
  <c r="CP183" i="9" s="1"/>
  <c r="BV116" i="9"/>
  <c r="BD116" i="9"/>
  <c r="CN116" i="9" s="1"/>
  <c r="BL51" i="9"/>
  <c r="BF51" i="9"/>
  <c r="CP51" i="9" s="1"/>
  <c r="BF114" i="9"/>
  <c r="CP114" i="9" s="1"/>
  <c r="BO173" i="9"/>
  <c r="AJ173" i="9"/>
  <c r="BT173" i="9" s="1"/>
  <c r="CY173" i="9" s="1"/>
  <c r="AV150" i="9"/>
  <c r="CF150" i="9" s="1"/>
  <c r="DA150" i="9" s="1"/>
  <c r="AJ50" i="9"/>
  <c r="BT50" i="9" s="1"/>
  <c r="CY50" i="9" s="1"/>
  <c r="BL180" i="9"/>
  <c r="BF180" i="9"/>
  <c r="CP180" i="9" s="1"/>
  <c r="BI51" i="9"/>
  <c r="AD51" i="9"/>
  <c r="BN51" i="9" s="1"/>
  <c r="CX51" i="9" s="1"/>
  <c r="BC51" i="9"/>
  <c r="BI177" i="9"/>
  <c r="AD177" i="9"/>
  <c r="BN177" i="9" s="1"/>
  <c r="CX177" i="9" s="1"/>
  <c r="BC177" i="9"/>
  <c r="BB150" i="9"/>
  <c r="CL150" i="9" s="1"/>
  <c r="DB150" i="9" s="1"/>
  <c r="BE116" i="9"/>
  <c r="CO116" i="9" s="1"/>
  <c r="BL170" i="9"/>
  <c r="BF170" i="9"/>
  <c r="CP170" i="9" s="1"/>
  <c r="AP185" i="9"/>
  <c r="BZ185" i="9" s="1"/>
  <c r="CZ185" i="9" s="1"/>
  <c r="BD31" i="9"/>
  <c r="CN31" i="9" s="1"/>
  <c r="BJ31" i="9"/>
  <c r="AJ119" i="9"/>
  <c r="BT119" i="9" s="1"/>
  <c r="CY119" i="9" s="1"/>
  <c r="AV154" i="9"/>
  <c r="CF154" i="9" s="1"/>
  <c r="DA154" i="9" s="1"/>
  <c r="CA154" i="9"/>
  <c r="BB151" i="9"/>
  <c r="CL151" i="9" s="1"/>
  <c r="DB151" i="9" s="1"/>
  <c r="CG151" i="9"/>
  <c r="AP31" i="9"/>
  <c r="BZ31" i="9" s="1"/>
  <c r="CZ31" i="9" s="1"/>
  <c r="AD31" i="9"/>
  <c r="BN31" i="9" s="1"/>
  <c r="CX31" i="9" s="1"/>
  <c r="AJ151" i="9"/>
  <c r="BT151" i="9" s="1"/>
  <c r="CY151" i="9" s="1"/>
  <c r="BG171" i="9"/>
  <c r="CQ171" i="9" s="1"/>
  <c r="BB154" i="9"/>
  <c r="CL154" i="9" s="1"/>
  <c r="DB154" i="9" s="1"/>
  <c r="AJ31" i="9"/>
  <c r="BT31" i="9" s="1"/>
  <c r="CY31" i="9" s="1"/>
  <c r="BG151" i="9"/>
  <c r="CQ151" i="9" s="1"/>
  <c r="BB30" i="9"/>
  <c r="CL30" i="9" s="1"/>
  <c r="DB30" i="9" s="1"/>
  <c r="AJ171" i="9"/>
  <c r="BT171" i="9" s="1"/>
  <c r="CY171" i="9" s="1"/>
  <c r="BO171" i="9"/>
  <c r="BU66" i="9"/>
  <c r="AP66" i="9"/>
  <c r="BZ66" i="9" s="1"/>
  <c r="CZ66" i="9" s="1"/>
  <c r="BU10" i="9"/>
  <c r="AP10" i="9"/>
  <c r="BZ10" i="9" s="1"/>
  <c r="CZ10" i="9" s="1"/>
  <c r="BU11" i="9"/>
  <c r="AP11" i="9"/>
  <c r="BZ11" i="9" s="1"/>
  <c r="CZ11" i="9" s="1"/>
  <c r="BB101" i="9"/>
  <c r="CL101" i="9" s="1"/>
  <c r="DB101" i="9" s="1"/>
  <c r="AV10" i="9"/>
  <c r="CF10" i="9" s="1"/>
  <c r="DA10" i="9" s="1"/>
  <c r="AP9" i="9"/>
  <c r="BZ9" i="9" s="1"/>
  <c r="CZ9" i="9" s="1"/>
  <c r="AV153" i="9"/>
  <c r="CF153" i="9" s="1"/>
  <c r="DA153" i="9" s="1"/>
  <c r="BL32" i="9"/>
  <c r="BF32" i="9"/>
  <c r="CP32" i="9" s="1"/>
  <c r="BU92" i="9"/>
  <c r="AP92" i="9"/>
  <c r="BZ92" i="9" s="1"/>
  <c r="CZ92" i="9" s="1"/>
  <c r="CG133" i="9"/>
  <c r="BB133" i="9"/>
  <c r="CL133" i="9" s="1"/>
  <c r="DB133" i="9" s="1"/>
  <c r="AJ169" i="9"/>
  <c r="BT169" i="9" s="1"/>
  <c r="CY169" i="9" s="1"/>
  <c r="BG66" i="9"/>
  <c r="CQ66" i="9" s="1"/>
  <c r="BB134" i="9"/>
  <c r="CL134" i="9" s="1"/>
  <c r="DB134" i="9" s="1"/>
  <c r="CH134" i="9"/>
  <c r="AV66" i="9"/>
  <c r="CF66" i="9" s="1"/>
  <c r="DA66" i="9" s="1"/>
  <c r="CA123" i="9"/>
  <c r="AV123" i="9"/>
  <c r="CF123" i="9" s="1"/>
  <c r="DA123" i="9" s="1"/>
  <c r="BI131" i="9"/>
  <c r="AD131" i="9"/>
  <c r="BN131" i="9" s="1"/>
  <c r="CX131" i="9" s="1"/>
  <c r="BC131" i="9"/>
  <c r="AP124" i="9"/>
  <c r="BZ124" i="9" s="1"/>
  <c r="CZ124" i="9" s="1"/>
  <c r="BI128" i="9"/>
  <c r="AD128" i="9"/>
  <c r="BN128" i="9" s="1"/>
  <c r="CX128" i="9" s="1"/>
  <c r="BC128" i="9"/>
  <c r="BB147" i="9"/>
  <c r="CL147" i="9" s="1"/>
  <c r="DB147" i="9" s="1"/>
  <c r="CG147" i="9"/>
  <c r="BC147" i="9"/>
  <c r="AV124" i="9"/>
  <c r="CF124" i="9" s="1"/>
  <c r="DA124" i="9" s="1"/>
  <c r="AP130" i="9"/>
  <c r="BZ130" i="9" s="1"/>
  <c r="CZ130" i="9" s="1"/>
  <c r="BB83" i="9"/>
  <c r="CL83" i="9" s="1"/>
  <c r="DB83" i="9" s="1"/>
  <c r="BE126" i="9"/>
  <c r="CO126" i="9" s="1"/>
  <c r="AJ61" i="9"/>
  <c r="BT61" i="9" s="1"/>
  <c r="CY61" i="9" s="1"/>
  <c r="BO61" i="9"/>
  <c r="BU140" i="9"/>
  <c r="AP140" i="9"/>
  <c r="BZ140" i="9" s="1"/>
  <c r="CZ140" i="9" s="1"/>
  <c r="AJ18" i="9"/>
  <c r="BT18" i="9" s="1"/>
  <c r="CY18" i="9" s="1"/>
  <c r="BU45" i="9"/>
  <c r="AP45" i="9"/>
  <c r="BZ45" i="9" s="1"/>
  <c r="CZ45" i="9" s="1"/>
  <c r="BF12" i="9"/>
  <c r="CP12" i="9" s="1"/>
  <c r="BL140" i="9"/>
  <c r="BF140" i="9"/>
  <c r="CP140" i="9" s="1"/>
  <c r="BF99" i="9"/>
  <c r="CP99" i="9" s="1"/>
  <c r="BL99" i="9"/>
  <c r="BC13" i="9"/>
  <c r="AD13" i="9"/>
  <c r="BN13" i="9" s="1"/>
  <c r="CX13" i="9" s="1"/>
  <c r="BI13" i="9"/>
  <c r="BE23" i="9"/>
  <c r="CO23" i="9" s="1"/>
  <c r="BL141" i="9"/>
  <c r="BF141" i="9"/>
  <c r="CP141" i="9" s="1"/>
  <c r="AD106" i="9"/>
  <c r="BN106" i="9" s="1"/>
  <c r="CX106" i="9" s="1"/>
  <c r="BC106" i="9"/>
  <c r="BI106" i="9"/>
  <c r="BW16" i="9"/>
  <c r="BE16" i="9"/>
  <c r="CO16" i="9" s="1"/>
  <c r="BE141" i="9"/>
  <c r="CO141" i="9" s="1"/>
  <c r="BC61" i="9"/>
  <c r="BF18" i="9"/>
  <c r="CP18" i="9" s="1"/>
  <c r="BI155" i="9"/>
  <c r="AD155" i="9"/>
  <c r="BN155" i="9" s="1"/>
  <c r="CX155" i="9" s="1"/>
  <c r="BC155" i="9"/>
  <c r="AJ23" i="9"/>
  <c r="BT23" i="9" s="1"/>
  <c r="CY23" i="9" s="1"/>
  <c r="BG122" i="9"/>
  <c r="CQ122" i="9" s="1"/>
  <c r="BF61" i="9"/>
  <c r="CP61" i="9" s="1"/>
  <c r="BU104" i="9"/>
  <c r="AP104" i="9"/>
  <c r="BZ104" i="9" s="1"/>
  <c r="CZ104" i="9" s="1"/>
  <c r="AJ103" i="9"/>
  <c r="BT103" i="9" s="1"/>
  <c r="CY103" i="9" s="1"/>
  <c r="BI54" i="9"/>
  <c r="BC54" i="9"/>
  <c r="AD54" i="9"/>
  <c r="BN54" i="9" s="1"/>
  <c r="CX54" i="9" s="1"/>
  <c r="BM14" i="9"/>
  <c r="BG14" i="9"/>
  <c r="CQ14" i="9" s="1"/>
  <c r="BF82" i="9"/>
  <c r="CP82" i="9" s="1"/>
  <c r="BK13" i="9"/>
  <c r="BE13" i="9"/>
  <c r="CO13" i="9" s="1"/>
  <c r="BB16" i="9"/>
  <c r="CL16" i="9" s="1"/>
  <c r="DB16" i="9" s="1"/>
  <c r="BM100" i="9"/>
  <c r="BG100" i="9"/>
  <c r="CQ100" i="9" s="1"/>
  <c r="BE79" i="9"/>
  <c r="CO79" i="9" s="1"/>
  <c r="BK79" i="9"/>
  <c r="CG82" i="9"/>
  <c r="BB82" i="9"/>
  <c r="CL82" i="9" s="1"/>
  <c r="DB82" i="9" s="1"/>
  <c r="BK15" i="9"/>
  <c r="BE15" i="9"/>
  <c r="CO15" i="9" s="1"/>
  <c r="BG103" i="9"/>
  <c r="CQ103" i="9" s="1"/>
  <c r="BJ72" i="9"/>
  <c r="BD72" i="9"/>
  <c r="CN72" i="9" s="1"/>
  <c r="BK82" i="9"/>
  <c r="BE82" i="9"/>
  <c r="CO82" i="9" s="1"/>
  <c r="BD99" i="9"/>
  <c r="CN99" i="9" s="1"/>
  <c r="BJ198" i="9"/>
  <c r="BD198" i="9"/>
  <c r="CN198" i="9" s="1"/>
  <c r="BM109" i="9"/>
  <c r="BG109" i="9"/>
  <c r="CQ109" i="9" s="1"/>
  <c r="BD110" i="9"/>
  <c r="CN110" i="9" s="1"/>
  <c r="BJ110" i="9"/>
  <c r="BM185" i="9"/>
  <c r="BG185" i="9"/>
  <c r="CQ185" i="9" s="1"/>
  <c r="BG173" i="9"/>
  <c r="CQ173" i="9" s="1"/>
  <c r="BM173" i="9"/>
  <c r="BJ173" i="9"/>
  <c r="BD173" i="9"/>
  <c r="CN173" i="9" s="1"/>
  <c r="BI176" i="9"/>
  <c r="AD176" i="9"/>
  <c r="BN176" i="9" s="1"/>
  <c r="CX176" i="9" s="1"/>
  <c r="BC176" i="9"/>
  <c r="BJ92" i="9"/>
  <c r="BD92" i="9"/>
  <c r="CN92" i="9" s="1"/>
  <c r="BK65" i="9"/>
  <c r="BE65" i="9"/>
  <c r="CO65" i="9" s="1"/>
  <c r="AJ130" i="9"/>
  <c r="BT130" i="9" s="1"/>
  <c r="CY130" i="9" s="1"/>
  <c r="BP130" i="9"/>
  <c r="BC53" i="9"/>
  <c r="BI53" i="9"/>
  <c r="AD53" i="9"/>
  <c r="BN53" i="9" s="1"/>
  <c r="CX53" i="9" s="1"/>
  <c r="CA157" i="9"/>
  <c r="AV157" i="9"/>
  <c r="CF157" i="9" s="1"/>
  <c r="DA157" i="9" s="1"/>
  <c r="BJ158" i="9"/>
  <c r="BD158" i="9"/>
  <c r="CN158" i="9" s="1"/>
  <c r="BL44" i="9"/>
  <c r="BF44" i="9"/>
  <c r="CP44" i="9" s="1"/>
  <c r="BE96" i="9"/>
  <c r="CO96" i="9" s="1"/>
  <c r="BK96" i="9"/>
  <c r="AP61" i="9"/>
  <c r="BZ61" i="9" s="1"/>
  <c r="CZ61" i="9" s="1"/>
  <c r="BJ107" i="9"/>
  <c r="BD107" i="9"/>
  <c r="CN107" i="9" s="1"/>
  <c r="AV95" i="9"/>
  <c r="CF95" i="9" s="1"/>
  <c r="DA95" i="9" s="1"/>
  <c r="BE36" i="9"/>
  <c r="CO36" i="9" s="1"/>
  <c r="BF156" i="9"/>
  <c r="CP156" i="9" s="1"/>
  <c r="BD95" i="9"/>
  <c r="CN95" i="9" s="1"/>
  <c r="BJ95" i="9"/>
  <c r="BD36" i="9"/>
  <c r="CN36" i="9" s="1"/>
  <c r="BP156" i="9"/>
  <c r="AJ156" i="9"/>
  <c r="BT156" i="9" s="1"/>
  <c r="CY156" i="9" s="1"/>
  <c r="CG186" i="9"/>
  <c r="BB186" i="9"/>
  <c r="CL186" i="9" s="1"/>
  <c r="DB186" i="9" s="1"/>
  <c r="AJ168" i="9"/>
  <c r="BT168" i="9" s="1"/>
  <c r="CY168" i="9" s="1"/>
  <c r="AV197" i="9"/>
  <c r="CF197" i="9" s="1"/>
  <c r="DA197" i="9" s="1"/>
  <c r="CB197" i="9"/>
  <c r="BJ197" i="9"/>
  <c r="BD197" i="9"/>
  <c r="CN197" i="9" s="1"/>
  <c r="AD197" i="9"/>
  <c r="BN197" i="9" s="1"/>
  <c r="CX197" i="9" s="1"/>
  <c r="CG142" i="9"/>
  <c r="BB142" i="9"/>
  <c r="CL142" i="9" s="1"/>
  <c r="DB142" i="9" s="1"/>
  <c r="BW148" i="9"/>
  <c r="BE148" i="9"/>
  <c r="CO148" i="9" s="1"/>
  <c r="BM68" i="9"/>
  <c r="BG68" i="9"/>
  <c r="CQ68" i="9" s="1"/>
  <c r="BG160" i="9"/>
  <c r="CQ160" i="9" s="1"/>
  <c r="BL97" i="9"/>
  <c r="BF97" i="9"/>
  <c r="CP97" i="9" s="1"/>
  <c r="BB148" i="9"/>
  <c r="CL148" i="9" s="1"/>
  <c r="DB148" i="9" s="1"/>
  <c r="BC148" i="9"/>
  <c r="BU199" i="9"/>
  <c r="AP199" i="9"/>
  <c r="BZ199" i="9" s="1"/>
  <c r="CZ199" i="9" s="1"/>
  <c r="BG57" i="9"/>
  <c r="CQ57" i="9" s="1"/>
  <c r="BE57" i="9"/>
  <c r="CO57" i="9" s="1"/>
  <c r="AP98" i="9"/>
  <c r="BZ98" i="9" s="1"/>
  <c r="CZ98" i="9" s="1"/>
  <c r="AJ56" i="9"/>
  <c r="BT56" i="9" s="1"/>
  <c r="CY56" i="9" s="1"/>
  <c r="CA163" i="9"/>
  <c r="AV163" i="9"/>
  <c r="CF163" i="9" s="1"/>
  <c r="DA163" i="9" s="1"/>
  <c r="AJ143" i="9"/>
  <c r="BT143" i="9" s="1"/>
  <c r="CY143" i="9" s="1"/>
  <c r="BO149" i="9"/>
  <c r="AJ149" i="9"/>
  <c r="BT149" i="9" s="1"/>
  <c r="CY149" i="9" s="1"/>
  <c r="BE111" i="9"/>
  <c r="CO111" i="9" s="1"/>
  <c r="BK111" i="9"/>
  <c r="BF110" i="9"/>
  <c r="CP110" i="9" s="1"/>
  <c r="BL110" i="9"/>
  <c r="AV194" i="9"/>
  <c r="CF194" i="9" s="1"/>
  <c r="DA194" i="9" s="1"/>
  <c r="BG189" i="9"/>
  <c r="CQ189" i="9" s="1"/>
  <c r="BM189" i="9"/>
  <c r="BU190" i="9"/>
  <c r="AP190" i="9"/>
  <c r="BZ190" i="9" s="1"/>
  <c r="CZ190" i="9" s="1"/>
  <c r="BJ112" i="9"/>
  <c r="BD112" i="9"/>
  <c r="CN112" i="9" s="1"/>
  <c r="BI191" i="9"/>
  <c r="AD191" i="9"/>
  <c r="BN191" i="9" s="1"/>
  <c r="CX191" i="9" s="1"/>
  <c r="BC191" i="9"/>
  <c r="CA113" i="9"/>
  <c r="AV113" i="9"/>
  <c r="CF113" i="9" s="1"/>
  <c r="DA113" i="9" s="1"/>
  <c r="AJ113" i="9"/>
  <c r="BT113" i="9" s="1"/>
  <c r="CY113" i="9" s="1"/>
  <c r="AP115" i="9"/>
  <c r="BZ115" i="9" s="1"/>
  <c r="CZ115" i="9" s="1"/>
  <c r="BV115" i="9"/>
  <c r="BD182" i="9"/>
  <c r="CN182" i="9" s="1"/>
  <c r="AD182" i="9"/>
  <c r="BN182" i="9" s="1"/>
  <c r="CX182" i="9" s="1"/>
  <c r="BJ182" i="9"/>
  <c r="BE8" i="9"/>
  <c r="CO8" i="9" s="1"/>
  <c r="BW115" i="9"/>
  <c r="BE115" i="9"/>
  <c r="CO115" i="9" s="1"/>
  <c r="BJ150" i="9"/>
  <c r="BD150" i="9"/>
  <c r="CN150" i="9" s="1"/>
  <c r="BK50" i="9"/>
  <c r="BE50" i="9"/>
  <c r="CO50" i="9" s="1"/>
  <c r="CG43" i="9"/>
  <c r="BB43" i="9"/>
  <c r="CL43" i="9" s="1"/>
  <c r="DB43" i="9" s="1"/>
  <c r="AP20" i="9"/>
  <c r="BZ20" i="9" s="1"/>
  <c r="CZ20" i="9" s="1"/>
  <c r="AP116" i="9"/>
  <c r="BZ116" i="9" s="1"/>
  <c r="CZ116" i="9" s="1"/>
  <c r="BU116" i="9"/>
  <c r="BU180" i="9"/>
  <c r="AP180" i="9"/>
  <c r="BZ180" i="9" s="1"/>
  <c r="CZ180" i="9" s="1"/>
  <c r="BB31" i="9"/>
  <c r="CL31" i="9" s="1"/>
  <c r="DB31" i="9" s="1"/>
  <c r="CH31" i="9"/>
  <c r="CG115" i="9"/>
  <c r="BB115" i="9"/>
  <c r="CL115" i="9" s="1"/>
  <c r="DB115" i="9" s="1"/>
  <c r="BJ180" i="9"/>
  <c r="BD180" i="9"/>
  <c r="CN180" i="9" s="1"/>
  <c r="BF20" i="9"/>
  <c r="CP20" i="9" s="1"/>
  <c r="BE185" i="9"/>
  <c r="CO185" i="9" s="1"/>
  <c r="BJ42" i="9"/>
  <c r="BD42" i="9"/>
  <c r="CN42" i="9" s="1"/>
  <c r="BE43" i="9"/>
  <c r="CO43" i="9" s="1"/>
  <c r="BW173" i="9"/>
  <c r="BE173" i="9"/>
  <c r="CO173" i="9" s="1"/>
  <c r="BL179" i="9"/>
  <c r="BF179" i="9"/>
  <c r="CP179" i="9" s="1"/>
  <c r="AV21" i="9"/>
  <c r="CF21" i="9" s="1"/>
  <c r="DA21" i="9" s="1"/>
  <c r="AJ115" i="9"/>
  <c r="BT115" i="9" s="1"/>
  <c r="CY115" i="9" s="1"/>
  <c r="BI172" i="9"/>
  <c r="AD172" i="9"/>
  <c r="BN172" i="9" s="1"/>
  <c r="CX172" i="9" s="1"/>
  <c r="BC172" i="9"/>
  <c r="BE20" i="9"/>
  <c r="CO20" i="9" s="1"/>
  <c r="BK182" i="9"/>
  <c r="BE182" i="9"/>
  <c r="CO182" i="9" s="1"/>
  <c r="BM170" i="9"/>
  <c r="BG170" i="9"/>
  <c r="CQ170" i="9" s="1"/>
  <c r="BK154" i="9"/>
  <c r="BE154" i="9"/>
  <c r="CO154" i="9" s="1"/>
  <c r="BG145" i="9"/>
  <c r="CQ145" i="9" s="1"/>
  <c r="AP118" i="9"/>
  <c r="BZ118" i="9" s="1"/>
  <c r="CZ118" i="9" s="1"/>
  <c r="BM176" i="9"/>
  <c r="BG176" i="9"/>
  <c r="CQ176" i="9" s="1"/>
  <c r="BB153" i="9"/>
  <c r="CL153" i="9" s="1"/>
  <c r="DB153" i="9" s="1"/>
  <c r="CH153" i="9"/>
  <c r="BK151" i="9"/>
  <c r="BE151" i="9"/>
  <c r="CO151" i="9" s="1"/>
  <c r="BD166" i="9"/>
  <c r="CN166" i="9" s="1"/>
  <c r="BJ166" i="9"/>
  <c r="BG101" i="9"/>
  <c r="CQ101" i="9" s="1"/>
  <c r="BM101" i="9"/>
  <c r="BB175" i="9"/>
  <c r="CL175" i="9" s="1"/>
  <c r="DB175" i="9" s="1"/>
  <c r="AV176" i="9"/>
  <c r="CF176" i="9" s="1"/>
  <c r="DA176" i="9" s="1"/>
  <c r="BK166" i="9"/>
  <c r="BE166" i="9"/>
  <c r="CO166" i="9" s="1"/>
  <c r="BI167" i="9"/>
  <c r="AD167" i="9"/>
  <c r="BN167" i="9" s="1"/>
  <c r="CX167" i="9" s="1"/>
  <c r="BC167" i="9"/>
  <c r="BK171" i="9"/>
  <c r="BE171" i="9"/>
  <c r="CO171" i="9" s="1"/>
  <c r="BJ167" i="9"/>
  <c r="BD167" i="9"/>
  <c r="CN167" i="9" s="1"/>
  <c r="BJ176" i="9"/>
  <c r="BD176" i="9"/>
  <c r="CN176" i="9" s="1"/>
  <c r="BF176" i="9"/>
  <c r="CP176" i="9" s="1"/>
  <c r="BF175" i="9"/>
  <c r="CP175" i="9" s="1"/>
  <c r="AD92" i="9"/>
  <c r="BN92" i="9" s="1"/>
  <c r="CX92" i="9" s="1"/>
  <c r="BC92" i="9"/>
  <c r="BI92" i="9"/>
  <c r="AP175" i="9"/>
  <c r="BZ175" i="9" s="1"/>
  <c r="CZ175" i="9" s="1"/>
  <c r="CG32" i="9"/>
  <c r="BB32" i="9"/>
  <c r="CL32" i="9" s="1"/>
  <c r="DB32" i="9" s="1"/>
  <c r="AV152" i="9"/>
  <c r="CF152" i="9" s="1"/>
  <c r="DA152" i="9" s="1"/>
  <c r="BB123" i="9"/>
  <c r="CL123" i="9" s="1"/>
  <c r="DB123" i="9" s="1"/>
  <c r="BF126" i="9"/>
  <c r="CP126" i="9" s="1"/>
  <c r="BL126" i="9"/>
  <c r="BO157" i="9"/>
  <c r="AJ157" i="9"/>
  <c r="BT157" i="9" s="1"/>
  <c r="CY157" i="9" s="1"/>
  <c r="BF132" i="9"/>
  <c r="CP132" i="9" s="1"/>
  <c r="BL132" i="9"/>
  <c r="BC135" i="9"/>
  <c r="BI135" i="9"/>
  <c r="AD135" i="9"/>
  <c r="BN135" i="9" s="1"/>
  <c r="CX135" i="9" s="1"/>
  <c r="BE52" i="9"/>
  <c r="CO52" i="9" s="1"/>
  <c r="BK52" i="9"/>
  <c r="CG53" i="9"/>
  <c r="BB53" i="9"/>
  <c r="CL53" i="9" s="1"/>
  <c r="DB53" i="9" s="1"/>
  <c r="BG126" i="9"/>
  <c r="CQ126" i="9" s="1"/>
  <c r="BM126" i="9"/>
  <c r="BB130" i="9"/>
  <c r="CL130" i="9" s="1"/>
  <c r="DB130" i="9" s="1"/>
  <c r="CG130" i="9"/>
  <c r="BE169" i="9"/>
  <c r="CO169" i="9" s="1"/>
  <c r="BK121" i="9"/>
  <c r="BE121" i="9"/>
  <c r="CO121" i="9" s="1"/>
  <c r="BW132" i="9"/>
  <c r="BE132" i="9"/>
  <c r="CO132" i="9" s="1"/>
  <c r="BI125" i="9"/>
  <c r="AD125" i="9"/>
  <c r="BN125" i="9" s="1"/>
  <c r="CX125" i="9" s="1"/>
  <c r="BC125" i="9"/>
  <c r="BG123" i="9"/>
  <c r="CQ123" i="9" s="1"/>
  <c r="BB132" i="9"/>
  <c r="CL132" i="9" s="1"/>
  <c r="DB132" i="9" s="1"/>
  <c r="AP123" i="9"/>
  <c r="BZ123" i="9" s="1"/>
  <c r="CZ123" i="9" s="1"/>
  <c r="CA132" i="9"/>
  <c r="AV132" i="9"/>
  <c r="CF132" i="9" s="1"/>
  <c r="DA132" i="9" s="1"/>
  <c r="BU161" i="9"/>
  <c r="AP161" i="9"/>
  <c r="BZ161" i="9" s="1"/>
  <c r="CZ161" i="9" s="1"/>
  <c r="AV61" i="9"/>
  <c r="CF61" i="9" s="1"/>
  <c r="DA61" i="9" s="1"/>
  <c r="CA61" i="9"/>
  <c r="BV169" i="9"/>
  <c r="BD169" i="9"/>
  <c r="CN169" i="9" s="1"/>
  <c r="BK161" i="9"/>
  <c r="BE161" i="9"/>
  <c r="CO161" i="9" s="1"/>
  <c r="CH44" i="9"/>
  <c r="BB44" i="9"/>
  <c r="CL44" i="9" s="1"/>
  <c r="DB44" i="9" s="1"/>
  <c r="BK124" i="9"/>
  <c r="BE124" i="9"/>
  <c r="CO124" i="9" s="1"/>
  <c r="BL158" i="9"/>
  <c r="BF158" i="9"/>
  <c r="CP158" i="9" s="1"/>
  <c r="AV128" i="9"/>
  <c r="CF128" i="9" s="1"/>
  <c r="DA128" i="9" s="1"/>
  <c r="BL135" i="9"/>
  <c r="BF135" i="9"/>
  <c r="CP135" i="9" s="1"/>
  <c r="BJ161" i="9"/>
  <c r="BD161" i="9"/>
  <c r="CN161" i="9" s="1"/>
  <c r="BJ124" i="9"/>
  <c r="BD124" i="9"/>
  <c r="CN124" i="9" s="1"/>
  <c r="AP136" i="9"/>
  <c r="BZ136" i="9" s="1"/>
  <c r="CZ136" i="9" s="1"/>
  <c r="AP157" i="9"/>
  <c r="BZ157" i="9" s="1"/>
  <c r="CZ157" i="9" s="1"/>
  <c r="CG12" i="9"/>
  <c r="BB12" i="9"/>
  <c r="CL12" i="9" s="1"/>
  <c r="DB12" i="9" s="1"/>
  <c r="BD138" i="9"/>
  <c r="CN138" i="9" s="1"/>
  <c r="AV22" i="9"/>
  <c r="CF22" i="9" s="1"/>
  <c r="DA22" i="9" s="1"/>
  <c r="AV45" i="9"/>
  <c r="CF45" i="9" s="1"/>
  <c r="DA45" i="9" s="1"/>
  <c r="BG137" i="9"/>
  <c r="CQ137" i="9" s="1"/>
  <c r="BM137" i="9"/>
  <c r="BE158" i="9"/>
  <c r="CO158" i="9" s="1"/>
  <c r="BB103" i="9"/>
  <c r="CL103" i="9" s="1"/>
  <c r="DB103" i="9" s="1"/>
  <c r="CG103" i="9"/>
  <c r="AJ147" i="9"/>
  <c r="BT147" i="9" s="1"/>
  <c r="CY147" i="9" s="1"/>
  <c r="BF103" i="9"/>
  <c r="CP103" i="9" s="1"/>
  <c r="BG99" i="9"/>
  <c r="CQ99" i="9" s="1"/>
  <c r="BM99" i="9"/>
  <c r="AV130" i="9"/>
  <c r="CF130" i="9" s="1"/>
  <c r="DA130" i="9" s="1"/>
  <c r="BJ102" i="9"/>
  <c r="BD102" i="9"/>
  <c r="CN102" i="9" s="1"/>
  <c r="CG25" i="9"/>
  <c r="BB25" i="9"/>
  <c r="CL25" i="9" s="1"/>
  <c r="DB25" i="9" s="1"/>
  <c r="AJ155" i="9"/>
  <c r="BT155" i="9" s="1"/>
  <c r="CY155" i="9" s="1"/>
  <c r="BO155" i="9"/>
  <c r="BJ25" i="9"/>
  <c r="BD25" i="9"/>
  <c r="CN25" i="9" s="1"/>
  <c r="AJ22" i="9"/>
  <c r="BT22" i="9" s="1"/>
  <c r="CY22" i="9" s="1"/>
  <c r="AJ138" i="9"/>
  <c r="BT138" i="9" s="1"/>
  <c r="CY138" i="9" s="1"/>
  <c r="BM106" i="9"/>
  <c r="BG106" i="9"/>
  <c r="CQ106" i="9" s="1"/>
  <c r="BF79" i="9"/>
  <c r="CP79" i="9" s="1"/>
  <c r="BL79" i="9"/>
  <c r="BJ79" i="9"/>
  <c r="BD79" i="9"/>
  <c r="CN79" i="9" s="1"/>
  <c r="BK105" i="9"/>
  <c r="BE105" i="9"/>
  <c r="CO105" i="9" s="1"/>
  <c r="BD16" i="9"/>
  <c r="CN16" i="9" s="1"/>
  <c r="BL100" i="9"/>
  <c r="BF100" i="9"/>
  <c r="CP100" i="9" s="1"/>
  <c r="BL15" i="9"/>
  <c r="BF15" i="9"/>
  <c r="CP15" i="9" s="1"/>
  <c r="BF72" i="9"/>
  <c r="CP72" i="9" s="1"/>
  <c r="BL72" i="9"/>
  <c r="AD192" i="9"/>
  <c r="BN192" i="9" s="1"/>
  <c r="CX192" i="9" s="1"/>
  <c r="BC192" i="9"/>
  <c r="BI192" i="9"/>
  <c r="BB164" i="9"/>
  <c r="CL164" i="9" s="1"/>
  <c r="DB164" i="9" s="1"/>
  <c r="CG164" i="9"/>
  <c r="BB190" i="9"/>
  <c r="CL190" i="9" s="1"/>
  <c r="DB190" i="9" s="1"/>
  <c r="CG190" i="9"/>
  <c r="BB182" i="9"/>
  <c r="CL182" i="9" s="1"/>
  <c r="DB182" i="9" s="1"/>
  <c r="CG182" i="9"/>
  <c r="BU117" i="9"/>
  <c r="AP117" i="9"/>
  <c r="BZ117" i="9" s="1"/>
  <c r="CZ117" i="9" s="1"/>
  <c r="BW119" i="9"/>
  <c r="BE119" i="9"/>
  <c r="CO119" i="9" s="1"/>
  <c r="BE31" i="9"/>
  <c r="CO31" i="9" s="1"/>
  <c r="BK31" i="9"/>
  <c r="AJ153" i="9"/>
  <c r="BT153" i="9" s="1"/>
  <c r="CY153" i="9" s="1"/>
  <c r="CG140" i="9"/>
  <c r="BB140" i="9"/>
  <c r="CL140" i="9" s="1"/>
  <c r="DB140" i="9" s="1"/>
  <c r="AJ124" i="9"/>
  <c r="BT124" i="9" s="1"/>
  <c r="CY124" i="9" s="1"/>
  <c r="BO124" i="9"/>
  <c r="BU44" i="9"/>
  <c r="AP44" i="9"/>
  <c r="BZ44" i="9" s="1"/>
  <c r="CZ44" i="9" s="1"/>
  <c r="BC103" i="9"/>
  <c r="AD103" i="9"/>
  <c r="BN103" i="9" s="1"/>
  <c r="CX103" i="9" s="1"/>
  <c r="BI103" i="9"/>
  <c r="BI99" i="9"/>
  <c r="AD99" i="9"/>
  <c r="BN99" i="9" s="1"/>
  <c r="CX99" i="9" s="1"/>
  <c r="BC99" i="9"/>
  <c r="BD54" i="9"/>
  <c r="CN54" i="9" s="1"/>
  <c r="BJ54" i="9"/>
  <c r="AJ95" i="9"/>
  <c r="BT95" i="9" s="1"/>
  <c r="CY95" i="9" s="1"/>
  <c r="BM95" i="9"/>
  <c r="BG95" i="9"/>
  <c r="CQ95" i="9" s="1"/>
  <c r="AV186" i="9"/>
  <c r="CF186" i="9" s="1"/>
  <c r="DA186" i="9" s="1"/>
  <c r="CA186" i="9"/>
  <c r="CA165" i="9"/>
  <c r="AV165" i="9"/>
  <c r="CF165" i="9" s="1"/>
  <c r="DA165" i="9" s="1"/>
  <c r="BF186" i="9"/>
  <c r="CP186" i="9" s="1"/>
  <c r="BL186" i="9"/>
  <c r="BJ165" i="9"/>
  <c r="BD165" i="9"/>
  <c r="CN165" i="9" s="1"/>
  <c r="BG197" i="9"/>
  <c r="CQ197" i="9" s="1"/>
  <c r="AP197" i="9"/>
  <c r="BZ197" i="9" s="1"/>
  <c r="CZ197" i="9" s="1"/>
  <c r="BE197" i="9"/>
  <c r="CO197" i="9" s="1"/>
  <c r="BK197" i="9"/>
  <c r="BM200" i="9"/>
  <c r="BG200" i="9"/>
  <c r="CQ200" i="9" s="1"/>
  <c r="BU159" i="9"/>
  <c r="AP159" i="9"/>
  <c r="BZ159" i="9" s="1"/>
  <c r="CZ159" i="9" s="1"/>
  <c r="BL159" i="9"/>
  <c r="BF159" i="9"/>
  <c r="CP159" i="9" s="1"/>
  <c r="CG200" i="9"/>
  <c r="BB200" i="9"/>
  <c r="CL200" i="9" s="1"/>
  <c r="DB200" i="9" s="1"/>
  <c r="AV160" i="9"/>
  <c r="CF160" i="9" s="1"/>
  <c r="DA160" i="9" s="1"/>
  <c r="CA160" i="9"/>
  <c r="CE199" i="9"/>
  <c r="AV199" i="9"/>
  <c r="CF199" i="9" s="1"/>
  <c r="DA199" i="9" s="1"/>
  <c r="AP148" i="9"/>
  <c r="BZ148" i="9" s="1"/>
  <c r="CZ148" i="9" s="1"/>
  <c r="CG56" i="9"/>
  <c r="BB56" i="9"/>
  <c r="CL56" i="9" s="1"/>
  <c r="DB56" i="9" s="1"/>
  <c r="CG68" i="9"/>
  <c r="BB68" i="9"/>
  <c r="CL68" i="9" s="1"/>
  <c r="DB68" i="9" s="1"/>
  <c r="CG109" i="9"/>
  <c r="BB109" i="9"/>
  <c r="CL109" i="9" s="1"/>
  <c r="DB109" i="9" s="1"/>
  <c r="AD109" i="9"/>
  <c r="BN109" i="9" s="1"/>
  <c r="CX109" i="9" s="1"/>
  <c r="BB57" i="9"/>
  <c r="CL57" i="9" s="1"/>
  <c r="DB57" i="9" s="1"/>
  <c r="BU198" i="9"/>
  <c r="AP198" i="9"/>
  <c r="BZ198" i="9" s="1"/>
  <c r="CZ198" i="9" s="1"/>
  <c r="BC198" i="9"/>
  <c r="AP57" i="9"/>
  <c r="BZ57" i="9" s="1"/>
  <c r="CZ57" i="9" s="1"/>
  <c r="AV144" i="9"/>
  <c r="CF144" i="9" s="1"/>
  <c r="DA144" i="9" s="1"/>
  <c r="BB111" i="9"/>
  <c r="CL111" i="9" s="1"/>
  <c r="DB111" i="9" s="1"/>
  <c r="CG111" i="9"/>
  <c r="BG143" i="9"/>
  <c r="CQ143" i="9" s="1"/>
  <c r="BF196" i="9"/>
  <c r="CP196" i="9" s="1"/>
  <c r="BD144" i="9"/>
  <c r="CN144" i="9" s="1"/>
  <c r="BJ144" i="9"/>
  <c r="CA196" i="9"/>
  <c r="AV196" i="9"/>
  <c r="CF196" i="9" s="1"/>
  <c r="DA196" i="9" s="1"/>
  <c r="BB163" i="9"/>
  <c r="CL163" i="9" s="1"/>
  <c r="DB163" i="9" s="1"/>
  <c r="CG163" i="9"/>
  <c r="BS163" i="9"/>
  <c r="BG163" i="9"/>
  <c r="CQ163" i="9" s="1"/>
  <c r="BF194" i="9"/>
  <c r="CP194" i="9" s="1"/>
  <c r="BL194" i="9"/>
  <c r="BD164" i="9"/>
  <c r="CN164" i="9" s="1"/>
  <c r="BF164" i="9"/>
  <c r="CP164" i="9" s="1"/>
  <c r="BM110" i="9"/>
  <c r="BG110" i="9"/>
  <c r="CQ110" i="9" s="1"/>
  <c r="CC195" i="9"/>
  <c r="BE195" i="9"/>
  <c r="CO195" i="9" s="1"/>
  <c r="AP189" i="9"/>
  <c r="BZ189" i="9" s="1"/>
  <c r="CZ189" i="9" s="1"/>
  <c r="BC189" i="9"/>
  <c r="CA189" i="9"/>
  <c r="AV189" i="9"/>
  <c r="CF189" i="9" s="1"/>
  <c r="DA189" i="9" s="1"/>
  <c r="BX184" i="9"/>
  <c r="AP184" i="9"/>
  <c r="BZ184" i="9" s="1"/>
  <c r="CZ184" i="9" s="1"/>
  <c r="BM187" i="9"/>
  <c r="BG187" i="9"/>
  <c r="CQ187" i="9" s="1"/>
  <c r="AJ112" i="9"/>
  <c r="BT112" i="9" s="1"/>
  <c r="CY112" i="9" s="1"/>
  <c r="BP112" i="9"/>
  <c r="CG113" i="9"/>
  <c r="BB113" i="9"/>
  <c r="CL113" i="9" s="1"/>
  <c r="DB113" i="9" s="1"/>
  <c r="AP191" i="9"/>
  <c r="BZ191" i="9" s="1"/>
  <c r="CZ191" i="9" s="1"/>
  <c r="BM181" i="9"/>
  <c r="BG181" i="9"/>
  <c r="CQ181" i="9" s="1"/>
  <c r="CG188" i="9"/>
  <c r="BB188" i="9"/>
  <c r="CL188" i="9" s="1"/>
  <c r="DB188" i="9" s="1"/>
  <c r="BD21" i="9"/>
  <c r="CN21" i="9" s="1"/>
  <c r="BV21" i="9"/>
  <c r="BG116" i="9"/>
  <c r="CQ116" i="9" s="1"/>
  <c r="BM116" i="9"/>
  <c r="BF187" i="9"/>
  <c r="CP187" i="9" s="1"/>
  <c r="BW21" i="9"/>
  <c r="BE21" i="9"/>
  <c r="CO21" i="9" s="1"/>
  <c r="BM150" i="9"/>
  <c r="BG150" i="9"/>
  <c r="CQ150" i="9" s="1"/>
  <c r="AD185" i="9"/>
  <c r="BN185" i="9" s="1"/>
  <c r="CX185" i="9" s="1"/>
  <c r="AD113" i="9"/>
  <c r="BN113" i="9" s="1"/>
  <c r="CX113" i="9" s="1"/>
  <c r="BM188" i="9"/>
  <c r="BG188" i="9"/>
  <c r="CQ188" i="9" s="1"/>
  <c r="BK183" i="9"/>
  <c r="BE183" i="9"/>
  <c r="CO183" i="9" s="1"/>
  <c r="BL190" i="9"/>
  <c r="BF190" i="9"/>
  <c r="CP190" i="9" s="1"/>
  <c r="BD188" i="9"/>
  <c r="CN188" i="9" s="1"/>
  <c r="CA20" i="9"/>
  <c r="AV20" i="9"/>
  <c r="CF20" i="9" s="1"/>
  <c r="DA20" i="9" s="1"/>
  <c r="BJ117" i="9"/>
  <c r="BD117" i="9"/>
  <c r="CN117" i="9" s="1"/>
  <c r="CA116" i="9"/>
  <c r="AV116" i="9"/>
  <c r="CF116" i="9" s="1"/>
  <c r="DA116" i="9" s="1"/>
  <c r="BB179" i="9"/>
  <c r="CL179" i="9" s="1"/>
  <c r="DB179" i="9" s="1"/>
  <c r="CH179" i="9"/>
  <c r="BB116" i="9"/>
  <c r="CL116" i="9" s="1"/>
  <c r="DB116" i="9" s="1"/>
  <c r="BM51" i="9"/>
  <c r="BG51" i="9"/>
  <c r="CQ51" i="9" s="1"/>
  <c r="BF42" i="9"/>
  <c r="CP42" i="9" s="1"/>
  <c r="BU51" i="9"/>
  <c r="AP51" i="9"/>
  <c r="BZ51" i="9" s="1"/>
  <c r="CZ51" i="9" s="1"/>
  <c r="AJ179" i="9"/>
  <c r="BT179" i="9" s="1"/>
  <c r="CY179" i="9" s="1"/>
  <c r="BY177" i="9"/>
  <c r="AP177" i="9"/>
  <c r="BZ177" i="9" s="1"/>
  <c r="CZ177" i="9" s="1"/>
  <c r="BG42" i="9"/>
  <c r="CQ42" i="9" s="1"/>
  <c r="BM42" i="9"/>
  <c r="BF21" i="9"/>
  <c r="CP21" i="9" s="1"/>
  <c r="CG174" i="9"/>
  <c r="BB174" i="9"/>
  <c r="CL174" i="9" s="1"/>
  <c r="DB174" i="9" s="1"/>
  <c r="BF31" i="9"/>
  <c r="CP31" i="9" s="1"/>
  <c r="BL31" i="9"/>
  <c r="BG174" i="9"/>
  <c r="CQ174" i="9" s="1"/>
  <c r="BG178" i="9"/>
  <c r="CQ178" i="9" s="1"/>
  <c r="BF152" i="9"/>
  <c r="CP152" i="9" s="1"/>
  <c r="BL152" i="9"/>
  <c r="AJ176" i="9"/>
  <c r="BT176" i="9" s="1"/>
  <c r="CY176" i="9" s="1"/>
  <c r="BO176" i="9"/>
  <c r="BU171" i="9"/>
  <c r="AP171" i="9"/>
  <c r="BZ171" i="9" s="1"/>
  <c r="CZ171" i="9" s="1"/>
  <c r="BM152" i="9"/>
  <c r="BG152" i="9"/>
  <c r="CQ152" i="9" s="1"/>
  <c r="CG176" i="9"/>
  <c r="BB176" i="9"/>
  <c r="CL176" i="9" s="1"/>
  <c r="DB176" i="9" s="1"/>
  <c r="BL171" i="9"/>
  <c r="BF171" i="9"/>
  <c r="CP171" i="9" s="1"/>
  <c r="BF43" i="9"/>
  <c r="CP43" i="9" s="1"/>
  <c r="BD9" i="9"/>
  <c r="CN9" i="9" s="1"/>
  <c r="BD175" i="9"/>
  <c r="CN175" i="9" s="1"/>
  <c r="BE85" i="9"/>
  <c r="CO85" i="9" s="1"/>
  <c r="BK85" i="9"/>
  <c r="BG65" i="9"/>
  <c r="CQ65" i="9" s="1"/>
  <c r="BM65" i="9"/>
  <c r="BF92" i="9"/>
  <c r="CP92" i="9" s="1"/>
  <c r="AP101" i="9"/>
  <c r="BZ101" i="9" s="1"/>
  <c r="CZ101" i="9" s="1"/>
  <c r="AP64" i="9"/>
  <c r="BZ64" i="9" s="1"/>
  <c r="CZ64" i="9" s="1"/>
  <c r="BU64" i="9"/>
  <c r="BG63" i="9"/>
  <c r="CQ63" i="9" s="1"/>
  <c r="CG169" i="9"/>
  <c r="BB169" i="9"/>
  <c r="CL169" i="9" s="1"/>
  <c r="DB169" i="9" s="1"/>
  <c r="BF41" i="9"/>
  <c r="CP41" i="9" s="1"/>
  <c r="BD41" i="9"/>
  <c r="CN41" i="9" s="1"/>
  <c r="AP41" i="9"/>
  <c r="BZ41" i="9" s="1"/>
  <c r="CZ41" i="9" s="1"/>
  <c r="BB128" i="9"/>
  <c r="CL128" i="9" s="1"/>
  <c r="DB128" i="9" s="1"/>
  <c r="CH128" i="9"/>
  <c r="AP120" i="9"/>
  <c r="BZ120" i="9" s="1"/>
  <c r="CZ120" i="9" s="1"/>
  <c r="AV85" i="9"/>
  <c r="CF85" i="9" s="1"/>
  <c r="DA85" i="9" s="1"/>
  <c r="AJ92" i="9"/>
  <c r="BT92" i="9" s="1"/>
  <c r="CY92" i="9" s="1"/>
  <c r="AV121" i="9"/>
  <c r="CF121" i="9" s="1"/>
  <c r="DA121" i="9" s="1"/>
  <c r="BF120" i="9"/>
  <c r="CP120" i="9" s="1"/>
  <c r="BL120" i="9"/>
  <c r="BM158" i="9"/>
  <c r="BG158" i="9"/>
  <c r="CQ158" i="9" s="1"/>
  <c r="BF146" i="9"/>
  <c r="CP146" i="9" s="1"/>
  <c r="BC132" i="9"/>
  <c r="BU169" i="9"/>
  <c r="BC169" i="9"/>
  <c r="AP169" i="9"/>
  <c r="BZ169" i="9" s="1"/>
  <c r="CZ169" i="9" s="1"/>
  <c r="BD126" i="9"/>
  <c r="CN126" i="9" s="1"/>
  <c r="BM128" i="9"/>
  <c r="BG128" i="9"/>
  <c r="CQ128" i="9" s="1"/>
  <c r="BD135" i="9"/>
  <c r="CN135" i="9" s="1"/>
  <c r="BV22" i="9"/>
  <c r="AP22" i="9"/>
  <c r="BZ22" i="9" s="1"/>
  <c r="CZ22" i="9" s="1"/>
  <c r="BE125" i="9"/>
  <c r="CO125" i="9" s="1"/>
  <c r="CG131" i="9"/>
  <c r="BB131" i="9"/>
  <c r="CL131" i="9" s="1"/>
  <c r="DB131" i="9" s="1"/>
  <c r="BD147" i="9"/>
  <c r="CN147" i="9" s="1"/>
  <c r="BJ147" i="9"/>
  <c r="AD121" i="9"/>
  <c r="BN121" i="9" s="1"/>
  <c r="CX121" i="9" s="1"/>
  <c r="BD132" i="9"/>
  <c r="CN132" i="9" s="1"/>
  <c r="BM161" i="9"/>
  <c r="BG161" i="9"/>
  <c r="CQ161" i="9" s="1"/>
  <c r="BB126" i="9"/>
  <c r="CL126" i="9" s="1"/>
  <c r="DB126" i="9" s="1"/>
  <c r="BU158" i="9"/>
  <c r="AP158" i="9"/>
  <c r="BZ158" i="9" s="1"/>
  <c r="CZ158" i="9" s="1"/>
  <c r="BD121" i="9"/>
  <c r="CN121" i="9" s="1"/>
  <c r="AP126" i="9"/>
  <c r="BZ126" i="9" s="1"/>
  <c r="CZ126" i="9" s="1"/>
  <c r="BF23" i="9"/>
  <c r="CP23" i="9" s="1"/>
  <c r="BD44" i="9"/>
  <c r="CN44" i="9" s="1"/>
  <c r="BK99" i="9"/>
  <c r="BE99" i="9"/>
  <c r="CO99" i="9" s="1"/>
  <c r="CB99" i="9"/>
  <c r="AV99" i="9"/>
  <c r="CF99" i="9" s="1"/>
  <c r="DA99" i="9" s="1"/>
  <c r="BB13" i="9"/>
  <c r="CL13" i="9" s="1"/>
  <c r="DB13" i="9" s="1"/>
  <c r="CG13" i="9"/>
  <c r="AV25" i="9"/>
  <c r="CF25" i="9" s="1"/>
  <c r="DA25" i="9" s="1"/>
  <c r="AD104" i="9"/>
  <c r="BN104" i="9" s="1"/>
  <c r="CX104" i="9" s="1"/>
  <c r="BC104" i="9"/>
  <c r="BI104" i="9"/>
  <c r="BB106" i="9"/>
  <c r="CL106" i="9" s="1"/>
  <c r="DB106" i="9" s="1"/>
  <c r="CG106" i="9"/>
  <c r="AJ134" i="9"/>
  <c r="BT134" i="9" s="1"/>
  <c r="CY134" i="9" s="1"/>
  <c r="BI102" i="9"/>
  <c r="AD102" i="9"/>
  <c r="BN102" i="9" s="1"/>
  <c r="CX102" i="9" s="1"/>
  <c r="BC102" i="9"/>
  <c r="BE25" i="9"/>
  <c r="CO25" i="9" s="1"/>
  <c r="BL96" i="9"/>
  <c r="BF96" i="9"/>
  <c r="CP96" i="9" s="1"/>
  <c r="BL155" i="9"/>
  <c r="BF155" i="9"/>
  <c r="CP155" i="9" s="1"/>
  <c r="BU155" i="9"/>
  <c r="AP155" i="9"/>
  <c r="BZ155" i="9" s="1"/>
  <c r="CZ155" i="9" s="1"/>
  <c r="AP102" i="9"/>
  <c r="BZ102" i="9" s="1"/>
  <c r="CZ102" i="9" s="1"/>
  <c r="BG12" i="9"/>
  <c r="CQ12" i="9" s="1"/>
  <c r="BE45" i="9"/>
  <c r="CO45" i="9" s="1"/>
  <c r="BB138" i="9"/>
  <c r="CL138" i="9" s="1"/>
  <c r="DB138" i="9" s="1"/>
  <c r="BU106" i="9"/>
  <c r="AP106" i="9"/>
  <c r="BZ106" i="9" s="1"/>
  <c r="CZ106" i="9" s="1"/>
  <c r="AP137" i="9"/>
  <c r="BZ137" i="9" s="1"/>
  <c r="CZ137" i="9" s="1"/>
  <c r="AP103" i="9"/>
  <c r="BZ103" i="9" s="1"/>
  <c r="CZ103" i="9" s="1"/>
  <c r="AJ55" i="9"/>
  <c r="BT55" i="9" s="1"/>
  <c r="CY55" i="9" s="1"/>
  <c r="BG25" i="9"/>
  <c r="CQ25" i="9" s="1"/>
  <c r="BM54" i="9"/>
  <c r="BG54" i="9"/>
  <c r="CQ54" i="9" s="1"/>
  <c r="BU14" i="9"/>
  <c r="AP14" i="9"/>
  <c r="BZ14" i="9" s="1"/>
  <c r="CZ14" i="9" s="1"/>
  <c r="BB72" i="9"/>
  <c r="CL72" i="9" s="1"/>
  <c r="DB72" i="9" s="1"/>
  <c r="CA100" i="9"/>
  <c r="AV100" i="9"/>
  <c r="CF100" i="9" s="1"/>
  <c r="DA100" i="9" s="1"/>
  <c r="BJ104" i="9"/>
  <c r="BD104" i="9"/>
  <c r="CN104" i="9" s="1"/>
  <c r="BJ106" i="9"/>
  <c r="BD106" i="9"/>
  <c r="CN106" i="9" s="1"/>
  <c r="BM107" i="9"/>
  <c r="BG107" i="9"/>
  <c r="CQ107" i="9" s="1"/>
  <c r="BK72" i="9"/>
  <c r="BE72" i="9"/>
  <c r="CO72" i="9" s="1"/>
  <c r="CG81" i="9"/>
  <c r="BB81" i="9"/>
  <c r="CL81" i="9" s="1"/>
  <c r="DB81" i="9" s="1"/>
  <c r="AP80" i="9"/>
  <c r="BZ80" i="9" s="1"/>
  <c r="CZ80" i="9" s="1"/>
  <c r="CC80" i="9"/>
  <c r="AV80" i="9"/>
  <c r="CF80" i="9" s="1"/>
  <c r="DA80" i="9" s="1"/>
  <c r="BE81" i="9"/>
  <c r="CO81" i="9" s="1"/>
  <c r="BF81" i="9"/>
  <c r="CP81" i="9" s="1"/>
  <c r="BG81" i="9"/>
  <c r="CQ81" i="9" s="1"/>
  <c r="BB95" i="9"/>
  <c r="CL95" i="9" s="1"/>
  <c r="DB95" i="9" s="1"/>
  <c r="CH95" i="9"/>
  <c r="BC110" i="9"/>
  <c r="BI110" i="9"/>
  <c r="AD110" i="9"/>
  <c r="BN110" i="9" s="1"/>
  <c r="CX110" i="9" s="1"/>
  <c r="BB170" i="9"/>
  <c r="CL170" i="9" s="1"/>
  <c r="DB170" i="9" s="1"/>
  <c r="CH170" i="9"/>
  <c r="BU43" i="9"/>
  <c r="AP43" i="9"/>
  <c r="BZ43" i="9" s="1"/>
  <c r="CZ43" i="9" s="1"/>
  <c r="CG51" i="9"/>
  <c r="BB51" i="9"/>
  <c r="CL51" i="9" s="1"/>
  <c r="DB51" i="9" s="1"/>
  <c r="AV173" i="9"/>
  <c r="CF173" i="9" s="1"/>
  <c r="DA173" i="9" s="1"/>
  <c r="AD151" i="9"/>
  <c r="BN151" i="9" s="1"/>
  <c r="CX151" i="9" s="1"/>
  <c r="BC151" i="9"/>
  <c r="BI151" i="9"/>
  <c r="BG175" i="9"/>
  <c r="CQ175" i="9" s="1"/>
  <c r="BM175" i="9"/>
  <c r="BW63" i="9"/>
  <c r="AP63" i="9"/>
  <c r="BZ63" i="9" s="1"/>
  <c r="CZ63" i="9" s="1"/>
  <c r="BL128" i="9"/>
  <c r="BF128" i="9"/>
  <c r="CP128" i="9" s="1"/>
  <c r="BE134" i="9"/>
  <c r="CO134" i="9" s="1"/>
  <c r="BK134" i="9"/>
  <c r="BE44" i="9"/>
  <c r="CO44" i="9" s="1"/>
  <c r="BK44" i="9"/>
  <c r="AD44" i="9"/>
  <c r="BN44" i="9" s="1"/>
  <c r="CX44" i="9" s="1"/>
  <c r="CA18" i="9"/>
  <c r="AV18" i="9"/>
  <c r="CF18" i="9" s="1"/>
  <c r="DA18" i="9" s="1"/>
  <c r="AJ45" i="9"/>
  <c r="BT45" i="9" s="1"/>
  <c r="CY45" i="9" s="1"/>
  <c r="BO45" i="9"/>
  <c r="BB55" i="9"/>
  <c r="CL55" i="9" s="1"/>
  <c r="DB55" i="9" s="1"/>
  <c r="CH55" i="9"/>
  <c r="BB61" i="9"/>
  <c r="CL61" i="9" s="1"/>
  <c r="DB61" i="9" s="1"/>
  <c r="BE95" i="9"/>
  <c r="CO95" i="9" s="1"/>
  <c r="BK95" i="9"/>
  <c r="BM192" i="9"/>
  <c r="BG192" i="9"/>
  <c r="CQ192" i="9" s="1"/>
  <c r="AP156" i="9"/>
  <c r="BZ156" i="9" s="1"/>
  <c r="CZ156" i="9" s="1"/>
  <c r="BG186" i="9"/>
  <c r="CQ186" i="9" s="1"/>
  <c r="BM186" i="9"/>
  <c r="CG159" i="9"/>
  <c r="BB159" i="9"/>
  <c r="CL159" i="9" s="1"/>
  <c r="DB159" i="9" s="1"/>
  <c r="BD142" i="9"/>
  <c r="CN142" i="9" s="1"/>
  <c r="BK200" i="9"/>
  <c r="BE200" i="9"/>
  <c r="CO200" i="9" s="1"/>
  <c r="BF148" i="9"/>
  <c r="CP148" i="9" s="1"/>
  <c r="BL148" i="9"/>
  <c r="BI200" i="9"/>
  <c r="AD200" i="9"/>
  <c r="BN200" i="9" s="1"/>
  <c r="CX200" i="9" s="1"/>
  <c r="BC200" i="9"/>
  <c r="BG98" i="9"/>
  <c r="CQ98" i="9" s="1"/>
  <c r="BM98" i="9"/>
  <c r="BB199" i="9"/>
  <c r="CL199" i="9" s="1"/>
  <c r="DB199" i="9" s="1"/>
  <c r="AP142" i="9"/>
  <c r="BZ142" i="9" s="1"/>
  <c r="CZ142" i="9" s="1"/>
  <c r="BB160" i="9"/>
  <c r="CL160" i="9" s="1"/>
  <c r="DB160" i="9" s="1"/>
  <c r="BI68" i="9"/>
  <c r="BC68" i="9"/>
  <c r="AD68" i="9"/>
  <c r="BN68" i="9" s="1"/>
  <c r="CX68" i="9" s="1"/>
  <c r="BK56" i="9"/>
  <c r="BE56" i="9"/>
  <c r="CO56" i="9" s="1"/>
  <c r="BL56" i="9"/>
  <c r="BF56" i="9"/>
  <c r="CP56" i="9" s="1"/>
  <c r="BD98" i="9"/>
  <c r="CN98" i="9" s="1"/>
  <c r="BJ98" i="9"/>
  <c r="CA108" i="9"/>
  <c r="AV108" i="9"/>
  <c r="CF108" i="9" s="1"/>
  <c r="DA108" i="9" s="1"/>
  <c r="BF108" i="9"/>
  <c r="CP108" i="9" s="1"/>
  <c r="BE109" i="9"/>
  <c r="CO109" i="9" s="1"/>
  <c r="BK109" i="9"/>
  <c r="BE97" i="9"/>
  <c r="CO97" i="9" s="1"/>
  <c r="BE108" i="9"/>
  <c r="CO108" i="9" s="1"/>
  <c r="AV97" i="9"/>
  <c r="CF97" i="9" s="1"/>
  <c r="DA97" i="9" s="1"/>
  <c r="AP143" i="9"/>
  <c r="BZ143" i="9" s="1"/>
  <c r="CZ143" i="9" s="1"/>
  <c r="BV143" i="9"/>
  <c r="AV143" i="9"/>
  <c r="CF143" i="9" s="1"/>
  <c r="DA143" i="9" s="1"/>
  <c r="CA143" i="9"/>
  <c r="BL144" i="9"/>
  <c r="BF144" i="9"/>
  <c r="CP144" i="9" s="1"/>
  <c r="BF47" i="9"/>
  <c r="CP47" i="9" s="1"/>
  <c r="BL47" i="9"/>
  <c r="BB194" i="9"/>
  <c r="CL194" i="9" s="1"/>
  <c r="DB194" i="9" s="1"/>
  <c r="CH194" i="9"/>
  <c r="BD194" i="9"/>
  <c r="CN194" i="9" s="1"/>
  <c r="BJ47" i="9"/>
  <c r="BD47" i="9"/>
  <c r="CN47" i="9" s="1"/>
  <c r="AD163" i="9"/>
  <c r="BN163" i="9" s="1"/>
  <c r="CX163" i="9" s="1"/>
  <c r="BC163" i="9"/>
  <c r="BI163" i="9"/>
  <c r="BG164" i="9"/>
  <c r="CQ164" i="9" s="1"/>
  <c r="BM164" i="9"/>
  <c r="BC111" i="9"/>
  <c r="AP111" i="9"/>
  <c r="BZ111" i="9" s="1"/>
  <c r="CZ111" i="9" s="1"/>
  <c r="CI195" i="9"/>
  <c r="BB195" i="9"/>
  <c r="CL195" i="9" s="1"/>
  <c r="DB195" i="9" s="1"/>
  <c r="BF163" i="9"/>
  <c r="CP163" i="9" s="1"/>
  <c r="AD194" i="9"/>
  <c r="BN194" i="9" s="1"/>
  <c r="CX194" i="9" s="1"/>
  <c r="BO191" i="9"/>
  <c r="AJ191" i="9"/>
  <c r="BT191" i="9" s="1"/>
  <c r="CY191" i="9" s="1"/>
  <c r="CG191" i="9"/>
  <c r="BB191" i="9"/>
  <c r="CL191" i="9" s="1"/>
  <c r="DB191" i="9" s="1"/>
  <c r="BG113" i="9"/>
  <c r="CQ113" i="9" s="1"/>
  <c r="CG181" i="9"/>
  <c r="BB181" i="9"/>
  <c r="CL181" i="9" s="1"/>
  <c r="DB181" i="9" s="1"/>
  <c r="BD190" i="9"/>
  <c r="CN190" i="9" s="1"/>
  <c r="BB50" i="9"/>
  <c r="CL50" i="9" s="1"/>
  <c r="DB50" i="9" s="1"/>
  <c r="CG50" i="9"/>
  <c r="BE189" i="9"/>
  <c r="CO189" i="9" s="1"/>
  <c r="BF191" i="9"/>
  <c r="CP191" i="9" s="1"/>
  <c r="AP187" i="9"/>
  <c r="BZ187" i="9" s="1"/>
  <c r="CZ187" i="9" s="1"/>
  <c r="BU187" i="9"/>
  <c r="BB117" i="9"/>
  <c r="CL117" i="9" s="1"/>
  <c r="DB117" i="9" s="1"/>
  <c r="BU170" i="9"/>
  <c r="AP170" i="9"/>
  <c r="BZ170" i="9" s="1"/>
  <c r="CZ170" i="9" s="1"/>
  <c r="AP8" i="9"/>
  <c r="BZ8" i="9" s="1"/>
  <c r="CZ8" i="9" s="1"/>
  <c r="BL50" i="9"/>
  <c r="BF50" i="9"/>
  <c r="CP50" i="9" s="1"/>
  <c r="CA114" i="9"/>
  <c r="AV114" i="9"/>
  <c r="CF114" i="9" s="1"/>
  <c r="DA114" i="9" s="1"/>
  <c r="AP150" i="9"/>
  <c r="BZ150" i="9" s="1"/>
  <c r="CZ150" i="9" s="1"/>
  <c r="CG114" i="9"/>
  <c r="BB114" i="9"/>
  <c r="CL114" i="9" s="1"/>
  <c r="DB114" i="9" s="1"/>
  <c r="BI117" i="9"/>
  <c r="AD117" i="9"/>
  <c r="BN117" i="9" s="1"/>
  <c r="CX117" i="9" s="1"/>
  <c r="BC117" i="9"/>
  <c r="BC116" i="9"/>
  <c r="AD150" i="9"/>
  <c r="BN150" i="9" s="1"/>
  <c r="CX150" i="9" s="1"/>
  <c r="BI42" i="9"/>
  <c r="AD42" i="9"/>
  <c r="BN42" i="9" s="1"/>
  <c r="CX42" i="9" s="1"/>
  <c r="BC42" i="9"/>
  <c r="AD173" i="9"/>
  <c r="BN173" i="9" s="1"/>
  <c r="CX173" i="9" s="1"/>
  <c r="BD115" i="9"/>
  <c r="CN115" i="9" s="1"/>
  <c r="BD170" i="9"/>
  <c r="CN170" i="9" s="1"/>
  <c r="AD170" i="9"/>
  <c r="BN170" i="9" s="1"/>
  <c r="CX170" i="9" s="1"/>
  <c r="BJ170" i="9"/>
  <c r="BD51" i="9"/>
  <c r="CN51" i="9" s="1"/>
  <c r="BC173" i="9"/>
  <c r="AV177" i="9"/>
  <c r="CF177" i="9" s="1"/>
  <c r="DA177" i="9" s="1"/>
  <c r="BK42" i="9"/>
  <c r="BE42" i="9"/>
  <c r="CO42" i="9" s="1"/>
  <c r="CG172" i="9"/>
  <c r="BB172" i="9"/>
  <c r="CL172" i="9" s="1"/>
  <c r="DB172" i="9" s="1"/>
  <c r="CG177" i="9"/>
  <c r="BB177" i="9"/>
  <c r="CL177" i="9" s="1"/>
  <c r="DB177" i="9" s="1"/>
  <c r="BE37" i="9"/>
  <c r="CO37" i="9" s="1"/>
  <c r="BO42" i="9"/>
  <c r="AJ42" i="9"/>
  <c r="BT42" i="9" s="1"/>
  <c r="CY42" i="9" s="1"/>
  <c r="AV174" i="9"/>
  <c r="CF174" i="9" s="1"/>
  <c r="DA174" i="9" s="1"/>
  <c r="BF173" i="9"/>
  <c r="CP173" i="9" s="1"/>
  <c r="BE179" i="9"/>
  <c r="CO179" i="9" s="1"/>
  <c r="BU145" i="9"/>
  <c r="AP145" i="9"/>
  <c r="BZ145" i="9" s="1"/>
  <c r="CZ145" i="9" s="1"/>
  <c r="BK101" i="9"/>
  <c r="BE101" i="9"/>
  <c r="CO101" i="9" s="1"/>
  <c r="BF101" i="9"/>
  <c r="CP101" i="9" s="1"/>
  <c r="BL101" i="9"/>
  <c r="AD9" i="9"/>
  <c r="BN9" i="9" s="1"/>
  <c r="CX9" i="9" s="1"/>
  <c r="BC9" i="9"/>
  <c r="BI9" i="9"/>
  <c r="BU152" i="9"/>
  <c r="AP152" i="9"/>
  <c r="BZ152" i="9" s="1"/>
  <c r="CZ152" i="9" s="1"/>
  <c r="BM153" i="9"/>
  <c r="BG153" i="9"/>
  <c r="CQ153" i="9" s="1"/>
  <c r="BE176" i="9"/>
  <c r="CO176" i="9" s="1"/>
  <c r="BL166" i="9"/>
  <c r="BF166" i="9"/>
  <c r="CP166" i="9" s="1"/>
  <c r="AV119" i="9"/>
  <c r="CF119" i="9" s="1"/>
  <c r="DA119" i="9" s="1"/>
  <c r="AP176" i="9"/>
  <c r="BZ176" i="9" s="1"/>
  <c r="CZ176" i="9" s="1"/>
  <c r="BK11" i="9"/>
  <c r="BE11" i="9"/>
  <c r="CO11" i="9" s="1"/>
  <c r="BE152" i="9"/>
  <c r="CO152" i="9" s="1"/>
  <c r="BO32" i="9"/>
  <c r="AJ32" i="9"/>
  <c r="BT32" i="9" s="1"/>
  <c r="CY32" i="9" s="1"/>
  <c r="BJ10" i="9"/>
  <c r="BD10" i="9"/>
  <c r="CN10" i="9" s="1"/>
  <c r="AD86" i="9"/>
  <c r="BN86" i="9" s="1"/>
  <c r="CX86" i="9" s="1"/>
  <c r="BC86" i="9"/>
  <c r="BI86" i="9"/>
  <c r="BB92" i="9"/>
  <c r="CL92" i="9" s="1"/>
  <c r="DB92" i="9" s="1"/>
  <c r="CG92" i="9"/>
  <c r="BJ86" i="9"/>
  <c r="BD86" i="9"/>
  <c r="CN86" i="9" s="1"/>
  <c r="BB41" i="9"/>
  <c r="CL41" i="9" s="1"/>
  <c r="DB41" i="9" s="1"/>
  <c r="BL11" i="9"/>
  <c r="BF11" i="9"/>
  <c r="CP11" i="9" s="1"/>
  <c r="BG64" i="9"/>
  <c r="CQ64" i="9" s="1"/>
  <c r="BM64" i="9"/>
  <c r="BB64" i="9"/>
  <c r="CL64" i="9" s="1"/>
  <c r="DB64" i="9" s="1"/>
  <c r="BD66" i="9"/>
  <c r="CN66" i="9" s="1"/>
  <c r="BJ66" i="9"/>
  <c r="BC129" i="9"/>
  <c r="BI129" i="9"/>
  <c r="AD129" i="9"/>
  <c r="BN129" i="9" s="1"/>
  <c r="CX129" i="9" s="1"/>
  <c r="BC157" i="9"/>
  <c r="BE133" i="9"/>
  <c r="CO133" i="9" s="1"/>
  <c r="BK133" i="9"/>
  <c r="CG135" i="9"/>
  <c r="BB135" i="9"/>
  <c r="CL135" i="9" s="1"/>
  <c r="DB135" i="9" s="1"/>
  <c r="BB65" i="9"/>
  <c r="CL65" i="9" s="1"/>
  <c r="DB65" i="9" s="1"/>
  <c r="BG32" i="9"/>
  <c r="CQ32" i="9" s="1"/>
  <c r="BB122" i="9"/>
  <c r="CL122" i="9" s="1"/>
  <c r="DB122" i="9" s="1"/>
  <c r="CG122" i="9"/>
  <c r="BF127" i="9"/>
  <c r="CP127" i="9" s="1"/>
  <c r="BL127" i="9"/>
  <c r="AV40" i="9"/>
  <c r="CF40" i="9" s="1"/>
  <c r="DA40" i="9" s="1"/>
  <c r="BL124" i="9"/>
  <c r="BF124" i="9"/>
  <c r="CP124" i="9" s="1"/>
  <c r="BJ157" i="9"/>
  <c r="BD157" i="9"/>
  <c r="CN157" i="9" s="1"/>
  <c r="CG158" i="9"/>
  <c r="BB158" i="9"/>
  <c r="CL158" i="9" s="1"/>
  <c r="DB158" i="9" s="1"/>
  <c r="AP134" i="9"/>
  <c r="BZ134" i="9" s="1"/>
  <c r="CZ134" i="9" s="1"/>
  <c r="BF125" i="9"/>
  <c r="CP125" i="9" s="1"/>
  <c r="AD132" i="9"/>
  <c r="BN132" i="9" s="1"/>
  <c r="CX132" i="9" s="1"/>
  <c r="BD53" i="9"/>
  <c r="CN53" i="9" s="1"/>
  <c r="BE162" i="9"/>
  <c r="CO162" i="9" s="1"/>
  <c r="BK162" i="9"/>
  <c r="BG136" i="9"/>
  <c r="CQ136" i="9" s="1"/>
  <c r="BB121" i="9"/>
  <c r="CL121" i="9" s="1"/>
  <c r="DB121" i="9" s="1"/>
  <c r="BU52" i="9"/>
  <c r="AP52" i="9"/>
  <c r="BZ52" i="9" s="1"/>
  <c r="CZ52" i="9" s="1"/>
  <c r="CG161" i="9"/>
  <c r="BB161" i="9"/>
  <c r="CL161" i="9" s="1"/>
  <c r="DB161" i="9" s="1"/>
  <c r="AP18" i="9"/>
  <c r="BZ18" i="9" s="1"/>
  <c r="CZ18" i="9" s="1"/>
  <c r="BL134" i="9"/>
  <c r="BF134" i="9"/>
  <c r="CP134" i="9" s="1"/>
  <c r="BU127" i="9"/>
  <c r="AP127" i="9"/>
  <c r="BZ127" i="9" s="1"/>
  <c r="CZ127" i="9" s="1"/>
  <c r="BG132" i="9"/>
  <c r="CQ132" i="9" s="1"/>
  <c r="BF157" i="9"/>
  <c r="CP157" i="9" s="1"/>
  <c r="BE22" i="9"/>
  <c r="CO22" i="9" s="1"/>
  <c r="AP23" i="9"/>
  <c r="BZ23" i="9" s="1"/>
  <c r="CZ23" i="9" s="1"/>
  <c r="BB99" i="9"/>
  <c r="CL99" i="9" s="1"/>
  <c r="DB99" i="9" s="1"/>
  <c r="CJ99" i="9"/>
  <c r="BV12" i="9"/>
  <c r="BD12" i="9"/>
  <c r="CN12" i="9" s="1"/>
  <c r="BE106" i="9"/>
  <c r="CO106" i="9" s="1"/>
  <c r="BG120" i="9"/>
  <c r="CQ120" i="9" s="1"/>
  <c r="BM120" i="9"/>
  <c r="BC18" i="9"/>
  <c r="BI139" i="9"/>
  <c r="AD139" i="9"/>
  <c r="BN139" i="9" s="1"/>
  <c r="CX139" i="9" s="1"/>
  <c r="BC139" i="9"/>
  <c r="AJ162" i="9"/>
  <c r="BT162" i="9" s="1"/>
  <c r="CY162" i="9" s="1"/>
  <c r="AV155" i="9"/>
  <c r="CF155" i="9" s="1"/>
  <c r="DA155" i="9" s="1"/>
  <c r="BD140" i="9"/>
  <c r="CN140" i="9" s="1"/>
  <c r="BJ140" i="9"/>
  <c r="BK136" i="9"/>
  <c r="BE136" i="9"/>
  <c r="CO136" i="9" s="1"/>
  <c r="AV102" i="9"/>
  <c r="CF102" i="9" s="1"/>
  <c r="DA102" i="9" s="1"/>
  <c r="BE147" i="9"/>
  <c r="CO147" i="9" s="1"/>
  <c r="BK147" i="9"/>
  <c r="BG141" i="9"/>
  <c r="CQ141" i="9" s="1"/>
  <c r="BM141" i="9"/>
  <c r="BL25" i="9"/>
  <c r="BF25" i="9"/>
  <c r="CP25" i="9" s="1"/>
  <c r="BB14" i="9"/>
  <c r="CL14" i="9" s="1"/>
  <c r="DB14" i="9" s="1"/>
  <c r="CG14" i="9"/>
  <c r="AV38" i="9"/>
  <c r="CF38" i="9" s="1"/>
  <c r="DA38" i="9" s="1"/>
  <c r="CA38" i="9"/>
  <c r="BU15" i="9"/>
  <c r="AP15" i="9"/>
  <c r="BZ15" i="9" s="1"/>
  <c r="CZ15" i="9" s="1"/>
  <c r="BG79" i="9"/>
  <c r="CQ79" i="9" s="1"/>
  <c r="BM79" i="9"/>
  <c r="BG139" i="9"/>
  <c r="CQ139" i="9" s="1"/>
  <c r="AJ104" i="9"/>
  <c r="BT104" i="9" s="1"/>
  <c r="CY104" i="9" s="1"/>
  <c r="BP104" i="9"/>
  <c r="AJ54" i="9"/>
  <c r="BT54" i="9" s="1"/>
  <c r="CY54" i="9" s="1"/>
  <c r="BF38" i="9"/>
  <c r="CP38" i="9" s="1"/>
  <c r="BL38" i="9"/>
  <c r="AV141" i="9"/>
  <c r="CF141" i="9" s="1"/>
  <c r="DA141" i="9" s="1"/>
  <c r="BP106" i="9"/>
  <c r="AJ106" i="9"/>
  <c r="BT106" i="9" s="1"/>
  <c r="CY106" i="9" s="1"/>
  <c r="CG107" i="9"/>
  <c r="BB107" i="9"/>
  <c r="CL107" i="9" s="1"/>
  <c r="DB107" i="9" s="1"/>
  <c r="BF80" i="9"/>
  <c r="CP80" i="9" s="1"/>
  <c r="BL80" i="9"/>
  <c r="BC81" i="9"/>
  <c r="AD81" i="9"/>
  <c r="BN81" i="9" s="1"/>
  <c r="CX81" i="9" s="1"/>
  <c r="BI81" i="9"/>
  <c r="AV79" i="9"/>
  <c r="CF79" i="9" s="1"/>
  <c r="DA79" i="9" s="1"/>
  <c r="CA79" i="9"/>
  <c r="BC79" i="9"/>
  <c r="BF13" i="9"/>
  <c r="CP13" i="9" s="1"/>
  <c r="BD100" i="9"/>
  <c r="CN100" i="9" s="1"/>
  <c r="BL160" i="9"/>
  <c r="BF160" i="9"/>
  <c r="CP160" i="9" s="1"/>
  <c r="AD143" i="9"/>
  <c r="BN143" i="9" s="1"/>
  <c r="CX143" i="9" s="1"/>
  <c r="BI143" i="9"/>
  <c r="BC143" i="9"/>
  <c r="BD149" i="9"/>
  <c r="CN149" i="9" s="1"/>
  <c r="BJ149" i="9"/>
  <c r="AD184" i="9"/>
  <c r="BN184" i="9" s="1"/>
  <c r="CX184" i="9" s="1"/>
  <c r="BJ152" i="9"/>
  <c r="BD152" i="9"/>
  <c r="CN152" i="9" s="1"/>
  <c r="BC171" i="9"/>
  <c r="AD171" i="9"/>
  <c r="BN171" i="9" s="1"/>
  <c r="CX171" i="9" s="1"/>
  <c r="BI171" i="9"/>
  <c r="BV125" i="9"/>
  <c r="AP125" i="9"/>
  <c r="BZ125" i="9" s="1"/>
  <c r="CZ125" i="9" s="1"/>
  <c r="BU133" i="9"/>
  <c r="AP133" i="9"/>
  <c r="BZ133" i="9" s="1"/>
  <c r="CZ133" i="9" s="1"/>
  <c r="BJ141" i="9"/>
  <c r="BD141" i="9"/>
  <c r="BB96" i="9"/>
  <c r="CL96" i="9" s="1"/>
  <c r="DB96" i="9" s="1"/>
  <c r="CH96" i="9"/>
  <c r="CG155" i="9"/>
  <c r="BB155" i="9"/>
  <c r="CL155" i="9" s="1"/>
  <c r="DB155" i="9" s="1"/>
  <c r="CG33" i="9"/>
  <c r="BB33" i="9"/>
  <c r="CL33" i="9" s="1"/>
  <c r="DB33" i="9" s="1"/>
  <c r="BD81" i="9"/>
  <c r="CN81" i="9" s="1"/>
  <c r="BJ81" i="9"/>
  <c r="BF54" i="9"/>
  <c r="CP54" i="9" s="1"/>
  <c r="BL54" i="9"/>
  <c r="BG38" i="9"/>
  <c r="CQ38" i="9" s="1"/>
  <c r="BM38" i="9"/>
  <c r="AP25" i="9"/>
  <c r="BZ25" i="9" s="1"/>
  <c r="CZ25" i="9" s="1"/>
  <c r="AJ15" i="9"/>
  <c r="BT15" i="9" s="1"/>
  <c r="CY15" i="9" s="1"/>
  <c r="BO15" i="9"/>
  <c r="BF36" i="9"/>
  <c r="CP36" i="9" s="1"/>
  <c r="CD36" i="9"/>
  <c r="BK156" i="9"/>
  <c r="BE156" i="9"/>
  <c r="CO156" i="9" s="1"/>
  <c r="AD156" i="9"/>
  <c r="BN156" i="9" s="1"/>
  <c r="CX156" i="9" s="1"/>
  <c r="BG156" i="9"/>
  <c r="CQ156" i="9" s="1"/>
  <c r="AP186" i="9"/>
  <c r="BZ186" i="9" s="1"/>
  <c r="CZ186" i="9" s="1"/>
  <c r="BU186" i="9"/>
  <c r="AP192" i="9"/>
  <c r="BZ192" i="9" s="1"/>
  <c r="CZ192" i="9" s="1"/>
  <c r="BE186" i="9"/>
  <c r="CO186" i="9" s="1"/>
  <c r="BK186" i="9"/>
  <c r="BE168" i="9"/>
  <c r="CO168" i="9" s="1"/>
  <c r="BK168" i="9"/>
  <c r="AV168" i="9"/>
  <c r="CF168" i="9" s="1"/>
  <c r="DA168" i="9" s="1"/>
  <c r="AV142" i="9"/>
  <c r="CF142" i="9" s="1"/>
  <c r="DA142" i="9" s="1"/>
  <c r="BI159" i="9"/>
  <c r="BC159" i="9"/>
  <c r="AD159" i="9"/>
  <c r="BN159" i="9" s="1"/>
  <c r="CX159" i="9" s="1"/>
  <c r="AP200" i="9"/>
  <c r="BZ200" i="9" s="1"/>
  <c r="CZ200" i="9" s="1"/>
  <c r="AJ200" i="9"/>
  <c r="BT200" i="9" s="1"/>
  <c r="CY200" i="9" s="1"/>
  <c r="BO200" i="9"/>
  <c r="BM159" i="9"/>
  <c r="BG159" i="9"/>
  <c r="CQ159" i="9" s="1"/>
  <c r="BI160" i="9"/>
  <c r="AD160" i="9"/>
  <c r="BN160" i="9" s="1"/>
  <c r="CX160" i="9" s="1"/>
  <c r="BC160" i="9"/>
  <c r="BU68" i="9"/>
  <c r="AP68" i="9"/>
  <c r="BZ68" i="9" s="1"/>
  <c r="CZ68" i="9" s="1"/>
  <c r="BV108" i="9"/>
  <c r="BD108" i="9"/>
  <c r="CN108" i="9" s="1"/>
  <c r="BF68" i="9"/>
  <c r="CP68" i="9" s="1"/>
  <c r="BL68" i="9"/>
  <c r="BD199" i="9"/>
  <c r="CN199" i="9" s="1"/>
  <c r="BB97" i="9"/>
  <c r="CL97" i="9" s="1"/>
  <c r="DB97" i="9" s="1"/>
  <c r="BE198" i="9"/>
  <c r="CO198" i="9" s="1"/>
  <c r="BK198" i="9"/>
  <c r="BJ109" i="9"/>
  <c r="BD109" i="9"/>
  <c r="CN109" i="9" s="1"/>
  <c r="BF198" i="9"/>
  <c r="CP198" i="9" s="1"/>
  <c r="BG97" i="9"/>
  <c r="CQ97" i="9" s="1"/>
  <c r="BF98" i="9"/>
  <c r="CP98" i="9" s="1"/>
  <c r="BB110" i="9"/>
  <c r="CL110" i="9" s="1"/>
  <c r="DB110" i="9" s="1"/>
  <c r="CG110" i="9"/>
  <c r="BB47" i="9"/>
  <c r="CL47" i="9" s="1"/>
  <c r="DB47" i="9" s="1"/>
  <c r="CA164" i="9"/>
  <c r="AV164" i="9"/>
  <c r="CF164" i="9" s="1"/>
  <c r="DA164" i="9" s="1"/>
  <c r="AJ163" i="9"/>
  <c r="BT163" i="9" s="1"/>
  <c r="CY163" i="9" s="1"/>
  <c r="BO163" i="9"/>
  <c r="BM47" i="9"/>
  <c r="BG47" i="9"/>
  <c r="CQ47" i="9" s="1"/>
  <c r="BB144" i="9"/>
  <c r="CL144" i="9" s="1"/>
  <c r="DB144" i="9" s="1"/>
  <c r="BG196" i="9"/>
  <c r="CQ196" i="9" s="1"/>
  <c r="BG149" i="9"/>
  <c r="CQ149" i="9" s="1"/>
  <c r="BM149" i="9"/>
  <c r="AP194" i="9"/>
  <c r="BZ194" i="9" s="1"/>
  <c r="CZ194" i="9" s="1"/>
  <c r="CG112" i="9"/>
  <c r="BB112" i="9"/>
  <c r="CL112" i="9" s="1"/>
  <c r="DB112" i="9" s="1"/>
  <c r="AP164" i="9"/>
  <c r="BZ164" i="9" s="1"/>
  <c r="CZ164" i="9" s="1"/>
  <c r="BL149" i="9"/>
  <c r="BF149" i="9"/>
  <c r="CP149" i="9" s="1"/>
  <c r="CA195" i="9"/>
  <c r="AV195" i="9"/>
  <c r="CF195" i="9" s="1"/>
  <c r="DA195" i="9" s="1"/>
  <c r="BL184" i="9"/>
  <c r="BF184" i="9"/>
  <c r="CP184" i="9" s="1"/>
  <c r="BJ189" i="9"/>
  <c r="BD189" i="9"/>
  <c r="CN189" i="9" s="1"/>
  <c r="BE112" i="9"/>
  <c r="CO112" i="9" s="1"/>
  <c r="BE191" i="9"/>
  <c r="CO191" i="9" s="1"/>
  <c r="BB184" i="9"/>
  <c r="CL184" i="9" s="1"/>
  <c r="DB184" i="9" s="1"/>
  <c r="CG184" i="9"/>
  <c r="BC184" i="9"/>
  <c r="CG187" i="9"/>
  <c r="BB187" i="9"/>
  <c r="CL187" i="9" s="1"/>
  <c r="DB187" i="9" s="1"/>
  <c r="BL195" i="9"/>
  <c r="BF195" i="9"/>
  <c r="CP195" i="9" s="1"/>
  <c r="BI181" i="9"/>
  <c r="AD181" i="9"/>
  <c r="BN181" i="9" s="1"/>
  <c r="CX181" i="9" s="1"/>
  <c r="BC181" i="9"/>
  <c r="BB21" i="9"/>
  <c r="CL21" i="9" s="1"/>
  <c r="DB21" i="9" s="1"/>
  <c r="BF117" i="9"/>
  <c r="CP117" i="9" s="1"/>
  <c r="BL117" i="9"/>
  <c r="BF150" i="9"/>
  <c r="CP150" i="9" s="1"/>
  <c r="BL150" i="9"/>
  <c r="BB185" i="9"/>
  <c r="CL185" i="9" s="1"/>
  <c r="DB185" i="9" s="1"/>
  <c r="BF111" i="9"/>
  <c r="CP111" i="9" s="1"/>
  <c r="BE187" i="9"/>
  <c r="CO187" i="9" s="1"/>
  <c r="BI37" i="9"/>
  <c r="AD37" i="9"/>
  <c r="BN37" i="9" s="1"/>
  <c r="CX37" i="9" s="1"/>
  <c r="BC37" i="9"/>
  <c r="BG114" i="9"/>
  <c r="CQ114" i="9" s="1"/>
  <c r="AV37" i="9"/>
  <c r="CF37" i="9" s="1"/>
  <c r="DA37" i="9" s="1"/>
  <c r="AD116" i="9"/>
  <c r="BN116" i="9" s="1"/>
  <c r="CX116" i="9" s="1"/>
  <c r="BM43" i="9"/>
  <c r="BG43" i="9"/>
  <c r="CQ43" i="9" s="1"/>
  <c r="AJ117" i="9"/>
  <c r="BT117" i="9" s="1"/>
  <c r="CY117" i="9" s="1"/>
  <c r="BC170" i="9"/>
  <c r="BK180" i="9"/>
  <c r="BE180" i="9"/>
  <c r="CO180" i="9" s="1"/>
  <c r="BB119" i="9"/>
  <c r="CL119" i="9" s="1"/>
  <c r="DB119" i="9" s="1"/>
  <c r="BF37" i="9"/>
  <c r="CP37" i="9" s="1"/>
  <c r="BC182" i="9"/>
  <c r="CA42" i="9"/>
  <c r="AV42" i="9"/>
  <c r="CF42" i="9" s="1"/>
  <c r="DA42" i="9" s="1"/>
  <c r="BM179" i="9"/>
  <c r="BG179" i="9"/>
  <c r="CQ179" i="9" s="1"/>
  <c r="BU42" i="9"/>
  <c r="AP42" i="9"/>
  <c r="BZ42" i="9" s="1"/>
  <c r="CZ42" i="9" s="1"/>
  <c r="BK172" i="9"/>
  <c r="BE172" i="9"/>
  <c r="CO172" i="9" s="1"/>
  <c r="BL178" i="9"/>
  <c r="BF178" i="9"/>
  <c r="CP178" i="9" s="1"/>
  <c r="CG145" i="9"/>
  <c r="BB145" i="9"/>
  <c r="CL145" i="9" s="1"/>
  <c r="DB145" i="9" s="1"/>
  <c r="BL154" i="9"/>
  <c r="BF154" i="9"/>
  <c r="CP154" i="9" s="1"/>
  <c r="AV151" i="9"/>
  <c r="CF151" i="9" s="1"/>
  <c r="DA151" i="9" s="1"/>
  <c r="BG31" i="9"/>
  <c r="CQ31" i="9" s="1"/>
  <c r="BM31" i="9"/>
  <c r="BF119" i="9"/>
  <c r="CP119" i="9" s="1"/>
  <c r="AV118" i="9"/>
  <c r="CF118" i="9" s="1"/>
  <c r="DA118" i="9" s="1"/>
  <c r="AP119" i="9"/>
  <c r="BZ119" i="9" s="1"/>
  <c r="CZ119" i="9" s="1"/>
  <c r="AP178" i="9"/>
  <c r="BZ178" i="9" s="1"/>
  <c r="CZ178" i="9" s="1"/>
  <c r="BB166" i="9"/>
  <c r="CL166" i="9" s="1"/>
  <c r="DB166" i="9" s="1"/>
  <c r="CH166" i="9"/>
  <c r="CG167" i="9"/>
  <c r="BB167" i="9"/>
  <c r="CL167" i="9" s="1"/>
  <c r="DB167" i="9" s="1"/>
  <c r="AJ166" i="9"/>
  <c r="BT166" i="9" s="1"/>
  <c r="CY166" i="9" s="1"/>
  <c r="BF167" i="9"/>
  <c r="CP167" i="9" s="1"/>
  <c r="BK41" i="9"/>
  <c r="BE41" i="9"/>
  <c r="CO41" i="9" s="1"/>
  <c r="BM11" i="9"/>
  <c r="BG11" i="9"/>
  <c r="CQ11" i="9" s="1"/>
  <c r="BJ65" i="9"/>
  <c r="BD65" i="9"/>
  <c r="CN65" i="9" s="1"/>
  <c r="BD85" i="9"/>
  <c r="CN85" i="9" s="1"/>
  <c r="BJ85" i="9"/>
  <c r="BL65" i="9"/>
  <c r="BF65" i="9"/>
  <c r="CP65" i="9" s="1"/>
  <c r="BB85" i="9"/>
  <c r="CL85" i="9" s="1"/>
  <c r="DB85" i="9" s="1"/>
  <c r="CI85" i="9"/>
  <c r="BD40" i="9"/>
  <c r="CN40" i="9" s="1"/>
  <c r="BV40" i="9"/>
  <c r="BE92" i="9"/>
  <c r="CO92" i="9" s="1"/>
  <c r="BL85" i="9"/>
  <c r="BF85" i="9"/>
  <c r="CP85" i="9" s="1"/>
  <c r="BK83" i="9"/>
  <c r="BE83" i="9"/>
  <c r="CO83" i="9" s="1"/>
  <c r="AV175" i="9"/>
  <c r="CF175" i="9" s="1"/>
  <c r="DA175" i="9" s="1"/>
  <c r="BS64" i="9"/>
  <c r="AJ64" i="9"/>
  <c r="BT64" i="9" s="1"/>
  <c r="CY64" i="9" s="1"/>
  <c r="BJ32" i="9"/>
  <c r="BD32" i="9"/>
  <c r="CN32" i="9" s="1"/>
  <c r="BM10" i="9"/>
  <c r="BG10" i="9"/>
  <c r="CQ10" i="9" s="1"/>
  <c r="CG127" i="9"/>
  <c r="BB127" i="9"/>
  <c r="CL127" i="9" s="1"/>
  <c r="DB127" i="9" s="1"/>
  <c r="AV120" i="9"/>
  <c r="CF120" i="9" s="1"/>
  <c r="DA120" i="9" s="1"/>
  <c r="CA120" i="9"/>
  <c r="BJ52" i="9"/>
  <c r="BD52" i="9"/>
  <c r="CN52" i="9" s="1"/>
  <c r="BE127" i="9"/>
  <c r="CO127" i="9" s="1"/>
  <c r="BK127" i="9"/>
  <c r="AP40" i="9"/>
  <c r="BZ40" i="9" s="1"/>
  <c r="CZ40" i="9" s="1"/>
  <c r="BF64" i="9"/>
  <c r="CP64" i="9" s="1"/>
  <c r="BF121" i="9"/>
  <c r="CP121" i="9" s="1"/>
  <c r="BL121" i="9"/>
  <c r="BM135" i="9"/>
  <c r="BG135" i="9"/>
  <c r="CQ135" i="9" s="1"/>
  <c r="BM53" i="9"/>
  <c r="BG53" i="9"/>
  <c r="CQ53" i="9" s="1"/>
  <c r="CG125" i="9"/>
  <c r="BB125" i="9"/>
  <c r="CL125" i="9" s="1"/>
  <c r="DB125" i="9" s="1"/>
  <c r="BI158" i="9"/>
  <c r="AD158" i="9"/>
  <c r="BN158" i="9" s="1"/>
  <c r="CX158" i="9" s="1"/>
  <c r="BC158" i="9"/>
  <c r="BK122" i="9"/>
  <c r="BE122" i="9"/>
  <c r="CO122" i="9" s="1"/>
  <c r="BC127" i="9"/>
  <c r="BL53" i="9"/>
  <c r="BF53" i="9"/>
  <c r="CP53" i="9" s="1"/>
  <c r="BF102" i="9"/>
  <c r="CP102" i="9" s="1"/>
  <c r="BL102" i="9"/>
  <c r="BC133" i="9"/>
  <c r="BI161" i="9"/>
  <c r="AD161" i="9"/>
  <c r="BN161" i="9" s="1"/>
  <c r="CX161" i="9" s="1"/>
  <c r="BC161" i="9"/>
  <c r="BM124" i="9"/>
  <c r="BG124" i="9"/>
  <c r="CQ124" i="9" s="1"/>
  <c r="BI134" i="9"/>
  <c r="AD134" i="9"/>
  <c r="BN134" i="9" s="1"/>
  <c r="CX134" i="9" s="1"/>
  <c r="BC134" i="9"/>
  <c r="BG162" i="9"/>
  <c r="CQ162" i="9" s="1"/>
  <c r="AV125" i="9"/>
  <c r="CF125" i="9" s="1"/>
  <c r="DA125" i="9" s="1"/>
  <c r="CA126" i="9"/>
  <c r="AV126" i="9"/>
  <c r="CF126" i="9" s="1"/>
  <c r="DA126" i="9" s="1"/>
  <c r="BF133" i="9"/>
  <c r="CP133" i="9" s="1"/>
  <c r="BL45" i="9"/>
  <c r="BF45" i="9"/>
  <c r="CP45" i="9" s="1"/>
  <c r="BK33" i="9"/>
  <c r="BE33" i="9"/>
  <c r="CO33" i="9" s="1"/>
  <c r="BB18" i="9"/>
  <c r="CL18" i="9" s="1"/>
  <c r="DB18" i="9" s="1"/>
  <c r="CH18" i="9"/>
  <c r="BB23" i="9"/>
  <c r="CL23" i="9" s="1"/>
  <c r="DB23" i="9" s="1"/>
  <c r="BM45" i="9"/>
  <c r="BG45" i="9"/>
  <c r="CQ45" i="9" s="1"/>
  <c r="BE138" i="9"/>
  <c r="CO138" i="9" s="1"/>
  <c r="BF147" i="9"/>
  <c r="CP147" i="9" s="1"/>
  <c r="BD96" i="9"/>
  <c r="AD96" i="9"/>
  <c r="BN96" i="9" s="1"/>
  <c r="CX96" i="9" s="1"/>
  <c r="BJ96" i="9"/>
  <c r="BC105" i="9"/>
  <c r="AD105" i="9"/>
  <c r="BN105" i="9" s="1"/>
  <c r="CX105" i="9" s="1"/>
  <c r="BI105" i="9"/>
  <c r="BE54" i="9"/>
  <c r="CO54" i="9" s="1"/>
  <c r="BK54" i="9"/>
  <c r="CA23" i="9"/>
  <c r="AV23" i="9"/>
  <c r="CF23" i="9" s="1"/>
  <c r="DA23" i="9" s="1"/>
  <c r="AP12" i="9"/>
  <c r="BZ12" i="9" s="1"/>
  <c r="CZ12" i="9" s="1"/>
  <c r="BU12" i="9"/>
  <c r="BB104" i="9"/>
  <c r="CL104" i="9" s="1"/>
  <c r="DB104" i="9" s="1"/>
  <c r="CG104" i="9"/>
  <c r="BD105" i="9"/>
  <c r="CN105" i="9" s="1"/>
  <c r="BJ105" i="9"/>
  <c r="AV162" i="9"/>
  <c r="CF162" i="9" s="1"/>
  <c r="DA162" i="9" s="1"/>
  <c r="BM102" i="9"/>
  <c r="BG102" i="9"/>
  <c r="CQ102" i="9" s="1"/>
  <c r="BP140" i="9"/>
  <c r="AJ140" i="9"/>
  <c r="BT140" i="9" s="1"/>
  <c r="CY140" i="9" s="1"/>
  <c r="BB137" i="9"/>
  <c r="CL137" i="9" s="1"/>
  <c r="DB137" i="9" s="1"/>
  <c r="AJ102" i="9"/>
  <c r="BT102" i="9" s="1"/>
  <c r="CY102" i="9" s="1"/>
  <c r="BL139" i="9"/>
  <c r="BF139" i="9"/>
  <c r="CP139" i="9" s="1"/>
  <c r="BF33" i="9"/>
  <c r="CP33" i="9" s="1"/>
  <c r="BL14" i="9"/>
  <c r="BF14" i="9"/>
  <c r="CP14" i="9" s="1"/>
  <c r="CA82" i="9"/>
  <c r="AV82" i="9"/>
  <c r="CF82" i="9" s="1"/>
  <c r="DA82" i="9" s="1"/>
  <c r="AJ25" i="9"/>
  <c r="BT25" i="9" s="1"/>
  <c r="CY25" i="9" s="1"/>
  <c r="BD13" i="9"/>
  <c r="CN13" i="9" s="1"/>
  <c r="BJ13" i="9"/>
  <c r="AD14" i="9"/>
  <c r="BN14" i="9" s="1"/>
  <c r="CX14" i="9" s="1"/>
  <c r="BC14" i="9"/>
  <c r="BI14" i="9"/>
  <c r="BU81" i="9"/>
  <c r="AP81" i="9"/>
  <c r="BZ81" i="9" s="1"/>
  <c r="CZ81" i="9" s="1"/>
  <c r="BU38" i="9"/>
  <c r="AP38" i="9"/>
  <c r="BZ38" i="9" s="1"/>
  <c r="CZ38" i="9" s="1"/>
  <c r="AJ105" i="9"/>
  <c r="BT105" i="9" s="1"/>
  <c r="CY105" i="9" s="1"/>
  <c r="BL55" i="9"/>
  <c r="BF55" i="9"/>
  <c r="CP55" i="9" s="1"/>
  <c r="BJ15" i="9"/>
  <c r="BD15" i="9"/>
  <c r="CN15" i="9" s="1"/>
  <c r="CA81" i="9"/>
  <c r="AV81" i="9"/>
  <c r="CF81" i="9" s="1"/>
  <c r="DA81" i="9" s="1"/>
  <c r="BI107" i="9"/>
  <c r="AD107" i="9"/>
  <c r="BN107" i="9" s="1"/>
  <c r="CX107" i="9" s="1"/>
  <c r="BC107" i="9"/>
  <c r="AP99" i="9"/>
  <c r="BZ99" i="9" s="1"/>
  <c r="CZ99" i="9" s="1"/>
  <c r="BU99" i="9"/>
  <c r="BM15" i="9"/>
  <c r="BG15" i="9"/>
  <c r="CQ15" i="9" s="1"/>
  <c r="BG72" i="9"/>
  <c r="CQ72" i="9" s="1"/>
  <c r="BM72" i="9"/>
  <c r="AJ81" i="9"/>
  <c r="BT81" i="9" s="1"/>
  <c r="CY81" i="9" s="1"/>
  <c r="BO81" i="9"/>
  <c r="BB100" i="9"/>
  <c r="CL100" i="9" s="1"/>
  <c r="DB100" i="9" s="1"/>
  <c r="AP16" i="9"/>
  <c r="BZ16" i="9" s="1"/>
  <c r="CZ16" i="9" s="1"/>
  <c r="AD79" i="9"/>
  <c r="BN79" i="9" s="1"/>
  <c r="CX79" i="9" s="1"/>
  <c r="BE14" i="9"/>
  <c r="CO14" i="9" s="1"/>
  <c r="BJ38" i="9"/>
  <c r="BD38" i="9"/>
  <c r="CN38" i="9" s="1"/>
  <c r="BE190" i="9"/>
  <c r="CO190" i="9" s="1"/>
  <c r="BK190" i="9"/>
  <c r="BJ181" i="9"/>
  <c r="BD181" i="9"/>
  <c r="CN181" i="9" s="1"/>
  <c r="BE188" i="9"/>
  <c r="CO188" i="9" s="1"/>
  <c r="BK188" i="9"/>
  <c r="BI43" i="9"/>
  <c r="AD43" i="9"/>
  <c r="BN43" i="9" s="1"/>
  <c r="CX43" i="9" s="1"/>
  <c r="BC43" i="9"/>
  <c r="AP30" i="9"/>
  <c r="BZ30" i="9" s="1"/>
  <c r="CZ30" i="9" s="1"/>
  <c r="BV30" i="9"/>
  <c r="BE30" i="9"/>
  <c r="CO30" i="9" s="1"/>
  <c r="BK30" i="9"/>
  <c r="BG119" i="9"/>
  <c r="CQ119" i="9" s="1"/>
  <c r="BG41" i="9"/>
  <c r="CQ41" i="9" s="1"/>
  <c r="BM41" i="9"/>
  <c r="BI32" i="9"/>
  <c r="AD32" i="9"/>
  <c r="BN32" i="9" s="1"/>
  <c r="CX32" i="9" s="1"/>
  <c r="BC32" i="9"/>
  <c r="BM92" i="9"/>
  <c r="BG92" i="9"/>
  <c r="CQ92" i="9" s="1"/>
  <c r="BD128" i="9"/>
  <c r="CN128" i="9" s="1"/>
  <c r="BJ128" i="9"/>
  <c r="BK120" i="9"/>
  <c r="BE120" i="9"/>
  <c r="CO120" i="9" s="1"/>
  <c r="AV131" i="9"/>
  <c r="CF131" i="9" s="1"/>
  <c r="DA131" i="9" s="1"/>
  <c r="BM140" i="9"/>
  <c r="BG140" i="9"/>
  <c r="CQ140" i="9" s="1"/>
  <c r="BD120" i="9"/>
  <c r="CN120" i="9" s="1"/>
  <c r="BJ120" i="9"/>
  <c r="BC44" i="9"/>
  <c r="BM104" i="9"/>
  <c r="BG104" i="9"/>
  <c r="CQ104" i="9" s="1"/>
  <c r="BU95" i="9"/>
  <c r="AP95" i="9"/>
  <c r="BZ95" i="9" s="1"/>
  <c r="CZ95" i="9" s="1"/>
  <c r="BF192" i="9"/>
  <c r="CP192" i="9" s="1"/>
  <c r="AV192" i="9"/>
  <c r="CF192" i="9" s="1"/>
  <c r="DA192" i="9" s="1"/>
  <c r="BJ192" i="9"/>
  <c r="BD192" i="9"/>
  <c r="CN192" i="9" s="1"/>
  <c r="BB156" i="9"/>
  <c r="CL156" i="9" s="1"/>
  <c r="DB156" i="9" s="1"/>
  <c r="AJ186" i="9"/>
  <c r="BT186" i="9" s="1"/>
  <c r="CY186" i="9" s="1"/>
  <c r="BO186" i="9"/>
  <c r="BD186" i="9"/>
  <c r="CN186" i="9" s="1"/>
  <c r="BJ186" i="9"/>
  <c r="AP165" i="9"/>
  <c r="BZ165" i="9" s="1"/>
  <c r="CZ165" i="9" s="1"/>
  <c r="BU165" i="9"/>
  <c r="AD186" i="9"/>
  <c r="BN186" i="9" s="1"/>
  <c r="CX186" i="9" s="1"/>
  <c r="BG165" i="9"/>
  <c r="CQ165" i="9" s="1"/>
  <c r="BJ168" i="9"/>
  <c r="BD168" i="9"/>
  <c r="CN168" i="9" s="1"/>
  <c r="CH197" i="9"/>
  <c r="BB197" i="9"/>
  <c r="CL197" i="9" s="1"/>
  <c r="DB197" i="9" s="1"/>
  <c r="BG142" i="9"/>
  <c r="CQ142" i="9" s="1"/>
  <c r="BM142" i="9"/>
  <c r="BE199" i="9"/>
  <c r="CO199" i="9" s="1"/>
  <c r="BK199" i="9"/>
  <c r="BJ200" i="9"/>
  <c r="BD200" i="9"/>
  <c r="CN200" i="9" s="1"/>
  <c r="AV200" i="9"/>
  <c r="CF200" i="9" s="1"/>
  <c r="DA200" i="9" s="1"/>
  <c r="AV159" i="9"/>
  <c r="CF159" i="9" s="1"/>
  <c r="DA159" i="9" s="1"/>
  <c r="BE142" i="9"/>
  <c r="CO142" i="9" s="1"/>
  <c r="BD68" i="9"/>
  <c r="CN68" i="9" s="1"/>
  <c r="BJ68" i="9"/>
  <c r="BF200" i="9"/>
  <c r="CP200" i="9" s="1"/>
  <c r="AP160" i="9"/>
  <c r="BZ160" i="9" s="1"/>
  <c r="CZ160" i="9" s="1"/>
  <c r="BG56" i="9"/>
  <c r="CQ56" i="9" s="1"/>
  <c r="BD97" i="9"/>
  <c r="CN97" i="9" s="1"/>
  <c r="AJ198" i="9"/>
  <c r="BT198" i="9" s="1"/>
  <c r="CY198" i="9" s="1"/>
  <c r="BQ198" i="9"/>
  <c r="AV98" i="9"/>
  <c r="CF98" i="9" s="1"/>
  <c r="DA98" i="9" s="1"/>
  <c r="AJ108" i="9"/>
  <c r="BT108" i="9" s="1"/>
  <c r="CY108" i="9" s="1"/>
  <c r="AP97" i="9"/>
  <c r="BZ97" i="9" s="1"/>
  <c r="CZ97" i="9" s="1"/>
  <c r="AD98" i="9"/>
  <c r="BN98" i="9" s="1"/>
  <c r="CX98" i="9" s="1"/>
  <c r="BG108" i="9"/>
  <c r="CQ108" i="9" s="1"/>
  <c r="AV198" i="9"/>
  <c r="CF198" i="9" s="1"/>
  <c r="DA198" i="9" s="1"/>
  <c r="BK196" i="9"/>
  <c r="BE196" i="9"/>
  <c r="CO196" i="9" s="1"/>
  <c r="BE144" i="9"/>
  <c r="CO144" i="9" s="1"/>
  <c r="BC196" i="9"/>
  <c r="BE164" i="9"/>
  <c r="CO164" i="9" s="1"/>
  <c r="BK164" i="9"/>
  <c r="BS47" i="9"/>
  <c r="AJ47" i="9"/>
  <c r="BT47" i="9" s="1"/>
  <c r="CY47" i="9" s="1"/>
  <c r="BU47" i="9"/>
  <c r="AP47" i="9"/>
  <c r="BZ47" i="9" s="1"/>
  <c r="CZ47" i="9" s="1"/>
  <c r="BE194" i="9"/>
  <c r="CO194" i="9" s="1"/>
  <c r="BD111" i="9"/>
  <c r="CN111" i="9" s="1"/>
  <c r="BJ111" i="9"/>
  <c r="AD111" i="9"/>
  <c r="BN111" i="9" s="1"/>
  <c r="CX111" i="9" s="1"/>
  <c r="BE110" i="9"/>
  <c r="CO110" i="9" s="1"/>
  <c r="BK110" i="9"/>
  <c r="AP112" i="9"/>
  <c r="BZ112" i="9" s="1"/>
  <c r="CZ112" i="9" s="1"/>
  <c r="AD189" i="9"/>
  <c r="BN189" i="9" s="1"/>
  <c r="CX189" i="9" s="1"/>
  <c r="BD193" i="9"/>
  <c r="CN193" i="9" s="1"/>
  <c r="BJ193" i="9"/>
  <c r="BB149" i="9"/>
  <c r="CL149" i="9" s="1"/>
  <c r="DB149" i="9" s="1"/>
  <c r="BB189" i="9"/>
  <c r="CL189" i="9" s="1"/>
  <c r="DB189" i="9" s="1"/>
  <c r="BJ8" i="9"/>
  <c r="BD8" i="9"/>
  <c r="CN8" i="9" s="1"/>
  <c r="BI187" i="9"/>
  <c r="AD187" i="9"/>
  <c r="BN187" i="9" s="1"/>
  <c r="CX187" i="9" s="1"/>
  <c r="BC187" i="9"/>
  <c r="AJ181" i="9"/>
  <c r="BT181" i="9" s="1"/>
  <c r="CY181" i="9" s="1"/>
  <c r="BO181" i="9"/>
  <c r="BB8" i="9"/>
  <c r="CL8" i="9" s="1"/>
  <c r="DB8" i="9" s="1"/>
  <c r="BE193" i="9"/>
  <c r="CO193" i="9" s="1"/>
  <c r="BG37" i="9"/>
  <c r="CQ37" i="9" s="1"/>
  <c r="BM37" i="9"/>
  <c r="AV117" i="9"/>
  <c r="CF117" i="9" s="1"/>
  <c r="DA117" i="9" s="1"/>
  <c r="CB117" i="9"/>
  <c r="BE170" i="9"/>
  <c r="CO170" i="9" s="1"/>
  <c r="BK170" i="9"/>
  <c r="AJ189" i="9"/>
  <c r="BT189" i="9" s="1"/>
  <c r="CY189" i="9" s="1"/>
  <c r="BG191" i="9"/>
  <c r="CQ191" i="9" s="1"/>
  <c r="BJ183" i="9"/>
  <c r="BD183" i="9"/>
  <c r="CN183" i="9" s="1"/>
  <c r="AJ182" i="9"/>
  <c r="BT182" i="9" s="1"/>
  <c r="CY182" i="9" s="1"/>
  <c r="BD37" i="9"/>
  <c r="CN37" i="9" s="1"/>
  <c r="BM117" i="9"/>
  <c r="BG117" i="9"/>
  <c r="CQ117" i="9" s="1"/>
  <c r="CA115" i="9"/>
  <c r="AV115" i="9"/>
  <c r="CF115" i="9" s="1"/>
  <c r="DA115" i="9" s="1"/>
  <c r="BB118" i="9"/>
  <c r="CL118" i="9" s="1"/>
  <c r="DB118" i="9" s="1"/>
  <c r="BG20" i="9"/>
  <c r="CQ20" i="9" s="1"/>
  <c r="BC50" i="9"/>
  <c r="CA180" i="9"/>
  <c r="AV180" i="9"/>
  <c r="CF180" i="9" s="1"/>
  <c r="DA180" i="9" s="1"/>
  <c r="BV174" i="9"/>
  <c r="BD174" i="9"/>
  <c r="CN174" i="9" s="1"/>
  <c r="BI178" i="9"/>
  <c r="AD178" i="9"/>
  <c r="BN178" i="9" s="1"/>
  <c r="CX178" i="9" s="1"/>
  <c r="BC178" i="9"/>
  <c r="AP182" i="9"/>
  <c r="BZ182" i="9" s="1"/>
  <c r="CZ182" i="9" s="1"/>
  <c r="BJ43" i="9"/>
  <c r="BD43" i="9"/>
  <c r="CN43" i="9" s="1"/>
  <c r="BJ178" i="9"/>
  <c r="BD178" i="9"/>
  <c r="CN178" i="9" s="1"/>
  <c r="BD185" i="9"/>
  <c r="CN185" i="9" s="1"/>
  <c r="BB180" i="9"/>
  <c r="CL180" i="9" s="1"/>
  <c r="DB180" i="9" s="1"/>
  <c r="CG180" i="9"/>
  <c r="AJ43" i="9"/>
  <c r="BT43" i="9" s="1"/>
  <c r="CY43" i="9" s="1"/>
  <c r="BF116" i="9"/>
  <c r="CP116" i="9" s="1"/>
  <c r="AV43" i="9"/>
  <c r="CF43" i="9" s="1"/>
  <c r="DA43" i="9" s="1"/>
  <c r="BI145" i="9"/>
  <c r="AD145" i="9"/>
  <c r="BN145" i="9" s="1"/>
  <c r="CX145" i="9" s="1"/>
  <c r="BC145" i="9"/>
  <c r="AV179" i="9"/>
  <c r="CF179" i="9" s="1"/>
  <c r="DA179" i="9" s="1"/>
  <c r="BF30" i="9"/>
  <c r="CP30" i="9" s="1"/>
  <c r="BL30" i="9"/>
  <c r="AP173" i="9"/>
  <c r="BZ173" i="9" s="1"/>
  <c r="CZ173" i="9" s="1"/>
  <c r="BG118" i="9"/>
  <c r="CQ118" i="9" s="1"/>
  <c r="CA30" i="9"/>
  <c r="AV30" i="9"/>
  <c r="CF30" i="9" s="1"/>
  <c r="DA30" i="9" s="1"/>
  <c r="BD154" i="9"/>
  <c r="CN154" i="9" s="1"/>
  <c r="BJ154" i="9"/>
  <c r="AV145" i="9"/>
  <c r="CF145" i="9" s="1"/>
  <c r="DA145" i="9" s="1"/>
  <c r="AP154" i="9"/>
  <c r="BZ154" i="9" s="1"/>
  <c r="CZ154" i="9" s="1"/>
  <c r="BB9" i="9"/>
  <c r="CL9" i="9" s="1"/>
  <c r="DB9" i="9" s="1"/>
  <c r="CG9" i="9"/>
  <c r="BE167" i="9"/>
  <c r="CO167" i="9" s="1"/>
  <c r="BF177" i="9"/>
  <c r="CP177" i="9" s="1"/>
  <c r="BM154" i="9"/>
  <c r="BG154" i="9"/>
  <c r="CQ154" i="9" s="1"/>
  <c r="BD171" i="9"/>
  <c r="CN171" i="9" s="1"/>
  <c r="BK63" i="9"/>
  <c r="BE63" i="9"/>
  <c r="CO63" i="9" s="1"/>
  <c r="BB66" i="9"/>
  <c r="CL66" i="9" s="1"/>
  <c r="DB66" i="9" s="1"/>
  <c r="CG66" i="9"/>
  <c r="BD153" i="9"/>
  <c r="CN153" i="9" s="1"/>
  <c r="CC9" i="9"/>
  <c r="AV9" i="9"/>
  <c r="CF9" i="9" s="1"/>
  <c r="DA9" i="9" s="1"/>
  <c r="CG11" i="9"/>
  <c r="BB11" i="9"/>
  <c r="CL11" i="9" s="1"/>
  <c r="DB11" i="9" s="1"/>
  <c r="AJ65" i="9"/>
  <c r="BT65" i="9" s="1"/>
  <c r="CY65" i="9" s="1"/>
  <c r="BG85" i="9"/>
  <c r="CQ85" i="9" s="1"/>
  <c r="BB86" i="9"/>
  <c r="CL86" i="9" s="1"/>
  <c r="DB86" i="9" s="1"/>
  <c r="CG86" i="9"/>
  <c r="BD83" i="9"/>
  <c r="CN83" i="9" s="1"/>
  <c r="BJ83" i="9"/>
  <c r="AJ85" i="9"/>
  <c r="BT85" i="9" s="1"/>
  <c r="CY85" i="9" s="1"/>
  <c r="BF63" i="9"/>
  <c r="CP63" i="9" s="1"/>
  <c r="CD63" i="9"/>
  <c r="BG167" i="9"/>
  <c r="CQ167" i="9" s="1"/>
  <c r="AV11" i="9"/>
  <c r="CF11" i="9" s="1"/>
  <c r="DA11" i="9" s="1"/>
  <c r="CA64" i="9"/>
  <c r="AV64" i="9"/>
  <c r="CF64" i="9" s="1"/>
  <c r="DA64" i="9" s="1"/>
  <c r="BF40" i="9"/>
  <c r="CP40" i="9" s="1"/>
  <c r="BD64" i="9"/>
  <c r="CN64" i="9" s="1"/>
  <c r="CE169" i="9"/>
  <c r="AV169" i="9"/>
  <c r="CF169" i="9" s="1"/>
  <c r="DA169" i="9" s="1"/>
  <c r="CG129" i="9"/>
  <c r="BB129" i="9"/>
  <c r="CL129" i="9" s="1"/>
  <c r="DB129" i="9" s="1"/>
  <c r="BO146" i="9"/>
  <c r="AJ146" i="9"/>
  <c r="BT146" i="9" s="1"/>
  <c r="CY146" i="9" s="1"/>
  <c r="AP32" i="9"/>
  <c r="BZ32" i="9" s="1"/>
  <c r="CZ32" i="9" s="1"/>
  <c r="BV131" i="9"/>
  <c r="AP131" i="9"/>
  <c r="BZ131" i="9" s="1"/>
  <c r="CZ131" i="9" s="1"/>
  <c r="BB136" i="9"/>
  <c r="CL136" i="9" s="1"/>
  <c r="DB136" i="9" s="1"/>
  <c r="CG136" i="9"/>
  <c r="BM129" i="9"/>
  <c r="BG129" i="9"/>
  <c r="CQ129" i="9" s="1"/>
  <c r="BU135" i="9"/>
  <c r="AP135" i="9"/>
  <c r="BZ135" i="9" s="1"/>
  <c r="CZ135" i="9" s="1"/>
  <c r="BU53" i="9"/>
  <c r="AP53" i="9"/>
  <c r="BZ53" i="9" s="1"/>
  <c r="CZ53" i="9" s="1"/>
  <c r="AJ158" i="9"/>
  <c r="BT158" i="9" s="1"/>
  <c r="CY158" i="9" s="1"/>
  <c r="BO158" i="9"/>
  <c r="BG146" i="9"/>
  <c r="CQ146" i="9" s="1"/>
  <c r="BU162" i="9"/>
  <c r="AP162" i="9"/>
  <c r="BZ162" i="9" s="1"/>
  <c r="CZ162" i="9" s="1"/>
  <c r="AD127" i="9"/>
  <c r="BN127" i="9" s="1"/>
  <c r="CX127" i="9" s="1"/>
  <c r="BF162" i="9"/>
  <c r="CP162" i="9" s="1"/>
  <c r="BD61" i="9"/>
  <c r="CN61" i="9" s="1"/>
  <c r="BJ61" i="9"/>
  <c r="AJ128" i="9"/>
  <c r="BT128" i="9" s="1"/>
  <c r="CY128" i="9" s="1"/>
  <c r="BC140" i="9"/>
  <c r="BI140" i="9"/>
  <c r="AD140" i="9"/>
  <c r="BN140" i="9" s="1"/>
  <c r="CX140" i="9" s="1"/>
  <c r="AD133" i="9"/>
  <c r="BN133" i="9" s="1"/>
  <c r="CX133" i="9" s="1"/>
  <c r="AJ161" i="9"/>
  <c r="BT161" i="9" s="1"/>
  <c r="CY161" i="9" s="1"/>
  <c r="BO161" i="9"/>
  <c r="BJ123" i="9"/>
  <c r="BD123" i="9"/>
  <c r="CN123" i="9" s="1"/>
  <c r="CG124" i="9"/>
  <c r="BB124" i="9"/>
  <c r="CL124" i="9" s="1"/>
  <c r="DB124" i="9" s="1"/>
  <c r="BK130" i="9"/>
  <c r="BE130" i="9"/>
  <c r="CO130" i="9" s="1"/>
  <c r="BB52" i="9"/>
  <c r="CL52" i="9" s="1"/>
  <c r="DB52" i="9" s="1"/>
  <c r="BM61" i="9"/>
  <c r="BG61" i="9"/>
  <c r="CQ61" i="9" s="1"/>
  <c r="CG22" i="9"/>
  <c r="BB22" i="9"/>
  <c r="CL22" i="9" s="1"/>
  <c r="DB22" i="9" s="1"/>
  <c r="BB102" i="9"/>
  <c r="CL102" i="9" s="1"/>
  <c r="DB102" i="9" s="1"/>
  <c r="BC126" i="9"/>
  <c r="AV134" i="9"/>
  <c r="CF134" i="9" s="1"/>
  <c r="DA134" i="9" s="1"/>
  <c r="AP138" i="9"/>
  <c r="BZ138" i="9" s="1"/>
  <c r="CZ138" i="9" s="1"/>
  <c r="AD18" i="9"/>
  <c r="BN18" i="9" s="1"/>
  <c r="CX18" i="9" s="1"/>
  <c r="BJ18" i="9"/>
  <c r="BD18" i="9"/>
  <c r="CN18" i="9" s="1"/>
  <c r="CG45" i="9"/>
  <c r="BB45" i="9"/>
  <c r="CL45" i="9" s="1"/>
  <c r="DB45" i="9" s="1"/>
  <c r="AV161" i="9"/>
  <c r="CF161" i="9" s="1"/>
  <c r="DA161" i="9" s="1"/>
  <c r="BG22" i="9"/>
  <c r="CQ22" i="9" s="1"/>
  <c r="BJ45" i="9"/>
  <c r="BD45" i="9"/>
  <c r="CN45" i="9" s="1"/>
  <c r="BE102" i="9"/>
  <c r="CO102" i="9" s="1"/>
  <c r="BK102" i="9"/>
  <c r="BE137" i="9"/>
  <c r="CO137" i="9" s="1"/>
  <c r="BK137" i="9"/>
  <c r="BC23" i="9"/>
  <c r="BF137" i="9"/>
  <c r="CP137" i="9" s="1"/>
  <c r="BL137" i="9"/>
  <c r="AV139" i="9"/>
  <c r="CF139" i="9" s="1"/>
  <c r="DA139" i="9" s="1"/>
  <c r="BE104" i="9"/>
  <c r="CO104" i="9" s="1"/>
  <c r="AJ129" i="9"/>
  <c r="BT129" i="9" s="1"/>
  <c r="CY129" i="9" s="1"/>
  <c r="BG33" i="9"/>
  <c r="CQ33" i="9" s="1"/>
  <c r="BC22" i="9"/>
  <c r="BJ139" i="9"/>
  <c r="BD139" i="9"/>
  <c r="CN139" i="9" s="1"/>
  <c r="BK61" i="9"/>
  <c r="BE61" i="9"/>
  <c r="CO61" i="9" s="1"/>
  <c r="AV147" i="9"/>
  <c r="CF147" i="9" s="1"/>
  <c r="DA147" i="9" s="1"/>
  <c r="CA16" i="9"/>
  <c r="AV16" i="9"/>
  <c r="CF16" i="9" s="1"/>
  <c r="DA16" i="9" s="1"/>
  <c r="BD80" i="9"/>
  <c r="CN80" i="9" s="1"/>
  <c r="BJ80" i="9"/>
  <c r="CA15" i="9"/>
  <c r="AV15" i="9"/>
  <c r="CF15" i="9" s="1"/>
  <c r="DA15" i="9" s="1"/>
  <c r="AV72" i="9"/>
  <c r="CF72" i="9" s="1"/>
  <c r="DA72" i="9" s="1"/>
  <c r="CA72" i="9"/>
  <c r="BD137" i="9"/>
  <c r="CN137" i="9" s="1"/>
  <c r="AP139" i="9"/>
  <c r="BZ139" i="9" s="1"/>
  <c r="CZ139" i="9" s="1"/>
  <c r="AJ13" i="9"/>
  <c r="BT13" i="9" s="1"/>
  <c r="CY13" i="9" s="1"/>
  <c r="BP13" i="9"/>
  <c r="AJ14" i="9"/>
  <c r="BT14" i="9" s="1"/>
  <c r="CY14" i="9" s="1"/>
  <c r="BO14" i="9"/>
  <c r="BB38" i="9"/>
  <c r="CL38" i="9" s="1"/>
  <c r="DB38" i="9" s="1"/>
  <c r="BJ14" i="9"/>
  <c r="BD14" i="9"/>
  <c r="CN14" i="9" s="1"/>
  <c r="AJ139" i="9"/>
  <c r="BT139" i="9" s="1"/>
  <c r="CY139" i="9" s="1"/>
  <c r="BG55" i="9"/>
  <c r="CQ55" i="9" s="1"/>
  <c r="AP79" i="9"/>
  <c r="BZ79" i="9" s="1"/>
  <c r="CZ79" i="9" s="1"/>
  <c r="BL107" i="9"/>
  <c r="BF107" i="9"/>
  <c r="CP107" i="9" s="1"/>
  <c r="AJ107" i="9"/>
  <c r="BT107" i="9" s="1"/>
  <c r="CY107" i="9" s="1"/>
  <c r="BO107" i="9"/>
  <c r="CG15" i="9"/>
  <c r="BB15" i="9"/>
  <c r="CL15" i="9" s="1"/>
  <c r="DB15" i="9" s="1"/>
  <c r="BE38" i="9"/>
  <c r="CO38" i="9" s="1"/>
  <c r="BD82" i="9"/>
  <c r="CN82" i="9" s="1"/>
  <c r="BE80" i="9"/>
  <c r="CO80" i="9" s="1"/>
  <c r="BK80" i="9"/>
  <c r="BG82" i="9"/>
  <c r="CQ82" i="9" s="1"/>
  <c r="BC56" i="9"/>
  <c r="BI56" i="9"/>
  <c r="AD56" i="9"/>
  <c r="BN56" i="9" s="1"/>
  <c r="CX56" i="9" s="1"/>
  <c r="AP163" i="9"/>
  <c r="BZ163" i="9" s="1"/>
  <c r="CZ163" i="9" s="1"/>
  <c r="BU163" i="9"/>
  <c r="BJ163" i="9"/>
  <c r="BD163" i="9"/>
  <c r="CN163" i="9" s="1"/>
  <c r="CA8" i="9"/>
  <c r="AV8" i="9"/>
  <c r="CF8" i="9" s="1"/>
  <c r="DA8" i="9" s="1"/>
  <c r="CG178" i="9"/>
  <c r="BB178" i="9"/>
  <c r="CL178" i="9" s="1"/>
  <c r="DB178" i="9" s="1"/>
  <c r="AJ180" i="9"/>
  <c r="BT180" i="9" s="1"/>
  <c r="CY180" i="9" s="1"/>
  <c r="BO180" i="9"/>
  <c r="BL66" i="9"/>
  <c r="BF66" i="9"/>
  <c r="CP66" i="9" s="1"/>
  <c r="BI10" i="9"/>
  <c r="AD10" i="9"/>
  <c r="BN10" i="9" s="1"/>
  <c r="CX10" i="9" s="1"/>
  <c r="BC10" i="9"/>
  <c r="CA63" i="9"/>
  <c r="AV63" i="9"/>
  <c r="CF63" i="9" s="1"/>
  <c r="DA63" i="9" s="1"/>
  <c r="CA101" i="9"/>
  <c r="AV101" i="9"/>
  <c r="CF101" i="9" s="1"/>
  <c r="DA101" i="9" s="1"/>
  <c r="BE131" i="9"/>
  <c r="CO131" i="9" s="1"/>
  <c r="BI82" i="9"/>
  <c r="BC82" i="9"/>
  <c r="AD82" i="9"/>
  <c r="BN82" i="9" s="1"/>
  <c r="CX82" i="9" s="1"/>
  <c r="BL95" i="9"/>
  <c r="BF95" i="9"/>
  <c r="CP95" i="9" s="1"/>
  <c r="BB192" i="9"/>
  <c r="CL192" i="9" s="1"/>
  <c r="DB192" i="9" s="1"/>
  <c r="CG192" i="9"/>
  <c r="CG36" i="9"/>
  <c r="BB36" i="9"/>
  <c r="CL36" i="9" s="1"/>
  <c r="DB36" i="9" s="1"/>
  <c r="BC186" i="9"/>
  <c r="AV36" i="9"/>
  <c r="CF36" i="9" s="1"/>
  <c r="DA36" i="9" s="1"/>
  <c r="BK165" i="9"/>
  <c r="BE165" i="9"/>
  <c r="CO165" i="9" s="1"/>
  <c r="BM168" i="9"/>
  <c r="BG168" i="9"/>
  <c r="CQ168" i="9" s="1"/>
  <c r="AD142" i="9"/>
  <c r="BN142" i="9" s="1"/>
  <c r="CX142" i="9" s="1"/>
  <c r="BF142" i="9"/>
  <c r="CP142" i="9" s="1"/>
  <c r="BB108" i="9"/>
  <c r="CL108" i="9" s="1"/>
  <c r="DB108" i="9" s="1"/>
  <c r="CA57" i="9"/>
  <c r="AV57" i="9"/>
  <c r="CF57" i="9" s="1"/>
  <c r="DA57" i="9" s="1"/>
  <c r="BB98" i="9"/>
  <c r="CL98" i="9" s="1"/>
  <c r="DB98" i="9" s="1"/>
  <c r="BB198" i="9"/>
  <c r="CL198" i="9" s="1"/>
  <c r="DB198" i="9" s="1"/>
  <c r="BL109" i="9"/>
  <c r="BF109" i="9"/>
  <c r="CP109" i="9" s="1"/>
  <c r="AP109" i="9"/>
  <c r="BZ109" i="9" s="1"/>
  <c r="CZ109" i="9" s="1"/>
  <c r="BG198" i="9"/>
  <c r="CQ198" i="9" s="1"/>
  <c r="AP108" i="9"/>
  <c r="BZ108" i="9" s="1"/>
  <c r="CZ108" i="9" s="1"/>
  <c r="AV47" i="9"/>
  <c r="CF47" i="9" s="1"/>
  <c r="DA47" i="9" s="1"/>
  <c r="CA47" i="9"/>
  <c r="CG143" i="9"/>
  <c r="BB143" i="9"/>
  <c r="CL143" i="9" s="1"/>
  <c r="DB143" i="9" s="1"/>
  <c r="BO164" i="9"/>
  <c r="AJ164" i="9"/>
  <c r="BT164" i="9" s="1"/>
  <c r="CY164" i="9" s="1"/>
  <c r="BB196" i="9"/>
  <c r="CL196" i="9" s="1"/>
  <c r="DB196" i="9" s="1"/>
  <c r="BG194" i="9"/>
  <c r="CQ194" i="9" s="1"/>
  <c r="BM194" i="9"/>
  <c r="AP144" i="9"/>
  <c r="BZ144" i="9" s="1"/>
  <c r="CZ144" i="9" s="1"/>
  <c r="BC47" i="9"/>
  <c r="BC164" i="9"/>
  <c r="AD144" i="9"/>
  <c r="BN144" i="9" s="1"/>
  <c r="CX144" i="9" s="1"/>
  <c r="AJ111" i="9"/>
  <c r="BT111" i="9" s="1"/>
  <c r="CY111" i="9" s="1"/>
  <c r="BP111" i="9"/>
  <c r="BE47" i="9"/>
  <c r="CO47" i="9" s="1"/>
  <c r="BV196" i="9"/>
  <c r="BD196" i="9"/>
  <c r="CN196" i="9" s="1"/>
  <c r="AV149" i="9"/>
  <c r="CF149" i="9" s="1"/>
  <c r="DA149" i="9" s="1"/>
  <c r="BD195" i="9"/>
  <c r="CN195" i="9" s="1"/>
  <c r="BC112" i="9"/>
  <c r="AV184" i="9"/>
  <c r="CF184" i="9" s="1"/>
  <c r="DA184" i="9" s="1"/>
  <c r="BE149" i="9"/>
  <c r="CO149" i="9" s="1"/>
  <c r="BG112" i="9"/>
  <c r="CQ112" i="9" s="1"/>
  <c r="BL181" i="9"/>
  <c r="BF181" i="9"/>
  <c r="CP181" i="9" s="1"/>
  <c r="AJ187" i="9"/>
  <c r="BT187" i="9" s="1"/>
  <c r="CY187" i="9" s="1"/>
  <c r="BO187" i="9"/>
  <c r="BU181" i="9"/>
  <c r="AP181" i="9"/>
  <c r="BZ181" i="9" s="1"/>
  <c r="CZ181" i="9" s="1"/>
  <c r="BW114" i="9"/>
  <c r="AP114" i="9"/>
  <c r="BZ114" i="9" s="1"/>
  <c r="CZ114" i="9" s="1"/>
  <c r="BI183" i="9"/>
  <c r="AD183" i="9"/>
  <c r="BN183" i="9" s="1"/>
  <c r="CX183" i="9" s="1"/>
  <c r="BC183" i="9"/>
  <c r="AV190" i="9"/>
  <c r="CF190" i="9" s="1"/>
  <c r="DA190" i="9" s="1"/>
  <c r="BL188" i="9"/>
  <c r="BF188" i="9"/>
  <c r="CP188" i="9" s="1"/>
  <c r="BG184" i="9"/>
  <c r="CQ184" i="9" s="1"/>
  <c r="BE181" i="9"/>
  <c r="CO181" i="9" s="1"/>
  <c r="CG37" i="9"/>
  <c r="BB37" i="9"/>
  <c r="CL37" i="9" s="1"/>
  <c r="DB37" i="9" s="1"/>
  <c r="AV185" i="9"/>
  <c r="CF185" i="9" s="1"/>
  <c r="DA185" i="9" s="1"/>
  <c r="BL182" i="9"/>
  <c r="BF182" i="9"/>
  <c r="CP182" i="9" s="1"/>
  <c r="AJ183" i="9"/>
  <c r="BT183" i="9" s="1"/>
  <c r="CY183" i="9" s="1"/>
  <c r="BG115" i="9"/>
  <c r="CQ115" i="9" s="1"/>
  <c r="AV170" i="9"/>
  <c r="CF170" i="9" s="1"/>
  <c r="DA170" i="9" s="1"/>
  <c r="BO178" i="9"/>
  <c r="AJ178" i="9"/>
  <c r="BT178" i="9" s="1"/>
  <c r="CY178" i="9" s="1"/>
  <c r="BC115" i="9"/>
  <c r="AP21" i="9"/>
  <c r="BZ21" i="9" s="1"/>
  <c r="CZ21" i="9" s="1"/>
  <c r="AD50" i="9"/>
  <c r="BN50" i="9" s="1"/>
  <c r="CX50" i="9" s="1"/>
  <c r="BW118" i="9"/>
  <c r="BE118" i="9"/>
  <c r="CO118" i="9" s="1"/>
  <c r="BE150" i="9"/>
  <c r="CO150" i="9" s="1"/>
  <c r="BW174" i="9"/>
  <c r="BE174" i="9"/>
  <c r="CO174" i="9" s="1"/>
  <c r="BD118" i="9"/>
  <c r="CN118" i="9" s="1"/>
  <c r="AD180" i="9"/>
  <c r="BN180" i="9" s="1"/>
  <c r="CX180" i="9" s="1"/>
  <c r="BC180" i="9"/>
  <c r="BI180" i="9"/>
  <c r="BE117" i="9"/>
  <c r="CO117" i="9" s="1"/>
  <c r="BK117" i="9"/>
  <c r="BG172" i="9"/>
  <c r="CQ172" i="9" s="1"/>
  <c r="BK177" i="9"/>
  <c r="BE177" i="9"/>
  <c r="CO177" i="9" s="1"/>
  <c r="AJ145" i="9"/>
  <c r="BT145" i="9" s="1"/>
  <c r="CY145" i="9" s="1"/>
  <c r="BO145" i="9"/>
  <c r="BD119" i="9"/>
  <c r="CN119" i="9" s="1"/>
  <c r="BE51" i="9"/>
  <c r="CO51" i="9" s="1"/>
  <c r="BG30" i="9"/>
  <c r="CQ30" i="9" s="1"/>
  <c r="BM30" i="9"/>
  <c r="AV51" i="9"/>
  <c r="CF51" i="9" s="1"/>
  <c r="DA51" i="9" s="1"/>
  <c r="BI154" i="9"/>
  <c r="AD154" i="9"/>
  <c r="BN154" i="9" s="1"/>
  <c r="CX154" i="9" s="1"/>
  <c r="BC154" i="9"/>
  <c r="AD179" i="9"/>
  <c r="BN179" i="9" s="1"/>
  <c r="CX179" i="9" s="1"/>
  <c r="AD30" i="9"/>
  <c r="BN30" i="9" s="1"/>
  <c r="CX30" i="9" s="1"/>
  <c r="BJ151" i="9"/>
  <c r="BD151" i="9"/>
  <c r="CN151" i="9" s="1"/>
  <c r="AV31" i="9"/>
  <c r="CF31" i="9" s="1"/>
  <c r="DA31" i="9" s="1"/>
  <c r="CA31" i="9"/>
  <c r="BD177" i="9"/>
  <c r="CN177" i="9" s="1"/>
  <c r="AJ30" i="9"/>
  <c r="BT30" i="9" s="1"/>
  <c r="CY30" i="9" s="1"/>
  <c r="BL151" i="9"/>
  <c r="BF151" i="9"/>
  <c r="CP151" i="9" s="1"/>
  <c r="BF145" i="9"/>
  <c r="CP145" i="9" s="1"/>
  <c r="BK175" i="9"/>
  <c r="BE175" i="9"/>
  <c r="CO175" i="9" s="1"/>
  <c r="BB152" i="9"/>
  <c r="CL152" i="9" s="1"/>
  <c r="DB152" i="9" s="1"/>
  <c r="CI152" i="9"/>
  <c r="BO167" i="9"/>
  <c r="AJ167" i="9"/>
  <c r="BT167" i="9" s="1"/>
  <c r="CY167" i="9" s="1"/>
  <c r="BE153" i="9"/>
  <c r="CO153" i="9" s="1"/>
  <c r="BK153" i="9"/>
  <c r="AD175" i="9"/>
  <c r="BN175" i="9" s="1"/>
  <c r="CX175" i="9" s="1"/>
  <c r="BL153" i="9"/>
  <c r="BF153" i="9"/>
  <c r="CP153" i="9" s="1"/>
  <c r="BF174" i="9"/>
  <c r="CP174" i="9" s="1"/>
  <c r="BB171" i="9"/>
  <c r="CL171" i="9" s="1"/>
  <c r="DB171" i="9" s="1"/>
  <c r="CG171" i="9"/>
  <c r="AD166" i="9"/>
  <c r="BN166" i="9" s="1"/>
  <c r="CX166" i="9" s="1"/>
  <c r="BB63" i="9"/>
  <c r="CL63" i="9" s="1"/>
  <c r="DB63" i="9" s="1"/>
  <c r="CG63" i="9"/>
  <c r="BC66" i="9"/>
  <c r="AD66" i="9"/>
  <c r="BN66" i="9" s="1"/>
  <c r="CX66" i="9" s="1"/>
  <c r="BI66" i="9"/>
  <c r="CG10" i="9"/>
  <c r="BB10" i="9"/>
  <c r="CL10" i="9" s="1"/>
  <c r="DB10" i="9" s="1"/>
  <c r="BI11" i="9"/>
  <c r="BC11" i="9"/>
  <c r="AD11" i="9"/>
  <c r="BN11" i="9" s="1"/>
  <c r="CX11" i="9" s="1"/>
  <c r="CC65" i="9"/>
  <c r="AV65" i="9"/>
  <c r="CF65" i="9" s="1"/>
  <c r="DA65" i="9" s="1"/>
  <c r="CI120" i="9"/>
  <c r="BB120" i="9"/>
  <c r="CL120" i="9" s="1"/>
  <c r="DB120" i="9" s="1"/>
  <c r="BG9" i="9"/>
  <c r="CQ9" i="9" s="1"/>
  <c r="AJ10" i="9"/>
  <c r="BT10" i="9" s="1"/>
  <c r="CY10" i="9" s="1"/>
  <c r="BE86" i="9"/>
  <c r="CO86" i="9" s="1"/>
  <c r="BB40" i="9"/>
  <c r="CL40" i="9" s="1"/>
  <c r="DB40" i="9" s="1"/>
  <c r="AP83" i="9"/>
  <c r="BZ83" i="9" s="1"/>
  <c r="CZ83" i="9" s="1"/>
  <c r="BD101" i="9"/>
  <c r="CN101" i="9" s="1"/>
  <c r="AJ9" i="9"/>
  <c r="BT9" i="9" s="1"/>
  <c r="CY9" i="9" s="1"/>
  <c r="BF86" i="9"/>
  <c r="CP86" i="9" s="1"/>
  <c r="BW40" i="9"/>
  <c r="BE40" i="9"/>
  <c r="CO40" i="9" s="1"/>
  <c r="BG83" i="9"/>
  <c r="CQ83" i="9" s="1"/>
  <c r="BK9" i="9"/>
  <c r="BE9" i="9"/>
  <c r="CO9" i="9" s="1"/>
  <c r="BE10" i="9"/>
  <c r="CO10" i="9" s="1"/>
  <c r="BK10" i="9"/>
  <c r="AD64" i="9"/>
  <c r="BN64" i="9" s="1"/>
  <c r="CX64" i="9" s="1"/>
  <c r="BI41" i="9"/>
  <c r="AD41" i="9"/>
  <c r="BN41" i="9" s="1"/>
  <c r="CX41" i="9" s="1"/>
  <c r="BC41" i="9"/>
  <c r="BG40" i="9"/>
  <c r="CQ40" i="9" s="1"/>
  <c r="BB162" i="9"/>
  <c r="CL162" i="9" s="1"/>
  <c r="DB162" i="9" s="1"/>
  <c r="CG162" i="9"/>
  <c r="BG125" i="9"/>
  <c r="CQ125" i="9" s="1"/>
  <c r="BM125" i="9"/>
  <c r="BG131" i="9"/>
  <c r="CQ131" i="9" s="1"/>
  <c r="BM131" i="9"/>
  <c r="BD134" i="9"/>
  <c r="CN134" i="9" s="1"/>
  <c r="BJ134" i="9"/>
  <c r="BE64" i="9"/>
  <c r="CO64" i="9" s="1"/>
  <c r="BE128" i="9"/>
  <c r="CO128" i="9" s="1"/>
  <c r="BK128" i="9"/>
  <c r="BF131" i="9"/>
  <c r="CP131" i="9" s="1"/>
  <c r="CD131" i="9"/>
  <c r="CB52" i="9"/>
  <c r="AV52" i="9"/>
  <c r="CF52" i="9" s="1"/>
  <c r="DA52" i="9" s="1"/>
  <c r="BG169" i="9"/>
  <c r="CQ169" i="9" s="1"/>
  <c r="BM169" i="9"/>
  <c r="BU129" i="9"/>
  <c r="AP129" i="9"/>
  <c r="BZ129" i="9" s="1"/>
  <c r="CZ129" i="9" s="1"/>
  <c r="CA146" i="9"/>
  <c r="AV146" i="9"/>
  <c r="CF146" i="9" s="1"/>
  <c r="DA146" i="9" s="1"/>
  <c r="AV158" i="9"/>
  <c r="CF158" i="9" s="1"/>
  <c r="DA158" i="9" s="1"/>
  <c r="AP121" i="9"/>
  <c r="BZ121" i="9" s="1"/>
  <c r="CZ121" i="9" s="1"/>
  <c r="BL129" i="9"/>
  <c r="BF129" i="9"/>
  <c r="CP129" i="9" s="1"/>
  <c r="BV133" i="9"/>
  <c r="BD133" i="9"/>
  <c r="CN133" i="9" s="1"/>
  <c r="BX169" i="9"/>
  <c r="BF169" i="9"/>
  <c r="CP169" i="9" s="1"/>
  <c r="BF52" i="9"/>
  <c r="CP52" i="9" s="1"/>
  <c r="BJ146" i="9"/>
  <c r="BD146" i="9"/>
  <c r="CN146" i="9" s="1"/>
  <c r="CB12" i="9"/>
  <c r="AV12" i="9"/>
  <c r="CF12" i="9" s="1"/>
  <c r="DA12" i="9" s="1"/>
  <c r="BV162" i="9"/>
  <c r="BD162" i="9"/>
  <c r="CN162" i="9" s="1"/>
  <c r="AV138" i="9"/>
  <c r="CF138" i="9" s="1"/>
  <c r="DA138" i="9" s="1"/>
  <c r="BP123" i="9"/>
  <c r="AJ123" i="9"/>
  <c r="BT123" i="9" s="1"/>
  <c r="CY123" i="9" s="1"/>
  <c r="BI124" i="9"/>
  <c r="AD124" i="9"/>
  <c r="BN124" i="9" s="1"/>
  <c r="CX124" i="9" s="1"/>
  <c r="BC124" i="9"/>
  <c r="BM134" i="9"/>
  <c r="BG134" i="9"/>
  <c r="CQ134" i="9" s="1"/>
  <c r="BK18" i="9"/>
  <c r="BE18" i="9"/>
  <c r="CO18" i="9" s="1"/>
  <c r="BM44" i="9"/>
  <c r="BG44" i="9"/>
  <c r="CQ44" i="9" s="1"/>
  <c r="BD125" i="9"/>
  <c r="CN125" i="9" s="1"/>
  <c r="AD126" i="9"/>
  <c r="BN126" i="9" s="1"/>
  <c r="CX126" i="9" s="1"/>
  <c r="BD129" i="9"/>
  <c r="CN129" i="9" s="1"/>
  <c r="BF161" i="9"/>
  <c r="CP161" i="9" s="1"/>
  <c r="BL161" i="9"/>
  <c r="BJ23" i="9"/>
  <c r="BD23" i="9"/>
  <c r="CN23" i="9" s="1"/>
  <c r="CA33" i="9"/>
  <c r="AV33" i="9"/>
  <c r="CF33" i="9" s="1"/>
  <c r="DA33" i="9" s="1"/>
  <c r="BE12" i="9"/>
  <c r="CO12" i="9" s="1"/>
  <c r="BI45" i="9"/>
  <c r="AD45" i="9"/>
  <c r="BN45" i="9" s="1"/>
  <c r="CX45" i="9" s="1"/>
  <c r="BC45" i="9"/>
  <c r="BM147" i="9"/>
  <c r="BG147" i="9"/>
  <c r="CQ147" i="9" s="1"/>
  <c r="BB105" i="9"/>
  <c r="CL105" i="9" s="1"/>
  <c r="DB105" i="9" s="1"/>
  <c r="CG105" i="9"/>
  <c r="BD55" i="9"/>
  <c r="CN55" i="9" s="1"/>
  <c r="BJ55" i="9"/>
  <c r="AD55" i="9"/>
  <c r="BN55" i="9" s="1"/>
  <c r="CX55" i="9" s="1"/>
  <c r="BK155" i="9"/>
  <c r="BE155" i="9"/>
  <c r="CO155" i="9" s="1"/>
  <c r="AD23" i="9"/>
  <c r="BN23" i="9" s="1"/>
  <c r="CX23" i="9" s="1"/>
  <c r="BD103" i="9"/>
  <c r="CN103" i="9" s="1"/>
  <c r="BJ103" i="9"/>
  <c r="BI120" i="9"/>
  <c r="AD120" i="9"/>
  <c r="BN120" i="9" s="1"/>
  <c r="CX120" i="9" s="1"/>
  <c r="BC120" i="9"/>
  <c r="BI25" i="9"/>
  <c r="AD25" i="9"/>
  <c r="BN25" i="9" s="1"/>
  <c r="CX25" i="9" s="1"/>
  <c r="BC25" i="9"/>
  <c r="CG139" i="9"/>
  <c r="BB139" i="9"/>
  <c r="CL139" i="9" s="1"/>
  <c r="DB139" i="9" s="1"/>
  <c r="BM155" i="9"/>
  <c r="BG155" i="9"/>
  <c r="CQ155" i="9" s="1"/>
  <c r="AV136" i="9"/>
  <c r="CF136" i="9" s="1"/>
  <c r="DA136" i="9" s="1"/>
  <c r="BD155" i="9"/>
  <c r="CN155" i="9" s="1"/>
  <c r="AV137" i="9"/>
  <c r="CF137" i="9" s="1"/>
  <c r="DA137" i="9" s="1"/>
  <c r="CA137" i="9"/>
  <c r="AP72" i="9"/>
  <c r="BZ72" i="9" s="1"/>
  <c r="CZ72" i="9" s="1"/>
  <c r="BU72" i="9"/>
  <c r="BC80" i="9"/>
  <c r="AD80" i="9"/>
  <c r="BN80" i="9" s="1"/>
  <c r="CX80" i="9" s="1"/>
  <c r="BI80" i="9"/>
  <c r="BI72" i="9"/>
  <c r="AD72" i="9"/>
  <c r="BN72" i="9" s="1"/>
  <c r="CX72" i="9" s="1"/>
  <c r="BC72" i="9"/>
  <c r="BE55" i="9"/>
  <c r="CO55" i="9" s="1"/>
  <c r="BK55" i="9"/>
  <c r="AP13" i="9"/>
  <c r="BZ13" i="9" s="1"/>
  <c r="CZ13" i="9" s="1"/>
  <c r="BG16" i="9"/>
  <c r="CQ16" i="9" s="1"/>
  <c r="BM80" i="9"/>
  <c r="BG80" i="9"/>
  <c r="CQ80" i="9" s="1"/>
  <c r="BK103" i="9"/>
  <c r="BE103" i="9"/>
  <c r="CO103" i="9" s="1"/>
  <c r="AP105" i="9"/>
  <c r="BZ105" i="9" s="1"/>
  <c r="CZ105" i="9" s="1"/>
  <c r="BU107" i="9"/>
  <c r="AP107" i="9"/>
  <c r="BZ107" i="9" s="1"/>
  <c r="CZ107" i="9" s="1"/>
  <c r="BB79" i="9"/>
  <c r="CL79" i="9" s="1"/>
  <c r="DB79" i="9" s="1"/>
  <c r="AP82" i="9"/>
  <c r="BZ82" i="9" s="1"/>
  <c r="CZ82" i="9" s="1"/>
  <c r="BU82" i="9"/>
  <c r="BB54" i="9"/>
  <c r="CL54" i="9" s="1"/>
  <c r="DB54" i="9" s="1"/>
  <c r="BI15" i="9"/>
  <c r="AD15" i="9"/>
  <c r="BN15" i="9" s="1"/>
  <c r="CX15" i="9" s="1"/>
  <c r="BC15" i="9"/>
  <c r="AP100" i="9"/>
  <c r="BZ100" i="9" s="1"/>
  <c r="CZ100" i="9" s="1"/>
  <c r="BB80" i="9"/>
  <c r="CL80" i="9" s="1"/>
  <c r="DB80" i="9" s="1"/>
  <c r="AJ82" i="9"/>
  <c r="BT82" i="9" s="1"/>
  <c r="CY82" i="9" s="1"/>
  <c r="AJ96" i="9"/>
  <c r="BT96" i="9" s="1"/>
  <c r="CY96" i="9" s="1"/>
  <c r="AV107" i="9"/>
  <c r="CF107" i="9" s="1"/>
  <c r="DA107" i="9" s="1"/>
  <c r="CR35" i="9" l="1"/>
  <c r="CS35" i="9" s="1"/>
  <c r="DC35" i="9" s="1"/>
  <c r="CQ27" i="9"/>
  <c r="CR27" i="9" s="1"/>
  <c r="CS27" i="9" s="1"/>
  <c r="DC27" i="9" s="1"/>
  <c r="BH27" i="9"/>
  <c r="CR59" i="9"/>
  <c r="CS59" i="9" s="1"/>
  <c r="DC59" i="9" s="1"/>
  <c r="BH70" i="9"/>
  <c r="CM70" i="9"/>
  <c r="CR70" i="9" s="1"/>
  <c r="CS70" i="9" s="1"/>
  <c r="DC70" i="9" s="1"/>
  <c r="CM17" i="9"/>
  <c r="CR17" i="9" s="1"/>
  <c r="CS17" i="9" s="1"/>
  <c r="DC17" i="9" s="1"/>
  <c r="BH17" i="9"/>
  <c r="CM62" i="9"/>
  <c r="CR62" i="9" s="1"/>
  <c r="CS62" i="9" s="1"/>
  <c r="DC62" i="9" s="1"/>
  <c r="BH62" i="9"/>
  <c r="BH88" i="9"/>
  <c r="CM88" i="9"/>
  <c r="CR88" i="9" s="1"/>
  <c r="CS88" i="9" s="1"/>
  <c r="DC88" i="9" s="1"/>
  <c r="CM71" i="9"/>
  <c r="CR71" i="9" s="1"/>
  <c r="CS71" i="9" s="1"/>
  <c r="DC71" i="9" s="1"/>
  <c r="BH71" i="9"/>
  <c r="BH26" i="9"/>
  <c r="CM26" i="9"/>
  <c r="CR26" i="9" s="1"/>
  <c r="CS26" i="9" s="1"/>
  <c r="DC26" i="9" s="1"/>
  <c r="BH89" i="9"/>
  <c r="CM89" i="9"/>
  <c r="CR89" i="9" s="1"/>
  <c r="CS89" i="9" s="1"/>
  <c r="DC89" i="9" s="1"/>
  <c r="BH34" i="9"/>
  <c r="CM34" i="9"/>
  <c r="CR34" i="9" s="1"/>
  <c r="CS34" i="9" s="1"/>
  <c r="DC34" i="9" s="1"/>
  <c r="CR76" i="9"/>
  <c r="CS76" i="9" s="1"/>
  <c r="DC76" i="9" s="1"/>
  <c r="CM67" i="9"/>
  <c r="CR67" i="9" s="1"/>
  <c r="CS67" i="9" s="1"/>
  <c r="DC67" i="9" s="1"/>
  <c r="BH67" i="9"/>
  <c r="BH93" i="9"/>
  <c r="CM93" i="9"/>
  <c r="CR93" i="9" s="1"/>
  <c r="CS93" i="9" s="1"/>
  <c r="DC93" i="9" s="1"/>
  <c r="BH35" i="9"/>
  <c r="BH28" i="9"/>
  <c r="CM28" i="9"/>
  <c r="CR28" i="9" s="1"/>
  <c r="CS28" i="9" s="1"/>
  <c r="DC28" i="9" s="1"/>
  <c r="BH7" i="9"/>
  <c r="CM7" i="9"/>
  <c r="CR7" i="9" s="1"/>
  <c r="CS7" i="9" s="1"/>
  <c r="DC7" i="9" s="1"/>
  <c r="CM74" i="9"/>
  <c r="CR74" i="9" s="1"/>
  <c r="CS74" i="9" s="1"/>
  <c r="DC74" i="9" s="1"/>
  <c r="BH74" i="9"/>
  <c r="CM84" i="9"/>
  <c r="CR84" i="9" s="1"/>
  <c r="CS84" i="9" s="1"/>
  <c r="DC84" i="9" s="1"/>
  <c r="BH84" i="9"/>
  <c r="CM24" i="9"/>
  <c r="CR24" i="9" s="1"/>
  <c r="CS24" i="9" s="1"/>
  <c r="DC24" i="9" s="1"/>
  <c r="BH24" i="9"/>
  <c r="BH77" i="9"/>
  <c r="CM77" i="9"/>
  <c r="CR77" i="9" s="1"/>
  <c r="CS77" i="9" s="1"/>
  <c r="DC77" i="9" s="1"/>
  <c r="CR75" i="9"/>
  <c r="CS75" i="9" s="1"/>
  <c r="DC75" i="9" s="1"/>
  <c r="BH73" i="9"/>
  <c r="BH59" i="9"/>
  <c r="BH76" i="9"/>
  <c r="BH75" i="9"/>
  <c r="BH49" i="9"/>
  <c r="CM49" i="9"/>
  <c r="CR49" i="9" s="1"/>
  <c r="CS49" i="9" s="1"/>
  <c r="DC49" i="9" s="1"/>
  <c r="BH48" i="9"/>
  <c r="CM48" i="9"/>
  <c r="CR48" i="9" s="1"/>
  <c r="CS48" i="9" s="1"/>
  <c r="DC48" i="9" s="1"/>
  <c r="CR73" i="9"/>
  <c r="CS73" i="9" s="1"/>
  <c r="DC73" i="9" s="1"/>
  <c r="CM19" i="9"/>
  <c r="CR19" i="9" s="1"/>
  <c r="CS19" i="9" s="1"/>
  <c r="DC19" i="9" s="1"/>
  <c r="BH19" i="9"/>
  <c r="BH58" i="9"/>
  <c r="CM58" i="9"/>
  <c r="CR58" i="9" s="1"/>
  <c r="CS58" i="9" s="1"/>
  <c r="DC58" i="9" s="1"/>
  <c r="BH90" i="9"/>
  <c r="CM90" i="9"/>
  <c r="CR90" i="9" s="1"/>
  <c r="CS90" i="9" s="1"/>
  <c r="DC90" i="9" s="1"/>
  <c r="BH39" i="9"/>
  <c r="CM39" i="9"/>
  <c r="CR39" i="9" s="1"/>
  <c r="CS39" i="9" s="1"/>
  <c r="DC39" i="9" s="1"/>
  <c r="BH60" i="9"/>
  <c r="CM60" i="9"/>
  <c r="CR60" i="9" s="1"/>
  <c r="CS60" i="9" s="1"/>
  <c r="DC60" i="9" s="1"/>
  <c r="BH87" i="9"/>
  <c r="CM87" i="9"/>
  <c r="CR87" i="9" s="1"/>
  <c r="CS87" i="9" s="1"/>
  <c r="DC87" i="9" s="1"/>
  <c r="CM78" i="9"/>
  <c r="CR78" i="9" s="1"/>
  <c r="CS78" i="9" s="1"/>
  <c r="DC78" i="9" s="1"/>
  <c r="BH78" i="9"/>
  <c r="CR91" i="9"/>
  <c r="CS91" i="9" s="1"/>
  <c r="DC91" i="9" s="1"/>
  <c r="CR46" i="9"/>
  <c r="CS46" i="9" s="1"/>
  <c r="DC46" i="9" s="1"/>
  <c r="BH69" i="9"/>
  <c r="CM69" i="9"/>
  <c r="CR69" i="9" s="1"/>
  <c r="CS69" i="9" s="1"/>
  <c r="DC69" i="9" s="1"/>
  <c r="CM29" i="9"/>
  <c r="CR29" i="9" s="1"/>
  <c r="CS29" i="9" s="1"/>
  <c r="DC29" i="9" s="1"/>
  <c r="BH29" i="9"/>
  <c r="BH94" i="9"/>
  <c r="CM94" i="9"/>
  <c r="CR94" i="9" s="1"/>
  <c r="CS94" i="9" s="1"/>
  <c r="DC94" i="9" s="1"/>
  <c r="BH91" i="9"/>
  <c r="BH46" i="9"/>
  <c r="CR83" i="9"/>
  <c r="CS83" i="9" s="1"/>
  <c r="DC83" i="9" s="1"/>
  <c r="CR121" i="9"/>
  <c r="CS121" i="9" s="1"/>
  <c r="DC121" i="9" s="1"/>
  <c r="BH197" i="9"/>
  <c r="BH21" i="9"/>
  <c r="BH121" i="9"/>
  <c r="CR85" i="9"/>
  <c r="CS85" i="9" s="1"/>
  <c r="DC85" i="9" s="1"/>
  <c r="BH122" i="9"/>
  <c r="CR21" i="9"/>
  <c r="CS21" i="9" s="1"/>
  <c r="DC21" i="9" s="1"/>
  <c r="CR122" i="9"/>
  <c r="CS122" i="9" s="1"/>
  <c r="DC122" i="9" s="1"/>
  <c r="BH108" i="9"/>
  <c r="BH31" i="9"/>
  <c r="CR197" i="9"/>
  <c r="CS197" i="9" s="1"/>
  <c r="DC197" i="9" s="1"/>
  <c r="CR153" i="9"/>
  <c r="CS153" i="9" s="1"/>
  <c r="DC153" i="9" s="1"/>
  <c r="CR108" i="9"/>
  <c r="CS108" i="9" s="1"/>
  <c r="DC108" i="9" s="1"/>
  <c r="CR31" i="9"/>
  <c r="CS31" i="9" s="1"/>
  <c r="DC31" i="9" s="1"/>
  <c r="BH57" i="9"/>
  <c r="BH85" i="9"/>
  <c r="CR57" i="9"/>
  <c r="CS57" i="9" s="1"/>
  <c r="DC57" i="9" s="1"/>
  <c r="BH138" i="9"/>
  <c r="CR138" i="9"/>
  <c r="CS138" i="9" s="1"/>
  <c r="DC138" i="9" s="1"/>
  <c r="BH11" i="9"/>
  <c r="CM11" i="9"/>
  <c r="CR11" i="9" s="1"/>
  <c r="CS11" i="9" s="1"/>
  <c r="DC11" i="9" s="1"/>
  <c r="CM180" i="9"/>
  <c r="CR180" i="9" s="1"/>
  <c r="CS180" i="9" s="1"/>
  <c r="DC180" i="9" s="1"/>
  <c r="BH180" i="9"/>
  <c r="BH186" i="9"/>
  <c r="CM186" i="9"/>
  <c r="CR186" i="9" s="1"/>
  <c r="CS186" i="9" s="1"/>
  <c r="DC186" i="9" s="1"/>
  <c r="CM56" i="9"/>
  <c r="CR56" i="9" s="1"/>
  <c r="CS56" i="9" s="1"/>
  <c r="DC56" i="9" s="1"/>
  <c r="BH56" i="9"/>
  <c r="CM140" i="9"/>
  <c r="CR140" i="9" s="1"/>
  <c r="CS140" i="9" s="1"/>
  <c r="DC140" i="9" s="1"/>
  <c r="BH140" i="9"/>
  <c r="CR195" i="9"/>
  <c r="CS195" i="9" s="1"/>
  <c r="DC195" i="9" s="1"/>
  <c r="BH168" i="9"/>
  <c r="BH158" i="9"/>
  <c r="CM158" i="9"/>
  <c r="CR158" i="9" s="1"/>
  <c r="CS158" i="9" s="1"/>
  <c r="DC158" i="9" s="1"/>
  <c r="BH171" i="9"/>
  <c r="CM171" i="9"/>
  <c r="CR171" i="9" s="1"/>
  <c r="CS171" i="9" s="1"/>
  <c r="DC171" i="9" s="1"/>
  <c r="BH143" i="9"/>
  <c r="CM143" i="9"/>
  <c r="CR143" i="9" s="1"/>
  <c r="CS143" i="9" s="1"/>
  <c r="DC143" i="9" s="1"/>
  <c r="CM79" i="9"/>
  <c r="CR79" i="9" s="1"/>
  <c r="CS79" i="9" s="1"/>
  <c r="DC79" i="9" s="1"/>
  <c r="BH79" i="9"/>
  <c r="BH137" i="9"/>
  <c r="BH200" i="9"/>
  <c r="CM200" i="9"/>
  <c r="CR200" i="9" s="1"/>
  <c r="CS200" i="9" s="1"/>
  <c r="DC200" i="9" s="1"/>
  <c r="BH156" i="9"/>
  <c r="BH185" i="9"/>
  <c r="CM148" i="9"/>
  <c r="CR148" i="9" s="1"/>
  <c r="CS148" i="9" s="1"/>
  <c r="DC148" i="9" s="1"/>
  <c r="BH148" i="9"/>
  <c r="CM54" i="9"/>
  <c r="CR54" i="9" s="1"/>
  <c r="CS54" i="9" s="1"/>
  <c r="DC54" i="9" s="1"/>
  <c r="BH54" i="9"/>
  <c r="CR40" i="9"/>
  <c r="CS40" i="9" s="1"/>
  <c r="DC40" i="9" s="1"/>
  <c r="BH166" i="9"/>
  <c r="BH174" i="9"/>
  <c r="CM190" i="9"/>
  <c r="CR190" i="9" s="1"/>
  <c r="CS190" i="9" s="1"/>
  <c r="DC190" i="9" s="1"/>
  <c r="BH190" i="9"/>
  <c r="CM149" i="9"/>
  <c r="CR149" i="9" s="1"/>
  <c r="CS149" i="9" s="1"/>
  <c r="DC149" i="9" s="1"/>
  <c r="BH149" i="9"/>
  <c r="BH152" i="9"/>
  <c r="CR33" i="9"/>
  <c r="CS33" i="9" s="1"/>
  <c r="DC33" i="9" s="1"/>
  <c r="BH45" i="9"/>
  <c r="CM45" i="9"/>
  <c r="CR45" i="9" s="1"/>
  <c r="CS45" i="9" s="1"/>
  <c r="DC45" i="9" s="1"/>
  <c r="CM183" i="9"/>
  <c r="CR183" i="9" s="1"/>
  <c r="CS183" i="9" s="1"/>
  <c r="DC183" i="9" s="1"/>
  <c r="BH183" i="9"/>
  <c r="BH22" i="9"/>
  <c r="CM22" i="9"/>
  <c r="CR22" i="9" s="1"/>
  <c r="CS22" i="9" s="1"/>
  <c r="DC22" i="9" s="1"/>
  <c r="BH145" i="9"/>
  <c r="CM145" i="9"/>
  <c r="CR145" i="9" s="1"/>
  <c r="CS145" i="9" s="1"/>
  <c r="DC145" i="9" s="1"/>
  <c r="CM196" i="9"/>
  <c r="CR196" i="9" s="1"/>
  <c r="CS196" i="9" s="1"/>
  <c r="DC196" i="9" s="1"/>
  <c r="BH196" i="9"/>
  <c r="CR168" i="9"/>
  <c r="CS168" i="9" s="1"/>
  <c r="DC168" i="9" s="1"/>
  <c r="CM182" i="9"/>
  <c r="CR182" i="9" s="1"/>
  <c r="CS182" i="9" s="1"/>
  <c r="DC182" i="9" s="1"/>
  <c r="BH182" i="9"/>
  <c r="CM184" i="9"/>
  <c r="CR184" i="9" s="1"/>
  <c r="CS184" i="9" s="1"/>
  <c r="DC184" i="9" s="1"/>
  <c r="BH184" i="9"/>
  <c r="BH160" i="9"/>
  <c r="CM160" i="9"/>
  <c r="CR160" i="9" s="1"/>
  <c r="CS160" i="9" s="1"/>
  <c r="DC160" i="9" s="1"/>
  <c r="CM18" i="9"/>
  <c r="CR18" i="9" s="1"/>
  <c r="CS18" i="9" s="1"/>
  <c r="DC18" i="9" s="1"/>
  <c r="BH18" i="9"/>
  <c r="CR137" i="9"/>
  <c r="CS137" i="9" s="1"/>
  <c r="DC137" i="9" s="1"/>
  <c r="CR156" i="9"/>
  <c r="CS156" i="9" s="1"/>
  <c r="DC156" i="9" s="1"/>
  <c r="CR185" i="9"/>
  <c r="CS185" i="9" s="1"/>
  <c r="DC185" i="9" s="1"/>
  <c r="CM192" i="9"/>
  <c r="CR192" i="9" s="1"/>
  <c r="CS192" i="9" s="1"/>
  <c r="DC192" i="9" s="1"/>
  <c r="BH192" i="9"/>
  <c r="BH175" i="9"/>
  <c r="BH36" i="9"/>
  <c r="CM53" i="9"/>
  <c r="CR53" i="9" s="1"/>
  <c r="CS53" i="9" s="1"/>
  <c r="DC53" i="9" s="1"/>
  <c r="BH53" i="9"/>
  <c r="CR166" i="9"/>
  <c r="CS166" i="9" s="1"/>
  <c r="DC166" i="9" s="1"/>
  <c r="CR174" i="9"/>
  <c r="CS174" i="9" s="1"/>
  <c r="DC174" i="9" s="1"/>
  <c r="CM188" i="9"/>
  <c r="CR188" i="9" s="1"/>
  <c r="CS188" i="9" s="1"/>
  <c r="DC188" i="9" s="1"/>
  <c r="BH188" i="9"/>
  <c r="BH142" i="9"/>
  <c r="CR152" i="9"/>
  <c r="CS152" i="9" s="1"/>
  <c r="DC152" i="9" s="1"/>
  <c r="BH33" i="9"/>
  <c r="BH124" i="9"/>
  <c r="CM124" i="9"/>
  <c r="CR124" i="9" s="1"/>
  <c r="CS124" i="9" s="1"/>
  <c r="DC124" i="9" s="1"/>
  <c r="CM66" i="9"/>
  <c r="CR66" i="9" s="1"/>
  <c r="CS66" i="9" s="1"/>
  <c r="DC66" i="9" s="1"/>
  <c r="BH66" i="9"/>
  <c r="BH164" i="9"/>
  <c r="CM164" i="9"/>
  <c r="CR164" i="9" s="1"/>
  <c r="CS164" i="9" s="1"/>
  <c r="DC164" i="9" s="1"/>
  <c r="CM10" i="9"/>
  <c r="CR10" i="9" s="1"/>
  <c r="CS10" i="9" s="1"/>
  <c r="DC10" i="9" s="1"/>
  <c r="BH10" i="9"/>
  <c r="BH178" i="9"/>
  <c r="CM178" i="9"/>
  <c r="CR178" i="9" s="1"/>
  <c r="CS178" i="9" s="1"/>
  <c r="DC178" i="9" s="1"/>
  <c r="BH194" i="9"/>
  <c r="BH107" i="9"/>
  <c r="CM107" i="9"/>
  <c r="CR107" i="9" s="1"/>
  <c r="CS107" i="9" s="1"/>
  <c r="DC107" i="9" s="1"/>
  <c r="CN96" i="9"/>
  <c r="CR96" i="9" s="1"/>
  <c r="CS96" i="9" s="1"/>
  <c r="DC96" i="9" s="1"/>
  <c r="BH96" i="9"/>
  <c r="CM134" i="9"/>
  <c r="CR134" i="9" s="1"/>
  <c r="CS134" i="9" s="1"/>
  <c r="DC134" i="9" s="1"/>
  <c r="BH134" i="9"/>
  <c r="CM133" i="9"/>
  <c r="CR133" i="9" s="1"/>
  <c r="CS133" i="9" s="1"/>
  <c r="DC133" i="9" s="1"/>
  <c r="BH133" i="9"/>
  <c r="BH181" i="9"/>
  <c r="CM181" i="9"/>
  <c r="CR181" i="9" s="1"/>
  <c r="CS181" i="9" s="1"/>
  <c r="DC181" i="9" s="1"/>
  <c r="CN141" i="9"/>
  <c r="CR141" i="9" s="1"/>
  <c r="CS141" i="9" s="1"/>
  <c r="DC141" i="9" s="1"/>
  <c r="BH141" i="9"/>
  <c r="BH130" i="9"/>
  <c r="CM81" i="9"/>
  <c r="CR81" i="9" s="1"/>
  <c r="CS81" i="9" s="1"/>
  <c r="DC81" i="9" s="1"/>
  <c r="BH81" i="9"/>
  <c r="CM157" i="9"/>
  <c r="CR157" i="9" s="1"/>
  <c r="CS157" i="9" s="1"/>
  <c r="DC157" i="9" s="1"/>
  <c r="BH157" i="9"/>
  <c r="CM173" i="9"/>
  <c r="CR173" i="9" s="1"/>
  <c r="CS173" i="9" s="1"/>
  <c r="DC173" i="9" s="1"/>
  <c r="BH173" i="9"/>
  <c r="CM116" i="9"/>
  <c r="CR116" i="9" s="1"/>
  <c r="CS116" i="9" s="1"/>
  <c r="DC116" i="9" s="1"/>
  <c r="BH116" i="9"/>
  <c r="CM110" i="9"/>
  <c r="CR110" i="9" s="1"/>
  <c r="CS110" i="9" s="1"/>
  <c r="DC110" i="9" s="1"/>
  <c r="BH110" i="9"/>
  <c r="CM104" i="9"/>
  <c r="CR104" i="9" s="1"/>
  <c r="CS104" i="9" s="1"/>
  <c r="DC104" i="9" s="1"/>
  <c r="BH104" i="9"/>
  <c r="BH38" i="9"/>
  <c r="BH65" i="9"/>
  <c r="CM135" i="9"/>
  <c r="CR135" i="9" s="1"/>
  <c r="CS135" i="9" s="1"/>
  <c r="DC135" i="9" s="1"/>
  <c r="BH135" i="9"/>
  <c r="CR175" i="9"/>
  <c r="CS175" i="9" s="1"/>
  <c r="DC175" i="9" s="1"/>
  <c r="BH172" i="9"/>
  <c r="CM172" i="9"/>
  <c r="CR172" i="9" s="1"/>
  <c r="CS172" i="9" s="1"/>
  <c r="DC172" i="9" s="1"/>
  <c r="CR36" i="9"/>
  <c r="BH51" i="9"/>
  <c r="CM51" i="9"/>
  <c r="CR51" i="9" s="1"/>
  <c r="CS51" i="9" s="1"/>
  <c r="DC51" i="9" s="1"/>
  <c r="CR20" i="9"/>
  <c r="CS20" i="9" s="1"/>
  <c r="DC20" i="9" s="1"/>
  <c r="CR142" i="9"/>
  <c r="CS142" i="9" s="1"/>
  <c r="DC142" i="9" s="1"/>
  <c r="BH136" i="9"/>
  <c r="CR16" i="9"/>
  <c r="CS16" i="9" s="1"/>
  <c r="DC16" i="9" s="1"/>
  <c r="CM120" i="9"/>
  <c r="CR120" i="9" s="1"/>
  <c r="CS120" i="9" s="1"/>
  <c r="DC120" i="9" s="1"/>
  <c r="BH120" i="9"/>
  <c r="CM47" i="9"/>
  <c r="CR47" i="9" s="1"/>
  <c r="CS47" i="9" s="1"/>
  <c r="DC47" i="9" s="1"/>
  <c r="BH47" i="9"/>
  <c r="CM23" i="9"/>
  <c r="CR23" i="9" s="1"/>
  <c r="CS23" i="9" s="1"/>
  <c r="DC23" i="9" s="1"/>
  <c r="BH23" i="9"/>
  <c r="CR194" i="9"/>
  <c r="CS194" i="9" s="1"/>
  <c r="DC194" i="9" s="1"/>
  <c r="CM44" i="9"/>
  <c r="CR44" i="9" s="1"/>
  <c r="CS44" i="9" s="1"/>
  <c r="DC44" i="9" s="1"/>
  <c r="BH44" i="9"/>
  <c r="BH146" i="9"/>
  <c r="CM170" i="9"/>
  <c r="CR170" i="9" s="1"/>
  <c r="CS170" i="9" s="1"/>
  <c r="DC170" i="9" s="1"/>
  <c r="BH170" i="9"/>
  <c r="CM37" i="9"/>
  <c r="CR37" i="9" s="1"/>
  <c r="CS37" i="9" s="1"/>
  <c r="DC37" i="9" s="1"/>
  <c r="BH37" i="9"/>
  <c r="CR130" i="9"/>
  <c r="CS130" i="9" s="1"/>
  <c r="DC130" i="9" s="1"/>
  <c r="CM139" i="9"/>
  <c r="CR139" i="9" s="1"/>
  <c r="CS139" i="9" s="1"/>
  <c r="DC139" i="9" s="1"/>
  <c r="BH139" i="9"/>
  <c r="CM42" i="9"/>
  <c r="CR42" i="9" s="1"/>
  <c r="CS42" i="9" s="1"/>
  <c r="DC42" i="9" s="1"/>
  <c r="BH42" i="9"/>
  <c r="CM111" i="9"/>
  <c r="CR111" i="9" s="1"/>
  <c r="CS111" i="9" s="1"/>
  <c r="DC111" i="9" s="1"/>
  <c r="BH111" i="9"/>
  <c r="BH163" i="9"/>
  <c r="CM163" i="9"/>
  <c r="CR163" i="9" s="1"/>
  <c r="CS163" i="9" s="1"/>
  <c r="DC163" i="9" s="1"/>
  <c r="BH98" i="9"/>
  <c r="CM68" i="9"/>
  <c r="CR68" i="9" s="1"/>
  <c r="CS68" i="9" s="1"/>
  <c r="DC68" i="9" s="1"/>
  <c r="BH68" i="9"/>
  <c r="CM102" i="9"/>
  <c r="CR102" i="9" s="1"/>
  <c r="CS102" i="9" s="1"/>
  <c r="DC102" i="9" s="1"/>
  <c r="BH102" i="9"/>
  <c r="BH12" i="9"/>
  <c r="CM132" i="9"/>
  <c r="CR132" i="9" s="1"/>
  <c r="CS132" i="9" s="1"/>
  <c r="DC132" i="9" s="1"/>
  <c r="BH132" i="9"/>
  <c r="CR38" i="9"/>
  <c r="CS38" i="9" s="1"/>
  <c r="DC38" i="9" s="1"/>
  <c r="CM99" i="9"/>
  <c r="CR99" i="9" s="1"/>
  <c r="CS99" i="9" s="1"/>
  <c r="DC99" i="9" s="1"/>
  <c r="BH99" i="9"/>
  <c r="CR65" i="9"/>
  <c r="CS65" i="9" s="1"/>
  <c r="DC65" i="9" s="1"/>
  <c r="CM191" i="9"/>
  <c r="CR191" i="9" s="1"/>
  <c r="CS191" i="9" s="1"/>
  <c r="DC191" i="9" s="1"/>
  <c r="BH191" i="9"/>
  <c r="BH176" i="9"/>
  <c r="CM176" i="9"/>
  <c r="CR176" i="9" s="1"/>
  <c r="CS176" i="9" s="1"/>
  <c r="DC176" i="9" s="1"/>
  <c r="BH61" i="9"/>
  <c r="CM61" i="9"/>
  <c r="CR61" i="9" s="1"/>
  <c r="CS61" i="9" s="1"/>
  <c r="DC61" i="9" s="1"/>
  <c r="BH52" i="9"/>
  <c r="CM128" i="9"/>
  <c r="CR128" i="9" s="1"/>
  <c r="CS128" i="9" s="1"/>
  <c r="DC128" i="9" s="1"/>
  <c r="BH128" i="9"/>
  <c r="BH177" i="9"/>
  <c r="CM177" i="9"/>
  <c r="CR177" i="9" s="1"/>
  <c r="CS177" i="9" s="1"/>
  <c r="DC177" i="9" s="1"/>
  <c r="BH118" i="9"/>
  <c r="BH20" i="9"/>
  <c r="CR136" i="9"/>
  <c r="CS136" i="9" s="1"/>
  <c r="DC136" i="9" s="1"/>
  <c r="BH16" i="9"/>
  <c r="CM112" i="9"/>
  <c r="CR112" i="9" s="1"/>
  <c r="CS112" i="9" s="1"/>
  <c r="DC112" i="9" s="1"/>
  <c r="BH112" i="9"/>
  <c r="CM126" i="9"/>
  <c r="CR126" i="9" s="1"/>
  <c r="CS126" i="9" s="1"/>
  <c r="DC126" i="9" s="1"/>
  <c r="BH126" i="9"/>
  <c r="CR193" i="9"/>
  <c r="CS193" i="9" s="1"/>
  <c r="DC193" i="9" s="1"/>
  <c r="CR146" i="9"/>
  <c r="CS146" i="9" s="1"/>
  <c r="DC146" i="9" s="1"/>
  <c r="CM105" i="9"/>
  <c r="CR105" i="9" s="1"/>
  <c r="CS105" i="9" s="1"/>
  <c r="DC105" i="9" s="1"/>
  <c r="BH105" i="9"/>
  <c r="BH159" i="9"/>
  <c r="CM159" i="9"/>
  <c r="CR159" i="9" s="1"/>
  <c r="CS159" i="9" s="1"/>
  <c r="DC159" i="9" s="1"/>
  <c r="CR98" i="9"/>
  <c r="CS98" i="9" s="1"/>
  <c r="DC98" i="9" s="1"/>
  <c r="CM151" i="9"/>
  <c r="CR151" i="9" s="1"/>
  <c r="CS151" i="9" s="1"/>
  <c r="DC151" i="9" s="1"/>
  <c r="BH151" i="9"/>
  <c r="CR12" i="9"/>
  <c r="CS12" i="9" s="1"/>
  <c r="DC12" i="9" s="1"/>
  <c r="CM169" i="9"/>
  <c r="CR169" i="9" s="1"/>
  <c r="CS169" i="9" s="1"/>
  <c r="DC169" i="9" s="1"/>
  <c r="BH169" i="9"/>
  <c r="CM198" i="9"/>
  <c r="CR198" i="9" s="1"/>
  <c r="CS198" i="9" s="1"/>
  <c r="DC198" i="9" s="1"/>
  <c r="BH198" i="9"/>
  <c r="BH119" i="9"/>
  <c r="CR52" i="9"/>
  <c r="CS52" i="9" s="1"/>
  <c r="DC52" i="9" s="1"/>
  <c r="BH64" i="9"/>
  <c r="BH30" i="9"/>
  <c r="CR118" i="9"/>
  <c r="CS118" i="9" s="1"/>
  <c r="DC118" i="9" s="1"/>
  <c r="BH63" i="9"/>
  <c r="BH162" i="9"/>
  <c r="CM72" i="9"/>
  <c r="CR72" i="9" s="1"/>
  <c r="CS72" i="9" s="1"/>
  <c r="DC72" i="9" s="1"/>
  <c r="BH72" i="9"/>
  <c r="BH193" i="9"/>
  <c r="CM32" i="9"/>
  <c r="CR32" i="9" s="1"/>
  <c r="CS32" i="9" s="1"/>
  <c r="DC32" i="9" s="1"/>
  <c r="BH32" i="9"/>
  <c r="BH43" i="9"/>
  <c r="CM43" i="9"/>
  <c r="CR43" i="9" s="1"/>
  <c r="CS43" i="9" s="1"/>
  <c r="DC43" i="9" s="1"/>
  <c r="CM127" i="9"/>
  <c r="CR127" i="9" s="1"/>
  <c r="CS127" i="9" s="1"/>
  <c r="DC127" i="9" s="1"/>
  <c r="BH127" i="9"/>
  <c r="CR150" i="9"/>
  <c r="CS150" i="9" s="1"/>
  <c r="DC150" i="9" s="1"/>
  <c r="BH199" i="9"/>
  <c r="CM129" i="9"/>
  <c r="CR129" i="9" s="1"/>
  <c r="CS129" i="9" s="1"/>
  <c r="DC129" i="9" s="1"/>
  <c r="BH129" i="9"/>
  <c r="CM86" i="9"/>
  <c r="CR86" i="9" s="1"/>
  <c r="CS86" i="9" s="1"/>
  <c r="DC86" i="9" s="1"/>
  <c r="BH86" i="9"/>
  <c r="CR144" i="9"/>
  <c r="CS144" i="9" s="1"/>
  <c r="DC144" i="9" s="1"/>
  <c r="CM92" i="9"/>
  <c r="CR92" i="9" s="1"/>
  <c r="CS92" i="9" s="1"/>
  <c r="DC92" i="9" s="1"/>
  <c r="BH92" i="9"/>
  <c r="CR119" i="9"/>
  <c r="CS119" i="9" s="1"/>
  <c r="DC119" i="9" s="1"/>
  <c r="CM147" i="9"/>
  <c r="CR147" i="9" s="1"/>
  <c r="CS147" i="9" s="1"/>
  <c r="DC147" i="9" s="1"/>
  <c r="BH147" i="9"/>
  <c r="CR64" i="9"/>
  <c r="CS64" i="9" s="1"/>
  <c r="DC64" i="9" s="1"/>
  <c r="CR30" i="9"/>
  <c r="CS30" i="9" s="1"/>
  <c r="DC30" i="9" s="1"/>
  <c r="BH179" i="9"/>
  <c r="BH97" i="9"/>
  <c r="CM97" i="9"/>
  <c r="CR97" i="9" s="1"/>
  <c r="CS97" i="9" s="1"/>
  <c r="DC97" i="9" s="1"/>
  <c r="CR63" i="9"/>
  <c r="CS63" i="9" s="1"/>
  <c r="DC63" i="9" s="1"/>
  <c r="CR162" i="9"/>
  <c r="CS162" i="9" s="1"/>
  <c r="DC162" i="9" s="1"/>
  <c r="CM80" i="9"/>
  <c r="CR80" i="9" s="1"/>
  <c r="CS80" i="9" s="1"/>
  <c r="DC80" i="9" s="1"/>
  <c r="BH80" i="9"/>
  <c r="CM154" i="9"/>
  <c r="CR154" i="9" s="1"/>
  <c r="CS154" i="9" s="1"/>
  <c r="DC154" i="9" s="1"/>
  <c r="BH154" i="9"/>
  <c r="CM115" i="9"/>
  <c r="CR115" i="9" s="1"/>
  <c r="CS115" i="9" s="1"/>
  <c r="DC115" i="9" s="1"/>
  <c r="BH115" i="9"/>
  <c r="BH82" i="9"/>
  <c r="CM82" i="9"/>
  <c r="CR82" i="9" s="1"/>
  <c r="CS82" i="9" s="1"/>
  <c r="DC82" i="9" s="1"/>
  <c r="CM14" i="9"/>
  <c r="CR14" i="9" s="1"/>
  <c r="CS14" i="9" s="1"/>
  <c r="DC14" i="9" s="1"/>
  <c r="BH14" i="9"/>
  <c r="BH150" i="9"/>
  <c r="CR199" i="9"/>
  <c r="CS199" i="9" s="1"/>
  <c r="DC199" i="9" s="1"/>
  <c r="BH123" i="9"/>
  <c r="CM189" i="9"/>
  <c r="CR189" i="9" s="1"/>
  <c r="CS189" i="9" s="1"/>
  <c r="DC189" i="9" s="1"/>
  <c r="BH189" i="9"/>
  <c r="CM103" i="9"/>
  <c r="CR103" i="9" s="1"/>
  <c r="CS103" i="9" s="1"/>
  <c r="DC103" i="9" s="1"/>
  <c r="BH103" i="9"/>
  <c r="BH144" i="9"/>
  <c r="BH55" i="9"/>
  <c r="CR113" i="9"/>
  <c r="CS113" i="9" s="1"/>
  <c r="DC113" i="9" s="1"/>
  <c r="CR100" i="9"/>
  <c r="CS100" i="9" s="1"/>
  <c r="DC100" i="9" s="1"/>
  <c r="CM106" i="9"/>
  <c r="CR106" i="9" s="1"/>
  <c r="CS106" i="9" s="1"/>
  <c r="DC106" i="9" s="1"/>
  <c r="BH106" i="9"/>
  <c r="CM13" i="9"/>
  <c r="CR13" i="9" s="1"/>
  <c r="CS13" i="9" s="1"/>
  <c r="DC13" i="9" s="1"/>
  <c r="BH13" i="9"/>
  <c r="CM131" i="9"/>
  <c r="CR131" i="9" s="1"/>
  <c r="CS131" i="9" s="1"/>
  <c r="DC131" i="9" s="1"/>
  <c r="BH131" i="9"/>
  <c r="CR179" i="9"/>
  <c r="CS179" i="9" s="1"/>
  <c r="DC179" i="9" s="1"/>
  <c r="CR114" i="9"/>
  <c r="CS114" i="9" s="1"/>
  <c r="DC114" i="9" s="1"/>
  <c r="BH101" i="9"/>
  <c r="BH8" i="9"/>
  <c r="BH165" i="9"/>
  <c r="BH95" i="9"/>
  <c r="CR109" i="9"/>
  <c r="CS109" i="9" s="1"/>
  <c r="DC109" i="9" s="1"/>
  <c r="BH15" i="9"/>
  <c r="CM15" i="9"/>
  <c r="CR15" i="9" s="1"/>
  <c r="CS15" i="9" s="1"/>
  <c r="DC15" i="9" s="1"/>
  <c r="CM25" i="9"/>
  <c r="CR25" i="9" s="1"/>
  <c r="CS25" i="9" s="1"/>
  <c r="DC25" i="9" s="1"/>
  <c r="BH25" i="9"/>
  <c r="BH83" i="9"/>
  <c r="CM41" i="9"/>
  <c r="CR41" i="9" s="1"/>
  <c r="CS41" i="9" s="1"/>
  <c r="DC41" i="9" s="1"/>
  <c r="BH41" i="9"/>
  <c r="BH153" i="9"/>
  <c r="CM50" i="9"/>
  <c r="CR50" i="9" s="1"/>
  <c r="CS50" i="9" s="1"/>
  <c r="DC50" i="9" s="1"/>
  <c r="BH50" i="9"/>
  <c r="BH187" i="9"/>
  <c r="CM187" i="9"/>
  <c r="CR187" i="9" s="1"/>
  <c r="CS187" i="9" s="1"/>
  <c r="DC187" i="9" s="1"/>
  <c r="BH195" i="9"/>
  <c r="BH161" i="9"/>
  <c r="CM161" i="9"/>
  <c r="CR161" i="9" s="1"/>
  <c r="CS161" i="9" s="1"/>
  <c r="DC161" i="9" s="1"/>
  <c r="CR123" i="9"/>
  <c r="CS123" i="9" s="1"/>
  <c r="DC123" i="9" s="1"/>
  <c r="CM9" i="9"/>
  <c r="CR9" i="9" s="1"/>
  <c r="CS9" i="9" s="1"/>
  <c r="DC9" i="9" s="1"/>
  <c r="BH9" i="9"/>
  <c r="CM117" i="9"/>
  <c r="CR117" i="9" s="1"/>
  <c r="CS117" i="9" s="1"/>
  <c r="DC117" i="9" s="1"/>
  <c r="BH117" i="9"/>
  <c r="CR55" i="9"/>
  <c r="CS55" i="9" s="1"/>
  <c r="DC55" i="9" s="1"/>
  <c r="CM125" i="9"/>
  <c r="CR125" i="9" s="1"/>
  <c r="CS125" i="9" s="1"/>
  <c r="DC125" i="9" s="1"/>
  <c r="BH125" i="9"/>
  <c r="CM167" i="9"/>
  <c r="CR167" i="9" s="1"/>
  <c r="CS167" i="9" s="1"/>
  <c r="DC167" i="9" s="1"/>
  <c r="BH167" i="9"/>
  <c r="BH113" i="9"/>
  <c r="BH100" i="9"/>
  <c r="BH155" i="9"/>
  <c r="CM155" i="9"/>
  <c r="CR155" i="9" s="1"/>
  <c r="CS155" i="9" s="1"/>
  <c r="DC155" i="9" s="1"/>
  <c r="BH40" i="9"/>
  <c r="BH114" i="9"/>
  <c r="CR101" i="9"/>
  <c r="CS101" i="9" s="1"/>
  <c r="DC101" i="9" s="1"/>
  <c r="CR8" i="9"/>
  <c r="CS8" i="9" s="1"/>
  <c r="DC8" i="9" s="1"/>
  <c r="CR165" i="9"/>
  <c r="CS165" i="9" s="1"/>
  <c r="DC165" i="9" s="1"/>
  <c r="CR95" i="9"/>
  <c r="CS95" i="9" s="1"/>
  <c r="DC95" i="9" s="1"/>
  <c r="BH109" i="9"/>
  <c r="CS36" i="9" l="1"/>
  <c r="DC36" i="9" l="1"/>
</calcChain>
</file>

<file path=xl/sharedStrings.xml><?xml version="1.0" encoding="utf-8"?>
<sst xmlns="http://schemas.openxmlformats.org/spreadsheetml/2006/main" count="11544" uniqueCount="1371">
  <si>
    <t>Billing Party</t>
  </si>
  <si>
    <t>Billing Party ID</t>
  </si>
  <si>
    <t>@PromotableUser</t>
  </si>
  <si>
    <t>Salesforce IO ID</t>
  </si>
  <si>
    <t>IO Header</t>
  </si>
  <si>
    <t>Period</t>
  </si>
  <si>
    <t>Campaign ID</t>
  </si>
  <si>
    <t>Campaign Name</t>
  </si>
  <si>
    <t>Product Type</t>
  </si>
  <si>
    <t>Revenue Type</t>
  </si>
  <si>
    <t>Follows</t>
  </si>
  <si>
    <t>PTr Impressions</t>
  </si>
  <si>
    <t>Agency Name</t>
  </si>
  <si>
    <t>Agency of Influence</t>
  </si>
  <si>
    <t>Sold To Advertiser</t>
  </si>
  <si>
    <t>Salesforce Advertiser ID</t>
  </si>
  <si>
    <t>IO Budget</t>
  </si>
  <si>
    <t>IO Start Date</t>
  </si>
  <si>
    <t>IO End Date</t>
  </si>
  <si>
    <t>Sales Channel</t>
  </si>
  <si>
    <t>Payment Term</t>
  </si>
  <si>
    <t>Sold-To Country</t>
  </si>
  <si>
    <t>Bill-To Country</t>
  </si>
  <si>
    <t>Legal Entity</t>
  </si>
  <si>
    <t>Invoice #</t>
  </si>
  <si>
    <t>Invoice Date</t>
  </si>
  <si>
    <t>Entered Currency</t>
  </si>
  <si>
    <t>Total Charges (in Entered Curr)</t>
  </si>
  <si>
    <t>Functional Currency</t>
  </si>
  <si>
    <t>Total Charges (in Functional Curr)</t>
  </si>
  <si>
    <t>Total Charges (in USD)</t>
  </si>
  <si>
    <t>Upfront Discount %</t>
  </si>
  <si>
    <t>Discount Amount(In Entered Curr)</t>
  </si>
  <si>
    <t>Discount Amount (in Functional Curr)</t>
  </si>
  <si>
    <t>Discount Amount (in USD)</t>
  </si>
  <si>
    <t>Agency Discount Percentage</t>
  </si>
  <si>
    <t>Agency Discount Amt in Entered</t>
  </si>
  <si>
    <t>Agency Discount Amt in Functional</t>
  </si>
  <si>
    <t>Agency Discount Amt in USD</t>
  </si>
  <si>
    <t>Reseller Discount Percentage</t>
  </si>
  <si>
    <t>Reseller Discount Amt in Entered</t>
  </si>
  <si>
    <t>Reseller Discount Amt in Functional</t>
  </si>
  <si>
    <t>Reseller Discount Amt in USD</t>
  </si>
  <si>
    <t>RevShare Deduction Percentage</t>
  </si>
  <si>
    <t>RevShare Deduction Amt in Entered</t>
  </si>
  <si>
    <t>RevShare Deduction Amt in Functional</t>
  </si>
  <si>
    <t>RevShare Deduction Amt in USD</t>
  </si>
  <si>
    <t>Total Revenue Deductions in Entered</t>
  </si>
  <si>
    <t>Total Revenue Deductions in Functional</t>
  </si>
  <si>
    <t>Total Revenue Deductions in USD</t>
  </si>
  <si>
    <t>RevShare GR Deduction Percentage</t>
  </si>
  <si>
    <t>RevShare GR Deduction Amt in Entered</t>
  </si>
  <si>
    <t>RevShare GR Deduction Amt in Functional</t>
  </si>
  <si>
    <t>RevShare GR Deduction Amt in USD</t>
  </si>
  <si>
    <t>Commission Percentage</t>
  </si>
  <si>
    <t>Commission Amount (In Entered Curr)</t>
  </si>
  <si>
    <t>Commission Amount (in Functional Curr)</t>
  </si>
  <si>
    <t>Commission Amount ( in USD)</t>
  </si>
  <si>
    <t>Product Sub-Type</t>
  </si>
  <si>
    <t>Trend Type</t>
  </si>
  <si>
    <t>Product Description</t>
  </si>
  <si>
    <t>PO_Number</t>
  </si>
  <si>
    <t>Agency ID</t>
  </si>
  <si>
    <t>Agency Of Influence Id</t>
  </si>
  <si>
    <t>Campaign Objective</t>
  </si>
  <si>
    <t>CHARGEABLE</t>
  </si>
  <si>
    <t>ISO</t>
  </si>
  <si>
    <t>EUR</t>
  </si>
  <si>
    <t>VIDEO_VIEWS</t>
  </si>
  <si>
    <t>DSO</t>
  </si>
  <si>
    <t>USD</t>
  </si>
  <si>
    <t>BRAND_ENGAGEMENTS</t>
  </si>
  <si>
    <t>WEBSITE_CLICKS</t>
  </si>
  <si>
    <t>REACH</t>
  </si>
  <si>
    <t>US</t>
  </si>
  <si>
    <t>Amplify Instream Pre-Roll</t>
  </si>
  <si>
    <t>UNKNOWN_OBJECTIVE</t>
  </si>
  <si>
    <t>Twitter Publisher Network</t>
  </si>
  <si>
    <t>APP_INSTALLS</t>
  </si>
  <si>
    <t>RES</t>
  </si>
  <si>
    <t>BRL</t>
  </si>
  <si>
    <t>Chile</t>
  </si>
  <si>
    <t>CO</t>
  </si>
  <si>
    <t>COP</t>
  </si>
  <si>
    <t>UY</t>
  </si>
  <si>
    <t>EC</t>
  </si>
  <si>
    <t>MX</t>
  </si>
  <si>
    <t>MXN</t>
  </si>
  <si>
    <t>PE</t>
  </si>
  <si>
    <t>DO</t>
  </si>
  <si>
    <t>GT</t>
  </si>
  <si>
    <t>PA</t>
  </si>
  <si>
    <t>AR</t>
  </si>
  <si>
    <t>ARS</t>
  </si>
  <si>
    <t>IPG Media Brands S.A.</t>
  </si>
  <si>
    <t>CL</t>
  </si>
  <si>
    <t>CLP</t>
  </si>
  <si>
    <t>CR</t>
  </si>
  <si>
    <t>Personal Argentina</t>
  </si>
  <si>
    <t>Honduras</t>
  </si>
  <si>
    <t>MMS Comunicaciones Argentina S.A.</t>
  </si>
  <si>
    <t>BO</t>
  </si>
  <si>
    <t>NI</t>
  </si>
  <si>
    <t>Colombia</t>
  </si>
  <si>
    <t>YPF - Argentina</t>
  </si>
  <si>
    <t>Guatemala</t>
  </si>
  <si>
    <t>El Salvador</t>
  </si>
  <si>
    <t>Samsung Argentina</t>
  </si>
  <si>
    <t>Carat Argentina S.A.</t>
  </si>
  <si>
    <t>PY</t>
  </si>
  <si>
    <t>Tarjeta Naranja</t>
  </si>
  <si>
    <t>ICBC Argentina</t>
  </si>
  <si>
    <t>Costa Rica</t>
  </si>
  <si>
    <t>Panama</t>
  </si>
  <si>
    <t>Argentina</t>
  </si>
  <si>
    <t>Arcos Dorados Argentina</t>
  </si>
  <si>
    <t>IO Attributes</t>
  </si>
  <si>
    <t>Local Gross Revenue (Net of LOI)</t>
  </si>
  <si>
    <t>Local Direct Tax</t>
  </si>
  <si>
    <t>Local Commission</t>
  </si>
  <si>
    <t>Local Withholding Tax</t>
  </si>
  <si>
    <t>Local Total Commission and Tax</t>
  </si>
  <si>
    <t>Entered Currency Direct Tax</t>
  </si>
  <si>
    <t>Entered  Currency Commission</t>
  </si>
  <si>
    <t>Entered Currency Withholding Tax</t>
  </si>
  <si>
    <t>Entered Currency Total Commission and Tax</t>
  </si>
  <si>
    <t>Currency</t>
  </si>
  <si>
    <t>Commission Rate</t>
  </si>
  <si>
    <t>Revenue Net of LOI</t>
  </si>
  <si>
    <t>IO FX Rate</t>
  </si>
  <si>
    <t>Country Billed from</t>
  </si>
  <si>
    <t>Direct Tax Rate</t>
  </si>
  <si>
    <t>W/H Tax rate</t>
  </si>
  <si>
    <t>Local PAc</t>
  </si>
  <si>
    <t>Local PTr</t>
  </si>
  <si>
    <t>Local PTw</t>
  </si>
  <si>
    <t>Local TPN</t>
  </si>
  <si>
    <t>Local Gross Revenue (Net of LOI) Total</t>
  </si>
  <si>
    <t>Local PAc Direct Tax</t>
  </si>
  <si>
    <t>Local PTr Direct Tax</t>
  </si>
  <si>
    <t>Local PTw Direct Tax</t>
  </si>
  <si>
    <t>Local TPN Direct Tax</t>
  </si>
  <si>
    <t>Local Direct Tax Total</t>
  </si>
  <si>
    <t>Local PAc Commission</t>
  </si>
  <si>
    <t>Local PTr Commission</t>
  </si>
  <si>
    <t>Local PTw Commission</t>
  </si>
  <si>
    <t>Local TPN Commission</t>
  </si>
  <si>
    <t>Local Commission Total</t>
  </si>
  <si>
    <t>Local PAc W/H Tax</t>
  </si>
  <si>
    <t>Local PTr W/H Tax</t>
  </si>
  <si>
    <t>Local PTw W/H Tax</t>
  </si>
  <si>
    <t>Local TPN W/H Tax</t>
  </si>
  <si>
    <t>Local Withholding Tax Total</t>
  </si>
  <si>
    <t xml:space="preserve">Local PAc Total </t>
  </si>
  <si>
    <t xml:space="preserve">Local PTr Total </t>
  </si>
  <si>
    <t xml:space="preserve">Local PTw Total </t>
  </si>
  <si>
    <t xml:space="preserve">Local TPN Total </t>
  </si>
  <si>
    <t>Local Total Comm &amp; Tax</t>
  </si>
  <si>
    <t xml:space="preserve"> PAc Total</t>
  </si>
  <si>
    <t xml:space="preserve"> PTr Total</t>
  </si>
  <si>
    <t xml:space="preserve"> PTw Total</t>
  </si>
  <si>
    <t xml:space="preserve"> TPN Total</t>
  </si>
  <si>
    <t xml:space="preserve"> Direct Tax Total</t>
  </si>
  <si>
    <t xml:space="preserve"> Commission Total</t>
  </si>
  <si>
    <t xml:space="preserve"> Withholding Tax Total</t>
  </si>
  <si>
    <t xml:space="preserve"> PAc Consol Total</t>
  </si>
  <si>
    <t xml:space="preserve"> PTr Consol Total</t>
  </si>
  <si>
    <t xml:space="preserve"> PTw Consol Total</t>
  </si>
  <si>
    <t xml:space="preserve"> TPN Consol Total</t>
  </si>
  <si>
    <t xml:space="preserve"> Consol Total Comm &amp; Tax</t>
  </si>
  <si>
    <t>Total Invoiced amount</t>
  </si>
  <si>
    <t>Comments for 0% Direct tax</t>
  </si>
  <si>
    <t>Billed Currency</t>
  </si>
  <si>
    <t>FX Rate to USD</t>
  </si>
  <si>
    <t>USD Revenue Net of LOI</t>
  </si>
  <si>
    <t>USD Total Direct Tax</t>
  </si>
  <si>
    <t>USD Total Commission</t>
  </si>
  <si>
    <t>USD Total W/H Tax</t>
  </si>
  <si>
    <t>USD Total Invoiced Amt</t>
  </si>
  <si>
    <t>Fx Rate to USD</t>
  </si>
  <si>
    <t>USA</t>
  </si>
  <si>
    <t>COL</t>
  </si>
  <si>
    <t>URU</t>
  </si>
  <si>
    <t>ECU</t>
  </si>
  <si>
    <t>PER</t>
  </si>
  <si>
    <t>ARG</t>
  </si>
  <si>
    <t>MEX</t>
  </si>
  <si>
    <t>PAN</t>
  </si>
  <si>
    <t>CHI</t>
  </si>
  <si>
    <t>IO: Owner Role</t>
  </si>
  <si>
    <t>Direct Tax</t>
  </si>
  <si>
    <t>W/H Tax</t>
  </si>
  <si>
    <t>HN</t>
  </si>
  <si>
    <t>GTM</t>
  </si>
  <si>
    <t>PRY</t>
  </si>
  <si>
    <t>NIC</t>
  </si>
  <si>
    <t>Reseller - LATAM - Colombia - AM</t>
  </si>
  <si>
    <t>VE</t>
  </si>
  <si>
    <t>SV</t>
  </si>
  <si>
    <t>SLV</t>
  </si>
  <si>
    <t>HND</t>
  </si>
  <si>
    <t>TT</t>
  </si>
  <si>
    <t>Mexico</t>
  </si>
  <si>
    <t>Reseller - LATAM - Chile - AM</t>
  </si>
  <si>
    <t>BOL</t>
  </si>
  <si>
    <t>CRI</t>
  </si>
  <si>
    <t>Reseller - LATAM - Argentina - AM</t>
  </si>
  <si>
    <t>Country</t>
  </si>
  <si>
    <t>Country Name</t>
  </si>
  <si>
    <t>BB</t>
  </si>
  <si>
    <t>BRB</t>
  </si>
  <si>
    <t>Barbados</t>
  </si>
  <si>
    <t>BS</t>
  </si>
  <si>
    <t>BAH</t>
  </si>
  <si>
    <t>Bahamas</t>
  </si>
  <si>
    <t>Bolivia</t>
  </si>
  <si>
    <t>DOM</t>
  </si>
  <si>
    <t>Dominican Republic</t>
  </si>
  <si>
    <t>Ecuador</t>
  </si>
  <si>
    <t>JM</t>
  </si>
  <si>
    <t>JAM</t>
  </si>
  <si>
    <t>Jamaica</t>
  </si>
  <si>
    <t>Nicaragua</t>
  </si>
  <si>
    <t>Paraguay</t>
  </si>
  <si>
    <t>Peru</t>
  </si>
  <si>
    <t>T&amp;T</t>
  </si>
  <si>
    <t>Trinidad y Tobago</t>
  </si>
  <si>
    <t>Uruguay</t>
  </si>
  <si>
    <t>VEN</t>
  </si>
  <si>
    <t>Venezuela</t>
  </si>
  <si>
    <t>United States</t>
  </si>
  <si>
    <t>Sum of Total Charges (in Entered Curr)</t>
  </si>
  <si>
    <t>IO#</t>
  </si>
  <si>
    <t>Local Amplify</t>
  </si>
  <si>
    <t>Local Amplify Direct Tax</t>
  </si>
  <si>
    <t>Local Amplify Commission</t>
  </si>
  <si>
    <t>Local Amplify W/H Tax</t>
  </si>
  <si>
    <t xml:space="preserve">Local Amplify Total </t>
  </si>
  <si>
    <t xml:space="preserve"> Amplify Total</t>
  </si>
  <si>
    <t xml:space="preserve"> Amplify Consol Total</t>
  </si>
  <si>
    <t>PEN</t>
  </si>
  <si>
    <t>ZAR</t>
  </si>
  <si>
    <t>IMM INTERNET MEDIA MEXICO S DE RL DE CV</t>
  </si>
  <si>
    <t>Havas Media Argentina S.A.</t>
  </si>
  <si>
    <t>New Rates (after 1/1/2020)</t>
  </si>
  <si>
    <t>Updates from agreement signed Mar. 31, 2020 (effective Jan. 1, 2020):</t>
  </si>
  <si>
    <t>Withholding tax changes: Chile (from 0% to 35%), Trinidad Y Tobago (from 30% to n/a), and Uruguay (from 12% to 0%)</t>
  </si>
  <si>
    <t>Added billing agent commission fee of 7% (all non-resellers)</t>
  </si>
  <si>
    <t>SamsungArg</t>
  </si>
  <si>
    <t>120 NET</t>
  </si>
  <si>
    <t>N</t>
  </si>
  <si>
    <t>APP_ENGAGEMENTS</t>
  </si>
  <si>
    <t>PersonalAr</t>
  </si>
  <si>
    <t>DCL IO Flag</t>
  </si>
  <si>
    <t>Booking Ref#</t>
  </si>
  <si>
    <t>SUPER MEDIA S.A</t>
  </si>
  <si>
    <t>ERP Billing Party ID</t>
  </si>
  <si>
    <t>Play Digital S.A.</t>
  </si>
  <si>
    <t>McDonalds_Ar</t>
  </si>
  <si>
    <t>Digital Hive Group S.A</t>
  </si>
  <si>
    <t>Promoted Ads</t>
  </si>
  <si>
    <t>NaranjaX</t>
  </si>
  <si>
    <t>MODO_Arg</t>
  </si>
  <si>
    <t>Rocío Camarena</t>
  </si>
  <si>
    <t>Gustavo Quiroga E.P.M. S.A.</t>
  </si>
  <si>
    <t>Bernabela Costabile</t>
  </si>
  <si>
    <t>Markup Percentage</t>
  </si>
  <si>
    <t>Markup Amt in Entered</t>
  </si>
  <si>
    <t>Markup Amt in Functional</t>
  </si>
  <si>
    <t>Markup Amt in USD</t>
  </si>
  <si>
    <t>Markdown Percentage</t>
  </si>
  <si>
    <t>Markdown Amt in Entered</t>
  </si>
  <si>
    <t>Markdown Amt in Functional</t>
  </si>
  <si>
    <t>Markdown Amt in USD</t>
  </si>
  <si>
    <t>Total Net Revenue in Entered</t>
  </si>
  <si>
    <t>Total Net Revenue in Functional</t>
  </si>
  <si>
    <t>Total Net Revenue in USD</t>
  </si>
  <si>
    <t>Total Net Billed in Entered</t>
  </si>
  <si>
    <t>Total Net Billed in Functional</t>
  </si>
  <si>
    <t>Total Net Billed in USD</t>
  </si>
  <si>
    <t>Liliana SRL</t>
  </si>
  <si>
    <t>Macarena Ramos</t>
  </si>
  <si>
    <t>iProspect - Argentina</t>
  </si>
  <si>
    <t>YPFServiclub</t>
  </si>
  <si>
    <t>CCU Argentina</t>
  </si>
  <si>
    <t>Twitter Takeover</t>
  </si>
  <si>
    <t>Timeline Takeover - Tier 1</t>
  </si>
  <si>
    <t>Hipódromo Argentino de Palermo S.A</t>
  </si>
  <si>
    <t>Betfunok</t>
  </si>
  <si>
    <t>Regulatory Complexity Fee</t>
  </si>
  <si>
    <t>Currency Complexity Fee</t>
  </si>
  <si>
    <t>X Corp.</t>
  </si>
  <si>
    <t>Local Regulatory Complexity Fee</t>
  </si>
  <si>
    <t>Local PAc Reg Fee</t>
  </si>
  <si>
    <t>Local PTr Reg Fee</t>
  </si>
  <si>
    <t>Local PTw Reg Fee</t>
  </si>
  <si>
    <t>Local TPN Reg Fee</t>
  </si>
  <si>
    <t>Local Amplify Reg Fee</t>
  </si>
  <si>
    <t>Local Reg Fee Total</t>
  </si>
  <si>
    <t>Local Currency Complexity Fee</t>
  </si>
  <si>
    <t>Local PAc Curr. Complex Fee</t>
  </si>
  <si>
    <t>Local PTr Curr. Complex Fee</t>
  </si>
  <si>
    <t>Local PTw Curr. Complex Fee</t>
  </si>
  <si>
    <t>Local TPN Curr. Complex Fee</t>
  </si>
  <si>
    <t>Local Amplify Curr. Complex Fee</t>
  </si>
  <si>
    <t>Local Curr. Complex Fee Total</t>
  </si>
  <si>
    <t>Entered Currency Regulatory Complexity Fee</t>
  </si>
  <si>
    <t>Entered Currency Currency Complexity Fee</t>
  </si>
  <si>
    <t>Regulatory Complexity Fee Total</t>
  </si>
  <si>
    <t>Currency Complexity Fee Total</t>
  </si>
  <si>
    <t>USD Total Regulatory Complexity Fee</t>
  </si>
  <si>
    <t>USD Total Currency Complexity Fee</t>
  </si>
  <si>
    <t>ZMW</t>
  </si>
  <si>
    <t>VND</t>
  </si>
  <si>
    <t>UGX</t>
  </si>
  <si>
    <t>UAH</t>
  </si>
  <si>
    <t>TZS</t>
  </si>
  <si>
    <t>TWD</t>
  </si>
  <si>
    <t>TRY</t>
  </si>
  <si>
    <t>TND</t>
  </si>
  <si>
    <t>THB</t>
  </si>
  <si>
    <t>SGD</t>
  </si>
  <si>
    <t>SEK</t>
  </si>
  <si>
    <t>SAR</t>
  </si>
  <si>
    <t>RUB</t>
  </si>
  <si>
    <t>RSD</t>
  </si>
  <si>
    <t>RON</t>
  </si>
  <si>
    <t>QAR</t>
  </si>
  <si>
    <t>PLN</t>
  </si>
  <si>
    <t>PKR</t>
  </si>
  <si>
    <t>PHP</t>
  </si>
  <si>
    <t>NZD</t>
  </si>
  <si>
    <t>NOK</t>
  </si>
  <si>
    <t>NGN</t>
  </si>
  <si>
    <t>MYR</t>
  </si>
  <si>
    <t>MKD</t>
  </si>
  <si>
    <t>MAD</t>
  </si>
  <si>
    <t>LBP</t>
  </si>
  <si>
    <t>KWD</t>
  </si>
  <si>
    <t>KYD</t>
  </si>
  <si>
    <t>KRW</t>
  </si>
  <si>
    <t>JPY</t>
  </si>
  <si>
    <t>KES</t>
  </si>
  <si>
    <t>ISK</t>
  </si>
  <si>
    <t>IQD</t>
  </si>
  <si>
    <t>INR</t>
  </si>
  <si>
    <t>ILS</t>
  </si>
  <si>
    <t>IDR</t>
  </si>
  <si>
    <t>HUF</t>
  </si>
  <si>
    <t>HRK</t>
  </si>
  <si>
    <t>HKD</t>
  </si>
  <si>
    <t>GTQ</t>
  </si>
  <si>
    <t>GHS</t>
  </si>
  <si>
    <t>GBP</t>
  </si>
  <si>
    <t>EGP</t>
  </si>
  <si>
    <t>DZD</t>
  </si>
  <si>
    <t>DKK</t>
  </si>
  <si>
    <t>CZK</t>
  </si>
  <si>
    <t>CNY</t>
  </si>
  <si>
    <t>CHF</t>
  </si>
  <si>
    <t>CAD</t>
  </si>
  <si>
    <t>BHD</t>
  </si>
  <si>
    <t>BGN</t>
  </si>
  <si>
    <t>BAM</t>
  </si>
  <si>
    <t>AUD</t>
  </si>
  <si>
    <t>ALL</t>
  </si>
  <si>
    <t>AED</t>
  </si>
  <si>
    <t>LilianaElectros</t>
  </si>
  <si>
    <t>BYR</t>
  </si>
  <si>
    <t>VEF</t>
  </si>
  <si>
    <t>PROGMEDIA ARG SAS</t>
  </si>
  <si>
    <t>Billing Sfdc Acct Id</t>
  </si>
  <si>
    <t>Billing Oracle Cust Num</t>
  </si>
  <si>
    <t>Salesforce Io Id</t>
  </si>
  <si>
    <t>Io Header</t>
  </si>
  <si>
    <t>Event Date</t>
  </si>
  <si>
    <t>Product</t>
  </si>
  <si>
    <t>Event Type</t>
  </si>
  <si>
    <t>Sold To SFDC Acct ID</t>
  </si>
  <si>
    <t>Sold To Oracle Cust Num</t>
  </si>
  <si>
    <t>Account Executive</t>
  </si>
  <si>
    <t>Sold To Country</t>
  </si>
  <si>
    <t>Bill To Country</t>
  </si>
  <si>
    <t>Amount In Entered Currency</t>
  </si>
  <si>
    <t>Amount In Functional Currency</t>
  </si>
  <si>
    <t>Amount in Usd</t>
  </si>
  <si>
    <t>Upfront Discount Percent</t>
  </si>
  <si>
    <t>Discount in Entered Currency</t>
  </si>
  <si>
    <t>Disc In Functional Currency</t>
  </si>
  <si>
    <t>Discount in USD</t>
  </si>
  <si>
    <t>Current Commission Percentage</t>
  </si>
  <si>
    <t>Commission Amt in Entered</t>
  </si>
  <si>
    <t>Commission Amt in Functional</t>
  </si>
  <si>
    <t>Commission Amt in USD</t>
  </si>
  <si>
    <t>Original Billing Amount Entered</t>
  </si>
  <si>
    <t>Amount Adjusted from Original in Entered</t>
  </si>
  <si>
    <t>Agency Of Influence Name</t>
  </si>
  <si>
    <t>Agency Of Influence ID</t>
  </si>
  <si>
    <t>SFDC IO Mapping Found?</t>
  </si>
  <si>
    <t>Reseller/Billing Agent By Owner</t>
  </si>
  <si>
    <t>future_sub_territory</t>
  </si>
  <si>
    <t>Agreement ID</t>
  </si>
  <si>
    <t>Most Current Contract Effective Date</t>
  </si>
  <si>
    <t>Most Current Contract End Date</t>
  </si>
  <si>
    <t>billing commission end date</t>
  </si>
  <si>
    <t>Contract Sold To Territory</t>
  </si>
  <si>
    <t>In Sold-to Territory?</t>
  </si>
  <si>
    <t>Sold-to Turkey?</t>
  </si>
  <si>
    <t>MENA FLAG</t>
  </si>
  <si>
    <t>Billing Agent (Incl MENA)?</t>
  </si>
  <si>
    <t>Billing Agent Commission</t>
  </si>
  <si>
    <t>Commission % 1</t>
  </si>
  <si>
    <t>Flat Rate Partner Net Revenue Share % (if applicable)</t>
  </si>
  <si>
    <t>TAP-TAC clawback - Fixed Rate Recoup %</t>
  </si>
  <si>
    <t>Secondary Agreement ID</t>
  </si>
  <si>
    <t>Contract Sold To Territory2</t>
  </si>
  <si>
    <t>Billing Agent Commission2</t>
  </si>
  <si>
    <t>Commission % 1_2</t>
  </si>
  <si>
    <t>Flat Rate Partner Net Revenue Share % (if applicable)2</t>
  </si>
  <si>
    <t>TAP-TAC clawback - Fixed Rate Recoup %2</t>
  </si>
  <si>
    <t>InStream Rev Share %</t>
  </si>
  <si>
    <t>Effective Commission Rate</t>
  </si>
  <si>
    <t>W/H Tax Rate</t>
  </si>
  <si>
    <t>Direct Tax Amt</t>
  </si>
  <si>
    <t>Commission Amt</t>
  </si>
  <si>
    <t>W/H Tax Amt</t>
  </si>
  <si>
    <t>Effec Commission Rate w/tax</t>
  </si>
  <si>
    <t>Effec TAP-TAC Clawback %</t>
  </si>
  <si>
    <t>Effec Commission Rate net of TAP-TAC Clawback</t>
  </si>
  <si>
    <t>Commission Amt net of TAP-TAC Clawback</t>
  </si>
  <si>
    <t>Effec Comm Rate net of TAP-TAC Clawback w/tax</t>
  </si>
  <si>
    <t>Regulatory Fees</t>
  </si>
  <si>
    <t>Currency Fees</t>
  </si>
  <si>
    <t>Principal Trading</t>
  </si>
  <si>
    <t>Original Billing Amount Entered w/ PT</t>
  </si>
  <si>
    <t>Total Fees</t>
  </si>
  <si>
    <t>Financial Fee Amount</t>
  </si>
  <si>
    <t>Effective Commission Rate Recalc</t>
  </si>
  <si>
    <t>30 NET</t>
  </si>
  <si>
    <t>0</t>
  </si>
  <si>
    <t>No</t>
  </si>
  <si>
    <t>Billing Agent</t>
  </si>
  <si>
    <t>IMS__20150701</t>
  </si>
  <si>
    <t>2020-01-01</t>
  </si>
  <si>
    <t>2021-12-31</t>
  </si>
  <si>
    <t>AR,BB,BO,CL,CO,CR,DO,EC,SV,GT,HN,MX,NI,PA,PY,PE,UY,VE,US</t>
  </si>
  <si>
    <t>Yes</t>
  </si>
  <si>
    <t>86454</t>
  </si>
  <si>
    <t>224573</t>
  </si>
  <si>
    <t>Reseller</t>
  </si>
  <si>
    <t>12868</t>
  </si>
  <si>
    <t>10176</t>
  </si>
  <si>
    <t>224581</t>
  </si>
  <si>
    <t>224554</t>
  </si>
  <si>
    <t>2500000</t>
  </si>
  <si>
    <t>2000000</t>
  </si>
  <si>
    <t>5000000</t>
  </si>
  <si>
    <t>10000000</t>
  </si>
  <si>
    <t>1500000</t>
  </si>
  <si>
    <t>40579</t>
  </si>
  <si>
    <t>14030950</t>
  </si>
  <si>
    <t>8649</t>
  </si>
  <si>
    <t>66013147</t>
  </si>
  <si>
    <t>224574</t>
  </si>
  <si>
    <t>7226</t>
  </si>
  <si>
    <t>224529</t>
  </si>
  <si>
    <t>21090</t>
  </si>
  <si>
    <t>176027</t>
  </si>
  <si>
    <t>3000000</t>
  </si>
  <si>
    <t>269449</t>
  </si>
  <si>
    <t>1000000</t>
  </si>
  <si>
    <t>4000000</t>
  </si>
  <si>
    <t>154218</t>
  </si>
  <si>
    <t>11131</t>
  </si>
  <si>
    <t>181584876</t>
  </si>
  <si>
    <t>T2767832</t>
  </si>
  <si>
    <t>ALMUNDO.COM SRL</t>
  </si>
  <si>
    <t>202668</t>
  </si>
  <si>
    <t>63304606</t>
  </si>
  <si>
    <t>RappiArgentina</t>
  </si>
  <si>
    <t>almundo_ar</t>
  </si>
  <si>
    <t>AR00226309 - SMB - ARG - X - Al Mundo - Febrero 2024</t>
  </si>
  <si>
    <t>Takeover</t>
  </si>
  <si>
    <t>3050535</t>
  </si>
  <si>
    <t>41651</t>
  </si>
  <si>
    <t>57936819</t>
  </si>
  <si>
    <t>184868</t>
  </si>
  <si>
    <t>100986</t>
  </si>
  <si>
    <t>80883</t>
  </si>
  <si>
    <t>184672459</t>
  </si>
  <si>
    <t>148610446</t>
  </si>
  <si>
    <t>72805</t>
  </si>
  <si>
    <t>2801591</t>
  </si>
  <si>
    <t>123698582</t>
  </si>
  <si>
    <t>Cocos Capital S.A.</t>
  </si>
  <si>
    <t>186932207</t>
  </si>
  <si>
    <t>203102</t>
  </si>
  <si>
    <t>292623</t>
  </si>
  <si>
    <t>Grupo GCBA</t>
  </si>
  <si>
    <t>265630</t>
  </si>
  <si>
    <t>17709</t>
  </si>
  <si>
    <t>124567</t>
  </si>
  <si>
    <t>gcba</t>
  </si>
  <si>
    <t>cocoscap</t>
  </si>
  <si>
    <t>Vanessa Gomez</t>
  </si>
  <si>
    <t>DSO - LATAM - Miami - AE</t>
  </si>
  <si>
    <t>Monsanto Argentina</t>
  </si>
  <si>
    <t>530773</t>
  </si>
  <si>
    <t>28283</t>
  </si>
  <si>
    <t>Encender Argentina</t>
  </si>
  <si>
    <t>530772</t>
  </si>
  <si>
    <t>T2834460</t>
  </si>
  <si>
    <t>Flybondi S.A</t>
  </si>
  <si>
    <t>9235510</t>
  </si>
  <si>
    <t>61802</t>
  </si>
  <si>
    <t>Bullmetrix SRL</t>
  </si>
  <si>
    <t>136433571</t>
  </si>
  <si>
    <t>flybondioficial</t>
  </si>
  <si>
    <t>AR00249217 SMB-X ARG - Flybondi (may - jun 24)</t>
  </si>
  <si>
    <t>RAPPI ARG S.A.S.</t>
  </si>
  <si>
    <t>9663269</t>
  </si>
  <si>
    <t>63726</t>
  </si>
  <si>
    <t>BI MEDIA S.R.L.</t>
  </si>
  <si>
    <t>192377147</t>
  </si>
  <si>
    <t>Cervecería y Maltería Quilmes</t>
  </si>
  <si>
    <t>292695</t>
  </si>
  <si>
    <t>21412</t>
  </si>
  <si>
    <t>Standard + Spotlight</t>
  </si>
  <si>
    <t>Talia Alzieu</t>
  </si>
  <si>
    <t>Reseller Y/N</t>
  </si>
  <si>
    <t>Y</t>
  </si>
  <si>
    <t>Juan Vilarino</t>
  </si>
  <si>
    <t>Binbaires SA Ondiss SA Intralot International Limited - UT</t>
  </si>
  <si>
    <t>136982071</t>
  </si>
  <si>
    <t>164923</t>
  </si>
  <si>
    <t>BetWarrior_Arg</t>
  </si>
  <si>
    <t>Heineken__Ar</t>
  </si>
  <si>
    <t>T2929648</t>
  </si>
  <si>
    <t>assistcard</t>
  </si>
  <si>
    <t>AR00280197 SMB-X ARG - Liliana - Octubre 24</t>
  </si>
  <si>
    <t>T2985381</t>
  </si>
  <si>
    <t>AR00303899 SMB-X ARG - Cocos Capital - Dic/Ene</t>
  </si>
  <si>
    <t>CervezaBrahma</t>
  </si>
  <si>
    <t>BULL_FLYBONDI_AR_TWITTER_TRAF_ALWAYSON</t>
  </si>
  <si>
    <t>MercadoLibre S.R.L.</t>
  </si>
  <si>
    <t>821027</t>
  </si>
  <si>
    <t>31726</t>
  </si>
  <si>
    <t>Mariela Juncos</t>
  </si>
  <si>
    <t>Banco Provincia</t>
  </si>
  <si>
    <t>7000116</t>
  </si>
  <si>
    <t>54554</t>
  </si>
  <si>
    <t>Flow_ar</t>
  </si>
  <si>
    <t>bancoprovincia</t>
  </si>
  <si>
    <t>ML_Argentina</t>
  </si>
  <si>
    <t>YOY_Arg</t>
  </si>
  <si>
    <t>1710000</t>
  </si>
  <si>
    <t>594000</t>
  </si>
  <si>
    <t>T3025948</t>
  </si>
  <si>
    <t>310000000</t>
  </si>
  <si>
    <t>Rappi Argentina 2025 LInea de Credito</t>
  </si>
  <si>
    <t>FieldViewArg</t>
  </si>
  <si>
    <t>OSA ONE STEP AHEAD S.A</t>
  </si>
  <si>
    <t>T2751490</t>
  </si>
  <si>
    <t>BANCO DE LA PROVINCIA DE CORDOBA S.A.</t>
  </si>
  <si>
    <t>5733116</t>
  </si>
  <si>
    <t>77417</t>
  </si>
  <si>
    <t>WOBRA S.A.S.</t>
  </si>
  <si>
    <t>47720819</t>
  </si>
  <si>
    <t>Banco Supervielle</t>
  </si>
  <si>
    <t>240194</t>
  </si>
  <si>
    <t>15488</t>
  </si>
  <si>
    <t>BancodeCordoba</t>
  </si>
  <si>
    <t>AR00223485 - SMB_ARG_BancoProvinciaCord_Enero24</t>
  </si>
  <si>
    <t>Supervielle_ARG</t>
  </si>
  <si>
    <t>X_AR_BND_AWA_R&amp;F_DCD</t>
  </si>
  <si>
    <t>Liliana   Always On   General  2025</t>
  </si>
  <si>
    <t>Assist Card Argentina</t>
  </si>
  <si>
    <t>5134575</t>
  </si>
  <si>
    <t>49623</t>
  </si>
  <si>
    <t>United International Pictures</t>
  </si>
  <si>
    <t>2097220</t>
  </si>
  <si>
    <t>37567</t>
  </si>
  <si>
    <t>T3094969</t>
  </si>
  <si>
    <t>YPFoficial</t>
  </si>
  <si>
    <t>AR_Traffic_Prosp_X</t>
  </si>
  <si>
    <t>UniversalPicsAr</t>
  </si>
  <si>
    <t>AR_Purchase_Rmkt_X</t>
  </si>
  <si>
    <t>AR00344572 X - YOY - Branding - Tácticos</t>
  </si>
  <si>
    <t>T3101174</t>
  </si>
  <si>
    <t>7000000</t>
  </si>
  <si>
    <t>AR00348122 TW - MODO - Promo Día</t>
  </si>
  <si>
    <t>HipodromoArgPal</t>
  </si>
  <si>
    <t>Red Bull Argentina</t>
  </si>
  <si>
    <t>109915</t>
  </si>
  <si>
    <t>10477</t>
  </si>
  <si>
    <t>Tomas Poletto</t>
  </si>
  <si>
    <t>redbullARG</t>
  </si>
  <si>
    <t>Banco Galicia 6 y 12 cuotas</t>
  </si>
  <si>
    <t>2025_MODO_BRANDING_PROMO_PROMO-DIAV2_TOTAL-PAIS_TWITTER_NU_AW_JUN-JUL</t>
  </si>
  <si>
    <t>yoy-brandformance-alcance</t>
  </si>
  <si>
    <t>Beturf_ok</t>
  </si>
  <si>
    <t>CX_AR_PR_PS_TW_TWI_AND_ALL_RAP_ALL_NA_00000_TAC_INS_INS</t>
  </si>
  <si>
    <t>7500000</t>
  </si>
  <si>
    <t>12000000</t>
  </si>
  <si>
    <t>T2993848</t>
  </si>
  <si>
    <t>BALANZ CAPITAL VALORES SAU</t>
  </si>
  <si>
    <t>183777845</t>
  </si>
  <si>
    <t>202524</t>
  </si>
  <si>
    <t>Amplify Sponsorship</t>
  </si>
  <si>
    <t>6000000</t>
  </si>
  <si>
    <t>20000000</t>
  </si>
  <si>
    <t>50000</t>
  </si>
  <si>
    <t>BalanzCapital</t>
  </si>
  <si>
    <t>AR00308588 SMB-X ARG - Balanz - Enero 2025</t>
  </si>
  <si>
    <t>uipargentina</t>
  </si>
  <si>
    <t>X_AR_BND_AWA_R&amp;F_AO</t>
  </si>
  <si>
    <t>CX_AR_PR_PS_TW_TWI_IOS_ALL_RAP_ALL_NA_00000_TAC_INS_INS</t>
  </si>
  <si>
    <t>T3184062</t>
  </si>
  <si>
    <t>T3186988</t>
  </si>
  <si>
    <t>CINEMARK ARGENTINA SRL</t>
  </si>
  <si>
    <t>207572191</t>
  </si>
  <si>
    <t>232509</t>
  </si>
  <si>
    <t>2026-02-28</t>
  </si>
  <si>
    <t>bull_cnmk_all_trafico_X_all_broad_gene_ticket_ao</t>
  </si>
  <si>
    <t>AR00386903 _X - Arg - Cinemark - Q42025</t>
  </si>
  <si>
    <t>bull_cnmk_all_venta_X_all_broad_gene_ticket_ao</t>
  </si>
  <si>
    <t>2025_MODO_BRANDING_PROMO_DIARCO_GEO_TWITTER_NU_AW_NOV</t>
  </si>
  <si>
    <t>AR00385631 X | MODO | Promo Diarco</t>
  </si>
  <si>
    <t>BancoNacion</t>
  </si>
  <si>
    <t>135550000</t>
  </si>
  <si>
    <t>Digital Soul SA</t>
  </si>
  <si>
    <t>10284403</t>
  </si>
  <si>
    <t>T3209384</t>
  </si>
  <si>
    <t>T3218190</t>
  </si>
  <si>
    <t>Santander Argentina</t>
  </si>
  <si>
    <t>347953</t>
  </si>
  <si>
    <t>26115</t>
  </si>
  <si>
    <t>T3219252</t>
  </si>
  <si>
    <t>2308500</t>
  </si>
  <si>
    <t>2026-12-31</t>
  </si>
  <si>
    <t>2025_MODO_BRANDING_PROMO_JUMBO_GEO_TWITTER_NU_AW_DIC</t>
  </si>
  <si>
    <t>AR00392411 X | MODO | Cencosud</t>
  </si>
  <si>
    <t>ypf_combustibles-tw-alcance-season-verano2026_bdd-2025-dic</t>
  </si>
  <si>
    <t>AR00396284-X-YPF-COMBUSTIBLES-VERANO-Dic/Ene 26</t>
  </si>
  <si>
    <t>SchneiderARG</t>
  </si>
  <si>
    <t>Santander_Ar</t>
  </si>
  <si>
    <t>AR_DCB_OTH_OINV_FY25Q3_SSN_VERANO-2026_BAW_BRA_PSOC_TW_ALI-NA_AWA_B0005T5S</t>
  </si>
  <si>
    <t>AR00395348 X | Santander | Verano 2026</t>
  </si>
  <si>
    <t>ypf_combustibles-tw-alcance-season-verano2026_intereses-2025-dic</t>
  </si>
  <si>
    <t>X_AR_BND_AWA_R&amp;F_Maratea</t>
  </si>
  <si>
    <t>2025_MODO_BRANDING_PROMO_MAKRO_GEO_TWITTER_NU_AW_DIC</t>
  </si>
  <si>
    <t>2025_MODO_BRANDING_PROMO_VEA&amp;DISCO_GEO_TWITTER_NU_AW_DIC</t>
  </si>
  <si>
    <t>59571605</t>
  </si>
  <si>
    <t>T2887099</t>
  </si>
  <si>
    <t>Fintech SA</t>
  </si>
  <si>
    <t>115399678</t>
  </si>
  <si>
    <t>148360</t>
  </si>
  <si>
    <t>40300000</t>
  </si>
  <si>
    <t>T3163143</t>
  </si>
  <si>
    <t>801900</t>
  </si>
  <si>
    <t>2565000</t>
  </si>
  <si>
    <t>891000</t>
  </si>
  <si>
    <t>T3203811</t>
  </si>
  <si>
    <t>T3210360</t>
  </si>
  <si>
    <t>8133235</t>
  </si>
  <si>
    <t>2026-02-17</t>
  </si>
  <si>
    <t>T3219531</t>
  </si>
  <si>
    <t>5517531.8799999999</t>
  </si>
  <si>
    <t>2026-02-15</t>
  </si>
  <si>
    <t>T3221498</t>
  </si>
  <si>
    <t>23500000</t>
  </si>
  <si>
    <t>T3221499</t>
  </si>
  <si>
    <t>8576000</t>
  </si>
  <si>
    <t>T3221580</t>
  </si>
  <si>
    <t>2800000</t>
  </si>
  <si>
    <t>2026-02-08</t>
  </si>
  <si>
    <t>T3221584</t>
  </si>
  <si>
    <t>T3222030</t>
  </si>
  <si>
    <t>T3222032</t>
  </si>
  <si>
    <t>T3222033</t>
  </si>
  <si>
    <t>T3222060</t>
  </si>
  <si>
    <t>Banco Galicia</t>
  </si>
  <si>
    <t>26599</t>
  </si>
  <si>
    <t>1174</t>
  </si>
  <si>
    <t>T3222574</t>
  </si>
  <si>
    <t>2026-02-23</t>
  </si>
  <si>
    <t>T3222582</t>
  </si>
  <si>
    <t>T3222819</t>
  </si>
  <si>
    <t>T3224678</t>
  </si>
  <si>
    <t>29815800</t>
  </si>
  <si>
    <t>T3224761</t>
  </si>
  <si>
    <t>43700000</t>
  </si>
  <si>
    <t>T3225314</t>
  </si>
  <si>
    <t>12650000</t>
  </si>
  <si>
    <t>T3225345</t>
  </si>
  <si>
    <t>11298240</t>
  </si>
  <si>
    <t>T3227274</t>
  </si>
  <si>
    <t>13092970</t>
  </si>
  <si>
    <t>2026-02-02</t>
  </si>
  <si>
    <t>T3231502</t>
  </si>
  <si>
    <t>Burger King Argentina</t>
  </si>
  <si>
    <t>951193</t>
  </si>
  <si>
    <t>32611</t>
  </si>
  <si>
    <t>T3231647</t>
  </si>
  <si>
    <t>T3231673</t>
  </si>
  <si>
    <t>T3233788</t>
  </si>
  <si>
    <t>Honda Motor de Argentina S.A</t>
  </si>
  <si>
    <t>10284340</t>
  </si>
  <si>
    <t>65674</t>
  </si>
  <si>
    <t>Wedoit SRL</t>
  </si>
  <si>
    <t>106552507</t>
  </si>
  <si>
    <t>T3235652</t>
  </si>
  <si>
    <t>2026-02-03</t>
  </si>
  <si>
    <t>580.70000000000005</t>
  </si>
  <si>
    <t>2026-02-04</t>
  </si>
  <si>
    <t>T3237874</t>
  </si>
  <si>
    <t>Connaught International Limited</t>
  </si>
  <si>
    <t>209164024</t>
  </si>
  <si>
    <t>251539</t>
  </si>
  <si>
    <t>MT</t>
  </si>
  <si>
    <t>WILD FI ARGENTINA SA</t>
  </si>
  <si>
    <t>140088451</t>
  </si>
  <si>
    <t>OT429-V3   Cordobesa Verano - Alcance - Twitter -   PROMO SUPERMERCADO</t>
  </si>
  <si>
    <t>AR00396946 X | MODO | AO Performance</t>
  </si>
  <si>
    <t>ARG_BRD_BRA_SEDDEBRAHMA_CARNAVAL_NON_RCH_BEY_2026_CORRIENTES</t>
  </si>
  <si>
    <t>AR00396558-X-ABI ARG-SED DE BRAHMA CARNAVAL-Ene-26</t>
  </si>
  <si>
    <t>AR00396561-X-ABI ARG-SED DE BRAHMA VERANO-Ene-25</t>
  </si>
  <si>
    <t>Beturf_Trafico_AO_2026</t>
  </si>
  <si>
    <t>AR00397255-X-Hipódromo de Palemro-Beturf-AON 26</t>
  </si>
  <si>
    <t>br-verano-x</t>
  </si>
  <si>
    <t>AR00398214-X-ARG-Naranja X-Verano-Ene/Feb 26</t>
  </si>
  <si>
    <t>AR00399019 X | Bapro | ENE 26</t>
  </si>
  <si>
    <t>AR00400821 - X - Arg - FieldView - Año 2026</t>
  </si>
  <si>
    <t>OT429-V3   Cordobesa Verano - Alcance - Twitter -   PROMO Festivales y Espectáculos</t>
  </si>
  <si>
    <t>OT429-V3   Cordobesa Verano - Alcance - Twitter -  Capsulas de Video (MALEVO)</t>
  </si>
  <si>
    <t>AR00380261-X-Betfun-Takeover-Q1 26</t>
  </si>
  <si>
    <t>ARG_BRD_BRA_SEDDEBRAHMA_CARNAVAL_NON_RCH_BEY_2026_BARRIALES</t>
  </si>
  <si>
    <t>Sala_Branding_Alcance_AO_2026</t>
  </si>
  <si>
    <t>AR00397257-X-Hipódromo de Palermo-Sala-AON 26</t>
  </si>
  <si>
    <t>UIP_UNIVERSAL-HAMNET-PROXIMAMENTE-TWITTER-TOTAL-AWARENESS-INTERESES-IMPRESIONES-OP_PENDIENTE</t>
  </si>
  <si>
    <t>UIP Argentina | Hamnet</t>
  </si>
  <si>
    <t>MLA_ML_TW-TWT_GEN_X_FE-DD-X_ALL_REACH_DD-02_X_77419279</t>
  </si>
  <si>
    <t>MLA | Fecha Doble 2/2</t>
  </si>
  <si>
    <t>OT429-V3   Cordobesa Verano - Alcance - Twitter - PROMO PEAJE</t>
  </si>
  <si>
    <t>SatoshiTango</t>
  </si>
  <si>
    <t>AR00260247 - TW - Satoshi Tango - Q3</t>
  </si>
  <si>
    <t>Pix_ Branch_campaña_descarga_android</t>
  </si>
  <si>
    <t>17802_V3_P_2026_ARG_ISEDITION_TOTDIGOTH</t>
  </si>
  <si>
    <t>AR00393374 - X - Arg - Red Bull - Summer - Q1 2026</t>
  </si>
  <si>
    <t>ARG_BRD_BRA_SEDDEBRAHMA_CARNAVAL_NON_RCH_BEY_2026_LDA</t>
  </si>
  <si>
    <t>ARG_BRD_BRA_SEDDEBRAHMA_VERANO_NON_ENG_BEY_2026_STAFE_LAPAMPA_ER</t>
  </si>
  <si>
    <t>ARG_BRD_BRA_SEDDEBRAHMA_VERANO_NON_ENG_BEY_2026_AMBA_COSTA_CBA</t>
  </si>
  <si>
    <t>ARG_BRD_BRA_SEDDEBRAHMA_VERANO_NON_ENG_BEY_2026_NOA</t>
  </si>
  <si>
    <t>ARG_BRD_BRA_SEDDEBRAHMA_VERANO_NON_AWA_BEY_2026_LDA</t>
  </si>
  <si>
    <t>ARG_BRD_BRA_SEDDEBRAHMA_VERANO_NON_AWA_BEY_2026_STAFE_LAPAMPA_ER</t>
  </si>
  <si>
    <t>Awareness  Enero 2026 nueva funcionalidad</t>
  </si>
  <si>
    <t>Honda_Autos</t>
  </si>
  <si>
    <t>HCM-ALCANCE-WRV-PRELANZAMIENTO-2026</t>
  </si>
  <si>
    <t>AR00401391 - X | Arg | Honda | Q1 2026</t>
  </si>
  <si>
    <t>OT466   Rentas - Alcance - Twitter</t>
  </si>
  <si>
    <t>BG_AR_AL_PS_TW_TWI_ALL_ALL_RAP_ALL_NA_99999_COC_VWC</t>
  </si>
  <si>
    <t>ARG_BRD_BRA_SEDDEBRAHMA_CARNAVAL_NON_RCH_BEY_2026_GUALEGUAYCHU</t>
  </si>
  <si>
    <t>ARG_BRD_BRA_SEDDEBRAHMA_VERANO_NON_AWA_BEY_2026_NOA</t>
  </si>
  <si>
    <t>ARG_BRD_BRA_SEDDEBRAHMA_VERANO_NON_AWA_BEY_2026_AMBA_COSTA_CBA</t>
  </si>
  <si>
    <t>2026_MODO_BRANDING_PROMO_COTO_GEO_GEO_TWITTER_NU_AW_ENE</t>
  </si>
  <si>
    <t>AR00400737 X | MODO | Promo COTO</t>
  </si>
  <si>
    <t>MLA_ML_TW-TWT_GEN_X_BRD-E-GEN-X_ALL_REACH_AFA_X_88896050</t>
  </si>
  <si>
    <t>MLA | LPF | video</t>
  </si>
  <si>
    <t>Betfun_Alcance_AO2026</t>
  </si>
  <si>
    <t>AR00397261-X-Hipódromo de Palermo-Betfun-AON 26</t>
  </si>
  <si>
    <t>AR00397734 X | Banco Supervielle | ENE 26</t>
  </si>
  <si>
    <t>BurgerKingArg</t>
  </si>
  <si>
    <t>BK-COSQUIN_ROCK2026-ARG-TWITTER-TOTAL-AWARENESS-LIFESTYLE-ALCANCE-2026</t>
  </si>
  <si>
    <t>AR00400121 - X | Burger King - Cosquin Rock '26</t>
  </si>
  <si>
    <t>Bodog_Lat</t>
  </si>
  <si>
    <t>wf_2601_mx_x_display_aw_ba_ext</t>
  </si>
  <si>
    <t>AR00402658-X ARG-Bodog México-Q1/Q2-26</t>
  </si>
  <si>
    <t>X_AR_BND_AWA_R&amp;F_Fondos</t>
  </si>
  <si>
    <t>MLA_ML_TW-TWT_GEN_X_BRD-F-GEN-X_ALL_REACH_SUMMER-26_X_36235263</t>
  </si>
  <si>
    <t>MLA | Campaña Verano</t>
  </si>
  <si>
    <t>2026_MODO_BRANDING_PROMO_CHANGOMAS_NU_GEO_TWITTER_NU_AW_ENE</t>
  </si>
  <si>
    <t>AR00367389 X | MODO | ChangoMás</t>
  </si>
  <si>
    <t>BancoGalicia</t>
  </si>
  <si>
    <t>COMU_Supervielle_Individuos_Verano_Twitter_Subasta-Reproducciones-Intereses-Verano2026</t>
  </si>
  <si>
    <t>PS_PERSO_ECST2025_EXBRD_TW_BRD_NAC_AWA_VID-16.1</t>
  </si>
  <si>
    <t>AR00398495 | X | PERSONAL | Ecosistema parte 2 | Ene-Feb 2026</t>
  </si>
  <si>
    <t>ccu_schneider_remix limon 2025_views_suspect_febrero_2026_twitter_op-760699_</t>
  </si>
  <si>
    <t>AR00398290 | X | Assist Card AR | 2026</t>
  </si>
  <si>
    <t>Pix_ Branch_campaña_descarga__ios</t>
  </si>
  <si>
    <t>X_BND_AWA_R&amp;F_Loyalty</t>
  </si>
  <si>
    <t>PS_PERSO_ECST2025_EXBRD_TW_BRD_NAC_AWA_CRSL-16.1</t>
  </si>
  <si>
    <t>Beturf_Alcance_AO_2026</t>
  </si>
  <si>
    <t>starcom_argentina_awareness_twitter_social_reach_1312025_CF-LITTLEMC_4485990020000</t>
  </si>
  <si>
    <t>AR00397993 | X | MCD ARG | CF-LITTLE MC - Ene/Feb 2026</t>
  </si>
  <si>
    <t>PS_PERSO_ECST2025_EXBRD_TW_BRD_NAC_AWA_IMG-16.1</t>
  </si>
  <si>
    <t>AR00401632-X-YPF-COMBUSTIBLES-BENEFICIO BNA+MODO-Ene 26</t>
  </si>
  <si>
    <t>269483701</t>
  </si>
  <si>
    <t>T2694837</t>
  </si>
  <si>
    <t>Findi SA</t>
  </si>
  <si>
    <t>105408595</t>
  </si>
  <si>
    <t>137146</t>
  </si>
  <si>
    <t>Carolina Quiroga</t>
  </si>
  <si>
    <t>104633404</t>
  </si>
  <si>
    <t>2023-08-22 12:30:00</t>
  </si>
  <si>
    <t>2026-06-30 12:30:00</t>
  </si>
  <si>
    <t>630.88</t>
  </si>
  <si>
    <t>275149001</t>
  </si>
  <si>
    <t>40600000</t>
  </si>
  <si>
    <t>2024-01-01 13:30:00</t>
  </si>
  <si>
    <t>2026-04-15 12:30:00</t>
  </si>
  <si>
    <t>2667.47</t>
  </si>
  <si>
    <t>276783201</t>
  </si>
  <si>
    <t>2024-02-06 13:30:00</t>
  </si>
  <si>
    <t>2026-03-31 12:30:00</t>
  </si>
  <si>
    <t>2154.37</t>
  </si>
  <si>
    <t>283446001</t>
  </si>
  <si>
    <t>2024-05-14 12:30:00</t>
  </si>
  <si>
    <t>2026-02-28 13:30:00</t>
  </si>
  <si>
    <t>1859.59</t>
  </si>
  <si>
    <t>288709901</t>
  </si>
  <si>
    <t>2026-02-20</t>
  </si>
  <si>
    <t>2024-08-12 12:30:00</t>
  </si>
  <si>
    <t>730.27</t>
  </si>
  <si>
    <t>292964801</t>
  </si>
  <si>
    <t>2026-02-27</t>
  </si>
  <si>
    <t>15001678</t>
  </si>
  <si>
    <t>2024-10-02 12:30:00</t>
  </si>
  <si>
    <t>878.56</t>
  </si>
  <si>
    <t>298538101</t>
  </si>
  <si>
    <t>69550831</t>
  </si>
  <si>
    <t>2024-12-18 13:30:00</t>
  </si>
  <si>
    <t>1314.75</t>
  </si>
  <si>
    <t>299384801</t>
  </si>
  <si>
    <t>2026-02-10</t>
  </si>
  <si>
    <t>2025-01-09 13:30:00</t>
  </si>
  <si>
    <t>56.68</t>
  </si>
  <si>
    <t>302594801</t>
  </si>
  <si>
    <t>2025-03-14 12:30:00</t>
  </si>
  <si>
    <t>2027-01-31 13:30:00</t>
  </si>
  <si>
    <t>11302.32</t>
  </si>
  <si>
    <t>309496901</t>
  </si>
  <si>
    <t>2780000</t>
  </si>
  <si>
    <t>2025-05-29 12:30:00</t>
  </si>
  <si>
    <t>422.16</t>
  </si>
  <si>
    <t>310117401</t>
  </si>
  <si>
    <t>15920154.99</t>
  </si>
  <si>
    <t>2025-06-13 12:30:00</t>
  </si>
  <si>
    <t>1389.01</t>
  </si>
  <si>
    <t>316314309</t>
  </si>
  <si>
    <t>2026-02-03 13:30:00</t>
  </si>
  <si>
    <t>554.79999999999995</t>
  </si>
  <si>
    <t>3163143010</t>
  </si>
  <si>
    <t>1597.14</t>
  </si>
  <si>
    <t>316315701</t>
  </si>
  <si>
    <t>T3163157</t>
  </si>
  <si>
    <t>2026-02-13</t>
  </si>
  <si>
    <t>2026-02-13 13:30:00</t>
  </si>
  <si>
    <t>316315702</t>
  </si>
  <si>
    <t>316316102</t>
  </si>
  <si>
    <t>T3163161</t>
  </si>
  <si>
    <t>2026-02-02 13:30:00</t>
  </si>
  <si>
    <t>410.96</t>
  </si>
  <si>
    <t>316316103</t>
  </si>
  <si>
    <t>1183.07</t>
  </si>
  <si>
    <t>318406201</t>
  </si>
  <si>
    <t>6599999.4699999997</t>
  </si>
  <si>
    <t>2025-11-05 13:30:00</t>
  </si>
  <si>
    <t>2026-03-29 12:30:00</t>
  </si>
  <si>
    <t>496.94</t>
  </si>
  <si>
    <t>318427901</t>
  </si>
  <si>
    <t>T3184279</t>
  </si>
  <si>
    <t>Usal Argentina</t>
  </si>
  <si>
    <t>1707467</t>
  </si>
  <si>
    <t>36201</t>
  </si>
  <si>
    <t>10884744.189999999</t>
  </si>
  <si>
    <t>2026-03-20 12:30:00</t>
  </si>
  <si>
    <t>834.87</t>
  </si>
  <si>
    <t>Eje Publicitaria</t>
  </si>
  <si>
    <t>1707491</t>
  </si>
  <si>
    <t>318698801</t>
  </si>
  <si>
    <t>12688415</t>
  </si>
  <si>
    <t>2025-11-10 13:30:00</t>
  </si>
  <si>
    <t>2026-04-30 12:30:00</t>
  </si>
  <si>
    <t>1682.19</t>
  </si>
  <si>
    <t>320312001</t>
  </si>
  <si>
    <t>T3203120</t>
  </si>
  <si>
    <t>2026-02-11</t>
  </si>
  <si>
    <t>Warner - LATAM</t>
  </si>
  <si>
    <t>268721</t>
  </si>
  <si>
    <t>18295</t>
  </si>
  <si>
    <t>1755000</t>
  </si>
  <si>
    <t>2026-02-11 13:30:00</t>
  </si>
  <si>
    <t>1214.2</t>
  </si>
  <si>
    <t>Mindshare Argentina</t>
  </si>
  <si>
    <t>262319</t>
  </si>
  <si>
    <t>320312002</t>
  </si>
  <si>
    <t>2700000</t>
  </si>
  <si>
    <t>2026-02-19 13:30:00</t>
  </si>
  <si>
    <t>1867.75</t>
  </si>
  <si>
    <t>320381103</t>
  </si>
  <si>
    <t>2026-02-04 13:30:00</t>
  </si>
  <si>
    <t>320381104</t>
  </si>
  <si>
    <t>320750202</t>
  </si>
  <si>
    <t>T3207502</t>
  </si>
  <si>
    <t>2026-02-23 13:30:00</t>
  </si>
  <si>
    <t>2026-03-09 12:30:00</t>
  </si>
  <si>
    <t>825.33</t>
  </si>
  <si>
    <t>320938401</t>
  </si>
  <si>
    <t>19250000.57</t>
  </si>
  <si>
    <t>2025-12-04 13:30:00</t>
  </si>
  <si>
    <t>4296.53</t>
  </si>
  <si>
    <t>321036001</t>
  </si>
  <si>
    <t>2026-01-01 13:30:00</t>
  </si>
  <si>
    <t>3837.31</t>
  </si>
  <si>
    <t>321793001</t>
  </si>
  <si>
    <t>T3217930</t>
  </si>
  <si>
    <t>2026-02-05</t>
  </si>
  <si>
    <t>Pedidos Ya S.A</t>
  </si>
  <si>
    <t>294134</t>
  </si>
  <si>
    <t>21850</t>
  </si>
  <si>
    <t>2026-02-05 13:30:00</t>
  </si>
  <si>
    <t>1774.6</t>
  </si>
  <si>
    <t>321793002</t>
  </si>
  <si>
    <t>2026-02-08 13:30:00</t>
  </si>
  <si>
    <t>616.44000000000005</t>
  </si>
  <si>
    <t>321793003</t>
  </si>
  <si>
    <t>321793004</t>
  </si>
  <si>
    <t>321819001</t>
  </si>
  <si>
    <t>36000000</t>
  </si>
  <si>
    <t>2025-12-19 13:30:00</t>
  </si>
  <si>
    <t>6230.2</t>
  </si>
  <si>
    <t>321854805</t>
  </si>
  <si>
    <t>T3218548</t>
  </si>
  <si>
    <t>3955000</t>
  </si>
  <si>
    <t>2026-02-27 13:30:00</t>
  </si>
  <si>
    <t>167.38</t>
  </si>
  <si>
    <t>321925201</t>
  </si>
  <si>
    <t>2026-02-18</t>
  </si>
  <si>
    <t>6763550</t>
  </si>
  <si>
    <t>2025-12-26 13:30:00</t>
  </si>
  <si>
    <t>1160.83</t>
  </si>
  <si>
    <t>321953101</t>
  </si>
  <si>
    <t>2026-01-05 13:30:00</t>
  </si>
  <si>
    <t>2026-02-15 13:30:00</t>
  </si>
  <si>
    <t>1350.79</t>
  </si>
  <si>
    <t>322149801</t>
  </si>
  <si>
    <t>6626.22</t>
  </si>
  <si>
    <t>322149901</t>
  </si>
  <si>
    <t>619.04</t>
  </si>
  <si>
    <t>322158001</t>
  </si>
  <si>
    <t>936.22</t>
  </si>
  <si>
    <t>322158401</t>
  </si>
  <si>
    <t>9869791.9600000009</t>
  </si>
  <si>
    <t>2026-01-02 13:30:00</t>
  </si>
  <si>
    <t>1670.35</t>
  </si>
  <si>
    <t>322203001</t>
  </si>
  <si>
    <t>11500000</t>
  </si>
  <si>
    <t>2741.79</t>
  </si>
  <si>
    <t>322203201</t>
  </si>
  <si>
    <t>618.04999999999995</t>
  </si>
  <si>
    <t>322203301</t>
  </si>
  <si>
    <t>15550000</t>
  </si>
  <si>
    <t>2806.13</t>
  </si>
  <si>
    <t>322206001</t>
  </si>
  <si>
    <t>3399999.4</t>
  </si>
  <si>
    <t>1175.6199999999999</t>
  </si>
  <si>
    <t>322257401</t>
  </si>
  <si>
    <t>5500000</t>
  </si>
  <si>
    <t>2026-01-13 13:30:00</t>
  </si>
  <si>
    <t>3031.58</t>
  </si>
  <si>
    <t>322258201</t>
  </si>
  <si>
    <t>7800000</t>
  </si>
  <si>
    <t>2026-01-08 13:30:00</t>
  </si>
  <si>
    <t>3260.67</t>
  </si>
  <si>
    <t>322281901</t>
  </si>
  <si>
    <t>2026-01-12 13:30:00</t>
  </si>
  <si>
    <t>5382.59</t>
  </si>
  <si>
    <t>322353601</t>
  </si>
  <si>
    <t>T3223536</t>
  </si>
  <si>
    <t>2026-02-06</t>
  </si>
  <si>
    <t>757350</t>
  </si>
  <si>
    <t>2026-02-06 13:30:00</t>
  </si>
  <si>
    <t>523.97</t>
  </si>
  <si>
    <t>322353602</t>
  </si>
  <si>
    <t>2180250</t>
  </si>
  <si>
    <t>1508.41</t>
  </si>
  <si>
    <t>322467801</t>
  </si>
  <si>
    <t>2026-01-09 13:30:00</t>
  </si>
  <si>
    <t>1142.3</t>
  </si>
  <si>
    <t>322476101</t>
  </si>
  <si>
    <t>2026-01-16 13:30:00</t>
  </si>
  <si>
    <t>5198.68</t>
  </si>
  <si>
    <t>322531401</t>
  </si>
  <si>
    <t>5528.93</t>
  </si>
  <si>
    <t>322534501</t>
  </si>
  <si>
    <t>2026-01-22 13:30:00</t>
  </si>
  <si>
    <t>2026-03-01 13:30:00</t>
  </si>
  <si>
    <t>5595.78</t>
  </si>
  <si>
    <t>322569101</t>
  </si>
  <si>
    <t>T3225691</t>
  </si>
  <si>
    <t>3252.71</t>
  </si>
  <si>
    <t>322727401</t>
  </si>
  <si>
    <t>2026-01-19 13:30:00</t>
  </si>
  <si>
    <t>1207.79</t>
  </si>
  <si>
    <t>323150202</t>
  </si>
  <si>
    <t>2026-01-21 13:30:00</t>
  </si>
  <si>
    <t>63.66</t>
  </si>
  <si>
    <t>323164701</t>
  </si>
  <si>
    <t>8949933.4199999999</t>
  </si>
  <si>
    <t>2026-01-20 13:30:00</t>
  </si>
  <si>
    <t>2843.49</t>
  </si>
  <si>
    <t>323167301</t>
  </si>
  <si>
    <t>2026-12-31 13:30:00</t>
  </si>
  <si>
    <t>552.46</t>
  </si>
  <si>
    <t>323378801</t>
  </si>
  <si>
    <t>1403.28</t>
  </si>
  <si>
    <t>323565201</t>
  </si>
  <si>
    <t>1990002.6</t>
  </si>
  <si>
    <t>2026-01-23 13:30:00</t>
  </si>
  <si>
    <t>982.22</t>
  </si>
  <si>
    <t>323565701</t>
  </si>
  <si>
    <t>T3235657</t>
  </si>
  <si>
    <t>2026-02-09</t>
  </si>
  <si>
    <t>2026-02-09 13:30:00</t>
  </si>
  <si>
    <t>323565702</t>
  </si>
  <si>
    <t>323787901</t>
  </si>
  <si>
    <t>T3237879</t>
  </si>
  <si>
    <t>2026-02-01 13:30:00</t>
  </si>
  <si>
    <t>3459.26</t>
  </si>
  <si>
    <t>323817301</t>
  </si>
  <si>
    <t>T3238173</t>
  </si>
  <si>
    <t>3625356</t>
  </si>
  <si>
    <t>2508.21</t>
  </si>
  <si>
    <t>323817302</t>
  </si>
  <si>
    <t>1259410</t>
  </si>
  <si>
    <t>871.32</t>
  </si>
  <si>
    <t>323836301</t>
  </si>
  <si>
    <t>T3238363</t>
  </si>
  <si>
    <t>12400000</t>
  </si>
  <si>
    <t>8555.19</t>
  </si>
  <si>
    <t>323839401</t>
  </si>
  <si>
    <t>T3238394</t>
  </si>
  <si>
    <t>1722.4</t>
  </si>
  <si>
    <t>323866901</t>
  </si>
  <si>
    <t>T3238669</t>
  </si>
  <si>
    <t>1133469</t>
  </si>
  <si>
    <t>2026-02-20 13:30:00</t>
  </si>
  <si>
    <t>784.19</t>
  </si>
  <si>
    <t>PIPOL S.R.L</t>
  </si>
  <si>
    <t>176864931</t>
  </si>
  <si>
    <t>323866902</t>
  </si>
  <si>
    <t>3262820.4</t>
  </si>
  <si>
    <t>2257.39</t>
  </si>
  <si>
    <t>323870401</t>
  </si>
  <si>
    <t>T3238704</t>
  </si>
  <si>
    <t>1383.7</t>
  </si>
  <si>
    <t>323893901</t>
  </si>
  <si>
    <t>T3238939</t>
  </si>
  <si>
    <t>2767.41</t>
  </si>
  <si>
    <t>324252501</t>
  </si>
  <si>
    <t>T3242525</t>
  </si>
  <si>
    <t>2026-03-19 12:30:00</t>
  </si>
  <si>
    <t>690.23</t>
  </si>
  <si>
    <t>324257301</t>
  </si>
  <si>
    <t>T3242573</t>
  </si>
  <si>
    <t>AGENCIA DE PUBLICIDAD DEL ESTADO S. A. U. (APE S.A.U.)</t>
  </si>
  <si>
    <t>209080722</t>
  </si>
  <si>
    <t>249418</t>
  </si>
  <si>
    <t>5151.21</t>
  </si>
  <si>
    <t>324261501</t>
  </si>
  <si>
    <t>T3242615</t>
  </si>
  <si>
    <t>324279201</t>
  </si>
  <si>
    <t>T3242792</t>
  </si>
  <si>
    <t>2026-03-08 13:30:00</t>
  </si>
  <si>
    <t>1999.73</t>
  </si>
  <si>
    <t>324284001</t>
  </si>
  <si>
    <t>T3242840</t>
  </si>
  <si>
    <t>2010.63</t>
  </si>
  <si>
    <t>324284201</t>
  </si>
  <si>
    <t>T3242842</t>
  </si>
  <si>
    <t>2400000</t>
  </si>
  <si>
    <t>1610.34</t>
  </si>
  <si>
    <t>324585701</t>
  </si>
  <si>
    <t>T3245857</t>
  </si>
  <si>
    <t>2026-02-22</t>
  </si>
  <si>
    <t>6304499.9900000002</t>
  </si>
  <si>
    <t>2026-05-15 12:30:00</t>
  </si>
  <si>
    <t>3154.09</t>
  </si>
  <si>
    <t>324617401</t>
  </si>
  <si>
    <t>T3246174</t>
  </si>
  <si>
    <t>2026-02-14</t>
  </si>
  <si>
    <t>30500</t>
  </si>
  <si>
    <t>2026-02-10 13:30:00</t>
  </si>
  <si>
    <t>2026-02-14 13:30:00</t>
  </si>
  <si>
    <t>15.53</t>
  </si>
  <si>
    <t>324618501</t>
  </si>
  <si>
    <t>T3246185</t>
  </si>
  <si>
    <t>324621001</t>
  </si>
  <si>
    <t>T3246210</t>
  </si>
  <si>
    <t>2026-04-10 12:30:00</t>
  </si>
  <si>
    <t>1462.39</t>
  </si>
  <si>
    <t>324874901</t>
  </si>
  <si>
    <t>T3248749</t>
  </si>
  <si>
    <t>2026-03-27 12:30:00</t>
  </si>
  <si>
    <t>691.38</t>
  </si>
  <si>
    <t>324878401</t>
  </si>
  <si>
    <t>T3248784</t>
  </si>
  <si>
    <t>Renault Argentina</t>
  </si>
  <si>
    <t>167061</t>
  </si>
  <si>
    <t>11935</t>
  </si>
  <si>
    <t>1729.51</t>
  </si>
  <si>
    <t>324878901</t>
  </si>
  <si>
    <t>T3248789</t>
  </si>
  <si>
    <t>6195990</t>
  </si>
  <si>
    <t>4286.71</t>
  </si>
  <si>
    <t>324900001</t>
  </si>
  <si>
    <t>T3249000</t>
  </si>
  <si>
    <t>Fratelli Branca Destilerías S.A.</t>
  </si>
  <si>
    <t>110597037</t>
  </si>
  <si>
    <t>144340</t>
  </si>
  <si>
    <t>8084766</t>
  </si>
  <si>
    <t>11.56</t>
  </si>
  <si>
    <t>324900002</t>
  </si>
  <si>
    <t>324900003</t>
  </si>
  <si>
    <t>324901601</t>
  </si>
  <si>
    <t>T3249016</t>
  </si>
  <si>
    <t>Unilever - Argentina</t>
  </si>
  <si>
    <t>258084</t>
  </si>
  <si>
    <t>16991</t>
  </si>
  <si>
    <t>2300000</t>
  </si>
  <si>
    <t>2026-02-12 13:30:00</t>
  </si>
  <si>
    <t>1591.26</t>
  </si>
  <si>
    <t>324904401</t>
  </si>
  <si>
    <t>T3249044</t>
  </si>
  <si>
    <t>11744448</t>
  </si>
  <si>
    <t>2026-02-18 13:30:00</t>
  </si>
  <si>
    <t>2026-03-03 13:30:00</t>
  </si>
  <si>
    <t>6382.29</t>
  </si>
  <si>
    <t>324930701</t>
  </si>
  <si>
    <t>T3249307</t>
  </si>
  <si>
    <t>2026-02-21</t>
  </si>
  <si>
    <t>249000.75</t>
  </si>
  <si>
    <t>2026-02-21 13:30:00</t>
  </si>
  <si>
    <t>160.68</t>
  </si>
  <si>
    <t>324952701</t>
  </si>
  <si>
    <t>T3249527</t>
  </si>
  <si>
    <t>900000</t>
  </si>
  <si>
    <t>2026-03-18 12:30:00</t>
  </si>
  <si>
    <t>206.53</t>
  </si>
  <si>
    <t>325197801</t>
  </si>
  <si>
    <t>T3251978</t>
  </si>
  <si>
    <t>0.24</t>
  </si>
  <si>
    <t>325225601</t>
  </si>
  <si>
    <t>T3252256</t>
  </si>
  <si>
    <t>2026-02-26</t>
  </si>
  <si>
    <t>1585096.5</t>
  </si>
  <si>
    <t>1096.6500000000001</t>
  </si>
  <si>
    <t>325250001</t>
  </si>
  <si>
    <t>T3252500</t>
  </si>
  <si>
    <t>3600000</t>
  </si>
  <si>
    <t>2026-02-24 13:30:00</t>
  </si>
  <si>
    <t>2026-03-15 12:30:00</t>
  </si>
  <si>
    <t>373.87</t>
  </si>
  <si>
    <t>325268601</t>
  </si>
  <si>
    <t>T3252686</t>
  </si>
  <si>
    <t>Cepas</t>
  </si>
  <si>
    <t>4701762</t>
  </si>
  <si>
    <t>47989</t>
  </si>
  <si>
    <t>6399999.8399999999</t>
  </si>
  <si>
    <t>2026-02-25 13:30:00</t>
  </si>
  <si>
    <t>736.96</t>
  </si>
  <si>
    <t>CPDMM</t>
  </si>
  <si>
    <t>207886551</t>
  </si>
  <si>
    <t>323787201</t>
  </si>
  <si>
    <t>T3237872</t>
  </si>
  <si>
    <t>2026-01-27 13:30:00</t>
  </si>
  <si>
    <t>8.35</t>
  </si>
  <si>
    <t>323787401</t>
  </si>
  <si>
    <t>1722</t>
  </si>
  <si>
    <t>Period :FEB-26</t>
  </si>
  <si>
    <t xml:space="preserve"> Run on Date : 03-MAR-26</t>
  </si>
  <si>
    <t>MLA   Campaña Verano   Timeline- 4/Feb</t>
  </si>
  <si>
    <t>MLA | Campaña Verano | Timeline- 4/Feb</t>
  </si>
  <si>
    <t>AR00402663-CCU-Schneider Remix Limón-Feb 26</t>
  </si>
  <si>
    <t>Awareness  Febrero 2026 wrapped 2</t>
  </si>
  <si>
    <t>ypf_full-tw-alcance-season-hamburguesa+guapaleta-2026-feb</t>
  </si>
  <si>
    <t>AR00405691-X-YPF-HAMBURGUESA+GUAPALETAS-Feb 26</t>
  </si>
  <si>
    <t>CifArgentina</t>
  </si>
  <si>
    <t>CN003930-Climbing-(Cif)_DSHWSH_Cif_OpAuc_Awa_Reach-Contenido-De-Marca-Op-1074714-Febrero-2026</t>
  </si>
  <si>
    <t>AR00406161-Unilever-CIF TRIVIPI-Feb 25</t>
  </si>
  <si>
    <t>RenaultArg</t>
  </si>
  <si>
    <t>ar-r-twitter-a-re-newcar-cross_models-tactico-ao-02-2026-na--</t>
  </si>
  <si>
    <t>AR00405925 - X | Arg | Renault | FEB 26</t>
  </si>
  <si>
    <t>Betfunok Estándar 2026-02-09</t>
  </si>
  <si>
    <t>X-Betfun-Takeover-Q1 26 9/2</t>
  </si>
  <si>
    <t>ID~B0006C50_CN~back-to-school-disney-twitter-im_PH~preo_MK~ar_OB~awa_FS~lod2c_FF~own-landing-own-alcance</t>
  </si>
  <si>
    <t>AR00404575-X|Samsung ARG-OWN|IM|BTS|-Feb 26-Campaña 1</t>
  </si>
  <si>
    <t>OT470   Inversiones Feb26 - Tráfico - TWITTER</t>
  </si>
  <si>
    <t>BetWarrior_Arg Estándar 2026-02-20</t>
  </si>
  <si>
    <t>Hold BW 20/2</t>
  </si>
  <si>
    <t>starcom_argentina_awareness_twitter_social_reach_18022026_M&amp;M_4497300011000</t>
  </si>
  <si>
    <t>AR00406370 | X | MCD ARG | Beef - MCFLURRY M&amp;MS - Feb-Mar 2026</t>
  </si>
  <si>
    <t>FW_MSC_ADNNAC_EXBRD_BRD_NAC_REACH_X</t>
  </si>
  <si>
    <t>AR00405872 | X | FLOW | ContMusicales- ADN Nacional - Feb 26</t>
  </si>
  <si>
    <t>ypf_boxes-tw-alcance-season-aofebrero2026-2026-feb</t>
  </si>
  <si>
    <t>AR00405920-X-YPF-Boxes-Feb 26</t>
  </si>
  <si>
    <t>2035_sp_2026_streaming-hablemos-de-seguridad_feb_arg_alcance_cpm</t>
  </si>
  <si>
    <t>2035_sp_2026_financia-tus-vacaciones_feb_arg_trafico_cpc</t>
  </si>
  <si>
    <t>2035_sp_2026_plazo-fijo-cuenta-dni_feb_arg_alcance_cpm</t>
  </si>
  <si>
    <t>2035_sp_2026_streaming-hablemos-de-todo-feb_arg_alcance_cpm</t>
  </si>
  <si>
    <t>2035_sp_2026_streaming-hablemos-de-guita_feb_arg_trafico_cpc</t>
  </si>
  <si>
    <t>2035_sp_2026_prestamo-express-feb_arg_alcance_cpm</t>
  </si>
  <si>
    <t>2026_MODO_BRANDING_PROMO_TRANSPORTE-VQR_GEO_TWITTER_NU_AW_FEB</t>
  </si>
  <si>
    <t>AR00405349 X | MODO | Transporte VQR</t>
  </si>
  <si>
    <t>Event Validation Adjustment</t>
  </si>
  <si>
    <t>2026_MODO_PERFORMANCE_PERFO_AO_ACTIVACION-ANDROID-AMBA_TWITTER_NU_TX_FEB</t>
  </si>
  <si>
    <t>Supervielle_ARG Timeline Takeover Tier 1 2026-02-23</t>
  </si>
  <si>
    <t>AR00405715 - X - Arg - Supervielle - Timeline TO Q12026</t>
  </si>
  <si>
    <t>FernetBrancaARG</t>
  </si>
  <si>
    <t>FernetBrancaARG Timeline Takeover Tier 1 2026-02-15</t>
  </si>
  <si>
    <t>AR00405931 - X | Arg | Fernet Branca | Febrero 2026 - timeline</t>
  </si>
  <si>
    <t>MLA_ML_TW-TWT_GEN_X_FE-DD-X_ALL_REACH_DD-03_X_56943125</t>
  </si>
  <si>
    <t>MLA | DD3 | Video</t>
  </si>
  <si>
    <t>ar-r-twitter-t-wc-newcar-cross_models-tactico-ao-02-2026-na--</t>
  </si>
  <si>
    <t>UIP_PARAMOUNT-SCREAM_7-PROXIMAMENTE-TWITTER-TOTAL-AWARENESS-INTERESES-IMPRESIONES-OP_504952</t>
  </si>
  <si>
    <t>UIP Argentina | Scream 7</t>
  </si>
  <si>
    <t>ypf_combustibles-tw-alcance-season-beneficiobnamodo_descuento5-2026-feb</t>
  </si>
  <si>
    <t>2026_MODO_BRANDING_PROMO_CHANGOMAS_GEO_TWITTER_NU_AW_ENE</t>
  </si>
  <si>
    <t>OT473   Ciberdelito Feb26 - Alcance - TWITTER</t>
  </si>
  <si>
    <t>WBPictures_Ar</t>
  </si>
  <si>
    <t>WLA_ARG LA NOVIA PreLaunch-X CPM Q1_2026</t>
  </si>
  <si>
    <t>Warner Argentina | La Novia</t>
  </si>
  <si>
    <t>pedidosya</t>
  </si>
  <si>
    <t>pedidosya Estándar 2026-02-05</t>
  </si>
  <si>
    <t>X | PedidosYa AR | Bundles FEB 26</t>
  </si>
  <si>
    <t>2035_sp_2026_rico-en-data-episodio6_feb_arg_trafico_cpc</t>
  </si>
  <si>
    <t>X - Arg - Supervielle - Performance - COE | OB Individuos</t>
  </si>
  <si>
    <t>BetWarrior_Arg Timeline Takeover Nivel 1 2026-02-20</t>
  </si>
  <si>
    <t>mercadopago</t>
  </si>
  <si>
    <t>MLA_MP_TW-IF_W_W-ALL_UF-FAV-MED_Usuarios_REACH_CLPNT-03_X_40919978</t>
  </si>
  <si>
    <t>MPA | Somos Francos</t>
  </si>
  <si>
    <t>2026_MODO_PERFORMANCE_PERFO_AO_ACTIVACION-ANDROID-INTERIOR_TWITTER_NU_TX_FEB</t>
  </si>
  <si>
    <t>ps_bra_mix_gro_ma_PY_AR_OBJ-awr_CH-Twitter_CT-XX_[CPM_NAT_ALL]_DmartWeek_Reach-Mar</t>
  </si>
  <si>
    <t>AR00402266 X | PedidosYa AR | dmarts MAR26 ok</t>
  </si>
  <si>
    <t>Campaña Messi   Trafico - Febrero</t>
  </si>
  <si>
    <t>AR00404274 - X - Arg - Banco Nación - FEB 26</t>
  </si>
  <si>
    <t>pedidosya Timeline Takeover Nivel 1 2026-02-05</t>
  </si>
  <si>
    <t>USalvador</t>
  </si>
  <si>
    <t>EJE_Clics_Institucional_FEB/MAR26 (Inscripciones)</t>
  </si>
  <si>
    <t>AR00386009 - X - Arg - USAL - Q42025</t>
  </si>
  <si>
    <t>yoy-sv-brandformance-alcance</t>
  </si>
  <si>
    <t>OT470   Inversiones Feb26 - Alcance - TWITTER</t>
  </si>
  <si>
    <t>2035_sp_2026_rico-en-data-episodio6_feb_arg_alcance_cpm</t>
  </si>
  <si>
    <t>2035_sp_2026_plazo-fijo-cuenta-dni_feb_arg_trafico_cpc</t>
  </si>
  <si>
    <t>2035_sp_2026_rico-en-data-episodio7_feb_arg_trafico_cpc</t>
  </si>
  <si>
    <t>2035_sp_2026_rico-en-data-episodio7_feb_arg_alcance_cpm</t>
  </si>
  <si>
    <t>2035_sp_2026_tc-especial-vuelta-a-clases_feb_arg_trafico_cpc</t>
  </si>
  <si>
    <t>2035_sp_2026_tu-prestamo-aca-feb_arg_alcance_cpm</t>
  </si>
  <si>
    <t>2035_sp_2026_streaming-hablemos-de-seguridad_feb_arg_trafico_cpc</t>
  </si>
  <si>
    <t>Cinemark_ar</t>
  </si>
  <si>
    <t>pedidosya Estándar 2026-02-08</t>
  </si>
  <si>
    <t>2026_MODO_PERFORMANCE_PERFO_AO_ACTIVACION-IOS-INTERIOR_TWITTER_NU_TX_FEB</t>
  </si>
  <si>
    <t>2026_MODO_BRANDING_PROMO_COTO_GEO_TWITTER_NU_AW_ENE</t>
  </si>
  <si>
    <t>ypf_full-tw-alcance-season-combodoblehamburguesa-2026-feb</t>
  </si>
  <si>
    <t>AR00406357-X-YPF-FULL-COMBO FULL DOBLE CLASICA-Feb 26</t>
  </si>
  <si>
    <t>ID~B0006C57_CN~back-to-school-intel-twitter-im_PH~promo_MK~ar_OB~awa_FS~lo_FF~own-landing-own-alcance</t>
  </si>
  <si>
    <t>AR00404576-X|Samsung ARG-OWN|IM|BTS|-Feb 26-Campaña 2</t>
  </si>
  <si>
    <t>Febbrero Trafico Centro de ayuda</t>
  </si>
  <si>
    <t>GKT_Balanz_Academy_9deFebrero</t>
  </si>
  <si>
    <t>GKT_Balanz_Academy_9deFeb</t>
  </si>
  <si>
    <t>Betfunok Timeline Takeover Nivel 1 2026-02-03</t>
  </si>
  <si>
    <t>MLA   Campaña Verano   Spotlight- 4/Feb</t>
  </si>
  <si>
    <t>MLA | Campaña Verano | Spotlight- 4/Feb</t>
  </si>
  <si>
    <t>OT467   Vuelta al cole - Alcance - TWITTER</t>
  </si>
  <si>
    <t>Warner Argentina   CUMBRES BORRASCOSAS Trend Takeover 2/11</t>
  </si>
  <si>
    <t>Flow_ar Timeline Takeover Nivel 1 2026-02-27</t>
  </si>
  <si>
    <t>AR00403015 | X | FLOW | Cont - LLQLL - Feb26</t>
  </si>
  <si>
    <t>2026   Febrero   Twitter   20   Reach   Salud   Cuidados del Calor 2025 - Sintomas</t>
  </si>
  <si>
    <t>AR00404296 - X - Arg - GCBA - Feb26</t>
  </si>
  <si>
    <t>FernetBrancaARG Standard 2026-02-15</t>
  </si>
  <si>
    <t>AR00405931 - X | Arg | Fernet Branca | Febrero 2026 - trend</t>
  </si>
  <si>
    <t>pedidosya Timeline Takeover Nivel 1 2026-02-08</t>
  </si>
  <si>
    <t>2035_sp_2026_spot-plazo-fijo-cuenta-dni_feb_arg_alcance_cpm</t>
  </si>
  <si>
    <t>2035_sp_2026_rico-en-data-ep9-feb_arg_alcance_cpm</t>
  </si>
  <si>
    <t>HipodromoArgPal Estándar 2026-02-13</t>
  </si>
  <si>
    <t>AR00380263-X-Hipódromo Sala-Takeover-26</t>
  </si>
  <si>
    <t>HipodromoArgPal Timeline Takeover Nivel 1 2026-02-13</t>
  </si>
  <si>
    <t>Sala_Trafico_AO2026</t>
  </si>
  <si>
    <t>AR00403821-CCU-Heineken CREDENCIALES-Feb 26</t>
  </si>
  <si>
    <t>Betfunok Timeline Takeover Nivel 1 2026-02-09</t>
  </si>
  <si>
    <t>BULL_FLYBONDI_AR_TWITTER_TRAF_ALWAYSON_PRUEBA</t>
  </si>
  <si>
    <t>ps_bra_mix_gro_ma_PY_AR_OBJ-awr_CH-Twitter_CT-XX_[CPM_NAT_ALL]_DmartWeek_Reach-Feb</t>
  </si>
  <si>
    <t>AR00402266 X | PedidosYa AR | dmarts FEB26</t>
  </si>
  <si>
    <t>OB-CAH-IOL-Feb-2026</t>
  </si>
  <si>
    <t>Flow_ar Estándar 2026-02-27</t>
  </si>
  <si>
    <t>WLA_ARG CUMBRES BORRASCOSAS Prelaunch-X CPI Q1_2026</t>
  </si>
  <si>
    <t>WLA_ARG CUMBRES BORRASCOSAS Launch-X CPI Q1_2026</t>
  </si>
  <si>
    <t>ypf_full-tw-alcance-season-fullpistacho-2026-feb</t>
  </si>
  <si>
    <t>AR00407753-X-YPF-FULL PISTACHO-Feb 26</t>
  </si>
  <si>
    <t>BG_LOYALTY_PLAN-PIX_ALCANCE_FEBRERO_2026</t>
  </si>
  <si>
    <t>AR00403301 | X | Arg | Galicia | Febrero 2026</t>
  </si>
  <si>
    <t>2026   Febrero   Twitter   20   Reach   Encuentro   Cuidados del Calor 2025 - Prevencion</t>
  </si>
  <si>
    <t>FW_CONT_LLQLL_EXBRD_BRD_NAC_REACH_X</t>
  </si>
  <si>
    <t>AR00404195 | X | FLOW | Contenidos - LLQLL - Feb/Mar 26</t>
  </si>
  <si>
    <t>ypf_boxes-tw-trafico-season-aofebrero2026-2026-feb</t>
  </si>
  <si>
    <t>2035_sp_2026_financia-tus-vacaciones_feb_arg_alcance_cpm</t>
  </si>
  <si>
    <t>2035_sp_2026_streaming-hablemos-de-todo_feb_arg_trafico_cpc</t>
  </si>
  <si>
    <t>2035_sp_2026_compra-dolares-cdni_feb_arg_alcance_cpm</t>
  </si>
  <si>
    <t>2035_sp_2026_rico-en-data-ep9_feb_arg_trafico_cpc</t>
  </si>
  <si>
    <t>UIP_UNIVERSAL-REMINDER_OF_HIM-PROXIMAMENTE-TWITTER-TOTAL-AWARENESS-INTERESES-IMPRESIONES-MUJERES_18A54_OP_505488/505496</t>
  </si>
  <si>
    <t>UIP Argentina | Reminder of Him</t>
  </si>
  <si>
    <t>2026_MODO_PERFORMANCE_PERFO_AO_ACTIVACION-IOS-AMBA_TWITTER_NU_TX_FEB</t>
  </si>
  <si>
    <t>MLA   DD2   Spotlight- 2/2</t>
  </si>
  <si>
    <t>MLA | DD2 | Spotlight- 2/2</t>
  </si>
  <si>
    <t>Febbrero Trafico  Expoagro 1</t>
  </si>
  <si>
    <t>OB-CAH-Selección-Feb-2026</t>
  </si>
  <si>
    <t>Branch_Descargas_ios2026</t>
  </si>
  <si>
    <t>COMU_Supervielle_Individuos_4-2026_Twitter_CPC_VamosconSupervielle-Genériconovia-ClienteInglés-Tarjetas</t>
  </si>
  <si>
    <t>COMU_Supervielle_Individuos_4-2026_Twitter_CPC_CUENTAHITIOL-CUENTAHITIOL</t>
  </si>
  <si>
    <t>ypf_combustibles-tw-alcance-season-beneficiobnamodo_descuento6-2026-feb</t>
  </si>
  <si>
    <t>MPA   Somos Francos   Spotlight- 6/Feb</t>
  </si>
  <si>
    <t>MPA | Somos Francos | Spotlight- 6/Feb</t>
  </si>
  <si>
    <t>2035_sp_2026_tc-especial-vuelta-a-clases-feb_arg_alcance_cpm</t>
  </si>
  <si>
    <t>2035_sp_2026_spot-plazo-fijo-cuenta-dni_feb_arg_trafico_cpc</t>
  </si>
  <si>
    <t>2035_sp_2026_rico-en-data-ep8_feb_arg_trafico_cpc</t>
  </si>
  <si>
    <t>2035_sp_2026_rico-en-data-ep8-feb_arg_alcance_cpm</t>
  </si>
  <si>
    <t>2035_sp_2026_tu-prestamo-aca_feb_arg_trafico_cpc</t>
  </si>
  <si>
    <t>Bodog_Oficial</t>
  </si>
  <si>
    <t>wf_2601_br_x_display_aw_ba_ext</t>
  </si>
  <si>
    <t>AR00402659-X ARG-Bodog Brasil-Q1/Q2-26</t>
  </si>
  <si>
    <t>FW_MSC_LOLLA_EXBRD_BRD_NAC_REACH_X</t>
  </si>
  <si>
    <t>AR00395703 | X | Personal | Flow - Lollapalooza - Mar 26</t>
  </si>
  <si>
    <t>ccu_schneider_remix limon 2025_reach_suspect_febrero_2026_twitter_op-760699_</t>
  </si>
  <si>
    <t>Branch_Descargas_Android2026</t>
  </si>
  <si>
    <t>UIP_UNIVERSAL-HAMNET-SOLOENCINES-TWITTER-TOTAL-TRAFICO-INTERESES-CLICKS-OP_504180</t>
  </si>
  <si>
    <t>MLA   DD2   Timeline- 2/2</t>
  </si>
  <si>
    <t>MLA | DD2 | Timeline- 2/2</t>
  </si>
  <si>
    <t>WLA_ARG LA NOVIA Prelaunch-X CPI Q1_2026</t>
  </si>
  <si>
    <t>2026   Febrero   Twitter   20   Reach   Encuentro   La Ciudad Mas Linda del Mundo</t>
  </si>
  <si>
    <t>2035_sp_2026_cdni-20-toledo-feb_arg_alcance_cpm</t>
  </si>
  <si>
    <t>2035_sp_2026_streaming-hablemos-de-guita_feb_arg_alcance_cpm</t>
  </si>
  <si>
    <t>DrLemonAR</t>
  </si>
  <si>
    <t>2026_AR_CEPAS_DRL_AWA_RCH_LOLLAPALOOZA_NU_X_NU_FEB-MAR</t>
  </si>
  <si>
    <t>AR00408441 X | Cepas | Dr Lemon - Lolla</t>
  </si>
  <si>
    <t>1074008_AR_feb-2026__Branca_FB_COSQUIN_ROCK_Views_Alcance_CPM_Video_X-TWITTER</t>
  </si>
  <si>
    <t>AR00405931 - X | Arg | Fernet Branca | Febrero 2026</t>
  </si>
  <si>
    <t>ypf_combustibles-tw-alcance-season-combodoblehamburguesa-2026-feb</t>
  </si>
  <si>
    <t>Awareness  Febrero 2026 Centro de ayuda</t>
  </si>
  <si>
    <t>GKT_Balanz_Academy_Curso_Renta Fija</t>
  </si>
  <si>
    <t>MPA   Somos Francos   Timeline- 6/Feb</t>
  </si>
  <si>
    <t>MPA | Somos Francos | Timeline- 6/Feb</t>
  </si>
  <si>
    <t>UIP_PARAMOUNT-SCREAM_7-SOLOENCINES-TWITTER-TOTAL-TRAFICO-INTERESES-CLICKS-OP_PENDIENTE</t>
  </si>
  <si>
    <t>UIP_PARAMOUNT-SCREAM_7-PROXIMAMENTE-TWITTER-TOTAL-AWARENESS-INTERESES-IMPRESIONES-OP_PENDIENTE</t>
  </si>
  <si>
    <t>UIP_PARAMOUNT-SCREAM_7-SOLOENCINES-TWITTER-TOTAL-TRAFICO-INTERESES-CLICKS-OP_504952/504962</t>
  </si>
  <si>
    <t>ypf_combustibles-tw-alcance-season-beneficiobnamodo-2026-feb</t>
  </si>
  <si>
    <t>ypf_combustibles-tw-alcance-season-beneficiobnamodo_descuento4-2026-feb</t>
  </si>
  <si>
    <t>WLA_ARG CUMBRES BORRASCOSAS PreLaunch-X CPM Q1_2026</t>
  </si>
  <si>
    <t>Betfunok Estándar 2026-02-03</t>
  </si>
  <si>
    <t>starcom_argentina_awareness_twitter_social_reach_11022026_CLUB HOUSE_4496810030000</t>
  </si>
  <si>
    <t>AR00405725 | X | MCD ARG | Beef - CLUBHOUSE - Feb-Abr 2026</t>
  </si>
  <si>
    <t>2035_sp_2026_pc-vuelta-a-clases-24-al-26-feb_arg_alcance_cpm</t>
  </si>
  <si>
    <t>2035_sp_2026_pc-vuelta-a-clases-24-al-26_feb_arg_trafico_cpc</t>
  </si>
  <si>
    <t>lemonapp_ar</t>
  </si>
  <si>
    <t>BULL_LEMON_AR_INTERACCION_TW_ALL_BROAD_AO_NEW</t>
  </si>
  <si>
    <t>CUC-00128065 - TW | Perfomance - Lemon Q3 23</t>
  </si>
  <si>
    <t>ccu_heineken_credenciales 2026_reach_suspect_febrero_2026_twitter_op-_</t>
  </si>
  <si>
    <t>(blank)</t>
  </si>
  <si>
    <t>Update from Monthly FX File as of Jan'26(Corp.rate)</t>
  </si>
  <si>
    <t>Grand Total</t>
  </si>
  <si>
    <t>Cost to pay the partner</t>
  </si>
  <si>
    <t>This is X spend (Aleph to invoice the clients) - Cost to pay X in column 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</si>
</sst>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_(* #,##0.00_);_(* \(#,##0.00\);_(* &quot;-&quot;??_);_(@_)"/>
    <numFmt numFmtId="165" formatCode="_ * #,##0.00_ ;_ * \-#,##0.00_ ;_ * &quot;-&quot;??_ ;_ @_ "/>
    <numFmt numFmtId="166" formatCode="_(* #,##0_);_(* \(#,##0\);_(* &quot;-&quot;??_);_(@_)"/>
    <numFmt numFmtId="167" formatCode="_(* #,##0.0000_);_(* \(#,##0.0000\);_(* &quot;-&quot;??_);_(@_)"/>
    <numFmt numFmtId="168" formatCode="0.0%"/>
    <numFmt numFmtId="169" formatCode="0.000%"/>
    <numFmt numFmtId="170" formatCode="_(* #,##0.0000000000_);_(* \(#,##0.0000000000\);_(* &quot;-&quot;??_);_(@_)"/>
    <numFmt numFmtId="171" formatCode="0.0000"/>
    <numFmt numFmtId="172" formatCode="0.000"/>
    <numFmt numFmtId="173" formatCode="0.000000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9"/>
      <color indexed="8"/>
      <name val="Calibri"/>
      <family val="2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</font>
    <font>
      <sz val="9"/>
      <color indexed="8"/>
      <name val="Calibri"/>
      <family val="2"/>
    </font>
    <font>
      <sz val="9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9"/>
      <name val="Calibri"/>
      <family val="2"/>
    </font>
    <font>
      <sz val="11"/>
      <color indexed="8"/>
      <name val="Calibri"/>
      <family val="2"/>
      <scheme val="minor"/>
    </font>
    <font>
      <sz val="11"/>
      <color rgb="FF9C5700"/>
      <name val="Calibri"/>
      <family val="2"/>
      <scheme val="minor"/>
    </font>
    <font>
      <sz val="9"/>
      <color rgb="FF000000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Arial"/>
      <family val="2"/>
    </font>
    <font>
      <b/>
      <sz val="11"/>
      <color indexed="8"/>
      <name val="Calibri"/>
      <family val="2"/>
    </font>
    <font>
      <sz val="9"/>
      <color rgb="FF000000"/>
      <name val="Calibri"/>
      <family val="2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3F7E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164" fontId="1" fillId="0" borderId="0" applyFont="0" applyFill="0" applyBorder="0" applyAlignment="0" applyProtection="0"/>
    <xf numFmtId="0" fontId="27" fillId="0" borderId="0"/>
    <xf numFmtId="0" fontId="28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8" fillId="4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20" borderId="0" applyNumberFormat="0" applyBorder="0" applyAlignment="0" applyProtection="0"/>
    <xf numFmtId="0" fontId="17" fillId="16" borderId="0" applyNumberFormat="0" applyBorder="0" applyAlignment="0" applyProtection="0"/>
    <xf numFmtId="0" fontId="17" fillId="12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1" fillId="0" borderId="0"/>
    <xf numFmtId="0" fontId="3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88">
    <xf numFmtId="0" fontId="0" fillId="0" borderId="0" xfId="0"/>
    <xf numFmtId="0" fontId="16" fillId="0" borderId="0" xfId="0" applyFont="1"/>
    <xf numFmtId="0" fontId="19" fillId="42" borderId="0" xfId="44" applyFont="1" applyFill="1" applyAlignment="1">
      <alignment horizontal="center"/>
    </xf>
    <xf numFmtId="0" fontId="22" fillId="0" borderId="0" xfId="44" applyFont="1"/>
    <xf numFmtId="4" fontId="23" fillId="0" borderId="0" xfId="45" applyNumberFormat="1" applyFont="1" applyFill="1" applyBorder="1" applyAlignment="1">
      <alignment horizontal="center"/>
    </xf>
    <xf numFmtId="164" fontId="19" fillId="42" borderId="0" xfId="42" applyFont="1" applyFill="1"/>
    <xf numFmtId="0" fontId="19" fillId="46" borderId="0" xfId="44" applyFont="1" applyFill="1"/>
    <xf numFmtId="0" fontId="19" fillId="0" borderId="0" xfId="44" applyFont="1"/>
    <xf numFmtId="166" fontId="0" fillId="0" borderId="0" xfId="42" applyNumberFormat="1" applyFont="1"/>
    <xf numFmtId="0" fontId="24" fillId="47" borderId="13" xfId="0" applyFont="1" applyFill="1" applyBorder="1" applyAlignment="1">
      <alignment horizontal="center" vertical="center"/>
    </xf>
    <xf numFmtId="0" fontId="24" fillId="47" borderId="14" xfId="0" applyFont="1" applyFill="1" applyBorder="1" applyAlignment="1">
      <alignment horizontal="center" vertical="center"/>
    </xf>
    <xf numFmtId="0" fontId="24" fillId="48" borderId="15" xfId="0" applyFont="1" applyFill="1" applyBorder="1" applyAlignment="1">
      <alignment vertical="center"/>
    </xf>
    <xf numFmtId="0" fontId="24" fillId="48" borderId="16" xfId="0" applyFont="1" applyFill="1" applyBorder="1" applyAlignment="1">
      <alignment vertical="center"/>
    </xf>
    <xf numFmtId="0" fontId="24" fillId="48" borderId="10" xfId="0" applyFont="1" applyFill="1" applyBorder="1" applyAlignment="1">
      <alignment vertical="center"/>
    </xf>
    <xf numFmtId="0" fontId="25" fillId="0" borderId="16" xfId="0" applyFont="1" applyBorder="1" applyAlignment="1">
      <alignment vertical="center"/>
    </xf>
    <xf numFmtId="0" fontId="25" fillId="0" borderId="10" xfId="0" applyFont="1" applyBorder="1" applyAlignment="1">
      <alignment vertical="center"/>
    </xf>
    <xf numFmtId="10" fontId="25" fillId="0" borderId="10" xfId="0" applyNumberFormat="1" applyFont="1" applyBorder="1" applyAlignment="1">
      <alignment horizontal="right" vertical="center"/>
    </xf>
    <xf numFmtId="169" fontId="25" fillId="0" borderId="10" xfId="43" applyNumberFormat="1" applyFont="1" applyBorder="1" applyAlignment="1">
      <alignment horizontal="right" vertical="center"/>
    </xf>
    <xf numFmtId="0" fontId="0" fillId="0" borderId="0" xfId="0" pivotButton="1"/>
    <xf numFmtId="0" fontId="16" fillId="0" borderId="11" xfId="0" applyFont="1" applyBorder="1"/>
    <xf numFmtId="164" fontId="20" fillId="49" borderId="0" xfId="42" applyFont="1" applyFill="1" applyAlignment="1">
      <alignment horizontal="center"/>
    </xf>
    <xf numFmtId="9" fontId="21" fillId="34" borderId="0" xfId="43" applyFont="1" applyFill="1"/>
    <xf numFmtId="164" fontId="20" fillId="0" borderId="0" xfId="42" applyFont="1"/>
    <xf numFmtId="164" fontId="22" fillId="0" borderId="0" xfId="42" applyFont="1"/>
    <xf numFmtId="0" fontId="22" fillId="44" borderId="0" xfId="44" applyFont="1" applyFill="1"/>
    <xf numFmtId="164" fontId="23" fillId="44" borderId="0" xfId="42" applyFont="1" applyFill="1"/>
    <xf numFmtId="9" fontId="22" fillId="44" borderId="0" xfId="43" applyFont="1" applyFill="1"/>
    <xf numFmtId="164" fontId="23" fillId="43" borderId="0" xfId="42" applyFont="1" applyFill="1"/>
    <xf numFmtId="164" fontId="23" fillId="45" borderId="0" xfId="42" applyFont="1" applyFill="1"/>
    <xf numFmtId="164" fontId="23" fillId="45" borderId="0" xfId="42" quotePrefix="1" applyFont="1" applyFill="1"/>
    <xf numFmtId="164" fontId="23" fillId="41" borderId="0" xfId="42" quotePrefix="1" applyFont="1" applyFill="1"/>
    <xf numFmtId="164" fontId="23" fillId="41" borderId="0" xfId="42" applyFont="1" applyFill="1"/>
    <xf numFmtId="164" fontId="19" fillId="46" borderId="0" xfId="42" applyFont="1" applyFill="1"/>
    <xf numFmtId="168" fontId="23" fillId="0" borderId="0" xfId="43" applyNumberFormat="1" applyFont="1"/>
    <xf numFmtId="4" fontId="23" fillId="0" borderId="0" xfId="44" applyNumberFormat="1" applyFont="1"/>
    <xf numFmtId="164" fontId="23" fillId="0" borderId="0" xfId="42" applyFont="1"/>
    <xf numFmtId="9" fontId="22" fillId="0" borderId="0" xfId="43" applyFont="1"/>
    <xf numFmtId="166" fontId="0" fillId="0" borderId="0" xfId="0" applyNumberFormat="1"/>
    <xf numFmtId="164" fontId="0" fillId="0" borderId="0" xfId="0" applyNumberFormat="1"/>
    <xf numFmtId="170" fontId="22" fillId="0" borderId="0" xfId="42" applyNumberFormat="1" applyFont="1"/>
    <xf numFmtId="10" fontId="25" fillId="44" borderId="10" xfId="0" applyNumberFormat="1" applyFont="1" applyFill="1" applyBorder="1" applyAlignment="1">
      <alignment horizontal="right" vertical="center"/>
    </xf>
    <xf numFmtId="0" fontId="29" fillId="50" borderId="17" xfId="0" applyFont="1" applyFill="1" applyBorder="1" applyAlignment="1">
      <alignment vertical="top" wrapText="1"/>
    </xf>
    <xf numFmtId="0" fontId="25" fillId="51" borderId="16" xfId="0" applyFont="1" applyFill="1" applyBorder="1" applyAlignment="1">
      <alignment vertical="center"/>
    </xf>
    <xf numFmtId="0" fontId="25" fillId="51" borderId="10" xfId="0" applyFont="1" applyFill="1" applyBorder="1" applyAlignment="1">
      <alignment vertical="center"/>
    </xf>
    <xf numFmtId="10" fontId="25" fillId="51" borderId="10" xfId="0" applyNumberFormat="1" applyFont="1" applyFill="1" applyBorder="1" applyAlignment="1">
      <alignment horizontal="right" vertical="center"/>
    </xf>
    <xf numFmtId="0" fontId="25" fillId="0" borderId="0" xfId="0" applyFont="1" applyAlignment="1">
      <alignment vertical="center"/>
    </xf>
    <xf numFmtId="164" fontId="23" fillId="0" borderId="0" xfId="0" applyNumberFormat="1" applyFont="1"/>
    <xf numFmtId="166" fontId="26" fillId="0" borderId="0" xfId="44" applyNumberFormat="1" applyFont="1"/>
    <xf numFmtId="164" fontId="26" fillId="0" borderId="0" xfId="44" applyNumberFormat="1" applyFont="1"/>
    <xf numFmtId="164" fontId="22" fillId="0" borderId="0" xfId="44" applyNumberFormat="1" applyFont="1"/>
    <xf numFmtId="15" fontId="0" fillId="0" borderId="0" xfId="0" applyNumberFormat="1"/>
    <xf numFmtId="0" fontId="22" fillId="35" borderId="0" xfId="44" applyFont="1" applyFill="1" applyAlignment="1">
      <alignment horizontal="center"/>
    </xf>
    <xf numFmtId="0" fontId="20" fillId="0" borderId="18" xfId="0" applyFont="1" applyBorder="1"/>
    <xf numFmtId="170" fontId="20" fillId="0" borderId="18" xfId="42" applyNumberFormat="1" applyFont="1" applyBorder="1"/>
    <xf numFmtId="167" fontId="22" fillId="0" borderId="0" xfId="42" applyNumberFormat="1" applyFont="1"/>
    <xf numFmtId="172" fontId="0" fillId="0" borderId="0" xfId="0" applyNumberFormat="1"/>
    <xf numFmtId="173" fontId="0" fillId="0" borderId="0" xfId="0" applyNumberFormat="1"/>
    <xf numFmtId="171" fontId="0" fillId="0" borderId="0" xfId="0" applyNumberFormat="1"/>
    <xf numFmtId="164" fontId="32" fillId="44" borderId="0" xfId="44" applyNumberFormat="1" applyFont="1" applyFill="1"/>
    <xf numFmtId="164" fontId="16" fillId="44" borderId="0" xfId="0" applyNumberFormat="1" applyFont="1" applyFill="1"/>
    <xf numFmtId="17" fontId="0" fillId="0" borderId="0" xfId="0" applyNumberFormat="1"/>
    <xf numFmtId="0" fontId="33" fillId="50" borderId="17" xfId="0" applyFont="1" applyFill="1" applyBorder="1" applyAlignment="1">
      <alignment vertical="top"/>
    </xf>
    <xf numFmtId="0" fontId="33" fillId="50" borderId="17" xfId="0" applyFont="1" applyFill="1" applyBorder="1" applyAlignment="1">
      <alignment horizontal="left" vertical="top"/>
    </xf>
    <xf numFmtId="0" fontId="22" fillId="0" borderId="11" xfId="44" applyFont="1" applyBorder="1"/>
    <xf numFmtId="0" fontId="22" fillId="37" borderId="0" xfId="44" applyFont="1" applyFill="1" applyAlignment="1">
      <alignment horizontal="center"/>
    </xf>
    <xf numFmtId="0" fontId="22" fillId="38" borderId="0" xfId="44" applyFont="1" applyFill="1" applyAlignment="1">
      <alignment horizontal="center"/>
    </xf>
    <xf numFmtId="0" fontId="22" fillId="39" borderId="0" xfId="44" applyFont="1" applyFill="1" applyAlignment="1">
      <alignment horizontal="center"/>
    </xf>
    <xf numFmtId="0" fontId="19" fillId="43" borderId="0" xfId="44" applyFont="1" applyFill="1" applyAlignment="1">
      <alignment horizontal="center"/>
    </xf>
    <xf numFmtId="164" fontId="23" fillId="41" borderId="0" xfId="42" applyFont="1" applyFill="1" applyAlignment="1">
      <alignment horizontal="center"/>
    </xf>
    <xf numFmtId="164" fontId="23" fillId="41" borderId="0" xfId="42" quotePrefix="1" applyFont="1" applyFill="1" applyAlignment="1">
      <alignment horizontal="center"/>
    </xf>
    <xf numFmtId="0" fontId="22" fillId="52" borderId="0" xfId="44" applyFont="1" applyFill="1" applyAlignment="1">
      <alignment horizontal="center"/>
    </xf>
    <xf numFmtId="0" fontId="19" fillId="53" borderId="0" xfId="44" applyFont="1" applyFill="1" applyAlignment="1">
      <alignment horizontal="center"/>
    </xf>
    <xf numFmtId="0" fontId="22" fillId="40" borderId="0" xfId="44" applyFont="1" applyFill="1" applyAlignment="1">
      <alignment horizontal="center"/>
    </xf>
    <xf numFmtId="0" fontId="19" fillId="33" borderId="0" xfId="44" applyFont="1" applyFill="1" applyAlignment="1">
      <alignment horizontal="center"/>
    </xf>
    <xf numFmtId="164" fontId="20" fillId="49" borderId="0" xfId="42" applyFont="1" applyFill="1" applyAlignment="1">
      <alignment horizontal="center"/>
    </xf>
    <xf numFmtId="0" fontId="22" fillId="35" borderId="0" xfId="44" applyFont="1" applyFill="1" applyAlignment="1">
      <alignment horizontal="center"/>
    </xf>
    <xf numFmtId="0" fontId="22" fillId="36" borderId="0" xfId="44" applyFont="1" applyFill="1" applyAlignment="1">
      <alignment horizontal="center"/>
    </xf>
    <xf numFmtId="0" fontId="24" fillId="47" borderId="12" xfId="0" applyFont="1" applyFill="1" applyBorder="1" applyAlignment="1">
      <alignment vertical="center"/>
    </xf>
    <xf numFmtId="0" fontId="24" fillId="47" borderId="13" xfId="0" applyFont="1" applyFill="1" applyBorder="1" applyAlignment="1">
      <alignment vertical="center"/>
    </xf>
    <xf numFmtId="164" fontId="23" fillId="54" borderId="0" xfId="0" applyNumberFormat="1" applyFont="1" applyFill="1"/>
    <xf numFmtId="164" fontId="22" fillId="54" borderId="0" xfId="44" applyNumberFormat="1" applyFont="1" applyFill="1"/>
    <xf numFmtId="164" fontId="22" fillId="0" borderId="0" xfId="44" applyNumberFormat="1" applyFont="1" applyFill="1"/>
    <xf numFmtId="164" fontId="32" fillId="0" borderId="0" xfId="44" applyNumberFormat="1" applyFont="1" applyFill="1"/>
    <xf numFmtId="164" fontId="22" fillId="55" borderId="0" xfId="44" applyNumberFormat="1" applyFont="1" applyFill="1" applyAlignment="1">
      <alignment horizontal="center"/>
    </xf>
    <xf numFmtId="164" fontId="23" fillId="55" borderId="0" xfId="42" applyFont="1" applyFill="1" applyAlignment="1">
      <alignment horizontal="center" wrapText="1"/>
    </xf>
    <xf numFmtId="4" fontId="0" fillId="0" borderId="0" xfId="0" applyNumberFormat="1"/>
    <xf numFmtId="4" fontId="0" fillId="54" borderId="0" xfId="0" applyNumberFormat="1" applyFill="1"/>
    <xf numFmtId="0" fontId="0" fillId="54" borderId="0" xfId="0" applyFill="1"/>
  </cellXfs>
  <cellStyles count="69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1 2" xfId="48" xr:uid="{D9A46745-0149-4BE7-8454-3E76F57A2F38}"/>
    <cellStyle name="60% - Accent1 3" xfId="59" xr:uid="{C831CCCA-8DDE-4F51-BEFA-0FFAB84B1650}"/>
    <cellStyle name="60% - Accent2" xfId="25" builtinId="36" customBuiltin="1"/>
    <cellStyle name="60% - Accent2 2" xfId="49" xr:uid="{96BF3A6C-30A2-498F-9915-E7EC70376EE6}"/>
    <cellStyle name="60% - Accent2 3" xfId="58" xr:uid="{9B74AA48-51E7-4A56-8E66-E978A1F3E763}"/>
    <cellStyle name="60% - Accent3" xfId="29" builtinId="40" customBuiltin="1"/>
    <cellStyle name="60% - Accent3 2" xfId="50" xr:uid="{610A33BB-3A6E-47C5-B1C3-198C57366935}"/>
    <cellStyle name="60% - Accent3 3" xfId="57" xr:uid="{38AEA0AA-5AAF-48B7-BF9B-4A26FEF8470F}"/>
    <cellStyle name="60% - Accent4" xfId="33" builtinId="44" customBuiltin="1"/>
    <cellStyle name="60% - Accent4 2" xfId="51" xr:uid="{F5C2B148-E11B-45F0-B23D-D9032F1933B7}"/>
    <cellStyle name="60% - Accent4 3" xfId="55" xr:uid="{2C82A98B-BF09-45FD-A9D2-79597563949F}"/>
    <cellStyle name="60% - Accent5" xfId="37" builtinId="48" customBuiltin="1"/>
    <cellStyle name="60% - Accent5 2" xfId="52" xr:uid="{C239FF31-6EAF-4F13-80B6-78C0C32C2170}"/>
    <cellStyle name="60% - Accent5 3" xfId="56" xr:uid="{312A3376-1AEB-42CE-922B-35F20B2CD9AB}"/>
    <cellStyle name="60% - Accent6" xfId="41" builtinId="52" customBuiltin="1"/>
    <cellStyle name="60% - Accent6 2" xfId="53" xr:uid="{6F125E80-75E6-4D5E-8915-B869DDA59D54}"/>
    <cellStyle name="60% - Accent6 3" xfId="60" xr:uid="{979F3CA3-A4C5-4361-B095-8349E1CF550F}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Comma 2" xfId="62" xr:uid="{73C35DC8-AEAD-4E33-9C93-193C3467067F}"/>
    <cellStyle name="Comma 2 2" xfId="63" xr:uid="{07A35138-A954-4714-AC1D-035BE6E0BE4F}"/>
    <cellStyle name="Comma 2 3" xfId="68" xr:uid="{C3EA2F64-5E8D-4B72-BD31-49DA88E89B97}"/>
    <cellStyle name="Comma 3" xfId="45" xr:uid="{00000000-0005-0000-0000-00001C000000}"/>
    <cellStyle name="Comma 3 2" xfId="61" xr:uid="{B82CACB7-CB03-4C80-89A9-5F3073BF840B}"/>
    <cellStyle name="Comma 3 3" xfId="67" xr:uid="{E608BA1A-78E9-4C69-A25E-039B192EA0DE}"/>
    <cellStyle name="Comma 4" xfId="66" xr:uid="{BB327D11-3FF0-48A9-9BA1-FAC54CA51651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eutral 2" xfId="47" xr:uid="{39B5D5E0-CF62-4D64-9E95-B3B24D32FF53}"/>
    <cellStyle name="Neutral 3" xfId="54" xr:uid="{08DB9BEB-5BC3-4940-B7F5-A0D051636A4B}"/>
    <cellStyle name="Normal" xfId="0" builtinId="0"/>
    <cellStyle name="Normal 2" xfId="46" xr:uid="{00000000-0005-0000-0000-000027000000}"/>
    <cellStyle name="Normal 2 2" xfId="64" xr:uid="{77081E0C-EB56-4ADE-AD23-7D9CBD8D2684}"/>
    <cellStyle name="Normal 21" xfId="44" xr:uid="{00000000-0005-0000-0000-000028000000}"/>
    <cellStyle name="Normal 3" xfId="65" xr:uid="{1706DFBF-E169-4D8F-8A5C-F0186DB4F3AB}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166" formatCode="_(* #,##0_);_(* \(#,##0\);_(* &quot;-&quot;??_);_(@_)"/>
    </dxf>
    <dxf>
      <numFmt numFmtId="166" formatCode="_(* #,##0_);_(* \(#,##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</dxfs>
  <tableStyles count="0" defaultTableStyle="TableStyleMedium2" defaultPivotStyle="PivotStyleLight16"/>
  <colors>
    <mruColors>
      <color rgb="FFB3F7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</xdr:row>
      <xdr:rowOff>0</xdr:rowOff>
    </xdr:from>
    <xdr:to>
      <xdr:col>16</xdr:col>
      <xdr:colOff>542095</xdr:colOff>
      <xdr:row>32</xdr:row>
      <xdr:rowOff>27852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B94D63-A505-453F-9D49-6DC74D271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32300" y="558800"/>
          <a:ext cx="6955595" cy="5520602"/>
        </a:xfrm>
        <a:prstGeom prst="rect">
          <a:avLst/>
        </a:prstGeom>
      </xdr:spPr>
    </xdr:pic>
    <xdr:clientData/>
  </xdr:twoCellAnchor>
  <xdr:twoCellAnchor editAs="oneCell">
    <xdr:from>
      <xdr:col>0</xdr:col>
      <xdr:colOff>101600</xdr:colOff>
      <xdr:row>36</xdr:row>
      <xdr:rowOff>127000</xdr:rowOff>
    </xdr:from>
    <xdr:to>
      <xdr:col>22</xdr:col>
      <xdr:colOff>258668</xdr:colOff>
      <xdr:row>46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8A3D7B-0237-4E46-94CE-7D7CB8FA2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600" y="6915150"/>
          <a:ext cx="14850968" cy="176212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na.Tunno" refreshedDate="46104.489447916669" createdVersion="8" refreshedVersion="8" minRefreshableVersion="3" recordCount="248" xr:uid="{F8279EF7-04A3-4BA7-BA0F-51D1AD83D4D3}">
  <cacheSource type="worksheet">
    <worksheetSource ref="A2:CE250" sheet="Billing Report"/>
  </cacheSource>
  <cacheFields count="83">
    <cacheField name="Billing Party" numFmtId="0">
      <sharedItems/>
    </cacheField>
    <cacheField name="Billing Party ID" numFmtId="0">
      <sharedItems containsSemiMixedTypes="0" containsString="0" containsNumber="1" containsInteger="1" minValue="3050535" maxValue="3050535"/>
    </cacheField>
    <cacheField name="ERP Billing Party ID" numFmtId="0">
      <sharedItems containsSemiMixedTypes="0" containsString="0" containsNumber="1" containsInteger="1" minValue="41651" maxValue="41651"/>
    </cacheField>
    <cacheField name="@PromotableUser" numFmtId="0">
      <sharedItems containsBlank="1"/>
    </cacheField>
    <cacheField name="Salesforce IO ID" numFmtId="0">
      <sharedItems containsSemiMixedTypes="0" containsString="0" containsNumber="1" containsInteger="1" minValue="256090401" maxValue="3225058011" count="230">
        <n v="320381104"/>
        <n v="323787901"/>
        <n v="322203001"/>
        <n v="323167301"/>
        <n v="324617401"/>
        <n v="324901601"/>
        <n v="322149801"/>
        <n v="288709901"/>
        <n v="324878401"/>
        <n v="323565701"/>
        <n v="324284001"/>
        <n v="322206001"/>
        <n v="275149001"/>
        <n v="323150202"/>
        <n v="323866901"/>
        <n v="324952701"/>
        <n v="276783201"/>
        <n v="324874901"/>
        <n v="320938401"/>
        <n v="324878901"/>
        <n v="322531401"/>
        <n v="322149901"/>
        <n v="324585701"/>
        <n v="322158401"/>
        <n v="298538101"/>
        <n v="324618501"/>
        <n v="321953101"/>
        <n v="324900002"/>
        <n v="322534501"/>
        <n v="324904401"/>
        <n v="324279201"/>
        <n v="322258201"/>
        <n v="323565201"/>
        <n v="322158001"/>
        <n v="320750202"/>
        <n v="321793004"/>
        <n v="321819001"/>
        <n v="323870401"/>
        <n v="309496901"/>
        <n v="323866902"/>
        <n v="322569101"/>
        <n v="283446001"/>
        <n v="325197801"/>
        <n v="324257301"/>
        <n v="321793001"/>
        <n v="318427901"/>
        <n v="322476101"/>
        <n v="321925201"/>
        <n v="318698801"/>
        <n v="322203301"/>
        <n v="318406201"/>
        <n v="321793002"/>
        <n v="323164701"/>
        <n v="324930701"/>
        <n v="324284201"/>
        <n v="299384801"/>
        <n v="3163143010"/>
        <n v="320381103"/>
        <n v="321036001"/>
        <n v="302594801"/>
        <n v="322467801"/>
        <n v="320312001"/>
        <n v="323817301"/>
        <n v="324261501"/>
        <n v="324900003"/>
        <n v="321793003"/>
        <n v="316315701"/>
        <n v="316315702"/>
        <n v="322257401"/>
        <n v="323893901"/>
        <n v="323565702"/>
        <n v="323836301"/>
        <n v="322203201"/>
        <n v="322727401"/>
        <n v="323817302"/>
        <n v="320312002"/>
        <n v="325225601"/>
        <n v="323839401"/>
        <n v="324252501"/>
        <n v="292964801"/>
        <n v="325250001"/>
        <n v="316316102"/>
        <n v="322353601"/>
        <n v="323787201"/>
        <n v="321854805"/>
        <n v="316316103"/>
        <n v="322281901"/>
        <n v="325268601"/>
        <n v="324900001"/>
        <n v="323787401"/>
        <n v="323378801"/>
        <n v="322353602"/>
        <n v="316314309"/>
        <n v="324621001"/>
        <n v="269483701"/>
        <n v="310117401"/>
        <n v="322233901" u="1"/>
        <n v="324592001" u="1"/>
        <n v="3225058010" u="1"/>
        <n v="324260101" u="1"/>
        <n v="324933801" u="1"/>
        <n v="294800801" u="1"/>
        <n v="322233801" u="1"/>
        <n v="319375801" u="1"/>
        <n v="324306002" u="1"/>
        <n v="318457401" u="1"/>
        <n v="322558201" u="1"/>
        <n v="322124801" u="1"/>
        <n v="322124601" u="1"/>
        <n v="324306003" u="1"/>
        <n v="324280101" u="1"/>
        <n v="256090401" u="1"/>
        <n v="322139401" u="1"/>
        <n v="324067601" u="1"/>
        <n v="322124202" u="1"/>
        <n v="316243501" u="1"/>
        <n v="323821101" u="1"/>
        <n v="305585401" u="1"/>
        <n v="322505804" u="1"/>
        <n v="324309201" u="1"/>
        <n v="317328301" u="1"/>
        <n v="322505807" u="1"/>
        <n v="324621601" u="1"/>
        <n v="322476001" u="1"/>
        <n v="324549501" u="1"/>
        <n v="320739702" u="1"/>
        <n v="280224801" u="1"/>
        <n v="325225801" u="1"/>
        <n v="324260601" u="1"/>
        <n v="316752201" u="1"/>
        <n v="322281101" u="1"/>
        <n v="322123501" u="1"/>
        <n v="324282401" u="1"/>
        <n v="324634101" u="1"/>
        <n v="318427701" u="1"/>
        <n v="325305001" u="1"/>
        <n v="325231401" u="1"/>
        <n v="324306005" u="1"/>
        <n v="323604202" u="1"/>
        <n v="322233401" u="1"/>
        <n v="324282501" u="1"/>
        <n v="322210001" u="1"/>
        <n v="325251901" u="1"/>
        <n v="322566201" u="1"/>
        <n v="307810001" u="1"/>
        <n v="321081101" u="1"/>
        <n v="321081102" u="1"/>
        <n v="322453501" u="1"/>
        <n v="323898801" u="1"/>
        <n v="324897801" u="1"/>
        <n v="324549201" u="1"/>
        <n v="324261401" u="1"/>
        <n v="324307401" u="1"/>
        <n v="323898501" u="1"/>
        <n v="322233501" u="1"/>
        <n v="324875301" u="1"/>
        <n v="307810201" u="1"/>
        <n v="322540401" u="1"/>
        <n v="291432301" u="1"/>
        <n v="324309301" u="1"/>
        <n v="323865601" u="1"/>
        <n v="324588501" u="1"/>
        <n v="324260401" u="1"/>
        <n v="315062101" u="1"/>
        <n v="3225058011" u="1"/>
        <n v="314662201" u="1"/>
        <n v="280224901" u="1"/>
        <n v="322505803" u="1"/>
        <n v="325205601" u="1"/>
        <n v="324955501" u="1"/>
        <n v="323898101" u="1"/>
        <n v="322476401" u="1"/>
        <n v="324282601" u="1"/>
        <n v="322158101" u="1"/>
        <n v="323865801" u="1"/>
        <n v="322564801" u="1"/>
        <n v="324306004" u="1"/>
        <n v="323126001" u="1"/>
        <n v="322584301" u="1"/>
        <n v="325308501" u="1"/>
        <n v="324585801" u="1"/>
        <n v="322505808" u="1"/>
        <n v="324583301" u="1"/>
        <n v="325014701" u="1"/>
        <n v="323819801" u="1"/>
        <n v="322505809" u="1"/>
        <n v="323602801" u="1"/>
        <n v="325247201" u="1"/>
        <n v="324283101" u="1"/>
        <n v="322584501" u="1"/>
        <n v="321925603" u="1"/>
        <n v="324585802" u="1"/>
        <n v="322730901" u="1"/>
        <n v="323865101" u="1"/>
        <n v="324590201" u="1"/>
        <n v="322505801" u="1"/>
        <n v="323898301" u="1"/>
        <n v="324585803" u="1"/>
        <n v="324969901" u="1"/>
        <n v="322540402" u="1"/>
        <n v="321861601" u="1"/>
        <n v="324587601" u="1"/>
        <n v="324586201" u="1"/>
        <n v="324283501" u="1"/>
        <n v="324956101" u="1"/>
        <n v="322505802" u="1"/>
        <n v="321117803" u="1"/>
        <n v="322233001" u="1"/>
        <n v="321123101" u="1"/>
        <n v="322233201" u="1"/>
        <n v="325308502" u="1"/>
        <n v="322505806" u="1"/>
        <n v="311717001" u="1"/>
        <n v="324067501" u="1"/>
        <n v="323820901" u="1"/>
        <n v="323169701" u="1"/>
        <n v="323898401" u="1"/>
        <n v="324276902" u="1"/>
        <n v="322505805" u="1"/>
        <n v="324276901" u="1"/>
        <n v="321924901" u="1"/>
        <n v="324548701" u="1"/>
        <n v="322124201" u="1"/>
        <n v="323604203" u="1"/>
        <n v="323841201" u="1"/>
        <n v="324877201" u="1"/>
        <n v="324903601" u="1"/>
        <n v="324583302" u="1"/>
        <n v="323166801" u="1"/>
        <n v="322540403" u="1"/>
      </sharedItems>
    </cacheField>
    <cacheField name="IO Header" numFmtId="0">
      <sharedItems count="193">
        <s v="T3203811"/>
        <s v="T3237879"/>
        <s v="T3222030"/>
        <s v="T3231673"/>
        <s v="T3246174"/>
        <s v="T3249016"/>
        <s v="T3221498"/>
        <s v="T2887099"/>
        <s v="T3248784"/>
        <s v="T3235657"/>
        <s v="T3242840"/>
        <s v="T3222060"/>
        <s v="T2751490"/>
        <s v="T3231502"/>
        <s v="T3238669"/>
        <s v="T3249527"/>
        <s v="T2767832"/>
        <s v="T3248749"/>
        <s v="T3209384"/>
        <s v="T3248789"/>
        <s v="T3225314"/>
        <s v="T3221499"/>
        <s v="T3245857"/>
        <s v="T3221584"/>
        <s v="T2985381"/>
        <s v="T3246185"/>
        <s v="T3219531"/>
        <s v="T3249000"/>
        <s v="T3225345"/>
        <s v="T3249044"/>
        <s v="T3242792"/>
        <s v="T3222582"/>
        <s v="T3235652"/>
        <s v="T3221580"/>
        <s v="T3207502"/>
        <s v="T3217930"/>
        <s v="T3218190"/>
        <s v="T3238704"/>
        <s v="T3094969"/>
        <s v="T3225691"/>
        <s v="T2834460"/>
        <s v="T3251978"/>
        <s v="T3242573"/>
        <s v="T3184279"/>
        <s v="T3224761"/>
        <s v="T3219252"/>
        <s v="T3186988"/>
        <s v="T3222033"/>
        <s v="T3184062"/>
        <s v="T3231647"/>
        <s v="T3249307"/>
        <s v="T3242842"/>
        <s v="T2993848"/>
        <s v="T3163143"/>
        <s v="T3210360"/>
        <s v="T3025948"/>
        <s v="T3224678"/>
        <s v="T3203120"/>
        <s v="T3238173"/>
        <s v="T3242615"/>
        <s v="T3163157"/>
        <s v="T3222574"/>
        <s v="T3238939"/>
        <s v="T3238363"/>
        <s v="T3222032"/>
        <s v="T3227274"/>
        <s v="T3252256"/>
        <s v="T3238394"/>
        <s v="T3242525"/>
        <s v="T2929648"/>
        <s v="T3252500"/>
        <s v="T3163161"/>
        <s v="T3223536"/>
        <s v="T3237872"/>
        <s v="T3218548"/>
        <s v="T3222819"/>
        <s v="T3252686"/>
        <s v="T3237874"/>
        <s v="T3233788"/>
        <s v="T3246210"/>
        <s v="T2694837"/>
        <s v="T3101174"/>
        <s v="T3222339" u="1"/>
        <s v="T3245920" u="1"/>
        <s v="T3225058" u="1"/>
        <s v="T3242601" u="1"/>
        <s v="T3249338" u="1"/>
        <s v="T2948008" u="1"/>
        <s v="T3222338" u="1"/>
        <s v="T3193758" u="1"/>
        <s v="T3243060" u="1"/>
        <s v="T3184574" u="1"/>
        <s v="T3225582" u="1"/>
        <s v="T3221248" u="1"/>
        <s v="T3221246" u="1"/>
        <s v="T3242801" u="1"/>
        <s v="T2560904" u="1"/>
        <s v="T3221394" u="1"/>
        <s v="T3240676" u="1"/>
        <s v="T3221242" u="1"/>
        <s v="T3162435" u="1"/>
        <s v="T3238211" u="1"/>
        <s v="T3055854" u="1"/>
        <s v="T3243092" u="1"/>
        <s v="T3173283" u="1"/>
        <s v="T3246216" u="1"/>
        <s v="T3224760" u="1"/>
        <s v="T3245495" u="1"/>
        <s v="T3207397" u="1"/>
        <s v="T2802248" u="1"/>
        <s v="T3252258" u="1"/>
        <s v="T3242606" u="1"/>
        <s v="T3167522" u="1"/>
        <s v="T3222811" u="1"/>
        <s v="T3221235" u="1"/>
        <s v="T3242824" u="1"/>
        <s v="T3246341" u="1"/>
        <s v="T3184277" u="1"/>
        <s v="T3253050" u="1"/>
        <s v="T3252314" u="1"/>
        <s v="T3236042" u="1"/>
        <s v="T3222334" u="1"/>
        <s v="T3242825" u="1"/>
        <s v="T3222100" u="1"/>
        <s v="T3252519" u="1"/>
        <s v="T3225662" u="1"/>
        <s v="T3078100" u="1"/>
        <s v="T3210811" u="1"/>
        <s v="T3224535" u="1"/>
        <s v="T3238988" u="1"/>
        <s v="T3248978" u="1"/>
        <s v="T3245492" u="1"/>
        <s v="T3242614" u="1"/>
        <s v="T3243074" u="1"/>
        <s v="T3238985" u="1"/>
        <s v="T3222335" u="1"/>
        <s v="T3248753" u="1"/>
        <s v="T3078102" u="1"/>
        <s v="T3225404" u="1"/>
        <s v="T2914323" u="1"/>
        <s v="T3243093" u="1"/>
        <s v="T3238656" u="1"/>
        <s v="T3245885" u="1"/>
        <s v="T3242604" u="1"/>
        <s v="T3150621" u="1"/>
        <s v="T3146622" u="1"/>
        <s v="T2802249" u="1"/>
        <s v="T3252056" u="1"/>
        <s v="T3249555" u="1"/>
        <s v="T3238981" u="1"/>
        <s v="T3224764" u="1"/>
        <s v="T3242826" u="1"/>
        <s v="T3221581" u="1"/>
        <s v="T3238658" u="1"/>
        <s v="T3225648" u="1"/>
        <s v="T3231260" u="1"/>
        <s v="T3225843" u="1"/>
        <s v="T3253085" u="1"/>
        <s v="T3245858" u="1"/>
        <s v="T3245833" u="1"/>
        <s v="T3250147" u="1"/>
        <s v="T3238198" u="1"/>
        <s v="T3236028" u="1"/>
        <s v="T3252472" u="1"/>
        <s v="T3242831" u="1"/>
        <s v="T3225845" u="1"/>
        <s v="T3219256" u="1"/>
        <s v="T3227309" u="1"/>
        <s v="T3238651" u="1"/>
        <s v="T3245902" u="1"/>
        <s v="T3238983" u="1"/>
        <s v="T3249699" u="1"/>
        <s v="T3218616" u="1"/>
        <s v="T3245876" u="1"/>
        <s v="T3245862" u="1"/>
        <s v="T3242835" u="1"/>
        <s v="T3249561" u="1"/>
        <s v="T3211178" u="1"/>
        <s v="T3222330" u="1"/>
        <s v="T3211231" u="1"/>
        <s v="T3222332" u="1"/>
        <s v="T3117170" u="1"/>
        <s v="T3240675" u="1"/>
        <s v="T3238209" u="1"/>
        <s v="T3231697" u="1"/>
        <s v="T3238984" u="1"/>
        <s v="T3242769" u="1"/>
        <s v="T3219249" u="1"/>
        <s v="T3245487" u="1"/>
        <s v="T3238412" u="1"/>
        <s v="T3248772" u="1"/>
        <s v="T3249036" u="1"/>
        <s v="T3231668" u="1"/>
      </sharedItems>
    </cacheField>
    <cacheField name="Period" numFmtId="17">
      <sharedItems containsSemiMixedTypes="0" containsNonDate="0" containsDate="1" containsString="0" minDate="2026-02-01T00:00:00" maxDate="2026-02-02T00:00:00"/>
    </cacheField>
    <cacheField name="Campaign ID" numFmtId="0">
      <sharedItems containsString="0" containsBlank="1" containsNumber="1" containsInteger="1" minValue="36187571" maxValue="41006443" count="456">
        <n v="40790180"/>
        <n v="40881231"/>
        <n v="40759166"/>
        <n v="40872160"/>
        <n v="40915378"/>
        <n v="40921512"/>
        <n v="40936991"/>
        <n v="40745359"/>
        <n v="40859476"/>
        <n v="40929999"/>
        <n v="40898059"/>
        <n v="40915757"/>
        <n v="40758990"/>
        <n v="40855406"/>
        <n v="40888664"/>
        <n v="40832387"/>
        <n v="40964316"/>
        <n v="40968223"/>
        <n v="37183205"/>
        <n v="40930400"/>
        <n v="40613189"/>
        <n v="40931585"/>
        <n v="40881295"/>
        <n v="40881340"/>
        <n v="40881149"/>
        <n v="40881312"/>
        <n v="40881229"/>
        <n v="40947124"/>
        <n v="40776264"/>
        <n v="40916163"/>
        <n v="40744942"/>
        <n v="40676787"/>
        <n v="40817363"/>
        <n v="40931778"/>
        <n v="40734874"/>
        <n v="40936677"/>
        <n v="40823097"/>
        <n v="40759144"/>
        <n v="40958584"/>
        <n v="40745354"/>
        <n v="40788989"/>
        <n v="40859495"/>
        <n v="40937141"/>
        <n v="40894117"/>
        <n v="40794271"/>
        <n v="40957334"/>
        <n v="40745025"/>
        <n v="40789854"/>
        <n v="40789845"/>
        <n v="40888605"/>
        <n v="40980003"/>
        <n v="40888463"/>
        <n v="40881365"/>
        <n v="40700854"/>
        <m/>
        <n v="40964293"/>
        <n v="40866152"/>
        <n v="40887248"/>
        <n v="37878086"/>
        <n v="41001099"/>
        <n v="40899682"/>
        <n v="40887941"/>
        <n v="40968095"/>
        <n v="40930072"/>
        <n v="40789966"/>
        <n v="40888662"/>
        <n v="40800029"/>
        <n v="40734151"/>
        <n v="40881358"/>
        <n v="40881172"/>
        <n v="40881389"/>
        <n v="40881381"/>
        <n v="40916260"/>
        <n v="40925756"/>
        <n v="40881305"/>
        <n v="40497187"/>
        <n v="40497612"/>
        <n v="40776297"/>
        <n v="40759179"/>
        <n v="40459480"/>
        <n v="40888510"/>
        <n v="40887371"/>
        <n v="40720217"/>
        <n v="40822591"/>
        <n v="40938204"/>
        <n v="40915859"/>
        <n v="40969658"/>
        <n v="40915021"/>
        <n v="40915315"/>
        <n v="40884277"/>
        <n v="40790186"/>
        <n v="40676315"/>
        <n v="40045288"/>
        <n v="40805823"/>
        <n v="40931692"/>
        <n v="40921344"/>
        <n v="40989141"/>
        <n v="40920286"/>
        <n v="40936703"/>
        <n v="40734032"/>
        <n v="40888507"/>
        <n v="40617267"/>
        <n v="40881162"/>
        <n v="40958403"/>
        <n v="40921482"/>
        <n v="40921478"/>
        <n v="40881965"/>
        <n v="40898056"/>
        <n v="40860429"/>
        <n v="40872144"/>
        <n v="40893044"/>
        <n v="40745375"/>
        <n v="40759134"/>
        <n v="40816115"/>
        <n v="40989253"/>
        <n v="40866465"/>
        <n v="40872593"/>
        <n v="40926151"/>
        <n v="40805838"/>
        <n v="40979142"/>
        <n v="40871129"/>
        <n v="40920272"/>
        <n v="40921631"/>
        <n v="37275918"/>
        <n v="40931622"/>
        <n v="40881330"/>
        <n v="40881321"/>
        <n v="40881348"/>
        <n v="40958412"/>
        <n v="40985047"/>
        <n v="40744945"/>
        <n v="38679434"/>
        <n v="37966605"/>
        <n v="40850980"/>
        <n v="40996821"/>
        <n v="40892698"/>
        <n v="40745339"/>
        <n v="40745349"/>
        <n v="40745273"/>
        <n v="40930200"/>
        <n v="40983515"/>
        <n v="40983556"/>
        <n v="40985054"/>
        <n v="40789826"/>
        <n v="40889259"/>
        <n v="40916250"/>
        <n v="40881181"/>
        <n v="40925799"/>
        <n v="40925790"/>
        <n v="40925772"/>
        <n v="40911892"/>
        <n v="40983659"/>
        <n v="40881249"/>
        <n v="40930203"/>
        <n v="40881967"/>
        <n v="40855286"/>
        <n v="40286315"/>
        <n v="40776025"/>
        <n v="40800132"/>
        <n v="40800175"/>
        <n v="40980211"/>
        <n v="40920262"/>
        <n v="40636269"/>
        <n v="40931695"/>
        <n v="40881218"/>
        <n v="40990410"/>
        <n v="40776253"/>
        <n v="40937826"/>
        <n v="40859691"/>
        <n v="40832864"/>
        <n v="40969650"/>
        <n v="40886727"/>
        <n v="40855359"/>
        <n v="40898726"/>
        <n v="40905285"/>
        <n v="40930745"/>
        <n v="40838875"/>
        <n v="40872434"/>
        <n v="40775999"/>
        <n v="40884286"/>
        <n v="40816303"/>
        <n v="40925728"/>
        <n v="40979598"/>
        <n v="40979602"/>
        <n v="40459084"/>
        <n v="40881724"/>
        <n v="40776231"/>
        <n v="39718034"/>
        <n v="40788754" u="1"/>
        <n v="40921559" u="1"/>
        <n v="40816217" u="1"/>
        <n v="40916278" u="1"/>
        <n v="40916272" u="1"/>
        <n v="40893364" u="1"/>
        <n v="40974976" u="1"/>
        <n v="40959071" u="1"/>
        <n v="40817566" u="1"/>
        <n v="40827084" u="1"/>
        <n v="40921190" u="1"/>
        <n v="40963714" u="1"/>
        <n v="40875368" u="1"/>
        <n v="40883722" u="1"/>
        <n v="40755439" u="1"/>
        <n v="40756041" u="1"/>
        <n v="40963713" u="1"/>
        <n v="40963926" u="1"/>
        <n v="40765613" u="1"/>
        <n v="40839048" u="1"/>
        <n v="40854762" u="1"/>
        <n v="40900059" u="1"/>
        <n v="40866727" u="1"/>
        <n v="40996408" u="1"/>
        <n v="40866119" u="1"/>
        <n v="40865141" u="1"/>
        <n v="40848307" u="1"/>
        <n v="40926271" u="1"/>
        <n v="40991022" u="1"/>
        <n v="40817353" u="1"/>
        <n v="40972660" u="1"/>
        <n v="40821354" u="1"/>
        <n v="40821347" u="1"/>
        <n v="40905468" u="1"/>
        <n v="40916173" u="1"/>
        <n v="40983394" u="1"/>
        <n v="40208848" u="1"/>
        <n v="40927409" u="1"/>
        <n v="40979455" u="1"/>
        <n v="40893042" u="1"/>
        <n v="40800274" u="1"/>
        <n v="40839383" u="1"/>
        <n v="40776325" u="1"/>
        <n v="40756072" u="1"/>
        <n v="40677550" u="1"/>
        <n v="40997075" u="1"/>
        <n v="40900143" u="1"/>
        <n v="40938389" u="1"/>
        <n v="40985249" u="1"/>
        <n v="40873116" u="1"/>
        <n v="40827095" u="1"/>
        <n v="40996898" u="1"/>
        <n v="40887927" u="1"/>
        <n v="40892006" u="1"/>
        <n v="40755451" u="1"/>
        <n v="40756018" u="1"/>
        <n v="40770674" u="1"/>
        <n v="40898959" u="1"/>
        <n v="40765346" u="1"/>
        <n v="39937389" u="1"/>
        <n v="40868297" u="1"/>
        <n v="40997381" u="1"/>
        <n v="41003516" u="1"/>
        <n v="40990190" u="1"/>
        <n v="40904392" u="1"/>
        <n v="40972738" u="1"/>
        <n v="40805870" u="1"/>
        <n v="40805857" u="1"/>
        <n v="38896897" u="1"/>
        <n v="40905305" u="1"/>
        <n v="40905316" u="1"/>
        <n v="40784944" u="1"/>
        <n v="40801205" u="1"/>
        <n v="40894709" u="1"/>
        <n v="40925755" u="1"/>
        <n v="40938900" u="1"/>
        <n v="40905584" u="1"/>
        <n v="40756095" u="1"/>
        <n v="40756005" u="1"/>
        <n v="40893412" u="1"/>
        <n v="40905969" u="1"/>
        <n v="40969663" u="1"/>
        <n v="40887575" u="1"/>
        <n v="40887603" u="1"/>
        <n v="40899126" u="1"/>
        <n v="40997008" u="1"/>
        <n v="40996996" u="1"/>
        <n v="40765753" u="1"/>
        <n v="40969481" u="1"/>
        <n v="38884567" u="1"/>
        <n v="40860890" u="1"/>
        <n v="37230696" u="1"/>
        <n v="40915517" u="1"/>
        <n v="40882709" u="1"/>
        <n v="40930797" u="1"/>
        <n v="40893158" u="1"/>
        <n v="40899947" u="1"/>
        <n v="40925565" u="1"/>
        <n v="40925426" u="1"/>
        <n v="40990145" u="1"/>
        <n v="40884162" u="1"/>
        <n v="40969993" u="1"/>
        <n v="40975182" u="1"/>
        <n v="40900040" u="1"/>
        <n v="40795176" u="1"/>
        <n v="40672514" u="1"/>
        <n v="40931279" u="1"/>
        <n v="40849103" u="1"/>
        <n v="40169771" u="1"/>
        <n v="40972699" u="1"/>
        <n v="40775102" u="1"/>
        <n v="40976182" u="1"/>
        <n v="40345720" u="1"/>
        <n v="40805876" u="1"/>
        <n v="40964390" u="1"/>
        <n v="40776258" u="1"/>
        <n v="40995768" u="1"/>
        <n v="40978522" u="1"/>
        <n v="40886457" u="1"/>
        <n v="40784830" u="1"/>
        <n v="40756113" u="1"/>
        <n v="40801304" u="1"/>
        <n v="40826785" u="1"/>
        <n v="40788579" u="1"/>
        <n v="40788768" u="1"/>
        <n v="40996904" u="1"/>
        <n v="40948720" u="1"/>
        <n v="40904584" u="1"/>
        <n v="40904701" u="1"/>
        <n v="40916307" u="1"/>
        <n v="40817862" u="1"/>
        <n v="40887620" u="1"/>
        <n v="40806297" u="1"/>
        <n v="40905798" u="1"/>
        <n v="40997093" u="1"/>
        <n v="40920355" u="1"/>
        <n v="40847992" u="1"/>
        <n v="40905410" u="1"/>
        <n v="40905291" u="1"/>
        <n v="40984106" u="1"/>
        <n v="40964553" u="1"/>
        <n v="40833736" u="1"/>
        <n v="40882112" u="1"/>
        <n v="40908298" u="1"/>
        <n v="40848165" u="1"/>
        <n v="40968600" u="1"/>
        <n v="40989387" u="1"/>
        <n v="40138310" u="1"/>
        <n v="40036475" u="1"/>
        <n v="40914717" u="1"/>
        <n v="40894694" u="1"/>
        <n v="40916133" u="1"/>
        <n v="41002359" u="1"/>
        <n v="40060763" u="1"/>
        <n v="40882923" u="1"/>
        <n v="40978495" u="1"/>
        <n v="40946919" u="1"/>
        <n v="40899535" u="1"/>
        <n v="40776237" u="1"/>
        <n v="40800438" u="1"/>
        <n v="40889182" u="1"/>
        <n v="40893287" u="1"/>
        <n v="40996798" u="1"/>
        <n v="40817294" u="1"/>
        <n v="40964690" u="1"/>
        <n v="40968808" u="1"/>
        <n v="40888029" u="1"/>
        <n v="40882909" u="1"/>
        <n v="40888487" u="1"/>
        <n v="40969045" u="1"/>
        <n v="40882509" u="1"/>
        <n v="40924970" u="1"/>
        <n v="40816273" u="1"/>
        <n v="40889178" u="1"/>
        <n v="40889081" u="1"/>
        <n v="40968819" u="1"/>
        <n v="40990795" u="1"/>
        <n v="40765218" u="1"/>
        <n v="40765593" u="1"/>
        <n v="40985778" u="1"/>
        <n v="40952806" u="1"/>
        <n v="40884117" u="1"/>
        <n v="40881889" u="1"/>
        <n v="40975186" u="1"/>
        <n v="40860884" u="1"/>
        <n v="40577645" u="1"/>
        <n v="40972616" u="1"/>
        <n v="40924944" u="1"/>
        <n v="40948285" u="1"/>
        <n v="40921628" u="1"/>
        <n v="40984280" u="1"/>
        <n v="40916855" u="1"/>
        <n v="40988935" u="1"/>
        <n v="40816398" u="1"/>
        <n v="40963088" u="1"/>
        <n v="40801317" u="1"/>
        <n v="40925177" u="1"/>
        <n v="40916274" u="1"/>
        <n v="40940823" u="1"/>
        <n v="40776298" u="1"/>
        <n v="40873110" u="1"/>
        <n v="40968724" u="1"/>
        <n v="40795265" u="1"/>
        <n v="40904449" u="1"/>
        <n v="40848893" u="1"/>
        <n v="40877950" u="1"/>
        <n v="40881740" u="1"/>
        <n v="40900442" u="1"/>
        <n v="40911117" u="1"/>
        <n v="40775607" u="1"/>
        <n v="40937722" u="1"/>
        <n v="40997083" u="1"/>
        <n v="40920871" u="1"/>
        <n v="40816568" u="1"/>
        <n v="41006440" u="1"/>
        <n v="40995754" u="1"/>
        <n v="40817418" u="1"/>
        <n v="40946905" u="1"/>
        <n v="40931955" u="1"/>
        <n v="40899977" u="1"/>
        <n v="40872552" u="1"/>
        <n v="40904598" u="1"/>
        <n v="40881801" u="1"/>
        <n v="40905897" u="1"/>
        <n v="40979418" u="1"/>
        <n v="40948113" u="1"/>
        <n v="40765791" u="1"/>
        <n v="40785375" u="1"/>
        <n v="40901274" u="1"/>
        <n v="40882916" u="1"/>
        <n v="40984072" u="1"/>
        <n v="40816037" u="1"/>
        <n v="40871830" u="1"/>
        <n v="40984075" u="1"/>
        <n v="40854152" u="1"/>
        <n v="40895747" u="1"/>
        <n v="40985870" u="1"/>
        <n v="40754578" u="1"/>
        <n v="40932112" u="1"/>
        <n v="40916119" u="1"/>
        <n v="40925056" u="1"/>
        <n v="41006443" u="1"/>
        <n v="40866766" u="1"/>
        <n v="40904596" u="1"/>
        <n v="40892026" u="1"/>
        <n v="40834436" u="1"/>
        <n v="40800460" u="1"/>
        <n v="40953575" u="1"/>
        <n v="40969686" u="1"/>
        <n v="40872236" u="1"/>
        <n v="40952921" u="1"/>
        <n v="40904720" u="1"/>
        <n v="40916321" u="1"/>
        <n v="40899159" u="1"/>
        <n v="40887288" u="1"/>
        <n v="40932088" u="1"/>
        <n v="40872120" u="1"/>
        <n v="40925913" u="1"/>
        <n v="41006388" u="1"/>
        <n v="40983365" u="1"/>
        <n v="40933089" u="1"/>
        <n v="36187571" u="1"/>
        <n v="40882129" u="1"/>
        <n v="40937880" u="1"/>
        <n v="40984099" u="1"/>
        <n v="40833415" u="1"/>
        <n v="40834381" u="1"/>
        <n v="40839442" u="1"/>
      </sharedItems>
    </cacheField>
    <cacheField name="Campaign Name" numFmtId="0">
      <sharedItems/>
    </cacheField>
    <cacheField name="Product Type" numFmtId="0">
      <sharedItems count="2">
        <s v="Takeover"/>
        <s v="Promoted Ads"/>
      </sharedItems>
    </cacheField>
    <cacheField name="Revenue Type" numFmtId="0">
      <sharedItems count="1">
        <s v="CHARGEABLE"/>
      </sharedItems>
    </cacheField>
    <cacheField name="Follows" numFmtId="0">
      <sharedItems containsString="0" containsBlank="1" containsNumber="1" containsInteger="1" minValue="0" maxValue="0"/>
    </cacheField>
    <cacheField name="PTr Impressions" numFmtId="0">
      <sharedItems containsString="0" containsBlank="1" containsNumber="1" containsInteger="1" minValue="0" maxValue="0"/>
    </cacheField>
    <cacheField name="Agency Name" numFmtId="0">
      <sharedItems containsBlank="1"/>
    </cacheField>
    <cacheField name="Agency of Influence" numFmtId="0">
      <sharedItems containsBlank="1"/>
    </cacheField>
    <cacheField name="Sold To Advertiser" numFmtId="0">
      <sharedItems/>
    </cacheField>
    <cacheField name="Salesforce Advertiser ID" numFmtId="0">
      <sharedItems containsSemiMixedTypes="0" containsString="0" containsNumber="1" containsInteger="1" minValue="26599" maxValue="209164024"/>
    </cacheField>
    <cacheField name="IO Budget" numFmtId="0">
      <sharedItems containsSemiMixedTypes="0" containsString="0" containsNumber="1" minValue="30500" maxValue="310000000"/>
    </cacheField>
    <cacheField name="IO Start Date" numFmtId="15">
      <sharedItems containsNonDate="0" containsDate="1" containsString="0" containsBlank="1" minDate="2023-08-22T00:00:00" maxDate="2026-02-28T00:00:00"/>
    </cacheField>
    <cacheField name="IO End Date" numFmtId="15">
      <sharedItems containsNonDate="0" containsDate="1" containsString="0" containsBlank="1" minDate="2026-02-02T00:00:00" maxDate="2027-02-01T00:00:00"/>
    </cacheField>
    <cacheField name="Sales Channel" numFmtId="0">
      <sharedItems/>
    </cacheField>
    <cacheField name="Payment Term" numFmtId="0">
      <sharedItems/>
    </cacheField>
    <cacheField name="Sold-To Country" numFmtId="0">
      <sharedItems/>
    </cacheField>
    <cacheField name="Bill-To Country" numFmtId="0">
      <sharedItems/>
    </cacheField>
    <cacheField name="Legal Entity" numFmtId="0">
      <sharedItems/>
    </cacheField>
    <cacheField name="Invoice #" numFmtId="0">
      <sharedItems containsSemiMixedTypes="0" containsString="0" containsNumber="1" containsInteger="1" minValue="10572880" maxValue="10573738"/>
    </cacheField>
    <cacheField name="Invoice Date" numFmtId="15">
      <sharedItems containsSemiMixedTypes="0" containsNonDate="0" containsDate="1" containsString="0" minDate="2026-02-28T00:00:00" maxDate="2026-03-01T00:00:00"/>
    </cacheField>
    <cacheField name="Entered Currency" numFmtId="0">
      <sharedItems count="6">
        <s v="ARS"/>
        <s v="USD"/>
        <s v="CLP" u="1"/>
        <s v="COP" u="1"/>
        <s v="MXN" u="1"/>
        <s v="PEN" u="1"/>
      </sharedItems>
    </cacheField>
    <cacheField name="Total Charges (in Entered Curr)" numFmtId="0">
      <sharedItems containsSemiMixedTypes="0" containsString="0" containsNumber="1" minValue="-5266.59" maxValue="12365642.550000001"/>
    </cacheField>
    <cacheField name="Functional Currency" numFmtId="0">
      <sharedItems/>
    </cacheField>
    <cacheField name="Total Charges (in Functional Curr)" numFmtId="0">
      <sharedItems containsSemiMixedTypes="0" containsString="0" containsNumber="1" minValue="-3.64" maxValue="8555.19"/>
    </cacheField>
    <cacheField name="Total Charges (in USD)" numFmtId="0">
      <sharedItems containsSemiMixedTypes="0" containsString="0" containsNumber="1" minValue="-3.64" maxValue="8555.19"/>
    </cacheField>
    <cacheField name="Upfront Discount %" numFmtId="0">
      <sharedItems containsNonDate="0" containsString="0" containsBlank="1"/>
    </cacheField>
    <cacheField name="Discount Amount(In Entered Curr)" numFmtId="0">
      <sharedItems containsNonDate="0" containsString="0" containsBlank="1"/>
    </cacheField>
    <cacheField name="Discount Amount (in Functional Curr)" numFmtId="0">
      <sharedItems containsNonDate="0" containsString="0" containsBlank="1"/>
    </cacheField>
    <cacheField name="Discount Amount (in USD)" numFmtId="0">
      <sharedItems containsNonDate="0" containsString="0" containsBlank="1"/>
    </cacheField>
    <cacheField name="Agency Discount Percentage" numFmtId="0">
      <sharedItems containsNonDate="0" containsString="0" containsBlank="1"/>
    </cacheField>
    <cacheField name="Agency Discount Amt in Entered" numFmtId="0">
      <sharedItems containsNonDate="0" containsString="0" containsBlank="1"/>
    </cacheField>
    <cacheField name="Agency Discount Amt in Functional" numFmtId="0">
      <sharedItems containsNonDate="0" containsString="0" containsBlank="1"/>
    </cacheField>
    <cacheField name="Agency Discount Amt in USD" numFmtId="0">
      <sharedItems containsNonDate="0" containsString="0" containsBlank="1"/>
    </cacheField>
    <cacheField name="Markup Percentage" numFmtId="0">
      <sharedItems containsNonDate="0" containsString="0" containsBlank="1"/>
    </cacheField>
    <cacheField name="Markup Amt in Entered" numFmtId="0">
      <sharedItems containsNonDate="0" containsString="0" containsBlank="1"/>
    </cacheField>
    <cacheField name="Markup Amt in Functional" numFmtId="0">
      <sharedItems containsNonDate="0" containsString="0" containsBlank="1"/>
    </cacheField>
    <cacheField name="Markup Amt in USD" numFmtId="0">
      <sharedItems containsNonDate="0" containsString="0" containsBlank="1"/>
    </cacheField>
    <cacheField name="Markdown Percentage" numFmtId="0">
      <sharedItems containsNonDate="0" containsString="0" containsBlank="1"/>
    </cacheField>
    <cacheField name="Markdown Amt in Entered" numFmtId="0">
      <sharedItems containsNonDate="0" containsString="0" containsBlank="1"/>
    </cacheField>
    <cacheField name="Markdown Amt in Functional" numFmtId="0">
      <sharedItems containsNonDate="0" containsString="0" containsBlank="1"/>
    </cacheField>
    <cacheField name="Markdown Amt in USD" numFmtId="0">
      <sharedItems containsNonDate="0" containsString="0" containsBlank="1"/>
    </cacheField>
    <cacheField name="Reseller Discount Percentage" numFmtId="0">
      <sharedItems containsNonDate="0" containsString="0" containsBlank="1"/>
    </cacheField>
    <cacheField name="Reseller Discount Amt in Entered" numFmtId="0">
      <sharedItems containsNonDate="0" containsString="0" containsBlank="1"/>
    </cacheField>
    <cacheField name="Reseller Discount Amt in Functional" numFmtId="0">
      <sharedItems containsNonDate="0" containsString="0" containsBlank="1"/>
    </cacheField>
    <cacheField name="Reseller Discount Amt in USD" numFmtId="0">
      <sharedItems containsNonDate="0" containsString="0" containsBlank="1"/>
    </cacheField>
    <cacheField name="RevShare Deduction Percentage" numFmtId="0">
      <sharedItems containsNonDate="0" containsString="0" containsBlank="1"/>
    </cacheField>
    <cacheField name="RevShare Deduction Amt in Entered" numFmtId="0">
      <sharedItems containsNonDate="0" containsString="0" containsBlank="1"/>
    </cacheField>
    <cacheField name="RevShare Deduction Amt in Functional" numFmtId="0">
      <sharedItems containsNonDate="0" containsString="0" containsBlank="1"/>
    </cacheField>
    <cacheField name="RevShare Deduction Amt in USD" numFmtId="0">
      <sharedItems containsNonDate="0" containsString="0" containsBlank="1"/>
    </cacheField>
    <cacheField name="Total Revenue Deductions in Entered" numFmtId="0">
      <sharedItems containsSemiMixedTypes="0" containsString="0" containsNumber="1" containsInteger="1" minValue="0" maxValue="0"/>
    </cacheField>
    <cacheField name="Total Revenue Deductions in Functional" numFmtId="0">
      <sharedItems containsSemiMixedTypes="0" containsString="0" containsNumber="1" containsInteger="1" minValue="0" maxValue="0"/>
    </cacheField>
    <cacheField name="Total Revenue Deductions in USD" numFmtId="0">
      <sharedItems containsSemiMixedTypes="0" containsString="0" containsNumber="1" containsInteger="1" minValue="0" maxValue="0"/>
    </cacheField>
    <cacheField name="Total Net Revenue in Entered" numFmtId="0">
      <sharedItems containsSemiMixedTypes="0" containsString="0" containsNumber="1" minValue="-5266.59" maxValue="12365642.550000001"/>
    </cacheField>
    <cacheField name="Total Net Revenue in Functional" numFmtId="0">
      <sharedItems containsSemiMixedTypes="0" containsString="0" containsNumber="1" minValue="-3.64" maxValue="8555.19"/>
    </cacheField>
    <cacheField name="Total Net Revenue in USD" numFmtId="0">
      <sharedItems containsSemiMixedTypes="0" containsString="0" containsNumber="1" minValue="-3.64" maxValue="8555.19"/>
    </cacheField>
    <cacheField name="RevShare GR Deduction Percentage" numFmtId="0">
      <sharedItems containsNonDate="0" containsString="0" containsBlank="1"/>
    </cacheField>
    <cacheField name="RevShare GR Deduction Amt in Entered" numFmtId="0">
      <sharedItems containsNonDate="0" containsString="0" containsBlank="1"/>
    </cacheField>
    <cacheField name="RevShare GR Deduction Amt in Functional" numFmtId="0">
      <sharedItems containsNonDate="0" containsString="0" containsBlank="1"/>
    </cacheField>
    <cacheField name="RevShare GR Deduction Amt in USD" numFmtId="0">
      <sharedItems containsNonDate="0" containsString="0" containsBlank="1"/>
    </cacheField>
    <cacheField name="Commission Percentage" numFmtId="0">
      <sharedItems containsSemiMixedTypes="0" containsString="0" containsNumber="1" minValue="15" maxValue="39.549999999999997"/>
    </cacheField>
    <cacheField name="Commission Amount (In Entered Curr)" numFmtId="0">
      <sharedItems containsSemiMixedTypes="0" containsString="0" containsNumber="1" minValue="-2083.0700000000002" maxValue="4890920.7699999996"/>
    </cacheField>
    <cacheField name="Commission Amount (in Functional Curr)" numFmtId="0">
      <sharedItems containsSemiMixedTypes="0" containsString="0" containsNumber="1" minValue="-1.44" maxValue="3383.79"/>
    </cacheField>
    <cacheField name="Commission Amount ( in USD)" numFmtId="0">
      <sharedItems containsSemiMixedTypes="0" containsString="0" containsNumber="1" minValue="-1.44" maxValue="3383.79"/>
    </cacheField>
    <cacheField name="Total Net Billed in Entered" numFmtId="0">
      <sharedItems containsSemiMixedTypes="0" containsString="0" containsNumber="1" minValue="-3346.48" maxValue="7474721.7800000003"/>
    </cacheField>
    <cacheField name="Total Net Billed in Functional" numFmtId="0">
      <sharedItems containsSemiMixedTypes="0" containsString="0" containsNumber="1" minValue="-2.3199999999999998" maxValue="5171.3999999999996"/>
    </cacheField>
    <cacheField name="Total Net Billed in USD" numFmtId="0">
      <sharedItems containsSemiMixedTypes="0" containsString="0" containsNumber="1" minValue="-2.3199999999999998" maxValue="5171.3999999999996"/>
    </cacheField>
    <cacheField name="Product Sub-Type" numFmtId="0">
      <sharedItems containsNonDate="0" containsString="0" containsBlank="1"/>
    </cacheField>
    <cacheField name="Trend Type" numFmtId="0">
      <sharedItems containsBlank="1"/>
    </cacheField>
    <cacheField name="Product Description" numFmtId="0">
      <sharedItems/>
    </cacheField>
    <cacheField name="PO_Number" numFmtId="0">
      <sharedItems containsNonDate="0" containsString="0" containsBlank="1"/>
    </cacheField>
    <cacheField name="Agency ID" numFmtId="0">
      <sharedItems containsString="0" containsBlank="1" containsNumber="1" containsInteger="1" minValue="224529" maxValue="207886551"/>
    </cacheField>
    <cacheField name="Agency Of Influence Id" numFmtId="0">
      <sharedItems containsString="0" containsBlank="1" containsNumber="1" containsInteger="1" minValue="224529" maxValue="207886551"/>
    </cacheField>
    <cacheField name="Campaign Objective" numFmtId="0">
      <sharedItems containsBlank="1"/>
    </cacheField>
    <cacheField name="DCL IO Flag" numFmtId="0">
      <sharedItems/>
    </cacheField>
    <cacheField name="Booking Ref#" numFmtId="0">
      <sharedItems containsNonDate="0" containsString="0" containsBlank="1"/>
    </cacheField>
    <cacheField name="Reseller Y/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8">
  <r>
    <s v="IMM INTERNET MEDIA MEXICO S DE RL DE CV"/>
    <n v="3050535"/>
    <n v="41651"/>
    <s v="ML_Argentina"/>
    <x v="0"/>
    <x v="0"/>
    <d v="2026-02-01T00:00:00"/>
    <x v="0"/>
    <s v="MLA   Campaña Verano   Timeline- 4/Feb"/>
    <x v="0"/>
    <x v="0"/>
    <n v="0"/>
    <n v="0"/>
    <s v="IPG Media Brands S.A."/>
    <m/>
    <s v="MercadoLibre S.R.L."/>
    <n v="821027"/>
    <n v="1710000"/>
    <d v="2026-02-04T00:00:00"/>
    <d v="2026-02-04T00:00:00"/>
    <s v="DSO"/>
    <s v="120 NET"/>
    <s v="AR"/>
    <s v="MX"/>
    <s v="X Corp."/>
    <n v="10573677"/>
    <d v="2026-02-28T00:00:00"/>
    <x v="0"/>
    <n v="1710000"/>
    <s v="USD"/>
    <n v="1183.07"/>
    <n v="1183.07"/>
    <m/>
    <m/>
    <m/>
    <m/>
    <m/>
    <m/>
    <m/>
    <m/>
    <m/>
    <m/>
    <m/>
    <m/>
    <m/>
    <m/>
    <m/>
    <m/>
    <m/>
    <m/>
    <m/>
    <m/>
    <m/>
    <m/>
    <m/>
    <m/>
    <n v="0"/>
    <n v="0"/>
    <n v="0"/>
    <n v="1710000"/>
    <n v="1183.07"/>
    <n v="1183.07"/>
    <m/>
    <m/>
    <m/>
    <m/>
    <n v="34"/>
    <n v="581365.80000000005"/>
    <n v="402.22"/>
    <n v="402.22"/>
    <n v="1128634.2"/>
    <n v="780.85"/>
    <n v="780.85"/>
    <m/>
    <s v="Timeline Takeover - Tier 1"/>
    <s v="MLA | Campaña Verano | Timeline- 4/Feb"/>
    <m/>
    <n v="224554"/>
    <m/>
    <s v="UNKNOWN_OBJECTIVE"/>
    <s v="N"/>
    <m/>
    <s v="Y"/>
  </r>
  <r>
    <s v="IMM INTERNET MEDIA MEXICO S DE RL DE CV"/>
    <n v="3050535"/>
    <n v="41651"/>
    <s v="SchneiderARG"/>
    <x v="1"/>
    <x v="1"/>
    <d v="2026-02-01T00:00:00"/>
    <x v="1"/>
    <s v="ccu_schneider_remix limon 2025_views_suspect_febrero_2026_twitter_op-760699_"/>
    <x v="1"/>
    <x v="0"/>
    <n v="0"/>
    <n v="0"/>
    <s v="Havas Media Argentina S.A."/>
    <s v="Havas Media Argentina S.A."/>
    <s v="CCU Argentina"/>
    <n v="2801591"/>
    <n v="5000000"/>
    <d v="2026-02-01T00:00:00"/>
    <d v="2026-02-28T00:00:00"/>
    <s v="RES"/>
    <s v="120 NET"/>
    <s v="AR"/>
    <s v="MX"/>
    <s v="X Corp."/>
    <n v="10573631"/>
    <d v="2026-02-28T00:00:00"/>
    <x v="0"/>
    <n v="1912564.06"/>
    <s v="USD"/>
    <n v="1323.21"/>
    <n v="1323.21"/>
    <m/>
    <m/>
    <m/>
    <m/>
    <m/>
    <m/>
    <m/>
    <m/>
    <m/>
    <m/>
    <m/>
    <m/>
    <m/>
    <m/>
    <m/>
    <m/>
    <m/>
    <m/>
    <m/>
    <m/>
    <m/>
    <m/>
    <m/>
    <m/>
    <n v="0"/>
    <n v="0"/>
    <n v="0"/>
    <n v="1912564.06"/>
    <n v="1323.21"/>
    <n v="1323.21"/>
    <m/>
    <m/>
    <m/>
    <m/>
    <n v="39.549999999999997"/>
    <n v="756466.9"/>
    <n v="523.36"/>
    <n v="523.36"/>
    <n v="1156097.1599999999"/>
    <n v="799.85"/>
    <n v="799.85"/>
    <m/>
    <m/>
    <s v="AR00402663-CCU-Schneider Remix Limón-Feb 26"/>
    <m/>
    <n v="14030950"/>
    <n v="14030950"/>
    <s v="VIDEO_VIEWS"/>
    <s v="N"/>
    <m/>
    <s v="Y"/>
  </r>
  <r>
    <s v="IMM INTERNET MEDIA MEXICO S DE RL DE CV"/>
    <n v="3050535"/>
    <n v="41651"/>
    <s v="Beturf_ok"/>
    <x v="2"/>
    <x v="2"/>
    <d v="2026-02-01T00:00:00"/>
    <x v="2"/>
    <s v="Beturf_Trafico_AO_2026"/>
    <x v="1"/>
    <x v="0"/>
    <n v="0"/>
    <n v="0"/>
    <s v="BI MEDIA S.R.L."/>
    <s v="BI MEDIA S.R.L."/>
    <s v="Hipódromo Argentino de Palermo S.A"/>
    <n v="148610446"/>
    <n v="11500000"/>
    <d v="2026-01-05T00:00:00"/>
    <d v="2026-02-28T00:00:00"/>
    <s v="DSO"/>
    <s v="120 NET"/>
    <s v="AR"/>
    <s v="MX"/>
    <s v="X Corp."/>
    <n v="10573647"/>
    <d v="2026-02-28T00:00:00"/>
    <x v="0"/>
    <n v="2108043.15"/>
    <s v="USD"/>
    <n v="1458.45"/>
    <n v="1458.45"/>
    <m/>
    <m/>
    <m/>
    <m/>
    <m/>
    <m/>
    <m/>
    <m/>
    <m/>
    <m/>
    <m/>
    <m/>
    <m/>
    <m/>
    <m/>
    <m/>
    <m/>
    <m/>
    <m/>
    <m/>
    <m/>
    <m/>
    <m/>
    <m/>
    <n v="0"/>
    <n v="0"/>
    <n v="0"/>
    <n v="2108043.15"/>
    <n v="1458.45"/>
    <n v="1458.45"/>
    <m/>
    <m/>
    <m/>
    <m/>
    <n v="39.549999999999997"/>
    <n v="833783.77"/>
    <n v="576.85"/>
    <n v="576.85"/>
    <n v="1274259.3799999999"/>
    <n v="881.6"/>
    <n v="881.6"/>
    <m/>
    <m/>
    <s v="AR00397255-X-Hipódromo de Palemro-Beturf-AON 26"/>
    <m/>
    <n v="192377147"/>
    <n v="192377147"/>
    <s v="WEBSITE_CLICKS"/>
    <s v="N"/>
    <m/>
    <s v="Y"/>
  </r>
  <r>
    <s v="IMM INTERNET MEDIA MEXICO S DE RL DE CV"/>
    <n v="3050535"/>
    <n v="41651"/>
    <s v="FieldViewArg"/>
    <x v="3"/>
    <x v="3"/>
    <d v="2026-02-01T00:00:00"/>
    <x v="3"/>
    <s v="Awareness  Enero 2026 nueva funcionalidad"/>
    <x v="1"/>
    <x v="0"/>
    <n v="0"/>
    <n v="0"/>
    <s v="Encender Argentina"/>
    <s v="Encender Argentina"/>
    <s v="Monsanto Argentina"/>
    <n v="530773"/>
    <n v="12000000"/>
    <d v="2026-01-20T00:00:00"/>
    <d v="2026-12-31T00:00:00"/>
    <s v="RES"/>
    <s v="120 NET"/>
    <s v="AR"/>
    <s v="MX"/>
    <s v="X Corp."/>
    <n v="10573655"/>
    <d v="2026-02-28T00:00:00"/>
    <x v="0"/>
    <n v="497.92"/>
    <s v="USD"/>
    <n v="0.34"/>
    <n v="0.34"/>
    <m/>
    <m/>
    <m/>
    <m/>
    <m/>
    <m/>
    <m/>
    <m/>
    <m/>
    <m/>
    <m/>
    <m/>
    <m/>
    <m/>
    <m/>
    <m/>
    <m/>
    <m/>
    <m/>
    <m/>
    <m/>
    <m/>
    <m/>
    <m/>
    <n v="0"/>
    <n v="0"/>
    <n v="0"/>
    <n v="497.92"/>
    <n v="0.34"/>
    <n v="0.34"/>
    <m/>
    <m/>
    <m/>
    <m/>
    <n v="39.549999999999997"/>
    <n v="196.94"/>
    <n v="0.14000000000000001"/>
    <n v="0.14000000000000001"/>
    <n v="300.98"/>
    <n v="0.2"/>
    <n v="0.2"/>
    <m/>
    <m/>
    <s v="AR00400821 - X - Arg - FieldView - Año 2026"/>
    <m/>
    <n v="530772"/>
    <n v="530772"/>
    <s v="REACH"/>
    <s v="N"/>
    <m/>
    <s v="Y"/>
  </r>
  <r>
    <s v="IMM INTERNET MEDIA MEXICO S DE RL DE CV"/>
    <n v="3050535"/>
    <n v="41651"/>
    <s v="FieldViewArg"/>
    <x v="3"/>
    <x v="3"/>
    <d v="2026-02-01T00:00:00"/>
    <x v="4"/>
    <s v="Awareness  Febrero 2026 wrapped 2"/>
    <x v="1"/>
    <x v="0"/>
    <n v="0"/>
    <n v="0"/>
    <s v="Encender Argentina"/>
    <s v="Encender Argentina"/>
    <s v="Monsanto Argentina"/>
    <n v="530773"/>
    <n v="12000000"/>
    <d v="2026-01-20T00:00:00"/>
    <d v="2026-12-31T00:00:00"/>
    <s v="RES"/>
    <s v="120 NET"/>
    <s v="AR"/>
    <s v="MX"/>
    <s v="X Corp."/>
    <n v="10573655"/>
    <d v="2026-02-28T00:00:00"/>
    <x v="0"/>
    <n v="86381.88"/>
    <s v="USD"/>
    <n v="59.76"/>
    <n v="59.76"/>
    <m/>
    <m/>
    <m/>
    <m/>
    <m/>
    <m/>
    <m/>
    <m/>
    <m/>
    <m/>
    <m/>
    <m/>
    <m/>
    <m/>
    <m/>
    <m/>
    <m/>
    <m/>
    <m/>
    <m/>
    <m/>
    <m/>
    <m/>
    <m/>
    <n v="0"/>
    <n v="0"/>
    <n v="0"/>
    <n v="86381.88"/>
    <n v="59.76"/>
    <n v="59.76"/>
    <m/>
    <m/>
    <m/>
    <m/>
    <n v="39.549999999999997"/>
    <n v="34166.19"/>
    <n v="23.64"/>
    <n v="23.64"/>
    <n v="52215.69"/>
    <n v="36.119999999999997"/>
    <n v="36.119999999999997"/>
    <m/>
    <m/>
    <s v="AR00400821 - X - Arg - FieldView - Año 2026"/>
    <m/>
    <n v="530772"/>
    <n v="530772"/>
    <s v="REACH"/>
    <s v="N"/>
    <m/>
    <s v="Y"/>
  </r>
  <r>
    <s v="IMM INTERNET MEDIA MEXICO S DE RL DE CV"/>
    <n v="3050535"/>
    <n v="41651"/>
    <s v="YPFoficial"/>
    <x v="4"/>
    <x v="4"/>
    <d v="2026-02-01T00:00:00"/>
    <x v="5"/>
    <s v="ypf_full-tw-alcance-season-hamburguesa+guapaleta-2026-feb"/>
    <x v="1"/>
    <x v="0"/>
    <n v="0"/>
    <n v="0"/>
    <s v="Carat Argentina S.A."/>
    <s v="Carat Argentina S.A."/>
    <s v="YPF - Argentina"/>
    <n v="292623"/>
    <n v="30500"/>
    <d v="2026-02-10T00:00:00"/>
    <d v="2026-02-14T00:00:00"/>
    <s v="RES"/>
    <s v="120 NET"/>
    <s v="AR"/>
    <s v="MX"/>
    <s v="X Corp."/>
    <n v="10573664"/>
    <d v="2026-02-28T00:00:00"/>
    <x v="0"/>
    <n v="22444.51"/>
    <s v="USD"/>
    <n v="15.53"/>
    <n v="15.53"/>
    <m/>
    <m/>
    <m/>
    <m/>
    <m/>
    <m/>
    <m/>
    <m/>
    <m/>
    <m/>
    <m/>
    <m/>
    <m/>
    <m/>
    <m/>
    <m/>
    <m/>
    <m/>
    <m/>
    <m/>
    <m/>
    <m/>
    <m/>
    <m/>
    <n v="0"/>
    <n v="0"/>
    <n v="0"/>
    <n v="22444.51"/>
    <n v="15.53"/>
    <n v="15.53"/>
    <m/>
    <m/>
    <m/>
    <m/>
    <n v="22"/>
    <n v="4937.79"/>
    <n v="3.42"/>
    <n v="3.42"/>
    <n v="17506.72"/>
    <n v="12.11"/>
    <n v="12.11"/>
    <m/>
    <m/>
    <s v="AR00405691-X-YPF-HAMBURGUESA+GUAPALETAS-Feb 26"/>
    <m/>
    <n v="224529"/>
    <n v="224529"/>
    <s v="REACH"/>
    <s v="N"/>
    <m/>
    <s v="Y"/>
  </r>
  <r>
    <s v="IMM INTERNET MEDIA MEXICO S DE RL DE CV"/>
    <n v="3050535"/>
    <n v="41651"/>
    <s v="CifArgentina"/>
    <x v="5"/>
    <x v="5"/>
    <d v="2026-02-01T00:00:00"/>
    <x v="6"/>
    <s v="CN003930-Climbing-(Cif)_DSHWSH_Cif_OpAuc_Awa_Reach-Contenido-De-Marca-Op-1074714-Febrero-2026"/>
    <x v="1"/>
    <x v="0"/>
    <n v="0"/>
    <n v="0"/>
    <s v="IPG Media Brands S.A."/>
    <s v="IPG Media Brands S.A."/>
    <s v="Unilever - Argentina"/>
    <n v="258084"/>
    <n v="2300000"/>
    <d v="2026-02-12T00:00:00"/>
    <d v="2026-02-28T00:00:00"/>
    <s v="RES"/>
    <s v="120 NET"/>
    <s v="AR"/>
    <s v="MX"/>
    <s v="X Corp."/>
    <n v="10573680"/>
    <d v="2026-02-28T00:00:00"/>
    <x v="0"/>
    <n v="4812.53"/>
    <s v="USD"/>
    <n v="3.33"/>
    <n v="3.33"/>
    <m/>
    <m/>
    <m/>
    <m/>
    <m/>
    <m/>
    <m/>
    <m/>
    <m/>
    <m/>
    <m/>
    <m/>
    <m/>
    <m/>
    <m/>
    <m/>
    <m/>
    <m/>
    <m/>
    <m/>
    <m/>
    <m/>
    <m/>
    <m/>
    <n v="0"/>
    <n v="0"/>
    <n v="0"/>
    <n v="4812.53"/>
    <n v="3.33"/>
    <n v="3.33"/>
    <m/>
    <m/>
    <m/>
    <m/>
    <n v="22"/>
    <n v="1058.76"/>
    <n v="0.73"/>
    <n v="0.73"/>
    <n v="3753.77"/>
    <n v="2.6"/>
    <n v="2.6"/>
    <m/>
    <m/>
    <s v="AR00406161-Unilever-CIF TRIVIPI-Feb 25"/>
    <m/>
    <n v="224554"/>
    <n v="224554"/>
    <s v="REACH"/>
    <s v="N"/>
    <m/>
    <s v="Y"/>
  </r>
  <r>
    <s v="IMM INTERNET MEDIA MEXICO S DE RL DE CV"/>
    <n v="3050535"/>
    <n v="41651"/>
    <s v="CervezaBrahma"/>
    <x v="6"/>
    <x v="6"/>
    <d v="2026-02-01T00:00:00"/>
    <x v="7"/>
    <s v="ARG_BRD_BRA_SEDDEBRAHMA_VERANO_NON_ENG_BEY_2026_STAFE_LAPAMPA_ER"/>
    <x v="1"/>
    <x v="0"/>
    <n v="0"/>
    <n v="0"/>
    <s v="Digital Hive Group S.A"/>
    <s v="Digital Hive Group S.A"/>
    <s v="Cervecería y Maltería Quilmes"/>
    <n v="292695"/>
    <n v="23500000"/>
    <d v="2026-01-01T00:00:00"/>
    <d v="2026-02-28T00:00:00"/>
    <s v="RES"/>
    <s v="120 NET"/>
    <s v="AR"/>
    <s v="MX"/>
    <s v="X Corp."/>
    <n v="10573692"/>
    <d v="2026-02-28T00:00:00"/>
    <x v="0"/>
    <n v="1293559.94"/>
    <s v="USD"/>
    <n v="894.95"/>
    <n v="894.95"/>
    <m/>
    <m/>
    <m/>
    <m/>
    <m/>
    <m/>
    <m/>
    <m/>
    <m/>
    <m/>
    <m/>
    <m/>
    <m/>
    <m/>
    <m/>
    <m/>
    <m/>
    <m/>
    <m/>
    <m/>
    <m/>
    <m/>
    <m/>
    <m/>
    <n v="0"/>
    <n v="0"/>
    <n v="0"/>
    <n v="1293559.94"/>
    <n v="894.95"/>
    <n v="894.95"/>
    <m/>
    <m/>
    <m/>
    <m/>
    <n v="39.549999999999997"/>
    <n v="511635.3"/>
    <n v="353.98"/>
    <n v="353.98"/>
    <n v="781924.64"/>
    <n v="540.97"/>
    <n v="540.97"/>
    <m/>
    <m/>
    <s v="AR00396561-X-ABI ARG-SED DE BRAHMA VERANO-Ene-25"/>
    <m/>
    <n v="66013147"/>
    <n v="66013147"/>
    <s v="BRAND_ENGAGEMENTS"/>
    <s v="N"/>
    <m/>
    <s v="Y"/>
  </r>
  <r>
    <s v="IMM INTERNET MEDIA MEXICO S DE RL DE CV"/>
    <n v="3050535"/>
    <n v="41651"/>
    <s v="SatoshiTango"/>
    <x v="7"/>
    <x v="7"/>
    <d v="2026-02-01T00:00:00"/>
    <x v="8"/>
    <s v="Pix_ Branch_campaña_descarga_android"/>
    <x v="1"/>
    <x v="0"/>
    <n v="0"/>
    <n v="0"/>
    <m/>
    <m/>
    <s v="Fintech SA"/>
    <n v="115399678"/>
    <n v="40300000"/>
    <d v="2024-08-12T00:00:00"/>
    <d v="2026-02-28T00:00:00"/>
    <s v="DSO"/>
    <s v="120 NET"/>
    <s v="AR"/>
    <s v="MX"/>
    <s v="X Corp."/>
    <n v="10573707"/>
    <d v="2026-02-28T00:00:00"/>
    <x v="0"/>
    <n v="463887.16"/>
    <s v="USD"/>
    <n v="320.94"/>
    <n v="320.94"/>
    <m/>
    <m/>
    <m/>
    <m/>
    <m/>
    <m/>
    <m/>
    <m/>
    <m/>
    <m/>
    <m/>
    <m/>
    <m/>
    <m/>
    <m/>
    <m/>
    <m/>
    <m/>
    <m/>
    <m/>
    <m/>
    <m/>
    <m/>
    <m/>
    <n v="0"/>
    <n v="0"/>
    <n v="0"/>
    <n v="463887.16"/>
    <n v="320.94"/>
    <n v="320.94"/>
    <m/>
    <m/>
    <m/>
    <m/>
    <n v="39.549999999999997"/>
    <n v="183478.97"/>
    <n v="126.94"/>
    <n v="126.94"/>
    <n v="280408.19"/>
    <n v="194"/>
    <n v="194"/>
    <m/>
    <m/>
    <s v="AR00260247 - TW - Satoshi Tango - Q3"/>
    <m/>
    <m/>
    <m/>
    <s v="APP_INSTALLS"/>
    <s v="N"/>
    <m/>
    <s v="Y"/>
  </r>
  <r>
    <s v="IMM INTERNET MEDIA MEXICO S DE RL DE CV"/>
    <n v="3050535"/>
    <n v="41651"/>
    <s v="RenaultArg"/>
    <x v="8"/>
    <x v="8"/>
    <d v="2026-02-01T00:00:00"/>
    <x v="9"/>
    <s v="ar-r-twitter-a-re-newcar-cross_models-tactico-ao-02-2026-na--"/>
    <x v="1"/>
    <x v="0"/>
    <n v="0"/>
    <n v="0"/>
    <s v="Havas Media Argentina S.A."/>
    <m/>
    <s v="Renault Argentina"/>
    <n v="167061"/>
    <n v="2500000"/>
    <d v="2026-02-11T00:00:00"/>
    <d v="2026-02-28T00:00:00"/>
    <s v="RES"/>
    <s v="120 NET"/>
    <s v="AR"/>
    <s v="MX"/>
    <s v="X Corp."/>
    <n v="10573722"/>
    <d v="2026-02-28T00:00:00"/>
    <x v="0"/>
    <n v="1000786.99"/>
    <s v="USD"/>
    <n v="692.4"/>
    <n v="692.4"/>
    <m/>
    <m/>
    <m/>
    <m/>
    <m/>
    <m/>
    <m/>
    <m/>
    <m/>
    <m/>
    <m/>
    <m/>
    <m/>
    <m/>
    <m/>
    <m/>
    <m/>
    <m/>
    <m/>
    <m/>
    <m/>
    <m/>
    <m/>
    <m/>
    <n v="0"/>
    <n v="0"/>
    <n v="0"/>
    <n v="1000786.99"/>
    <n v="692.4"/>
    <n v="692.4"/>
    <m/>
    <m/>
    <m/>
    <m/>
    <n v="22"/>
    <n v="220173.14"/>
    <n v="152.33000000000001"/>
    <n v="152.33000000000001"/>
    <n v="780613.85"/>
    <n v="540.07000000000005"/>
    <n v="540.07000000000005"/>
    <m/>
    <m/>
    <s v="AR00405925 - X | Arg | Renault | FEB 26"/>
    <m/>
    <n v="14030950"/>
    <m/>
    <s v="REACH"/>
    <s v="N"/>
    <m/>
    <s v="Y"/>
  </r>
  <r>
    <s v="IMM INTERNET MEDIA MEXICO S DE RL DE CV"/>
    <n v="3050535"/>
    <n v="41651"/>
    <s v="Betfunok"/>
    <x v="9"/>
    <x v="9"/>
    <d v="2026-02-01T00:00:00"/>
    <x v="10"/>
    <s v="Betfunok Estándar 2026-02-09"/>
    <x v="0"/>
    <x v="0"/>
    <n v="0"/>
    <n v="0"/>
    <s v="BI MEDIA S.R.L."/>
    <s v="BI MEDIA S.R.L."/>
    <s v="Hipódromo Argentino de Palermo S.A"/>
    <n v="148610446"/>
    <n v="801900"/>
    <d v="2026-02-09T00:00:00"/>
    <d v="2026-02-09T00:00:00"/>
    <s v="DSO"/>
    <s v="120 NET"/>
    <s v="AR"/>
    <s v="MX"/>
    <s v="X Corp."/>
    <n v="10573622"/>
    <d v="2026-02-28T00:00:00"/>
    <x v="0"/>
    <n v="801900"/>
    <s v="USD"/>
    <n v="554.79999999999995"/>
    <n v="554.79999999999995"/>
    <m/>
    <m/>
    <m/>
    <m/>
    <m/>
    <m/>
    <m/>
    <m/>
    <m/>
    <m/>
    <m/>
    <m/>
    <m/>
    <m/>
    <m/>
    <m/>
    <m/>
    <m/>
    <m/>
    <m/>
    <m/>
    <m/>
    <m/>
    <m/>
    <n v="0"/>
    <n v="0"/>
    <n v="0"/>
    <n v="801900"/>
    <n v="554.79999999999995"/>
    <n v="554.79999999999995"/>
    <m/>
    <m/>
    <m/>
    <m/>
    <n v="39.549999999999997"/>
    <n v="317171.5"/>
    <n v="219.44"/>
    <n v="219.44"/>
    <n v="484728.5"/>
    <n v="335.36"/>
    <n v="335.36"/>
    <m/>
    <s v="Standard + Spotlight"/>
    <s v="X-Betfun-Takeover-Q1 26 9/2"/>
    <m/>
    <n v="192377147"/>
    <n v="192377147"/>
    <s v="UNKNOWN_OBJECTIVE"/>
    <s v="N"/>
    <m/>
    <s v="Y"/>
  </r>
  <r>
    <s v="IMM INTERNET MEDIA MEXICO S DE RL DE CV"/>
    <n v="3050535"/>
    <n v="41651"/>
    <s v="SamsungArg"/>
    <x v="10"/>
    <x v="10"/>
    <d v="2026-02-01T00:00:00"/>
    <x v="11"/>
    <s v="ID~B0006C50_CN~back-to-school-disney-twitter-im_PH~preo_MK~ar_OB~awa_FS~lod2c_FF~own-landing-own-alcance"/>
    <x v="1"/>
    <x v="0"/>
    <n v="0"/>
    <n v="0"/>
    <s v="MMS Comunicaciones Argentina S.A."/>
    <s v="MMS Comunicaciones Argentina S.A."/>
    <s v="Samsung Argentina"/>
    <n v="72805"/>
    <n v="3000000"/>
    <d v="2026-02-04T00:00:00"/>
    <d v="2026-03-01T00:00:00"/>
    <s v="DSO"/>
    <s v="120 NET"/>
    <s v="AR"/>
    <s v="MX"/>
    <s v="X Corp."/>
    <n v="10573645"/>
    <d v="2026-02-28T00:00:00"/>
    <x v="0"/>
    <n v="2906163.1"/>
    <s v="USD"/>
    <n v="2010.63"/>
    <n v="2010.63"/>
    <m/>
    <m/>
    <m/>
    <m/>
    <m/>
    <m/>
    <m/>
    <m/>
    <m/>
    <m/>
    <m/>
    <m/>
    <m/>
    <m/>
    <m/>
    <m/>
    <m/>
    <m/>
    <m/>
    <m/>
    <m/>
    <m/>
    <m/>
    <m/>
    <n v="0"/>
    <n v="0"/>
    <n v="0"/>
    <n v="2906163.1"/>
    <n v="2010.63"/>
    <n v="2010.63"/>
    <m/>
    <m/>
    <m/>
    <m/>
    <n v="22"/>
    <n v="639355.88"/>
    <n v="442.34"/>
    <n v="442.34"/>
    <n v="2266807.2200000002"/>
    <n v="1568.29"/>
    <n v="1568.29"/>
    <m/>
    <m/>
    <s v="AR00404575-X|Samsung ARG-OWN|IM|BTS|-Feb 26-Campaña 1"/>
    <m/>
    <n v="224581"/>
    <n v="224581"/>
    <s v="REACH"/>
    <s v="N"/>
    <m/>
    <s v="Y"/>
  </r>
  <r>
    <s v="IMM INTERNET MEDIA MEXICO S DE RL DE CV"/>
    <n v="3050535"/>
    <n v="41651"/>
    <s v="MODO_Arg"/>
    <x v="11"/>
    <x v="11"/>
    <d v="2026-02-01T00:00:00"/>
    <x v="12"/>
    <s v="2026_MODO_BRANDING_PROMO_CHANGOMAS_NU_GEO_TWITTER_NU_AW_ENE"/>
    <x v="1"/>
    <x v="0"/>
    <n v="0"/>
    <n v="0"/>
    <s v="OSA ONE STEP AHEAD S.A"/>
    <s v="OSA ONE STEP AHEAD S.A"/>
    <s v="Play Digital S.A."/>
    <n v="57936819"/>
    <n v="3399999.4"/>
    <d v="2026-01-05T00:00:00"/>
    <d v="2026-02-23T00:00:00"/>
    <s v="DSO"/>
    <s v="120 NET"/>
    <s v="AR"/>
    <s v="MX"/>
    <s v="X Corp."/>
    <n v="10573628"/>
    <d v="2026-02-28T00:00:00"/>
    <x v="0"/>
    <n v="415606.05"/>
    <s v="USD"/>
    <n v="287.54000000000002"/>
    <n v="287.54000000000002"/>
    <m/>
    <m/>
    <m/>
    <m/>
    <m/>
    <m/>
    <m/>
    <m/>
    <m/>
    <m/>
    <m/>
    <m/>
    <m/>
    <m/>
    <m/>
    <m/>
    <m/>
    <m/>
    <m/>
    <m/>
    <m/>
    <m/>
    <m/>
    <m/>
    <n v="0"/>
    <n v="0"/>
    <n v="0"/>
    <n v="415606.05"/>
    <n v="287.54000000000002"/>
    <n v="287.54000000000002"/>
    <m/>
    <m/>
    <m/>
    <m/>
    <n v="39.549999999999997"/>
    <n v="164382.57999999999"/>
    <n v="113.73"/>
    <n v="113.73"/>
    <n v="251223.47"/>
    <n v="173.81"/>
    <n v="173.81"/>
    <m/>
    <m/>
    <s v="AR00367389 X | MODO | ChangoMás"/>
    <m/>
    <n v="224573"/>
    <n v="224573"/>
    <s v="REACH"/>
    <s v="N"/>
    <m/>
    <s v="Y"/>
  </r>
  <r>
    <s v="IMM INTERNET MEDIA MEXICO S DE RL DE CV"/>
    <n v="3050535"/>
    <n v="41651"/>
    <s v="BancodeCordoba"/>
    <x v="12"/>
    <x v="12"/>
    <d v="2026-02-01T00:00:00"/>
    <x v="13"/>
    <s v="OT466   Rentas - Alcance - Twitter"/>
    <x v="1"/>
    <x v="0"/>
    <n v="0"/>
    <n v="0"/>
    <s v="WOBRA S.A.S."/>
    <s v="WOBRA S.A.S."/>
    <s v="BANCO DE LA PROVINCIA DE CORDOBA S.A."/>
    <n v="5733116"/>
    <n v="40600000"/>
    <d v="2024-01-01T00:00:00"/>
    <d v="2026-03-31T00:00:00"/>
    <s v="ISO"/>
    <s v="120 NET"/>
    <s v="AR"/>
    <s v="MX"/>
    <s v="X Corp."/>
    <n v="10573709"/>
    <d v="2026-02-28T00:00:00"/>
    <x v="0"/>
    <n v="49947.44"/>
    <s v="USD"/>
    <n v="34.56"/>
    <n v="34.56"/>
    <m/>
    <m/>
    <m/>
    <m/>
    <m/>
    <m/>
    <m/>
    <m/>
    <m/>
    <m/>
    <m/>
    <m/>
    <m/>
    <m/>
    <m/>
    <m/>
    <m/>
    <m/>
    <m/>
    <m/>
    <m/>
    <m/>
    <m/>
    <m/>
    <n v="0"/>
    <n v="0"/>
    <n v="0"/>
    <n v="49947.44"/>
    <n v="34.56"/>
    <n v="34.56"/>
    <m/>
    <m/>
    <m/>
    <m/>
    <n v="39.549999999999997"/>
    <n v="19755.46"/>
    <n v="13.67"/>
    <n v="13.67"/>
    <n v="30191.98"/>
    <n v="20.89"/>
    <n v="20.89"/>
    <m/>
    <m/>
    <s v="AR00223485 - SMB_ARG_BancoProvinciaCord_Enero24"/>
    <m/>
    <n v="47720819"/>
    <n v="47720819"/>
    <s v="REACH"/>
    <s v="N"/>
    <m/>
    <s v="Y"/>
  </r>
  <r>
    <s v="IMM INTERNET MEDIA MEXICO S DE RL DE CV"/>
    <n v="3050535"/>
    <n v="41651"/>
    <s v="BancodeCordoba"/>
    <x v="12"/>
    <x v="12"/>
    <d v="2026-02-01T00:00:00"/>
    <x v="13"/>
    <s v="OT466   Rentas - Alcance - Twitter"/>
    <x v="1"/>
    <x v="0"/>
    <n v="0"/>
    <n v="0"/>
    <s v="WOBRA S.A.S."/>
    <s v="WOBRA S.A.S."/>
    <s v="BANCO DE LA PROVINCIA DE CORDOBA S.A."/>
    <n v="5733116"/>
    <n v="40600000"/>
    <d v="2024-01-01T00:00:00"/>
    <d v="2026-04-15T00:00:00"/>
    <s v="ISO"/>
    <s v="120 NET"/>
    <s v="AR"/>
    <s v="MX"/>
    <s v="X Corp."/>
    <n v="10573709"/>
    <d v="2026-02-28T00:00:00"/>
    <x v="0"/>
    <n v="742048.17"/>
    <s v="USD"/>
    <n v="513.39"/>
    <n v="513.39"/>
    <m/>
    <m/>
    <m/>
    <m/>
    <m/>
    <m/>
    <m/>
    <m/>
    <m/>
    <m/>
    <m/>
    <m/>
    <m/>
    <m/>
    <m/>
    <m/>
    <m/>
    <m/>
    <m/>
    <m/>
    <m/>
    <m/>
    <m/>
    <m/>
    <n v="0"/>
    <n v="0"/>
    <n v="0"/>
    <n v="742048.17"/>
    <n v="513.39"/>
    <n v="513.39"/>
    <m/>
    <m/>
    <m/>
    <m/>
    <n v="39.549999999999997"/>
    <n v="293498.59999999998"/>
    <n v="203.06"/>
    <n v="203.06"/>
    <n v="448549.57"/>
    <n v="310.33"/>
    <n v="310.33"/>
    <m/>
    <m/>
    <s v="AR00223485 - SMB_ARG_BancoProvinciaCord_Enero24"/>
    <m/>
    <n v="47720819"/>
    <n v="47720819"/>
    <s v="REACH"/>
    <s v="N"/>
    <m/>
    <s v="Y"/>
  </r>
  <r>
    <s v="IMM INTERNET MEDIA MEXICO S DE RL DE CV"/>
    <n v="3050535"/>
    <n v="41651"/>
    <s v="BancodeCordoba"/>
    <x v="12"/>
    <x v="12"/>
    <d v="2026-02-01T00:00:00"/>
    <x v="14"/>
    <s v="OT470   Inversiones Feb26 - Tráfico - TWITTER"/>
    <x v="1"/>
    <x v="0"/>
    <n v="0"/>
    <n v="0"/>
    <s v="WOBRA S.A.S."/>
    <s v="WOBRA S.A.S."/>
    <s v="BANCO DE LA PROVINCIA DE CORDOBA S.A."/>
    <n v="5733116"/>
    <n v="40600000"/>
    <d v="2024-01-01T00:00:00"/>
    <d v="2026-04-15T00:00:00"/>
    <s v="ISO"/>
    <s v="120 NET"/>
    <s v="AR"/>
    <s v="MX"/>
    <s v="X Corp."/>
    <n v="10573709"/>
    <d v="2026-02-28T00:00:00"/>
    <x v="0"/>
    <n v="83205.63"/>
    <s v="USD"/>
    <n v="57.57"/>
    <n v="57.57"/>
    <m/>
    <m/>
    <m/>
    <m/>
    <m/>
    <m/>
    <m/>
    <m/>
    <m/>
    <m/>
    <m/>
    <m/>
    <m/>
    <m/>
    <m/>
    <m/>
    <m/>
    <m/>
    <m/>
    <m/>
    <m/>
    <m/>
    <m/>
    <m/>
    <n v="0"/>
    <n v="0"/>
    <n v="0"/>
    <n v="83205.63"/>
    <n v="57.57"/>
    <n v="57.57"/>
    <m/>
    <m/>
    <m/>
    <m/>
    <n v="39.549999999999997"/>
    <n v="32909.910000000003"/>
    <n v="22.77"/>
    <n v="22.77"/>
    <n v="50295.72"/>
    <n v="34.799999999999997"/>
    <n v="34.799999999999997"/>
    <m/>
    <m/>
    <s v="AR00223485 - SMB_ARG_BancoProvinciaCord_Enero24"/>
    <m/>
    <n v="47720819"/>
    <n v="47720819"/>
    <s v="WEBSITE_CLICKS"/>
    <s v="N"/>
    <m/>
    <s v="Y"/>
  </r>
  <r>
    <s v="IMM INTERNET MEDIA MEXICO S DE RL DE CV"/>
    <n v="3050535"/>
    <n v="41651"/>
    <s v="BurgerKingArg"/>
    <x v="13"/>
    <x v="13"/>
    <d v="2026-02-01T00:00:00"/>
    <x v="15"/>
    <s v="BK-COSQUIN_ROCK2026-ARG-TWITTER-TOTAL-AWARENESS-LIFESTYLE-ALCANCE-2026"/>
    <x v="1"/>
    <x v="0"/>
    <n v="0"/>
    <n v="0"/>
    <s v="Carat Argentina S.A."/>
    <s v="Carat Argentina S.A."/>
    <s v="Burger King Argentina"/>
    <n v="951193"/>
    <n v="1500000"/>
    <d v="2026-01-21T00:00:00"/>
    <d v="2026-02-08T00:00:00"/>
    <s v="RES"/>
    <s v="120 NET"/>
    <s v="AR"/>
    <s v="MX"/>
    <s v="X Corp."/>
    <n v="10573641"/>
    <d v="2026-02-28T00:00:00"/>
    <x v="0"/>
    <n v="92012.77"/>
    <s v="USD"/>
    <n v="63.66"/>
    <n v="63.66"/>
    <m/>
    <m/>
    <m/>
    <m/>
    <m/>
    <m/>
    <m/>
    <m/>
    <m/>
    <m/>
    <m/>
    <m/>
    <m/>
    <m/>
    <m/>
    <m/>
    <m/>
    <m/>
    <m/>
    <m/>
    <m/>
    <m/>
    <m/>
    <m/>
    <n v="0"/>
    <n v="0"/>
    <n v="0"/>
    <n v="92012.77"/>
    <n v="63.66"/>
    <n v="63.66"/>
    <m/>
    <m/>
    <m/>
    <m/>
    <n v="39.549999999999997"/>
    <n v="36393.35"/>
    <n v="25.18"/>
    <n v="25.18"/>
    <n v="55619.42"/>
    <n v="38.479999999999997"/>
    <n v="38.479999999999997"/>
    <m/>
    <m/>
    <s v="AR00400121 - X | Burger King - Cosquin Rock '26"/>
    <m/>
    <n v="224529"/>
    <n v="224529"/>
    <s v="REACH"/>
    <s v="N"/>
    <m/>
    <s v="Y"/>
  </r>
  <r>
    <s v="IMM INTERNET MEDIA MEXICO S DE RL DE CV"/>
    <n v="3050535"/>
    <n v="41651"/>
    <s v="BetWarrior_Arg"/>
    <x v="14"/>
    <x v="14"/>
    <d v="2026-02-01T00:00:00"/>
    <x v="16"/>
    <s v="BetWarrior_Arg Estándar 2026-02-20"/>
    <x v="0"/>
    <x v="0"/>
    <n v="0"/>
    <n v="0"/>
    <s v="PIPOL S.R.L"/>
    <s v="PIPOL S.R.L"/>
    <s v="Binbaires SA Ondiss SA Intralot International Limited - UT"/>
    <n v="136982071"/>
    <n v="1133469"/>
    <d v="2026-02-20T00:00:00"/>
    <d v="2026-02-20T00:00:00"/>
    <s v="DSO"/>
    <s v="120 NET"/>
    <s v="AR"/>
    <s v="MX"/>
    <s v="X Corp."/>
    <n v="10573657"/>
    <d v="2026-02-28T00:00:00"/>
    <x v="0"/>
    <n v="1133469"/>
    <s v="USD"/>
    <n v="784.19"/>
    <n v="784.19"/>
    <m/>
    <m/>
    <m/>
    <m/>
    <m/>
    <m/>
    <m/>
    <m/>
    <m/>
    <m/>
    <m/>
    <m/>
    <m/>
    <m/>
    <m/>
    <m/>
    <m/>
    <m/>
    <m/>
    <m/>
    <m/>
    <m/>
    <m/>
    <m/>
    <n v="0"/>
    <n v="0"/>
    <n v="0"/>
    <n v="1133469"/>
    <n v="784.19"/>
    <n v="784.19"/>
    <m/>
    <m/>
    <m/>
    <m/>
    <n v="22"/>
    <n v="249363.18"/>
    <n v="172.52"/>
    <n v="172.52"/>
    <n v="884105.82"/>
    <n v="611.66999999999996"/>
    <n v="611.66999999999996"/>
    <m/>
    <s v="Standard + Spotlight"/>
    <s v="Hold BW 20/2"/>
    <m/>
    <n v="176864931"/>
    <n v="176864931"/>
    <s v="UNKNOWN_OBJECTIVE"/>
    <s v="N"/>
    <m/>
    <s v="Y"/>
  </r>
  <r>
    <s v="IMM INTERNET MEDIA MEXICO S DE RL DE CV"/>
    <n v="3050535"/>
    <n v="41651"/>
    <s v="McDonalds_Ar"/>
    <x v="15"/>
    <x v="15"/>
    <d v="2026-02-01T00:00:00"/>
    <x v="17"/>
    <s v="starcom_argentina_awareness_twitter_social_reach_18022026_M&amp;M_4497300011000"/>
    <x v="1"/>
    <x v="0"/>
    <n v="0"/>
    <n v="0"/>
    <s v="MMS Comunicaciones Argentina S.A."/>
    <s v="MMS Comunicaciones Argentina S.A."/>
    <s v="Arcos Dorados Argentina"/>
    <n v="100986"/>
    <n v="900000"/>
    <d v="2026-02-18T00:00:00"/>
    <d v="2026-03-18T00:00:00"/>
    <s v="DSO"/>
    <s v="120 NET"/>
    <s v="AR"/>
    <s v="MX"/>
    <s v="X Corp."/>
    <n v="10573658"/>
    <d v="2026-02-28T00:00:00"/>
    <x v="0"/>
    <n v="298515.78999999998"/>
    <s v="USD"/>
    <n v="206.53"/>
    <n v="206.53"/>
    <m/>
    <m/>
    <m/>
    <m/>
    <m/>
    <m/>
    <m/>
    <m/>
    <m/>
    <m/>
    <m/>
    <m/>
    <m/>
    <m/>
    <m/>
    <m/>
    <m/>
    <m/>
    <m/>
    <m/>
    <m/>
    <m/>
    <m/>
    <m/>
    <n v="0"/>
    <n v="0"/>
    <n v="0"/>
    <n v="298515.78999999998"/>
    <n v="206.53"/>
    <n v="206.53"/>
    <m/>
    <m/>
    <m/>
    <m/>
    <n v="22"/>
    <n v="65673.47"/>
    <n v="45.44"/>
    <n v="45.44"/>
    <n v="232842.32"/>
    <n v="161.09"/>
    <n v="161.09"/>
    <m/>
    <m/>
    <s v="AR00406370 | X | MCD ARG | Beef - MCFLURRY M&amp;MS - Feb-Mar 2026"/>
    <m/>
    <n v="224581"/>
    <n v="224581"/>
    <s v="REACH"/>
    <s v="N"/>
    <m/>
    <s v="Y"/>
  </r>
  <r>
    <s v="IMM INTERNET MEDIA MEXICO S DE RL DE CV"/>
    <n v="3050535"/>
    <n v="41651"/>
    <s v="almundo_ar"/>
    <x v="16"/>
    <x v="16"/>
    <d v="2026-02-01T00:00:00"/>
    <x v="18"/>
    <s v="Banco Galicia 6 y 12 cuotas"/>
    <x v="1"/>
    <x v="0"/>
    <n v="0"/>
    <n v="0"/>
    <m/>
    <m/>
    <s v="ALMUNDO.COM SRL"/>
    <n v="184672459"/>
    <n v="135550000"/>
    <d v="2024-02-06T00:00:00"/>
    <d v="2026-02-28T00:00:00"/>
    <s v="RES"/>
    <s v="120 NET"/>
    <s v="AR"/>
    <s v="MX"/>
    <s v="X Corp."/>
    <n v="10573710"/>
    <d v="2026-02-28T00:00:00"/>
    <x v="0"/>
    <n v="3044546.16"/>
    <s v="USD"/>
    <n v="2106.37"/>
    <n v="2106.37"/>
    <m/>
    <m/>
    <m/>
    <m/>
    <m/>
    <m/>
    <m/>
    <m/>
    <m/>
    <m/>
    <m/>
    <m/>
    <m/>
    <m/>
    <m/>
    <m/>
    <m/>
    <m/>
    <m/>
    <m/>
    <m/>
    <m/>
    <m/>
    <m/>
    <n v="0"/>
    <n v="0"/>
    <n v="0"/>
    <n v="3044546.16"/>
    <n v="2106.37"/>
    <n v="2106.37"/>
    <m/>
    <m/>
    <m/>
    <m/>
    <n v="39.549999999999997"/>
    <n v="1204194.1200000001"/>
    <n v="833.12"/>
    <n v="833.12"/>
    <n v="1840352.04"/>
    <n v="1273.25"/>
    <n v="1273.25"/>
    <m/>
    <m/>
    <s v="AR00226309 - SMB - ARG - X - Al Mundo - Febrero 2024"/>
    <m/>
    <m/>
    <m/>
    <s v="WEBSITE_CLICKS"/>
    <s v="N"/>
    <m/>
    <s v="Y"/>
  </r>
  <r>
    <s v="IMM INTERNET MEDIA MEXICO S DE RL DE CV"/>
    <n v="3050535"/>
    <n v="41651"/>
    <s v="Flow_ar"/>
    <x v="17"/>
    <x v="17"/>
    <d v="2026-02-01T00:00:00"/>
    <x v="19"/>
    <s v="FW_MSC_ADNNAC_EXBRD_BRD_NAC_REACH_X"/>
    <x v="1"/>
    <x v="0"/>
    <n v="0"/>
    <n v="0"/>
    <s v="Digital Hive Group S.A"/>
    <s v="Digital Hive Group S.A"/>
    <s v="Personal Argentina"/>
    <n v="80883"/>
    <n v="1000000"/>
    <d v="2026-02-11T00:00:00"/>
    <d v="2026-03-27T00:00:00"/>
    <s v="RES"/>
    <s v="120 NET"/>
    <s v="AR"/>
    <s v="MX"/>
    <s v="X Corp."/>
    <n v="10573651"/>
    <d v="2026-02-28T00:00:00"/>
    <x v="0"/>
    <n v="999321.21"/>
    <s v="USD"/>
    <n v="691.38"/>
    <n v="691.38"/>
    <m/>
    <m/>
    <m/>
    <m/>
    <m/>
    <m/>
    <m/>
    <m/>
    <m/>
    <m/>
    <m/>
    <m/>
    <m/>
    <m/>
    <m/>
    <m/>
    <m/>
    <m/>
    <m/>
    <m/>
    <m/>
    <m/>
    <m/>
    <m/>
    <n v="0"/>
    <n v="0"/>
    <n v="0"/>
    <n v="999321.21"/>
    <n v="691.38"/>
    <n v="691.38"/>
    <m/>
    <m/>
    <m/>
    <m/>
    <n v="22"/>
    <n v="219850.67"/>
    <n v="152.1"/>
    <n v="152.1"/>
    <n v="779470.54"/>
    <n v="539.28"/>
    <n v="539.28"/>
    <m/>
    <m/>
    <s v="AR00405872 | X | FLOW | ContMusicales- ADN Nacional - Feb 26"/>
    <m/>
    <n v="66013147"/>
    <n v="66013147"/>
    <s v="VIDEO_VIEWS"/>
    <s v="N"/>
    <m/>
    <s v="Y"/>
  </r>
  <r>
    <s v="IMM INTERNET MEDIA MEXICO S DE RL DE CV"/>
    <n v="3050535"/>
    <n v="41651"/>
    <s v="MODO_Arg"/>
    <x v="18"/>
    <x v="18"/>
    <d v="2026-02-01T00:00:00"/>
    <x v="20"/>
    <s v="2025_MODO_BRANDING_PROMO_JUMBO_GEO_TWITTER_NU_AW_DIC"/>
    <x v="1"/>
    <x v="0"/>
    <n v="0"/>
    <n v="0"/>
    <s v="OSA ONE STEP AHEAD S.A"/>
    <s v="OSA ONE STEP AHEAD S.A"/>
    <s v="Play Digital S.A."/>
    <n v="57936819"/>
    <n v="19250000.57"/>
    <d v="2025-12-04T00:00:00"/>
    <d v="2026-02-28T00:00:00"/>
    <s v="DSO"/>
    <s v="120 NET"/>
    <s v="AR"/>
    <s v="MX"/>
    <s v="X Corp."/>
    <n v="10573653"/>
    <d v="2026-02-28T00:00:00"/>
    <x v="0"/>
    <n v="2052055"/>
    <s v="USD"/>
    <n v="1419.72"/>
    <n v="1419.72"/>
    <m/>
    <m/>
    <m/>
    <m/>
    <m/>
    <m/>
    <m/>
    <m/>
    <m/>
    <m/>
    <m/>
    <m/>
    <m/>
    <m/>
    <m/>
    <m/>
    <m/>
    <m/>
    <m/>
    <m/>
    <m/>
    <m/>
    <m/>
    <m/>
    <n v="0"/>
    <n v="0"/>
    <n v="0"/>
    <n v="2052055"/>
    <n v="1419.72"/>
    <n v="1419.72"/>
    <m/>
    <m/>
    <m/>
    <m/>
    <n v="39.549999999999997"/>
    <n v="811639.05"/>
    <n v="561.53"/>
    <n v="561.53"/>
    <n v="1240415.95"/>
    <n v="858.19"/>
    <n v="858.19"/>
    <m/>
    <m/>
    <s v="AR00392411 X | MODO | Cencosud"/>
    <m/>
    <n v="224573"/>
    <n v="224573"/>
    <s v="REACH"/>
    <s v="N"/>
    <m/>
    <s v="Y"/>
  </r>
  <r>
    <s v="IMM INTERNET MEDIA MEXICO S DE RL DE CV"/>
    <n v="3050535"/>
    <n v="41651"/>
    <s v="YPFoficial"/>
    <x v="19"/>
    <x v="19"/>
    <d v="2026-02-01T00:00:00"/>
    <x v="21"/>
    <s v="ypf_boxes-tw-alcance-season-aofebrero2026-2026-feb"/>
    <x v="1"/>
    <x v="0"/>
    <n v="0"/>
    <n v="0"/>
    <s v="Carat Argentina S.A."/>
    <s v="Carat Argentina S.A."/>
    <s v="YPF - Argentina"/>
    <n v="292623"/>
    <n v="6195990"/>
    <d v="2026-02-11T00:00:00"/>
    <d v="2026-02-28T00:00:00"/>
    <s v="RES"/>
    <s v="120 NET"/>
    <s v="AR"/>
    <s v="MX"/>
    <s v="X Corp."/>
    <n v="10573682"/>
    <d v="2026-02-28T00:00:00"/>
    <x v="0"/>
    <n v="3511586.88"/>
    <s v="USD"/>
    <n v="2429.5"/>
    <n v="2429.5"/>
    <m/>
    <m/>
    <m/>
    <m/>
    <m/>
    <m/>
    <m/>
    <m/>
    <m/>
    <m/>
    <m/>
    <m/>
    <m/>
    <m/>
    <m/>
    <m/>
    <m/>
    <m/>
    <m/>
    <m/>
    <m/>
    <m/>
    <m/>
    <m/>
    <n v="0"/>
    <n v="0"/>
    <n v="0"/>
    <n v="3511586.88"/>
    <n v="2429.5"/>
    <n v="2429.5"/>
    <m/>
    <m/>
    <m/>
    <m/>
    <n v="22"/>
    <n v="772549.11"/>
    <n v="534.49"/>
    <n v="534.49"/>
    <n v="2739037.77"/>
    <n v="1895.01"/>
    <n v="1895.01"/>
    <m/>
    <m/>
    <s v="AR00405920-X-YPF-Boxes-Feb 26"/>
    <m/>
    <n v="224529"/>
    <n v="224529"/>
    <s v="REACH"/>
    <s v="N"/>
    <m/>
    <s v="Y"/>
  </r>
  <r>
    <s v="IMM INTERNET MEDIA MEXICO S DE RL DE CV"/>
    <n v="3050535"/>
    <n v="41651"/>
    <s v="bancoprovincia"/>
    <x v="20"/>
    <x v="20"/>
    <d v="2026-02-01T00:00:00"/>
    <x v="22"/>
    <s v="2035_sp_2026_streaming-hablemos-de-seguridad_feb_arg_alcance_cpm"/>
    <x v="1"/>
    <x v="0"/>
    <n v="0"/>
    <n v="0"/>
    <s v="SUPER MEDIA S.A"/>
    <s v="SUPER MEDIA S.A"/>
    <s v="Banco Provincia"/>
    <n v="7000116"/>
    <n v="12650000"/>
    <d v="2026-01-13T00:00:00"/>
    <d v="2026-02-28T00:00:00"/>
    <s v="RES"/>
    <s v="120 NET"/>
    <s v="AR"/>
    <s v="MX"/>
    <s v="X Corp."/>
    <n v="10573696"/>
    <d v="2026-02-28T00:00:00"/>
    <x v="0"/>
    <n v="683.6"/>
    <s v="USD"/>
    <n v="0.47"/>
    <n v="0.47"/>
    <m/>
    <m/>
    <m/>
    <m/>
    <m/>
    <m/>
    <m/>
    <m/>
    <m/>
    <m/>
    <m/>
    <m/>
    <m/>
    <m/>
    <m/>
    <m/>
    <m/>
    <m/>
    <m/>
    <m/>
    <m/>
    <m/>
    <m/>
    <m/>
    <n v="0"/>
    <n v="0"/>
    <n v="0"/>
    <n v="683.6"/>
    <n v="0.47"/>
    <n v="0.47"/>
    <m/>
    <m/>
    <m/>
    <m/>
    <n v="39.549999999999997"/>
    <n v="270.38"/>
    <n v="0.19"/>
    <n v="0.19"/>
    <n v="413.22"/>
    <n v="0.28000000000000003"/>
    <n v="0.28000000000000003"/>
    <m/>
    <m/>
    <s v="AR00399019 X | Bapro | ENE 26"/>
    <m/>
    <n v="63304606"/>
    <n v="63304606"/>
    <s v="REACH"/>
    <s v="N"/>
    <m/>
    <s v="Y"/>
  </r>
  <r>
    <s v="IMM INTERNET MEDIA MEXICO S DE RL DE CV"/>
    <n v="3050535"/>
    <n v="41651"/>
    <s v="bancoprovincia"/>
    <x v="20"/>
    <x v="20"/>
    <d v="2026-02-01T00:00:00"/>
    <x v="23"/>
    <s v="2035_sp_2026_financia-tus-vacaciones_feb_arg_trafico_cpc"/>
    <x v="1"/>
    <x v="0"/>
    <n v="0"/>
    <n v="0"/>
    <s v="SUPER MEDIA S.A"/>
    <s v="SUPER MEDIA S.A"/>
    <s v="Banco Provincia"/>
    <n v="7000116"/>
    <n v="12650000"/>
    <d v="2026-01-13T00:00:00"/>
    <d v="2026-02-28T00:00:00"/>
    <s v="RES"/>
    <s v="120 NET"/>
    <s v="AR"/>
    <s v="MX"/>
    <s v="X Corp."/>
    <n v="10573696"/>
    <d v="2026-02-28T00:00:00"/>
    <x v="0"/>
    <n v="400118.71"/>
    <s v="USD"/>
    <n v="276.82"/>
    <n v="276.82"/>
    <m/>
    <m/>
    <m/>
    <m/>
    <m/>
    <m/>
    <m/>
    <m/>
    <m/>
    <m/>
    <m/>
    <m/>
    <m/>
    <m/>
    <m/>
    <m/>
    <m/>
    <m/>
    <m/>
    <m/>
    <m/>
    <m/>
    <m/>
    <m/>
    <n v="0"/>
    <n v="0"/>
    <n v="0"/>
    <n v="400118.71"/>
    <n v="276.82"/>
    <n v="276.82"/>
    <m/>
    <m/>
    <m/>
    <m/>
    <n v="39.549999999999997"/>
    <n v="158256.95000000001"/>
    <n v="109.49"/>
    <n v="109.49"/>
    <n v="241861.76000000001"/>
    <n v="167.33"/>
    <n v="167.33"/>
    <m/>
    <m/>
    <s v="AR00399019 X | Bapro | ENE 26"/>
    <m/>
    <n v="63304606"/>
    <n v="63304606"/>
    <s v="WEBSITE_CLICKS"/>
    <s v="N"/>
    <m/>
    <s v="Y"/>
  </r>
  <r>
    <s v="IMM INTERNET MEDIA MEXICO S DE RL DE CV"/>
    <n v="3050535"/>
    <n v="41651"/>
    <s v="bancoprovincia"/>
    <x v="20"/>
    <x v="20"/>
    <d v="2026-02-01T00:00:00"/>
    <x v="22"/>
    <s v="2035_sp_2026_streaming-hablemos-de-seguridad_feb_arg_alcance_cpm"/>
    <x v="1"/>
    <x v="0"/>
    <n v="0"/>
    <n v="0"/>
    <s v="SUPER MEDIA S.A"/>
    <s v="SUPER MEDIA S.A"/>
    <s v="Banco Provincia"/>
    <n v="7000116"/>
    <n v="12650000"/>
    <d v="2026-01-13T00:00:00"/>
    <d v="2026-02-28T00:00:00"/>
    <s v="RES"/>
    <s v="120 NET"/>
    <s v="AR"/>
    <s v="MX"/>
    <s v="X Corp."/>
    <n v="10573696"/>
    <d v="2026-02-28T00:00:00"/>
    <x v="0"/>
    <n v="149370.98000000001"/>
    <s v="USD"/>
    <n v="103.34"/>
    <n v="103.34"/>
    <m/>
    <m/>
    <m/>
    <m/>
    <m/>
    <m/>
    <m/>
    <m/>
    <m/>
    <m/>
    <m/>
    <m/>
    <m/>
    <m/>
    <m/>
    <m/>
    <m/>
    <m/>
    <m/>
    <m/>
    <m/>
    <m/>
    <m/>
    <m/>
    <n v="0"/>
    <n v="0"/>
    <n v="0"/>
    <n v="149370.98000000001"/>
    <n v="103.34"/>
    <n v="103.34"/>
    <m/>
    <m/>
    <m/>
    <m/>
    <n v="39.549999999999997"/>
    <n v="59079.96"/>
    <n v="40.869999999999997"/>
    <n v="40.869999999999997"/>
    <n v="90291.02"/>
    <n v="62.47"/>
    <n v="62.47"/>
    <m/>
    <m/>
    <s v="AR00399019 X | Bapro | ENE 26"/>
    <m/>
    <n v="63304606"/>
    <n v="63304606"/>
    <s v="REACH"/>
    <s v="N"/>
    <m/>
    <s v="Y"/>
  </r>
  <r>
    <s v="IMM INTERNET MEDIA MEXICO S DE RL DE CV"/>
    <n v="3050535"/>
    <n v="41651"/>
    <s v="bancoprovincia"/>
    <x v="20"/>
    <x v="20"/>
    <d v="2026-02-01T00:00:00"/>
    <x v="24"/>
    <s v="2035_sp_2026_plazo-fijo-cuenta-dni_feb_arg_alcance_cpm"/>
    <x v="1"/>
    <x v="0"/>
    <n v="0"/>
    <n v="0"/>
    <s v="SUPER MEDIA S.A"/>
    <s v="SUPER MEDIA S.A"/>
    <s v="Banco Provincia"/>
    <n v="7000116"/>
    <n v="12650000"/>
    <d v="2026-01-13T00:00:00"/>
    <d v="2026-02-28T00:00:00"/>
    <s v="RES"/>
    <s v="120 NET"/>
    <s v="AR"/>
    <s v="MX"/>
    <s v="X Corp."/>
    <n v="10573696"/>
    <d v="2026-02-28T00:00:00"/>
    <x v="0"/>
    <n v="141931.28"/>
    <s v="USD"/>
    <n v="98.2"/>
    <n v="98.2"/>
    <m/>
    <m/>
    <m/>
    <m/>
    <m/>
    <m/>
    <m/>
    <m/>
    <m/>
    <m/>
    <m/>
    <m/>
    <m/>
    <m/>
    <m/>
    <m/>
    <m/>
    <m/>
    <m/>
    <m/>
    <m/>
    <m/>
    <m/>
    <m/>
    <n v="0"/>
    <n v="0"/>
    <n v="0"/>
    <n v="141931.28"/>
    <n v="98.2"/>
    <n v="98.2"/>
    <m/>
    <m/>
    <m/>
    <m/>
    <n v="39.549999999999997"/>
    <n v="56137.37"/>
    <n v="38.840000000000003"/>
    <n v="38.840000000000003"/>
    <n v="85793.91"/>
    <n v="59.36"/>
    <n v="59.36"/>
    <m/>
    <m/>
    <s v="AR00399019 X | Bapro | ENE 26"/>
    <m/>
    <n v="63304606"/>
    <n v="63304606"/>
    <s v="REACH"/>
    <s v="N"/>
    <m/>
    <s v="Y"/>
  </r>
  <r>
    <s v="IMM INTERNET MEDIA MEXICO S DE RL DE CV"/>
    <n v="3050535"/>
    <n v="41651"/>
    <s v="bancoprovincia"/>
    <x v="20"/>
    <x v="20"/>
    <d v="2026-02-01T00:00:00"/>
    <x v="25"/>
    <s v="2035_sp_2026_streaming-hablemos-de-todo-feb_arg_alcance_cpm"/>
    <x v="1"/>
    <x v="0"/>
    <n v="0"/>
    <n v="0"/>
    <s v="SUPER MEDIA S.A"/>
    <s v="SUPER MEDIA S.A"/>
    <s v="Banco Provincia"/>
    <n v="7000116"/>
    <n v="12650000"/>
    <d v="2026-01-13T00:00:00"/>
    <d v="2026-02-28T00:00:00"/>
    <s v="RES"/>
    <s v="120 NET"/>
    <s v="AR"/>
    <s v="MX"/>
    <s v="X Corp."/>
    <n v="10573696"/>
    <d v="2026-02-28T00:00:00"/>
    <x v="0"/>
    <n v="600181.04"/>
    <s v="USD"/>
    <n v="415.24"/>
    <n v="415.24"/>
    <m/>
    <m/>
    <m/>
    <m/>
    <m/>
    <m/>
    <m/>
    <m/>
    <m/>
    <m/>
    <m/>
    <m/>
    <m/>
    <m/>
    <m/>
    <m/>
    <m/>
    <m/>
    <m/>
    <m/>
    <m/>
    <m/>
    <m/>
    <m/>
    <n v="0"/>
    <n v="0"/>
    <n v="0"/>
    <n v="600181.04"/>
    <n v="415.24"/>
    <n v="415.24"/>
    <m/>
    <m/>
    <m/>
    <m/>
    <n v="39.549999999999997"/>
    <n v="237386.61"/>
    <n v="164.24"/>
    <n v="164.24"/>
    <n v="362794.43"/>
    <n v="251"/>
    <n v="251"/>
    <m/>
    <m/>
    <s v="AR00399019 X | Bapro | ENE 26"/>
    <m/>
    <n v="63304606"/>
    <n v="63304606"/>
    <s v="REACH"/>
    <s v="N"/>
    <m/>
    <s v="Y"/>
  </r>
  <r>
    <s v="IMM INTERNET MEDIA MEXICO S DE RL DE CV"/>
    <n v="3050535"/>
    <n v="41651"/>
    <s v="bancoprovincia"/>
    <x v="20"/>
    <x v="20"/>
    <d v="2026-02-01T00:00:00"/>
    <x v="26"/>
    <s v="2035_sp_2026_streaming-hablemos-de-guita_feb_arg_trafico_cpc"/>
    <x v="1"/>
    <x v="0"/>
    <n v="0"/>
    <n v="0"/>
    <s v="SUPER MEDIA S.A"/>
    <s v="SUPER MEDIA S.A"/>
    <s v="Banco Provincia"/>
    <n v="7000116"/>
    <n v="12650000"/>
    <d v="2026-01-13T00:00:00"/>
    <d v="2026-02-28T00:00:00"/>
    <s v="RES"/>
    <s v="120 NET"/>
    <s v="AR"/>
    <s v="MX"/>
    <s v="X Corp."/>
    <n v="10573696"/>
    <d v="2026-02-28T00:00:00"/>
    <x v="0"/>
    <n v="347311.14"/>
    <s v="USD"/>
    <n v="240.29"/>
    <n v="240.29"/>
    <m/>
    <m/>
    <m/>
    <m/>
    <m/>
    <m/>
    <m/>
    <m/>
    <m/>
    <m/>
    <m/>
    <m/>
    <m/>
    <m/>
    <m/>
    <m/>
    <m/>
    <m/>
    <m/>
    <m/>
    <m/>
    <m/>
    <m/>
    <m/>
    <n v="0"/>
    <n v="0"/>
    <n v="0"/>
    <n v="347311.14"/>
    <n v="240.29"/>
    <n v="240.29"/>
    <m/>
    <m/>
    <m/>
    <m/>
    <n v="39.549999999999997"/>
    <n v="137370.23999999999"/>
    <n v="95.04"/>
    <n v="95.04"/>
    <n v="209940.9"/>
    <n v="145.25"/>
    <n v="145.25"/>
    <m/>
    <m/>
    <s v="AR00399019 X | Bapro | ENE 26"/>
    <m/>
    <n v="63304606"/>
    <n v="63304606"/>
    <s v="WEBSITE_CLICKS"/>
    <s v="N"/>
    <m/>
    <s v="Y"/>
  </r>
  <r>
    <s v="IMM INTERNET MEDIA MEXICO S DE RL DE CV"/>
    <n v="3050535"/>
    <n v="41651"/>
    <s v="bancoprovincia"/>
    <x v="20"/>
    <x v="20"/>
    <d v="2026-02-01T00:00:00"/>
    <x v="27"/>
    <s v="2035_sp_2026_prestamo-express-feb_arg_alcance_cpm"/>
    <x v="1"/>
    <x v="0"/>
    <n v="0"/>
    <n v="0"/>
    <s v="SUPER MEDIA S.A"/>
    <s v="SUPER MEDIA S.A"/>
    <s v="Banco Provincia"/>
    <n v="7000116"/>
    <n v="12650000"/>
    <d v="2026-01-13T00:00:00"/>
    <d v="2026-02-28T00:00:00"/>
    <s v="RES"/>
    <s v="120 NET"/>
    <s v="AR"/>
    <s v="MX"/>
    <s v="X Corp."/>
    <n v="10573696"/>
    <d v="2026-02-28T00:00:00"/>
    <x v="0"/>
    <n v="150831.03"/>
    <s v="USD"/>
    <n v="104.35"/>
    <n v="104.35"/>
    <m/>
    <m/>
    <m/>
    <m/>
    <m/>
    <m/>
    <m/>
    <m/>
    <m/>
    <m/>
    <m/>
    <m/>
    <m/>
    <m/>
    <m/>
    <m/>
    <m/>
    <m/>
    <m/>
    <m/>
    <m/>
    <m/>
    <m/>
    <m/>
    <n v="0"/>
    <n v="0"/>
    <n v="0"/>
    <n v="150831.03"/>
    <n v="104.35"/>
    <n v="104.35"/>
    <m/>
    <m/>
    <m/>
    <m/>
    <n v="39.549999999999997"/>
    <n v="59657.440000000002"/>
    <n v="41.27"/>
    <n v="41.27"/>
    <n v="91173.59"/>
    <n v="63.08"/>
    <n v="63.08"/>
    <m/>
    <m/>
    <s v="AR00399019 X | Bapro | ENE 26"/>
    <m/>
    <n v="63304606"/>
    <n v="63304606"/>
    <s v="REACH"/>
    <s v="N"/>
    <m/>
    <s v="Y"/>
  </r>
  <r>
    <s v="IMM INTERNET MEDIA MEXICO S DE RL DE CV"/>
    <n v="3050535"/>
    <n v="41651"/>
    <s v="CervezaBrahma"/>
    <x v="21"/>
    <x v="21"/>
    <d v="2026-02-01T00:00:00"/>
    <x v="28"/>
    <s v="ARG_BRD_BRA_SEDDEBRAHMA_CARNAVAL_NON_RCH_BEY_2026_BARRIALES"/>
    <x v="1"/>
    <x v="0"/>
    <n v="0"/>
    <n v="0"/>
    <s v="Digital Hive Group S.A"/>
    <s v="Digital Hive Group S.A"/>
    <s v="Cervecería y Maltería Quilmes"/>
    <n v="292695"/>
    <n v="8576000"/>
    <d v="2026-01-01T00:00:00"/>
    <d v="2026-02-28T00:00:00"/>
    <s v="RES"/>
    <s v="120 NET"/>
    <s v="AR"/>
    <s v="MX"/>
    <s v="X Corp."/>
    <n v="10573693"/>
    <d v="2026-02-28T00:00:00"/>
    <x v="0"/>
    <n v="221426.17"/>
    <s v="USD"/>
    <n v="153.19"/>
    <n v="153.19"/>
    <m/>
    <m/>
    <m/>
    <m/>
    <m/>
    <m/>
    <m/>
    <m/>
    <m/>
    <m/>
    <m/>
    <m/>
    <m/>
    <m/>
    <m/>
    <m/>
    <m/>
    <m/>
    <m/>
    <m/>
    <m/>
    <m/>
    <m/>
    <m/>
    <n v="0"/>
    <n v="0"/>
    <n v="0"/>
    <n v="221426.17"/>
    <n v="153.19"/>
    <n v="153.19"/>
    <m/>
    <m/>
    <m/>
    <m/>
    <n v="39.549999999999997"/>
    <n v="87579.59"/>
    <n v="60.59"/>
    <n v="60.59"/>
    <n v="133846.57999999999"/>
    <n v="92.6"/>
    <n v="92.6"/>
    <m/>
    <m/>
    <s v="AR00396558-X-ABI ARG-SED DE BRAHMA CARNAVAL-Ene-26"/>
    <m/>
    <n v="66013147"/>
    <n v="66013147"/>
    <s v="REACH"/>
    <s v="N"/>
    <m/>
    <s v="Y"/>
  </r>
  <r>
    <s v="IMM INTERNET MEDIA MEXICO S DE RL DE CV"/>
    <n v="3050535"/>
    <n v="41651"/>
    <s v="MODO_Arg"/>
    <x v="22"/>
    <x v="22"/>
    <d v="2026-02-01T00:00:00"/>
    <x v="29"/>
    <s v="2026_MODO_BRANDING_PROMO_TRANSPORTE-VQR_GEO_TWITTER_NU_AW_FEB"/>
    <x v="1"/>
    <x v="0"/>
    <n v="0"/>
    <n v="0"/>
    <s v="OSA ONE STEP AHEAD S.A"/>
    <s v="OSA ONE STEP AHEAD S.A"/>
    <s v="Play Digital S.A."/>
    <n v="57936819"/>
    <n v="6304499.9900000002"/>
    <d v="2026-02-09T00:00:00"/>
    <d v="2026-02-22T00:00:00"/>
    <s v="DSO"/>
    <s v="120 NET"/>
    <s v="AR"/>
    <s v="MX"/>
    <s v="X Corp."/>
    <n v="10573713"/>
    <d v="2026-02-28T00:00:00"/>
    <x v="0"/>
    <n v="4558905.76"/>
    <s v="USD"/>
    <n v="3154.09"/>
    <n v="3154.09"/>
    <m/>
    <m/>
    <m/>
    <m/>
    <m/>
    <m/>
    <m/>
    <m/>
    <m/>
    <m/>
    <m/>
    <m/>
    <m/>
    <m/>
    <m/>
    <m/>
    <m/>
    <m/>
    <m/>
    <m/>
    <m/>
    <m/>
    <m/>
    <m/>
    <n v="0"/>
    <n v="0"/>
    <n v="0"/>
    <n v="4558905.76"/>
    <n v="3154.09"/>
    <n v="3154.09"/>
    <m/>
    <m/>
    <m/>
    <m/>
    <n v="22"/>
    <n v="1002959.27"/>
    <n v="693.9"/>
    <n v="693.9"/>
    <n v="3555946.49"/>
    <n v="2460.19"/>
    <n v="2460.19"/>
    <m/>
    <m/>
    <s v="AR00405349 X | MODO | Transporte VQR"/>
    <m/>
    <n v="224573"/>
    <n v="224573"/>
    <s v="REACH"/>
    <s v="N"/>
    <m/>
    <s v="Y"/>
  </r>
  <r>
    <s v="IMM INTERNET MEDIA MEXICO S DE RL DE CV"/>
    <n v="3050535"/>
    <n v="41651"/>
    <s v="MODO_Arg"/>
    <x v="23"/>
    <x v="23"/>
    <d v="2026-02-01T00:00:00"/>
    <x v="30"/>
    <s v="2026_MODO_PERFORMANCE_PERFO_AO_ACTIVACION-ANDROID-AMBA_TWITTER_NU_TX_FEB"/>
    <x v="1"/>
    <x v="0"/>
    <n v="0"/>
    <n v="0"/>
    <s v="OSA ONE STEP AHEAD S.A"/>
    <s v="OSA ONE STEP AHEAD S.A"/>
    <s v="Play Digital S.A."/>
    <n v="57936819"/>
    <n v="9869791.9600000009"/>
    <d v="2026-01-02T00:00:00"/>
    <d v="2026-02-28T00:00:00"/>
    <s v="DSO"/>
    <s v="120 NET"/>
    <s v="AR"/>
    <s v="MX"/>
    <s v="X Corp."/>
    <n v="10573703"/>
    <d v="2026-02-28T00:00:00"/>
    <x v="0"/>
    <n v="730671.75"/>
    <s v="USD"/>
    <n v="505.52"/>
    <n v="505.52"/>
    <m/>
    <m/>
    <m/>
    <m/>
    <m/>
    <m/>
    <m/>
    <m/>
    <m/>
    <m/>
    <m/>
    <m/>
    <m/>
    <m/>
    <m/>
    <m/>
    <m/>
    <m/>
    <m/>
    <m/>
    <m/>
    <m/>
    <m/>
    <m/>
    <n v="0"/>
    <n v="0"/>
    <n v="0"/>
    <n v="730671.75"/>
    <n v="505.52"/>
    <n v="505.52"/>
    <m/>
    <m/>
    <m/>
    <m/>
    <n v="39.549999999999997"/>
    <n v="288998.94"/>
    <n v="199.94"/>
    <n v="199.94"/>
    <n v="441672.81"/>
    <n v="305.58"/>
    <n v="305.58"/>
    <m/>
    <m/>
    <s v="AR00396946 X | MODO | AO Performance"/>
    <m/>
    <n v="224573"/>
    <n v="224573"/>
    <s v="APP_ENGAGEMENTS"/>
    <s v="N"/>
    <m/>
    <s v="Y"/>
  </r>
  <r>
    <s v="IMM INTERNET MEDIA MEXICO S DE RL DE CV"/>
    <n v="3050535"/>
    <n v="41651"/>
    <s v="cocoscap"/>
    <x v="24"/>
    <x v="24"/>
    <d v="2026-02-01T00:00:00"/>
    <x v="31"/>
    <s v="X_BND_AWA_R&amp;F_Loyalty"/>
    <x v="1"/>
    <x v="0"/>
    <n v="0"/>
    <n v="0"/>
    <m/>
    <m/>
    <s v="Cocos Capital S.A."/>
    <n v="186932207"/>
    <n v="69550831"/>
    <d v="2024-12-18T00:00:00"/>
    <d v="2026-02-28T00:00:00"/>
    <s v="RES"/>
    <s v="120 NET"/>
    <s v="AR"/>
    <s v="MX"/>
    <s v="X Corp."/>
    <n v="10573629"/>
    <d v="2026-02-28T00:00:00"/>
    <x v="0"/>
    <n v="22535.24"/>
    <s v="USD"/>
    <n v="15.59"/>
    <n v="15.59"/>
    <m/>
    <m/>
    <m/>
    <m/>
    <m/>
    <m/>
    <m/>
    <m/>
    <m/>
    <m/>
    <m/>
    <m/>
    <m/>
    <m/>
    <m/>
    <m/>
    <m/>
    <m/>
    <m/>
    <m/>
    <m/>
    <m/>
    <m/>
    <m/>
    <n v="0"/>
    <n v="0"/>
    <n v="0"/>
    <n v="22535.24"/>
    <n v="15.59"/>
    <n v="15.59"/>
    <m/>
    <m/>
    <m/>
    <m/>
    <n v="39.549999999999997"/>
    <n v="8913.25"/>
    <n v="6.17"/>
    <n v="6.17"/>
    <n v="13621.99"/>
    <n v="9.42"/>
    <n v="9.42"/>
    <m/>
    <m/>
    <s v="AR00303899 SMB-X ARG - Cocos Capital - Dic/Ene"/>
    <m/>
    <m/>
    <m/>
    <s v="REACH"/>
    <s v="N"/>
    <m/>
    <s v="Y"/>
  </r>
  <r>
    <s v="IMM INTERNET MEDIA MEXICO S DE RL DE CV"/>
    <n v="3050535"/>
    <n v="41651"/>
    <s v="cocoscap"/>
    <x v="24"/>
    <x v="24"/>
    <d v="2026-02-01T00:00:00"/>
    <x v="32"/>
    <s v="X_AR_BND_AWA_R&amp;F_Fondos"/>
    <x v="1"/>
    <x v="0"/>
    <n v="0"/>
    <n v="0"/>
    <m/>
    <m/>
    <s v="Cocos Capital S.A."/>
    <n v="186932207"/>
    <n v="69550831"/>
    <d v="2024-12-18T00:00:00"/>
    <d v="2026-02-28T00:00:00"/>
    <s v="RES"/>
    <s v="120 NET"/>
    <s v="AR"/>
    <s v="MX"/>
    <s v="X Corp."/>
    <n v="10573629"/>
    <d v="2026-02-28T00:00:00"/>
    <x v="0"/>
    <n v="486629.9"/>
    <s v="USD"/>
    <n v="336.68"/>
    <n v="336.68"/>
    <m/>
    <m/>
    <m/>
    <m/>
    <m/>
    <m/>
    <m/>
    <m/>
    <m/>
    <m/>
    <m/>
    <m/>
    <m/>
    <m/>
    <m/>
    <m/>
    <m/>
    <m/>
    <m/>
    <m/>
    <m/>
    <m/>
    <m/>
    <m/>
    <n v="0"/>
    <n v="0"/>
    <n v="0"/>
    <n v="486629.9"/>
    <n v="336.68"/>
    <n v="336.68"/>
    <m/>
    <m/>
    <m/>
    <m/>
    <n v="39.549999999999997"/>
    <n v="192474.29"/>
    <n v="133.16"/>
    <n v="133.16"/>
    <n v="294155.61"/>
    <n v="203.52"/>
    <n v="203.52"/>
    <m/>
    <m/>
    <s v="AR00303899 SMB-X ARG - Cocos Capital - Dic/Ene"/>
    <m/>
    <m/>
    <m/>
    <s v="REACH"/>
    <s v="N"/>
    <m/>
    <s v="Y"/>
  </r>
  <r>
    <s v="IMM INTERNET MEDIA MEXICO S DE RL DE CV"/>
    <n v="3050535"/>
    <n v="41651"/>
    <s v="Supervielle_ARG"/>
    <x v="25"/>
    <x v="25"/>
    <d v="2026-02-01T00:00:00"/>
    <x v="33"/>
    <s v="Supervielle_ARG Timeline Takeover Tier 1 2026-02-23"/>
    <x v="0"/>
    <x v="0"/>
    <n v="0"/>
    <n v="0"/>
    <s v="Digital Hive Group S.A"/>
    <s v="Digital Hive Group S.A"/>
    <s v="Banco Supervielle"/>
    <n v="240194"/>
    <n v="3625356"/>
    <d v="2026-02-23T00:00:00"/>
    <d v="2026-02-23T00:00:00"/>
    <s v="RES"/>
    <s v="120 NET"/>
    <s v="AR"/>
    <s v="MX"/>
    <s v="X Corp."/>
    <n v="10573683"/>
    <d v="2026-02-28T00:00:00"/>
    <x v="0"/>
    <n v="3625356"/>
    <s v="USD"/>
    <n v="2508.21"/>
    <n v="2508.21"/>
    <m/>
    <m/>
    <m/>
    <m/>
    <m/>
    <m/>
    <m/>
    <m/>
    <m/>
    <m/>
    <m/>
    <m/>
    <m/>
    <m/>
    <m/>
    <m/>
    <m/>
    <m/>
    <m/>
    <m/>
    <m/>
    <m/>
    <m/>
    <m/>
    <n v="0"/>
    <n v="0"/>
    <n v="0"/>
    <n v="3625356"/>
    <n v="2508.21"/>
    <n v="2508.21"/>
    <m/>
    <m/>
    <m/>
    <m/>
    <n v="22"/>
    <n v="797578.32"/>
    <n v="551.80999999999995"/>
    <n v="551.80999999999995"/>
    <n v="2827777.68"/>
    <n v="1956.4"/>
    <n v="1956.4"/>
    <m/>
    <s v="Timeline Takeover - Tier 1"/>
    <s v="AR00405715 - X - Arg - Supervielle - Timeline TO Q12026"/>
    <m/>
    <n v="66013147"/>
    <n v="66013147"/>
    <s v="UNKNOWN_OBJECTIVE"/>
    <s v="N"/>
    <m/>
    <s v="Y"/>
  </r>
  <r>
    <s v="IMM INTERNET MEDIA MEXICO S DE RL DE CV"/>
    <n v="3050535"/>
    <n v="41651"/>
    <s v="ML_Argentina"/>
    <x v="26"/>
    <x v="26"/>
    <d v="2026-02-01T00:00:00"/>
    <x v="34"/>
    <s v="MLA_ML_TW-TWT_GEN_X_BRD-F-GEN-X_ALL_REACH_SUMMER-26_X_36235263"/>
    <x v="1"/>
    <x v="0"/>
    <n v="0"/>
    <n v="0"/>
    <s v="IPG Media Brands S.A."/>
    <s v="IPG Media Brands S.A."/>
    <s v="MercadoLibre S.R.L."/>
    <n v="821027"/>
    <n v="5517531.8799999999"/>
    <d v="2026-01-05T00:00:00"/>
    <d v="2026-02-15T00:00:00"/>
    <s v="DSO"/>
    <s v="120 NET"/>
    <s v="AR"/>
    <s v="MX"/>
    <s v="X Corp."/>
    <n v="10573702"/>
    <d v="2026-02-28T00:00:00"/>
    <x v="0"/>
    <n v="1952420.44"/>
    <s v="USD"/>
    <n v="1350.79"/>
    <n v="1350.79"/>
    <m/>
    <m/>
    <m/>
    <m/>
    <m/>
    <m/>
    <m/>
    <m/>
    <m/>
    <m/>
    <m/>
    <m/>
    <m/>
    <m/>
    <m/>
    <m/>
    <m/>
    <m/>
    <m/>
    <m/>
    <m/>
    <m/>
    <m/>
    <m/>
    <n v="0"/>
    <n v="0"/>
    <n v="0"/>
    <n v="1952420.44"/>
    <n v="1350.79"/>
    <n v="1350.79"/>
    <m/>
    <m/>
    <m/>
    <m/>
    <n v="34"/>
    <n v="663783.9"/>
    <n v="459.24"/>
    <n v="459.24"/>
    <n v="1288636.54"/>
    <n v="891.55"/>
    <n v="891.55"/>
    <m/>
    <m/>
    <s v="MLA | Campaña Verano"/>
    <m/>
    <n v="224554"/>
    <n v="224554"/>
    <s v="REACH"/>
    <s v="N"/>
    <m/>
    <s v="Y"/>
  </r>
  <r>
    <s v="IMM INTERNET MEDIA MEXICO S DE RL DE CV"/>
    <n v="3050535"/>
    <n v="41651"/>
    <s v="FernetBrancaARG"/>
    <x v="27"/>
    <x v="27"/>
    <d v="2026-02-01T00:00:00"/>
    <x v="35"/>
    <s v="FernetBrancaARG Timeline Takeover Tier 1 2026-02-15"/>
    <x v="0"/>
    <x v="0"/>
    <n v="0"/>
    <n v="0"/>
    <s v="IPG Media Brands S.A."/>
    <s v="IPG Media Brands S.A."/>
    <s v="Fratelli Branca Destilerías S.A."/>
    <n v="110597037"/>
    <n v="3625356"/>
    <d v="2026-02-15T00:00:00"/>
    <d v="2026-02-15T00:00:00"/>
    <s v="DSO"/>
    <s v="120 NET"/>
    <s v="AR"/>
    <s v="MX"/>
    <s v="X Corp."/>
    <n v="10573719"/>
    <d v="2026-02-28T00:00:00"/>
    <x v="0"/>
    <n v="3625356"/>
    <s v="USD"/>
    <n v="2508.21"/>
    <n v="2508.21"/>
    <m/>
    <m/>
    <m/>
    <m/>
    <m/>
    <m/>
    <m/>
    <m/>
    <m/>
    <m/>
    <m/>
    <m/>
    <m/>
    <m/>
    <m/>
    <m/>
    <m/>
    <m/>
    <m/>
    <m/>
    <m/>
    <m/>
    <m/>
    <m/>
    <n v="0"/>
    <n v="0"/>
    <n v="0"/>
    <n v="3625356"/>
    <n v="2508.21"/>
    <n v="2508.21"/>
    <m/>
    <m/>
    <m/>
    <m/>
    <n v="22"/>
    <n v="797578.32"/>
    <n v="551.80999999999995"/>
    <n v="551.80999999999995"/>
    <n v="2827777.68"/>
    <n v="1956.4"/>
    <n v="1956.4"/>
    <m/>
    <s v="Timeline Takeover - Tier 1"/>
    <s v="AR00405931 - X | Arg | Fernet Branca | Febrero 2026 - timeline"/>
    <m/>
    <n v="224554"/>
    <n v="224554"/>
    <s v="UNKNOWN_OBJECTIVE"/>
    <s v="N"/>
    <m/>
    <s v="Y"/>
  </r>
  <r>
    <s v="IMM INTERNET MEDIA MEXICO S DE RL DE CV"/>
    <n v="3050535"/>
    <n v="41651"/>
    <s v="ML_Argentina"/>
    <x v="28"/>
    <x v="28"/>
    <d v="2026-02-01T00:00:00"/>
    <x v="36"/>
    <s v="MLA_ML_TW-TWT_GEN_X_BRD-E-GEN-X_ALL_REACH_AFA_X_88896050"/>
    <x v="1"/>
    <x v="0"/>
    <n v="0"/>
    <n v="0"/>
    <s v="IPG Media Brands S.A."/>
    <m/>
    <s v="MercadoLibre S.R.L."/>
    <n v="821027"/>
    <n v="11298240"/>
    <d v="2026-01-22T00:00:00"/>
    <d v="2026-03-01T00:00:00"/>
    <s v="DSO"/>
    <s v="120 NET"/>
    <s v="AR"/>
    <s v="MX"/>
    <s v="X Corp."/>
    <n v="10573632"/>
    <d v="2026-02-28T00:00:00"/>
    <x v="0"/>
    <n v="8088113.9100000001"/>
    <s v="USD"/>
    <n v="5595.78"/>
    <n v="5595.78"/>
    <m/>
    <m/>
    <m/>
    <m/>
    <m/>
    <m/>
    <m/>
    <m/>
    <m/>
    <m/>
    <m/>
    <m/>
    <m/>
    <m/>
    <m/>
    <m/>
    <m/>
    <m/>
    <m/>
    <m/>
    <m/>
    <m/>
    <m/>
    <m/>
    <n v="0"/>
    <n v="0"/>
    <n v="0"/>
    <n v="8088113.9100000001"/>
    <n v="5595.78"/>
    <n v="5595.78"/>
    <m/>
    <m/>
    <m/>
    <m/>
    <n v="34"/>
    <n v="2749796.97"/>
    <n v="1902.45"/>
    <n v="1902.45"/>
    <n v="5338316.9400000004"/>
    <n v="3693.33"/>
    <n v="3693.33"/>
    <m/>
    <m/>
    <s v="MLA | LPF | video"/>
    <m/>
    <n v="224554"/>
    <m/>
    <s v="REACH"/>
    <s v="N"/>
    <m/>
    <s v="Y"/>
  </r>
  <r>
    <s v="IMM INTERNET MEDIA MEXICO S DE RL DE CV"/>
    <n v="3050535"/>
    <n v="41651"/>
    <s v="Beturf_ok"/>
    <x v="2"/>
    <x v="2"/>
    <d v="2026-02-01T00:00:00"/>
    <x v="37"/>
    <s v="Beturf_Alcance_AO_2026"/>
    <x v="1"/>
    <x v="0"/>
    <n v="0"/>
    <n v="0"/>
    <s v="BI MEDIA S.R.L."/>
    <s v="BI MEDIA S.R.L."/>
    <s v="Hipódromo Argentino de Palermo S.A"/>
    <n v="148610446"/>
    <n v="11500000"/>
    <d v="2026-01-05T00:00:00"/>
    <d v="2026-02-28T00:00:00"/>
    <s v="DSO"/>
    <s v="120 NET"/>
    <s v="AR"/>
    <s v="MX"/>
    <s v="X Corp."/>
    <n v="10573647"/>
    <d v="2026-02-28T00:00:00"/>
    <x v="0"/>
    <n v="1704912.69"/>
    <s v="USD"/>
    <n v="1179.55"/>
    <n v="1179.55"/>
    <m/>
    <m/>
    <m/>
    <m/>
    <m/>
    <m/>
    <m/>
    <m/>
    <m/>
    <m/>
    <m/>
    <m/>
    <m/>
    <m/>
    <m/>
    <m/>
    <m/>
    <m/>
    <m/>
    <m/>
    <m/>
    <m/>
    <m/>
    <m/>
    <n v="0"/>
    <n v="0"/>
    <n v="0"/>
    <n v="1704912.69"/>
    <n v="1179.55"/>
    <n v="1179.55"/>
    <m/>
    <m/>
    <m/>
    <m/>
    <n v="39.549999999999997"/>
    <n v="674335.59"/>
    <n v="466.54"/>
    <n v="466.54"/>
    <n v="1030577.1"/>
    <n v="713.01"/>
    <n v="713.01"/>
    <m/>
    <m/>
    <s v="AR00397255-X-Hipódromo de Palemro-Beturf-AON 26"/>
    <m/>
    <n v="192377147"/>
    <n v="192377147"/>
    <s v="REACH"/>
    <s v="N"/>
    <m/>
    <s v="Y"/>
  </r>
  <r>
    <s v="IMM INTERNET MEDIA MEXICO S DE RL DE CV"/>
    <n v="3050535"/>
    <n v="41651"/>
    <s v="Beturf_ok"/>
    <x v="2"/>
    <x v="2"/>
    <d v="2026-02-01T00:00:00"/>
    <x v="37"/>
    <s v="Beturf_Alcance_AO_2026"/>
    <x v="1"/>
    <x v="0"/>
    <n v="0"/>
    <n v="0"/>
    <s v="BI MEDIA S.R.L."/>
    <s v="BI MEDIA S.R.L."/>
    <s v="Hipódromo Argentino de Palermo S.A"/>
    <n v="148610446"/>
    <n v="11500000"/>
    <d v="2026-01-05T00:00:00"/>
    <d v="2026-03-31T00:00:00"/>
    <s v="DSO"/>
    <s v="120 NET"/>
    <s v="AR"/>
    <s v="MX"/>
    <s v="X Corp."/>
    <n v="10573647"/>
    <d v="2026-02-28T00:00:00"/>
    <x v="0"/>
    <n v="66667"/>
    <s v="USD"/>
    <n v="46.12"/>
    <n v="46.12"/>
    <m/>
    <m/>
    <m/>
    <m/>
    <m/>
    <m/>
    <m/>
    <m/>
    <m/>
    <m/>
    <m/>
    <m/>
    <m/>
    <m/>
    <m/>
    <m/>
    <m/>
    <m/>
    <m/>
    <m/>
    <m/>
    <m/>
    <m/>
    <m/>
    <n v="0"/>
    <n v="0"/>
    <n v="0"/>
    <n v="66667"/>
    <n v="46.12"/>
    <n v="46.12"/>
    <m/>
    <m/>
    <m/>
    <m/>
    <n v="39.549999999999997"/>
    <n v="26368.47"/>
    <n v="18.239999999999998"/>
    <n v="18.239999999999998"/>
    <n v="40298.53"/>
    <n v="27.88"/>
    <n v="27.88"/>
    <m/>
    <m/>
    <s v="AR00397255-X-Hipódromo de Palemro-Beturf-AON 26"/>
    <m/>
    <n v="192377147"/>
    <n v="192377147"/>
    <s v="REACH"/>
    <s v="N"/>
    <m/>
    <s v="Y"/>
  </r>
  <r>
    <s v="IMM INTERNET MEDIA MEXICO S DE RL DE CV"/>
    <n v="3050535"/>
    <n v="41651"/>
    <s v="ML_Argentina"/>
    <x v="29"/>
    <x v="29"/>
    <d v="2026-02-01T00:00:00"/>
    <x v="38"/>
    <s v="MLA_ML_TW-TWT_GEN_X_FE-DD-X_ALL_REACH_DD-03_X_56943125"/>
    <x v="1"/>
    <x v="0"/>
    <n v="0"/>
    <n v="0"/>
    <s v="IPG Media Brands S.A."/>
    <m/>
    <s v="MercadoLibre S.R.L."/>
    <n v="821027"/>
    <n v="11744448"/>
    <d v="2026-02-18T00:00:00"/>
    <d v="2026-03-03T00:00:00"/>
    <s v="DSO"/>
    <s v="120 NET"/>
    <s v="AR"/>
    <s v="MX"/>
    <s v="X Corp."/>
    <n v="10573659"/>
    <d v="2026-02-28T00:00:00"/>
    <x v="0"/>
    <n v="9224933.0199999996"/>
    <s v="USD"/>
    <n v="6382.29"/>
    <n v="6382.29"/>
    <m/>
    <m/>
    <m/>
    <m/>
    <m/>
    <m/>
    <m/>
    <m/>
    <m/>
    <m/>
    <m/>
    <m/>
    <m/>
    <m/>
    <m/>
    <m/>
    <m/>
    <m/>
    <m/>
    <m/>
    <m/>
    <m/>
    <m/>
    <m/>
    <n v="0"/>
    <n v="0"/>
    <n v="0"/>
    <n v="9224933.0199999996"/>
    <n v="6382.29"/>
    <n v="6382.29"/>
    <m/>
    <m/>
    <m/>
    <m/>
    <n v="22"/>
    <n v="2029485.26"/>
    <n v="1404.1"/>
    <n v="1404.1"/>
    <n v="7195447.7599999998"/>
    <n v="4978.1899999999996"/>
    <n v="4978.1899999999996"/>
    <m/>
    <m/>
    <s v="MLA | DD3 | Video"/>
    <m/>
    <n v="224554"/>
    <m/>
    <s v="REACH"/>
    <s v="N"/>
    <m/>
    <s v="Y"/>
  </r>
  <r>
    <s v="IMM INTERNET MEDIA MEXICO S DE RL DE CV"/>
    <n v="3050535"/>
    <n v="41651"/>
    <s v="CervezaBrahma"/>
    <x v="6"/>
    <x v="6"/>
    <d v="2026-02-01T00:00:00"/>
    <x v="39"/>
    <s v="ARG_BRD_BRA_SEDDEBRAHMA_VERANO_NON_AWA_BEY_2026_AMBA_COSTA_CBA"/>
    <x v="1"/>
    <x v="0"/>
    <n v="0"/>
    <n v="0"/>
    <s v="Digital Hive Group S.A"/>
    <s v="Digital Hive Group S.A"/>
    <s v="Cervecería y Maltería Quilmes"/>
    <n v="292695"/>
    <n v="23500000"/>
    <d v="2026-01-01T00:00:00"/>
    <d v="2026-02-28T00:00:00"/>
    <s v="RES"/>
    <s v="120 NET"/>
    <s v="AR"/>
    <s v="MX"/>
    <s v="X Corp."/>
    <n v="10573692"/>
    <d v="2026-02-28T00:00:00"/>
    <x v="0"/>
    <n v="2735581.56"/>
    <s v="USD"/>
    <n v="1892.62"/>
    <n v="1892.62"/>
    <m/>
    <m/>
    <m/>
    <m/>
    <m/>
    <m/>
    <m/>
    <m/>
    <m/>
    <m/>
    <m/>
    <m/>
    <m/>
    <m/>
    <m/>
    <m/>
    <m/>
    <m/>
    <m/>
    <m/>
    <m/>
    <m/>
    <m/>
    <m/>
    <n v="0"/>
    <n v="0"/>
    <n v="0"/>
    <n v="2735581.56"/>
    <n v="1892.62"/>
    <n v="1892.62"/>
    <m/>
    <m/>
    <m/>
    <m/>
    <n v="39.549999999999997"/>
    <n v="1081990.8999999999"/>
    <n v="748.58"/>
    <n v="748.58"/>
    <n v="1653590.66"/>
    <n v="1144.04"/>
    <n v="1144.04"/>
    <m/>
    <m/>
    <s v="AR00396561-X-ABI ARG-SED DE BRAHMA VERANO-Ene-25"/>
    <m/>
    <n v="66013147"/>
    <n v="66013147"/>
    <s v="REACH"/>
    <s v="N"/>
    <m/>
    <s v="Y"/>
  </r>
  <r>
    <s v="IMM INTERNET MEDIA MEXICO S DE RL DE CV"/>
    <n v="3050535"/>
    <n v="41651"/>
    <s v="CervezaBrahma"/>
    <x v="6"/>
    <x v="6"/>
    <d v="2026-02-01T00:00:00"/>
    <x v="40"/>
    <s v="ARG_BRD_BRA_SEDDEBRAHMA_VERANO_NON_ENG_BEY_2026_NOA"/>
    <x v="1"/>
    <x v="0"/>
    <n v="0"/>
    <n v="0"/>
    <s v="Digital Hive Group S.A"/>
    <s v="Digital Hive Group S.A"/>
    <s v="Cervecería y Maltería Quilmes"/>
    <n v="292695"/>
    <n v="23500000"/>
    <d v="2026-01-01T00:00:00"/>
    <d v="2026-02-28T00:00:00"/>
    <s v="RES"/>
    <s v="120 NET"/>
    <s v="AR"/>
    <s v="MX"/>
    <s v="X Corp."/>
    <n v="10573692"/>
    <d v="2026-02-28T00:00:00"/>
    <x v="0"/>
    <n v="474511.63"/>
    <s v="USD"/>
    <n v="328.29"/>
    <n v="328.29"/>
    <m/>
    <m/>
    <m/>
    <m/>
    <m/>
    <m/>
    <m/>
    <m/>
    <m/>
    <m/>
    <m/>
    <m/>
    <m/>
    <m/>
    <m/>
    <m/>
    <m/>
    <m/>
    <m/>
    <m/>
    <m/>
    <m/>
    <m/>
    <m/>
    <n v="0"/>
    <n v="0"/>
    <n v="0"/>
    <n v="474511.63"/>
    <n v="328.29"/>
    <n v="328.29"/>
    <m/>
    <m/>
    <m/>
    <m/>
    <n v="39.549999999999997"/>
    <n v="187681.21"/>
    <n v="129.85"/>
    <n v="129.85"/>
    <n v="286830.42"/>
    <n v="198.44"/>
    <n v="198.44"/>
    <m/>
    <m/>
    <s v="AR00396561-X-ABI ARG-SED DE BRAHMA VERANO-Ene-25"/>
    <m/>
    <n v="66013147"/>
    <n v="66013147"/>
    <s v="BRAND_ENGAGEMENTS"/>
    <s v="N"/>
    <m/>
    <s v="Y"/>
  </r>
  <r>
    <s v="IMM INTERNET MEDIA MEXICO S DE RL DE CV"/>
    <n v="3050535"/>
    <n v="41651"/>
    <s v="SatoshiTango"/>
    <x v="7"/>
    <x v="7"/>
    <d v="2026-02-01T00:00:00"/>
    <x v="41"/>
    <s v="Pix_ Branch_campaña_descarga__ios"/>
    <x v="1"/>
    <x v="0"/>
    <n v="0"/>
    <n v="0"/>
    <m/>
    <m/>
    <s v="Fintech SA"/>
    <n v="115399678"/>
    <n v="40300000"/>
    <d v="2024-08-12T00:00:00"/>
    <d v="2026-02-28T00:00:00"/>
    <s v="DSO"/>
    <s v="120 NET"/>
    <s v="AR"/>
    <s v="MX"/>
    <s v="X Corp."/>
    <n v="10573707"/>
    <d v="2026-02-28T00:00:00"/>
    <x v="0"/>
    <n v="246829.11"/>
    <s v="USD"/>
    <n v="170.77"/>
    <n v="170.77"/>
    <m/>
    <m/>
    <m/>
    <m/>
    <m/>
    <m/>
    <m/>
    <m/>
    <m/>
    <m/>
    <m/>
    <m/>
    <m/>
    <m/>
    <m/>
    <m/>
    <m/>
    <m/>
    <m/>
    <m/>
    <m/>
    <m/>
    <m/>
    <m/>
    <n v="0"/>
    <n v="0"/>
    <n v="0"/>
    <n v="246829.11"/>
    <n v="170.77"/>
    <n v="170.77"/>
    <m/>
    <m/>
    <m/>
    <m/>
    <n v="39.549999999999997"/>
    <n v="97627.08"/>
    <n v="67.540000000000006"/>
    <n v="67.540000000000006"/>
    <n v="149202.03"/>
    <n v="103.23"/>
    <n v="103.23"/>
    <m/>
    <m/>
    <s v="AR00260247 - TW - Satoshi Tango - Q3"/>
    <m/>
    <m/>
    <m/>
    <s v="APP_INSTALLS"/>
    <s v="N"/>
    <m/>
    <s v="Y"/>
  </r>
  <r>
    <s v="IMM INTERNET MEDIA MEXICO S DE RL DE CV"/>
    <n v="3050535"/>
    <n v="41651"/>
    <s v="RenaultArg"/>
    <x v="8"/>
    <x v="8"/>
    <d v="2026-02-01T00:00:00"/>
    <x v="42"/>
    <s v="ar-r-twitter-t-wc-newcar-cross_models-tactico-ao-02-2026-na--"/>
    <x v="1"/>
    <x v="0"/>
    <n v="0"/>
    <n v="0"/>
    <s v="Havas Media Argentina S.A."/>
    <m/>
    <s v="Renault Argentina"/>
    <n v="167061"/>
    <n v="2500000"/>
    <d v="2026-02-11T00:00:00"/>
    <d v="2026-02-28T00:00:00"/>
    <s v="RES"/>
    <s v="120 NET"/>
    <s v="AR"/>
    <s v="MX"/>
    <s v="X Corp."/>
    <n v="10573722"/>
    <d v="2026-02-28T00:00:00"/>
    <x v="0"/>
    <n v="1499044.18"/>
    <s v="USD"/>
    <n v="1037.1199999999999"/>
    <n v="1037.1199999999999"/>
    <m/>
    <m/>
    <m/>
    <m/>
    <m/>
    <m/>
    <m/>
    <m/>
    <m/>
    <m/>
    <m/>
    <m/>
    <m/>
    <m/>
    <m/>
    <m/>
    <m/>
    <m/>
    <m/>
    <m/>
    <m/>
    <m/>
    <m/>
    <m/>
    <n v="0"/>
    <n v="0"/>
    <n v="0"/>
    <n v="1499044.18"/>
    <n v="1037.1199999999999"/>
    <n v="1037.1199999999999"/>
    <m/>
    <m/>
    <m/>
    <m/>
    <n v="22"/>
    <n v="329789.71999999997"/>
    <n v="228.17"/>
    <n v="228.17"/>
    <n v="1169254.46"/>
    <n v="808.95"/>
    <n v="808.95"/>
    <m/>
    <m/>
    <s v="AR00405925 - X | Arg | Renault | FEB 26"/>
    <m/>
    <n v="14030950"/>
    <m/>
    <s v="WEBSITE_CLICKS"/>
    <s v="N"/>
    <m/>
    <s v="Y"/>
  </r>
  <r>
    <s v="IMM INTERNET MEDIA MEXICO S DE RL DE CV"/>
    <n v="3050535"/>
    <n v="41651"/>
    <s v="uipargentina"/>
    <x v="30"/>
    <x v="30"/>
    <d v="2026-02-01T00:00:00"/>
    <x v="43"/>
    <s v="UIP_PARAMOUNT-SCREAM_7-PROXIMAMENTE-TWITTER-TOTAL-AWARENESS-INTERESES-IMPRESIONES-OP_504952"/>
    <x v="1"/>
    <x v="0"/>
    <n v="0"/>
    <n v="0"/>
    <s v="Carat Argentina S.A."/>
    <s v="Carat Argentina S.A."/>
    <s v="United International Pictures"/>
    <n v="2097220"/>
    <n v="3000000"/>
    <d v="2026-02-09T00:00:00"/>
    <d v="2026-03-08T00:00:00"/>
    <s v="RES"/>
    <s v="120 NET"/>
    <s v="AR"/>
    <s v="MX"/>
    <s v="X Corp."/>
    <n v="10573728"/>
    <d v="2026-02-28T00:00:00"/>
    <x v="0"/>
    <n v="6.02"/>
    <s v="USD"/>
    <n v="0"/>
    <n v="0"/>
    <m/>
    <m/>
    <m/>
    <m/>
    <m/>
    <m/>
    <m/>
    <m/>
    <m/>
    <m/>
    <m/>
    <m/>
    <m/>
    <m/>
    <m/>
    <m/>
    <m/>
    <m/>
    <m/>
    <m/>
    <m/>
    <m/>
    <m/>
    <m/>
    <n v="0"/>
    <n v="0"/>
    <n v="0"/>
    <n v="6.02"/>
    <n v="0"/>
    <n v="0"/>
    <m/>
    <m/>
    <m/>
    <m/>
    <n v="22"/>
    <n v="1.33"/>
    <n v="0"/>
    <n v="0"/>
    <n v="4.6900000000000004"/>
    <n v="0"/>
    <n v="0"/>
    <m/>
    <m/>
    <s v="UIP Argentina | Scream 7"/>
    <m/>
    <n v="224529"/>
    <n v="224529"/>
    <s v="REACH"/>
    <s v="N"/>
    <m/>
    <s v="Y"/>
  </r>
  <r>
    <s v="IMM INTERNET MEDIA MEXICO S DE RL DE CV"/>
    <n v="3050535"/>
    <n v="41651"/>
    <s v="Supervielle_ARG"/>
    <x v="31"/>
    <x v="31"/>
    <d v="2026-02-01T00:00:00"/>
    <x v="44"/>
    <s v="COMU_Supervielle_Individuos_Verano_Twitter_Subasta-Reproducciones-Intereses-Verano2026"/>
    <x v="1"/>
    <x v="0"/>
    <n v="0"/>
    <n v="0"/>
    <s v="Digital Hive Group S.A"/>
    <s v="Digital Hive Group S.A"/>
    <s v="Banco Supervielle"/>
    <n v="240194"/>
    <n v="7800000"/>
    <d v="2026-01-08T00:00:00"/>
    <d v="2026-02-28T00:00:00"/>
    <s v="RES"/>
    <s v="120 NET"/>
    <s v="AR"/>
    <s v="MX"/>
    <s v="X Corp."/>
    <n v="10573620"/>
    <d v="2026-02-28T00:00:00"/>
    <x v="0"/>
    <n v="70.16"/>
    <s v="USD"/>
    <n v="0.05"/>
    <n v="0.05"/>
    <m/>
    <m/>
    <m/>
    <m/>
    <m/>
    <m/>
    <m/>
    <m/>
    <m/>
    <m/>
    <m/>
    <m/>
    <m/>
    <m/>
    <m/>
    <m/>
    <m/>
    <m/>
    <m/>
    <m/>
    <m/>
    <m/>
    <m/>
    <m/>
    <n v="0"/>
    <n v="0"/>
    <n v="0"/>
    <n v="70.16"/>
    <n v="0.05"/>
    <n v="0.05"/>
    <m/>
    <m/>
    <m/>
    <m/>
    <n v="39.549999999999997"/>
    <n v="27.75"/>
    <n v="0.02"/>
    <n v="0.02"/>
    <n v="42.41"/>
    <n v="0.03"/>
    <n v="0.03"/>
    <m/>
    <m/>
    <s v="AR00397734 X | Banco Supervielle | ENE 26"/>
    <m/>
    <n v="66013147"/>
    <n v="66013147"/>
    <s v="REACH"/>
    <s v="N"/>
    <m/>
    <s v="Y"/>
  </r>
  <r>
    <s v="IMM INTERNET MEDIA MEXICO S DE RL DE CV"/>
    <n v="3050535"/>
    <n v="41651"/>
    <s v="YPFoficial"/>
    <x v="32"/>
    <x v="32"/>
    <d v="2026-02-01T00:00:00"/>
    <x v="45"/>
    <s v="ypf_combustibles-tw-alcance-season-beneficiobnamodo_descuento5-2026-feb"/>
    <x v="1"/>
    <x v="0"/>
    <n v="0"/>
    <n v="0"/>
    <s v="Carat Argentina S.A."/>
    <s v="Carat Argentina S.A."/>
    <s v="YPF - Argentina"/>
    <n v="292623"/>
    <n v="1990002.6"/>
    <d v="2026-01-23T00:00:00"/>
    <d v="2026-02-27T00:00:00"/>
    <s v="RES"/>
    <s v="120 NET"/>
    <s v="AR"/>
    <s v="MX"/>
    <s v="X Corp."/>
    <n v="10573643"/>
    <d v="2026-02-28T00:00:00"/>
    <x v="0"/>
    <n v="390125.88"/>
    <s v="USD"/>
    <n v="269.91000000000003"/>
    <n v="269.91000000000003"/>
    <m/>
    <m/>
    <m/>
    <m/>
    <m/>
    <m/>
    <m/>
    <m/>
    <m/>
    <m/>
    <m/>
    <m/>
    <m/>
    <m/>
    <m/>
    <m/>
    <m/>
    <m/>
    <m/>
    <m/>
    <m/>
    <m/>
    <m/>
    <m/>
    <n v="0"/>
    <n v="0"/>
    <n v="0"/>
    <n v="390125.88"/>
    <n v="269.91000000000003"/>
    <n v="269.91000000000003"/>
    <m/>
    <m/>
    <m/>
    <m/>
    <n v="39.549999999999997"/>
    <n v="154304.54"/>
    <n v="106.76"/>
    <n v="106.76"/>
    <n v="235821.34"/>
    <n v="163.15"/>
    <n v="163.15"/>
    <m/>
    <m/>
    <s v="AR00401632-X-YPF-COMBUSTIBLES-BENEFICIO BNA+MODO-Ene 26"/>
    <m/>
    <n v="224529"/>
    <n v="224529"/>
    <s v="REACH"/>
    <s v="N"/>
    <m/>
    <s v="Y"/>
  </r>
  <r>
    <s v="IMM INTERNET MEDIA MEXICO S DE RL DE CV"/>
    <n v="3050535"/>
    <n v="41651"/>
    <s v="UniversalPicsAr"/>
    <x v="33"/>
    <x v="33"/>
    <d v="2026-02-01T00:00:00"/>
    <x v="46"/>
    <s v="UIP_UNIVERSAL-HAMNET-PROXIMAMENTE-TWITTER-TOTAL-AWARENESS-INTERESES-IMPRESIONES-OP_PENDIENTE"/>
    <x v="1"/>
    <x v="0"/>
    <n v="0"/>
    <n v="0"/>
    <s v="Carat Argentina S.A."/>
    <s v="Carat Argentina S.A."/>
    <s v="United International Pictures"/>
    <n v="2097220"/>
    <n v="2800000"/>
    <d v="2026-01-05T00:00:00"/>
    <d v="2026-02-08T00:00:00"/>
    <s v="RES"/>
    <s v="120 NET"/>
    <s v="AR"/>
    <s v="MX"/>
    <s v="X Corp."/>
    <n v="10573699"/>
    <d v="2026-02-28T00:00:00"/>
    <x v="0"/>
    <n v="167565.26"/>
    <s v="USD"/>
    <n v="115.93"/>
    <n v="115.93"/>
    <m/>
    <m/>
    <m/>
    <m/>
    <m/>
    <m/>
    <m/>
    <m/>
    <m/>
    <m/>
    <m/>
    <m/>
    <m/>
    <m/>
    <m/>
    <m/>
    <m/>
    <m/>
    <m/>
    <m/>
    <m/>
    <m/>
    <m/>
    <m/>
    <n v="0"/>
    <n v="0"/>
    <n v="0"/>
    <n v="167565.26"/>
    <n v="115.93"/>
    <n v="115.93"/>
    <m/>
    <m/>
    <m/>
    <m/>
    <n v="34"/>
    <n v="56968.84"/>
    <n v="39.409999999999997"/>
    <n v="39.409999999999997"/>
    <n v="110596.42"/>
    <n v="76.52"/>
    <n v="76.52"/>
    <m/>
    <m/>
    <s v="UIP Argentina | Hamnet"/>
    <m/>
    <n v="224529"/>
    <n v="224529"/>
    <s v="REACH"/>
    <s v="N"/>
    <m/>
    <s v="Y"/>
  </r>
  <r>
    <s v="IMM INTERNET MEDIA MEXICO S DE RL DE CV"/>
    <n v="3050535"/>
    <n v="41651"/>
    <s v="MODO_Arg"/>
    <x v="11"/>
    <x v="11"/>
    <d v="2026-02-01T00:00:00"/>
    <x v="12"/>
    <s v="2026_MODO_BRANDING_PROMO_CHANGOMAS_GEO_TWITTER_NU_AW_ENE"/>
    <x v="1"/>
    <x v="0"/>
    <n v="0"/>
    <n v="0"/>
    <s v="OSA ONE STEP AHEAD S.A"/>
    <s v="OSA ONE STEP AHEAD S.A"/>
    <s v="Play Digital S.A."/>
    <n v="57936819"/>
    <n v="3399999.4"/>
    <d v="2026-01-05T00:00:00"/>
    <d v="2026-02-23T00:00:00"/>
    <s v="DSO"/>
    <s v="120 NET"/>
    <s v="AR"/>
    <s v="MX"/>
    <s v="X Corp."/>
    <n v="10573628"/>
    <d v="2026-02-28T00:00:00"/>
    <x v="0"/>
    <n v="1283625.72"/>
    <s v="USD"/>
    <n v="888.08"/>
    <n v="888.08"/>
    <m/>
    <m/>
    <m/>
    <m/>
    <m/>
    <m/>
    <m/>
    <m/>
    <m/>
    <m/>
    <m/>
    <m/>
    <m/>
    <m/>
    <m/>
    <m/>
    <m/>
    <m/>
    <m/>
    <m/>
    <m/>
    <m/>
    <m/>
    <m/>
    <n v="0"/>
    <n v="0"/>
    <n v="0"/>
    <n v="1283625.72"/>
    <n v="888.08"/>
    <n v="888.08"/>
    <m/>
    <m/>
    <m/>
    <m/>
    <n v="39.549999999999997"/>
    <n v="507706.06"/>
    <n v="351.26"/>
    <n v="351.26"/>
    <n v="775919.66"/>
    <n v="536.82000000000005"/>
    <n v="536.82000000000005"/>
    <m/>
    <m/>
    <s v="AR00367389 X | MODO | ChangoMás"/>
    <m/>
    <n v="224573"/>
    <n v="224573"/>
    <s v="REACH"/>
    <s v="N"/>
    <m/>
    <s v="Y"/>
  </r>
  <r>
    <s v="IMM INTERNET MEDIA MEXICO S DE RL DE CV"/>
    <n v="3050535"/>
    <n v="41651"/>
    <s v="BancodeCordoba"/>
    <x v="12"/>
    <x v="12"/>
    <d v="2026-02-01T00:00:00"/>
    <x v="47"/>
    <s v="OT429-V3   Cordobesa Verano - Alcance - Twitter - PROMO PEAJE"/>
    <x v="1"/>
    <x v="0"/>
    <n v="0"/>
    <n v="0"/>
    <s v="WOBRA S.A.S."/>
    <s v="WOBRA S.A.S."/>
    <s v="BANCO DE LA PROVINCIA DE CORDOBA S.A."/>
    <n v="5733116"/>
    <n v="40600000"/>
    <d v="2024-01-01T00:00:00"/>
    <d v="2026-04-15T00:00:00"/>
    <s v="ISO"/>
    <s v="120 NET"/>
    <s v="AR"/>
    <s v="MX"/>
    <s v="X Corp."/>
    <n v="10573709"/>
    <d v="2026-02-28T00:00:00"/>
    <x v="0"/>
    <n v="57149.66"/>
    <s v="USD"/>
    <n v="39.54"/>
    <n v="39.54"/>
    <m/>
    <m/>
    <m/>
    <m/>
    <m/>
    <m/>
    <m/>
    <m/>
    <m/>
    <m/>
    <m/>
    <m/>
    <m/>
    <m/>
    <m/>
    <m/>
    <m/>
    <m/>
    <m/>
    <m/>
    <m/>
    <m/>
    <m/>
    <m/>
    <n v="0"/>
    <n v="0"/>
    <n v="0"/>
    <n v="57149.66"/>
    <n v="39.54"/>
    <n v="39.54"/>
    <m/>
    <m/>
    <m/>
    <m/>
    <n v="39.549999999999997"/>
    <n v="22604.12"/>
    <n v="15.64"/>
    <n v="15.64"/>
    <n v="34545.54"/>
    <n v="23.9"/>
    <n v="23.9"/>
    <m/>
    <m/>
    <s v="AR00223485 - SMB_ARG_BancoProvinciaCord_Enero24"/>
    <m/>
    <n v="47720819"/>
    <n v="47720819"/>
    <s v="REACH"/>
    <s v="N"/>
    <m/>
    <s v="Y"/>
  </r>
  <r>
    <s v="IMM INTERNET MEDIA MEXICO S DE RL DE CV"/>
    <n v="3050535"/>
    <n v="41651"/>
    <s v="BancodeCordoba"/>
    <x v="12"/>
    <x v="12"/>
    <d v="2026-02-01T00:00:00"/>
    <x v="48"/>
    <s v="OT429-V3   Cordobesa Verano - Alcance - Twitter -   PROMO Festivales y Espectáculos"/>
    <x v="1"/>
    <x v="0"/>
    <n v="0"/>
    <n v="0"/>
    <s v="WOBRA S.A.S."/>
    <s v="WOBRA S.A.S."/>
    <s v="BANCO DE LA PROVINCIA DE CORDOBA S.A."/>
    <n v="5733116"/>
    <n v="40600000"/>
    <d v="2024-01-01T00:00:00"/>
    <d v="2026-04-15T00:00:00"/>
    <s v="ISO"/>
    <s v="120 NET"/>
    <s v="AR"/>
    <s v="MX"/>
    <s v="X Corp."/>
    <n v="10573709"/>
    <d v="2026-02-28T00:00:00"/>
    <x v="0"/>
    <n v="296263.44"/>
    <s v="USD"/>
    <n v="204.97"/>
    <n v="204.97"/>
    <m/>
    <m/>
    <m/>
    <m/>
    <m/>
    <m/>
    <m/>
    <m/>
    <m/>
    <m/>
    <m/>
    <m/>
    <m/>
    <m/>
    <m/>
    <m/>
    <m/>
    <m/>
    <m/>
    <m/>
    <m/>
    <m/>
    <m/>
    <m/>
    <n v="0"/>
    <n v="0"/>
    <n v="0"/>
    <n v="296263.44"/>
    <n v="204.97"/>
    <n v="204.97"/>
    <m/>
    <m/>
    <m/>
    <m/>
    <n v="39.549999999999997"/>
    <n v="117179.6"/>
    <n v="81.069999999999993"/>
    <n v="81.069999999999993"/>
    <n v="179083.84"/>
    <n v="123.9"/>
    <n v="123.9"/>
    <m/>
    <m/>
    <s v="AR00223485 - SMB_ARG_BancoProvinciaCord_Enero24"/>
    <m/>
    <n v="47720819"/>
    <n v="47720819"/>
    <s v="REACH"/>
    <s v="N"/>
    <m/>
    <s v="Y"/>
  </r>
  <r>
    <s v="IMM INTERNET MEDIA MEXICO S DE RL DE CV"/>
    <n v="3050535"/>
    <n v="41651"/>
    <s v="BancodeCordoba"/>
    <x v="12"/>
    <x v="12"/>
    <d v="2026-02-01T00:00:00"/>
    <x v="49"/>
    <s v="OT473   Ciberdelito Feb26 - Alcance - TWITTER"/>
    <x v="1"/>
    <x v="0"/>
    <n v="0"/>
    <n v="0"/>
    <s v="WOBRA S.A.S."/>
    <s v="WOBRA S.A.S."/>
    <s v="BANCO DE LA PROVINCIA DE CORDOBA S.A."/>
    <n v="5733116"/>
    <n v="40600000"/>
    <d v="2024-01-01T00:00:00"/>
    <d v="2026-04-15T00:00:00"/>
    <s v="ISO"/>
    <s v="120 NET"/>
    <s v="AR"/>
    <s v="MX"/>
    <s v="X Corp."/>
    <n v="10573709"/>
    <d v="2026-02-28T00:00:00"/>
    <x v="0"/>
    <n v="191721"/>
    <s v="USD"/>
    <n v="132.63999999999999"/>
    <n v="132.63999999999999"/>
    <m/>
    <m/>
    <m/>
    <m/>
    <m/>
    <m/>
    <m/>
    <m/>
    <m/>
    <m/>
    <m/>
    <m/>
    <m/>
    <m/>
    <m/>
    <m/>
    <m/>
    <m/>
    <m/>
    <m/>
    <m/>
    <m/>
    <m/>
    <m/>
    <n v="0"/>
    <n v="0"/>
    <n v="0"/>
    <n v="191721"/>
    <n v="132.63999999999999"/>
    <n v="132.63999999999999"/>
    <m/>
    <m/>
    <m/>
    <m/>
    <n v="39.549999999999997"/>
    <n v="75830.45"/>
    <n v="52.46"/>
    <n v="52.46"/>
    <n v="115890.55"/>
    <n v="80.180000000000007"/>
    <n v="80.180000000000007"/>
    <m/>
    <m/>
    <s v="AR00223485 - SMB_ARG_BancoProvinciaCord_Enero24"/>
    <m/>
    <n v="47720819"/>
    <n v="47720819"/>
    <s v="REACH"/>
    <s v="N"/>
    <m/>
    <s v="Y"/>
  </r>
  <r>
    <s v="IMM INTERNET MEDIA MEXICO S DE RL DE CV"/>
    <n v="3050535"/>
    <n v="41651"/>
    <s v="WBPictures_Ar"/>
    <x v="34"/>
    <x v="34"/>
    <d v="2026-02-01T00:00:00"/>
    <x v="50"/>
    <s v="WLA_ARG LA NOVIA PreLaunch-X CPM Q1_2026"/>
    <x v="1"/>
    <x v="0"/>
    <n v="0"/>
    <n v="0"/>
    <s v="Mindshare Argentina"/>
    <s v="Mindshare Argentina"/>
    <s v="Warner - LATAM"/>
    <n v="268721"/>
    <n v="2700000"/>
    <d v="2026-02-23T00:00:00"/>
    <d v="2026-03-09T00:00:00"/>
    <s v="RES"/>
    <s v="120 NET"/>
    <s v="AR"/>
    <s v="MX"/>
    <s v="X Corp."/>
    <n v="10573678"/>
    <d v="2026-02-28T00:00:00"/>
    <x v="0"/>
    <n v="658331.65"/>
    <s v="USD"/>
    <n v="455.47"/>
    <n v="455.47"/>
    <m/>
    <m/>
    <m/>
    <m/>
    <m/>
    <m/>
    <m/>
    <m/>
    <m/>
    <m/>
    <m/>
    <m/>
    <m/>
    <m/>
    <m/>
    <m/>
    <m/>
    <m/>
    <m/>
    <m/>
    <m/>
    <m/>
    <m/>
    <m/>
    <n v="0"/>
    <n v="0"/>
    <n v="0"/>
    <n v="658331.65"/>
    <n v="455.47"/>
    <n v="455.47"/>
    <m/>
    <m/>
    <m/>
    <m/>
    <n v="22"/>
    <n v="144832.95999999999"/>
    <n v="100.2"/>
    <n v="100.2"/>
    <n v="513498.69"/>
    <n v="355.27"/>
    <n v="355.27"/>
    <m/>
    <m/>
    <s v="Warner Argentina | La Novia"/>
    <m/>
    <n v="262319"/>
    <n v="262319"/>
    <s v="REACH"/>
    <s v="N"/>
    <m/>
    <s v="Y"/>
  </r>
  <r>
    <s v="IMM INTERNET MEDIA MEXICO S DE RL DE CV"/>
    <n v="3050535"/>
    <n v="41651"/>
    <s v="pedidosya"/>
    <x v="35"/>
    <x v="35"/>
    <d v="2026-02-01T00:00:00"/>
    <x v="51"/>
    <s v="pedidosya Estándar 2026-02-05"/>
    <x v="0"/>
    <x v="0"/>
    <n v="0"/>
    <n v="0"/>
    <m/>
    <m/>
    <s v="Pedidos Ya S.A"/>
    <n v="294134"/>
    <n v="891000"/>
    <d v="2026-02-05T00:00:00"/>
    <d v="2026-02-05T00:00:00"/>
    <s v="RES"/>
    <s v="120 NET"/>
    <s v="AR"/>
    <s v="MX"/>
    <s v="X Corp."/>
    <n v="10573627"/>
    <d v="2026-02-28T00:00:00"/>
    <x v="0"/>
    <n v="891000"/>
    <s v="USD"/>
    <n v="616.44000000000005"/>
    <n v="616.44000000000005"/>
    <m/>
    <m/>
    <m/>
    <m/>
    <m/>
    <m/>
    <m/>
    <m/>
    <m/>
    <m/>
    <m/>
    <m/>
    <m/>
    <m/>
    <m/>
    <m/>
    <m/>
    <m/>
    <m/>
    <m/>
    <m/>
    <m/>
    <m/>
    <m/>
    <n v="0"/>
    <n v="0"/>
    <n v="0"/>
    <n v="891000"/>
    <n v="616.44000000000005"/>
    <n v="616.44000000000005"/>
    <m/>
    <m/>
    <m/>
    <m/>
    <n v="39.549999999999997"/>
    <n v="352412.78"/>
    <n v="243.82"/>
    <n v="243.82"/>
    <n v="538587.22"/>
    <n v="372.62"/>
    <n v="372.62"/>
    <m/>
    <s v="Standard + Spotlight"/>
    <s v="X | PedidosYa AR | Bundles FEB 26"/>
    <m/>
    <m/>
    <m/>
    <s v="UNKNOWN_OBJECTIVE"/>
    <s v="N"/>
    <m/>
    <s v="Y"/>
  </r>
  <r>
    <s v="IMM INTERNET MEDIA MEXICO S DE RL DE CV"/>
    <n v="3050535"/>
    <n v="41651"/>
    <s v="bancoprovincia"/>
    <x v="20"/>
    <x v="20"/>
    <d v="2026-02-01T00:00:00"/>
    <x v="52"/>
    <s v="2035_sp_2026_rico-en-data-episodio6_feb_arg_trafico_cpc"/>
    <x v="1"/>
    <x v="0"/>
    <n v="0"/>
    <n v="0"/>
    <s v="SUPER MEDIA S.A"/>
    <s v="SUPER MEDIA S.A"/>
    <s v="Banco Provincia"/>
    <n v="7000116"/>
    <n v="12650000"/>
    <d v="2026-01-13T00:00:00"/>
    <d v="2026-02-28T00:00:00"/>
    <s v="RES"/>
    <s v="120 NET"/>
    <s v="AR"/>
    <s v="MX"/>
    <s v="X Corp."/>
    <n v="10573696"/>
    <d v="2026-02-28T00:00:00"/>
    <x v="0"/>
    <n v="961.59"/>
    <s v="USD"/>
    <n v="0.67"/>
    <n v="0.67"/>
    <m/>
    <m/>
    <m/>
    <m/>
    <m/>
    <m/>
    <m/>
    <m/>
    <m/>
    <m/>
    <m/>
    <m/>
    <m/>
    <m/>
    <m/>
    <m/>
    <m/>
    <m/>
    <m/>
    <m/>
    <m/>
    <m/>
    <m/>
    <m/>
    <n v="0"/>
    <n v="0"/>
    <n v="0"/>
    <n v="961.59"/>
    <n v="0.67"/>
    <n v="0.67"/>
    <m/>
    <m/>
    <m/>
    <m/>
    <n v="39.549999999999997"/>
    <n v="380.33"/>
    <n v="0.26"/>
    <n v="0.26"/>
    <n v="581.26"/>
    <n v="0.41"/>
    <n v="0.41"/>
    <m/>
    <m/>
    <s v="AR00399019 X | Bapro | ENE 26"/>
    <m/>
    <n v="63304606"/>
    <n v="63304606"/>
    <s v="WEBSITE_CLICKS"/>
    <s v="N"/>
    <m/>
    <s v="Y"/>
  </r>
  <r>
    <s v="IMM INTERNET MEDIA MEXICO S DE RL DE CV"/>
    <n v="3050535"/>
    <n v="41651"/>
    <s v="Santander_Ar"/>
    <x v="36"/>
    <x v="36"/>
    <d v="2026-02-01T00:00:00"/>
    <x v="53"/>
    <s v="AR_DCB_OTH_OINV_FY25Q3_SSN_VERANO-2026_BAW_BRA_PSOC_TW_ALI-NA_AWA_B0005T5S"/>
    <x v="1"/>
    <x v="0"/>
    <n v="0"/>
    <n v="0"/>
    <s v="MMS Comunicaciones Argentina S.A."/>
    <s v="MMS Comunicaciones Argentina S.A."/>
    <s v="Santander Argentina"/>
    <n v="347953"/>
    <n v="36000000"/>
    <d v="2025-12-19T00:00:00"/>
    <d v="2026-02-28T00:00:00"/>
    <s v="RES"/>
    <s v="120 NET"/>
    <s v="AR"/>
    <s v="MX"/>
    <s v="X Corp."/>
    <n v="10573717"/>
    <d v="2026-02-28T00:00:00"/>
    <x v="0"/>
    <n v="9005104.1400000006"/>
    <s v="USD"/>
    <n v="6230.2"/>
    <n v="6230.2"/>
    <m/>
    <m/>
    <m/>
    <m/>
    <m/>
    <m/>
    <m/>
    <m/>
    <m/>
    <m/>
    <m/>
    <m/>
    <m/>
    <m/>
    <m/>
    <m/>
    <m/>
    <m/>
    <m/>
    <m/>
    <m/>
    <m/>
    <m/>
    <m/>
    <n v="0"/>
    <n v="0"/>
    <n v="0"/>
    <n v="9005104.1400000006"/>
    <n v="6230.2"/>
    <n v="6230.2"/>
    <m/>
    <m/>
    <m/>
    <m/>
    <n v="39.549999999999997"/>
    <n v="3561743.82"/>
    <n v="2464.1999999999998"/>
    <n v="2464.1999999999998"/>
    <n v="5443360.3200000003"/>
    <n v="3766"/>
    <n v="3766"/>
    <m/>
    <m/>
    <s v="AR00395348 X | Santander | Verano 2026"/>
    <m/>
    <n v="224581"/>
    <n v="224581"/>
    <s v="REACH"/>
    <s v="N"/>
    <m/>
    <s v="Y"/>
  </r>
  <r>
    <s v="IMM INTERNET MEDIA MEXICO S DE RL DE CV"/>
    <n v="3050535"/>
    <n v="41651"/>
    <m/>
    <x v="37"/>
    <x v="37"/>
    <d v="2026-02-01T00:00:00"/>
    <x v="54"/>
    <s v="Event Validation Adjustment"/>
    <x v="1"/>
    <x v="0"/>
    <m/>
    <m/>
    <s v="Digital Hive Group S.A"/>
    <s v="Digital Hive Group S.A"/>
    <s v="Banco Supervielle"/>
    <n v="240194"/>
    <n v="2000000"/>
    <m/>
    <m/>
    <s v="RES"/>
    <s v="120 NET"/>
    <s v="AR"/>
    <s v="MX"/>
    <s v="X Corp."/>
    <n v="10573688"/>
    <d v="2026-02-28T00:00:00"/>
    <x v="0"/>
    <n v="-4216.1899999999996"/>
    <s v="USD"/>
    <n v="-2.92"/>
    <n v="-2.92"/>
    <m/>
    <m/>
    <m/>
    <m/>
    <m/>
    <m/>
    <m/>
    <m/>
    <m/>
    <m/>
    <m/>
    <m/>
    <m/>
    <m/>
    <m/>
    <m/>
    <m/>
    <m/>
    <m/>
    <m/>
    <m/>
    <m/>
    <m/>
    <m/>
    <n v="0"/>
    <n v="0"/>
    <n v="0"/>
    <n v="-4216.1899999999996"/>
    <n v="-2.92"/>
    <n v="-2.92"/>
    <m/>
    <m/>
    <m/>
    <m/>
    <n v="39.549999999999997"/>
    <n v="-1667.61"/>
    <n v="-1.1499999999999999"/>
    <n v="-1.1499999999999999"/>
    <n v="-2548.58"/>
    <n v="-1.77"/>
    <n v="-1.77"/>
    <m/>
    <m/>
    <s v="X - Arg - Supervielle - Performance - COE | OB Individuos"/>
    <m/>
    <n v="66013147"/>
    <n v="66013147"/>
    <m/>
    <s v="N"/>
    <m/>
    <s v="Y"/>
  </r>
  <r>
    <s v="IMM INTERNET MEDIA MEXICO S DE RL DE CV"/>
    <n v="3050535"/>
    <n v="41651"/>
    <m/>
    <x v="38"/>
    <x v="38"/>
    <d v="2026-02-01T00:00:00"/>
    <x v="54"/>
    <s v="Event Validation Adjustment"/>
    <x v="1"/>
    <x v="0"/>
    <m/>
    <m/>
    <s v="PROGMEDIA ARG SAS"/>
    <s v="PROGMEDIA ARG SAS"/>
    <s v="ICBC Argentina"/>
    <n v="124567"/>
    <n v="2780000"/>
    <m/>
    <m/>
    <s v="RES"/>
    <s v="120 NET"/>
    <s v="AR"/>
    <s v="MX"/>
    <s v="X Corp."/>
    <n v="10573701"/>
    <d v="2026-02-28T00:00:00"/>
    <x v="0"/>
    <n v="-31.88"/>
    <s v="USD"/>
    <n v="-0.02"/>
    <n v="-0.02"/>
    <m/>
    <m/>
    <m/>
    <m/>
    <m/>
    <m/>
    <m/>
    <m/>
    <m/>
    <m/>
    <m/>
    <m/>
    <m/>
    <m/>
    <m/>
    <m/>
    <m/>
    <m/>
    <m/>
    <m/>
    <m/>
    <m/>
    <m/>
    <m/>
    <n v="0"/>
    <n v="0"/>
    <n v="0"/>
    <n v="-31.88"/>
    <n v="-0.02"/>
    <n v="-0.02"/>
    <m/>
    <m/>
    <m/>
    <m/>
    <n v="39.549999999999997"/>
    <n v="-12.61"/>
    <n v="-0.01"/>
    <n v="-0.01"/>
    <n v="-19.27"/>
    <n v="-0.01"/>
    <n v="-0.01"/>
    <m/>
    <m/>
    <s v="AR00344572 X - YOY - Branding - Tácticos"/>
    <m/>
    <n v="181584876"/>
    <n v="181584876"/>
    <m/>
    <s v="N"/>
    <m/>
    <s v="Y"/>
  </r>
  <r>
    <s v="IMM INTERNET MEDIA MEXICO S DE RL DE CV"/>
    <n v="3050535"/>
    <n v="41651"/>
    <s v="BetWarrior_Arg"/>
    <x v="39"/>
    <x v="14"/>
    <d v="2026-02-01T00:00:00"/>
    <x v="55"/>
    <s v="BetWarrior_Arg Timeline Takeover Nivel 1 2026-02-20"/>
    <x v="0"/>
    <x v="0"/>
    <n v="0"/>
    <n v="0"/>
    <s v="PIPOL S.R.L"/>
    <s v="PIPOL S.R.L"/>
    <s v="Binbaires SA Ondiss SA Intralot International Limited - UT"/>
    <n v="136982071"/>
    <n v="3262820.4"/>
    <d v="2026-02-20T00:00:00"/>
    <d v="2026-02-20T00:00:00"/>
    <s v="DSO"/>
    <s v="120 NET"/>
    <s v="AR"/>
    <s v="MX"/>
    <s v="X Corp."/>
    <n v="10573657"/>
    <d v="2026-02-28T00:00:00"/>
    <x v="0"/>
    <n v="3262820.4"/>
    <s v="USD"/>
    <n v="2257.39"/>
    <n v="2257.39"/>
    <m/>
    <m/>
    <m/>
    <m/>
    <m/>
    <m/>
    <m/>
    <m/>
    <m/>
    <m/>
    <m/>
    <m/>
    <m/>
    <m/>
    <m/>
    <m/>
    <m/>
    <m/>
    <m/>
    <m/>
    <m/>
    <m/>
    <m/>
    <m/>
    <n v="0"/>
    <n v="0"/>
    <n v="0"/>
    <n v="3262820.4"/>
    <n v="2257.39"/>
    <n v="2257.39"/>
    <m/>
    <m/>
    <m/>
    <m/>
    <n v="22"/>
    <n v="717820.49"/>
    <n v="496.63"/>
    <n v="496.63"/>
    <n v="2544999.91"/>
    <n v="1760.76"/>
    <n v="1760.76"/>
    <m/>
    <s v="Timeline Takeover - Tier 1"/>
    <s v="Hold BW 20/2"/>
    <m/>
    <n v="176864931"/>
    <n v="176864931"/>
    <s v="UNKNOWN_OBJECTIVE"/>
    <s v="N"/>
    <m/>
    <s v="Y"/>
  </r>
  <r>
    <s v="IMM INTERNET MEDIA MEXICO S DE RL DE CV"/>
    <n v="3050535"/>
    <n v="41651"/>
    <s v="mercadopago"/>
    <x v="40"/>
    <x v="39"/>
    <d v="2026-02-01T00:00:00"/>
    <x v="56"/>
    <s v="MLA_MP_TW-IF_W_W-ALL_UF-FAV-MED_Usuarios_REACH_CLPNT-03_X_40919978"/>
    <x v="1"/>
    <x v="0"/>
    <n v="0"/>
    <n v="0"/>
    <s v="IPG Media Brands S.A."/>
    <s v="IPG Media Brands S.A."/>
    <s v="MercadoLibre S.R.L."/>
    <n v="821027"/>
    <n v="10000000"/>
    <d v="2026-02-03T00:00:00"/>
    <d v="2026-03-29T00:00:00"/>
    <s v="DSO"/>
    <s v="120 NET"/>
    <s v="AR"/>
    <s v="MX"/>
    <s v="X Corp."/>
    <n v="10573671"/>
    <d v="2026-02-28T00:00:00"/>
    <x v="0"/>
    <n v="4701458.79"/>
    <s v="USD"/>
    <n v="3252.71"/>
    <n v="3252.71"/>
    <m/>
    <m/>
    <m/>
    <m/>
    <m/>
    <m/>
    <m/>
    <m/>
    <m/>
    <m/>
    <m/>
    <m/>
    <m/>
    <m/>
    <m/>
    <m/>
    <m/>
    <m/>
    <m/>
    <m/>
    <m/>
    <m/>
    <m/>
    <m/>
    <n v="0"/>
    <n v="0"/>
    <n v="0"/>
    <n v="4701458.79"/>
    <n v="3252.71"/>
    <n v="3252.71"/>
    <m/>
    <m/>
    <m/>
    <m/>
    <n v="34"/>
    <n v="1598401.96"/>
    <n v="1105.8599999999999"/>
    <n v="1105.8599999999999"/>
    <n v="3103056.83"/>
    <n v="2146.85"/>
    <n v="2146.85"/>
    <m/>
    <m/>
    <s v="MPA | Somos Francos"/>
    <m/>
    <n v="224554"/>
    <n v="224554"/>
    <s v="REACH"/>
    <s v="N"/>
    <m/>
    <s v="Y"/>
  </r>
  <r>
    <s v="IMM INTERNET MEDIA MEXICO S DE RL DE CV"/>
    <n v="3050535"/>
    <n v="41651"/>
    <s v="MODO_Arg"/>
    <x v="23"/>
    <x v="23"/>
    <d v="2026-02-01T00:00:00"/>
    <x v="57"/>
    <s v="2026_MODO_PERFORMANCE_PERFO_AO_ACTIVACION-ANDROID-INTERIOR_TWITTER_NU_TX_FEB"/>
    <x v="1"/>
    <x v="0"/>
    <n v="0"/>
    <n v="0"/>
    <s v="OSA ONE STEP AHEAD S.A"/>
    <s v="OSA ONE STEP AHEAD S.A"/>
    <s v="Play Digital S.A."/>
    <n v="57936819"/>
    <n v="9869791.9600000009"/>
    <d v="2026-01-02T00:00:00"/>
    <d v="2026-02-28T00:00:00"/>
    <s v="DSO"/>
    <s v="120 NET"/>
    <s v="AR"/>
    <s v="MX"/>
    <s v="X Corp."/>
    <n v="10573703"/>
    <d v="2026-02-28T00:00:00"/>
    <x v="0"/>
    <n v="788671.89"/>
    <s v="USD"/>
    <n v="545.64"/>
    <n v="545.64"/>
    <m/>
    <m/>
    <m/>
    <m/>
    <m/>
    <m/>
    <m/>
    <m/>
    <m/>
    <m/>
    <m/>
    <m/>
    <m/>
    <m/>
    <m/>
    <m/>
    <m/>
    <m/>
    <m/>
    <m/>
    <m/>
    <m/>
    <m/>
    <m/>
    <n v="0"/>
    <n v="0"/>
    <n v="0"/>
    <n v="788671.89"/>
    <n v="545.64"/>
    <n v="545.64"/>
    <m/>
    <m/>
    <m/>
    <m/>
    <n v="39.549999999999997"/>
    <n v="311939.45"/>
    <n v="215.82"/>
    <n v="215.82"/>
    <n v="476732.44"/>
    <n v="329.82"/>
    <n v="329.82"/>
    <m/>
    <m/>
    <s v="AR00396946 X | MODO | AO Performance"/>
    <m/>
    <n v="224573"/>
    <n v="224573"/>
    <s v="APP_ENGAGEMENTS"/>
    <s v="N"/>
    <m/>
    <s v="Y"/>
  </r>
  <r>
    <s v="IMM INTERNET MEDIA MEXICO S DE RL DE CV"/>
    <n v="3050535"/>
    <n v="41651"/>
    <s v="flybondioficial"/>
    <x v="41"/>
    <x v="40"/>
    <d v="2026-02-01T00:00:00"/>
    <x v="58"/>
    <s v="BULL_FLYBONDI_AR_TWITTER_TRAF_ALWAYSON"/>
    <x v="1"/>
    <x v="0"/>
    <n v="0"/>
    <n v="0"/>
    <s v="Bullmetrix SRL"/>
    <s v="Bullmetrix SRL"/>
    <s v="Flybondi S.A"/>
    <n v="9235510"/>
    <n v="59571605"/>
    <d v="2024-05-14T00:00:00"/>
    <d v="2026-02-28T00:00:00"/>
    <s v="RES"/>
    <s v="120 NET"/>
    <s v="AR"/>
    <s v="MX"/>
    <s v="X Corp."/>
    <n v="10573711"/>
    <d v="2026-02-28T00:00:00"/>
    <x v="0"/>
    <n v="1479796.83"/>
    <s v="USD"/>
    <n v="1023.8"/>
    <n v="1023.8"/>
    <m/>
    <m/>
    <m/>
    <m/>
    <m/>
    <m/>
    <m/>
    <m/>
    <m/>
    <m/>
    <m/>
    <m/>
    <m/>
    <m/>
    <m/>
    <m/>
    <m/>
    <m/>
    <m/>
    <m/>
    <m/>
    <m/>
    <m/>
    <m/>
    <n v="0"/>
    <n v="0"/>
    <n v="0"/>
    <n v="1479796.83"/>
    <n v="1023.8"/>
    <n v="1023.8"/>
    <m/>
    <m/>
    <m/>
    <m/>
    <n v="39.549999999999997"/>
    <n v="585296.64000000001"/>
    <n v="404.94"/>
    <n v="404.94"/>
    <n v="894500.19"/>
    <n v="618.86"/>
    <n v="618.86"/>
    <m/>
    <m/>
    <s v="AR00249217 SMB-X ARG - Flybondi (may - jun 24)"/>
    <m/>
    <n v="136433571"/>
    <n v="136433571"/>
    <s v="WEBSITE_CLICKS"/>
    <s v="N"/>
    <m/>
    <s v="Y"/>
  </r>
  <r>
    <s v="IMM INTERNET MEDIA MEXICO S DE RL DE CV"/>
    <n v="3050535"/>
    <n v="41651"/>
    <s v="CifArgentina"/>
    <x v="5"/>
    <x v="5"/>
    <d v="2026-02-01T00:00:00"/>
    <x v="6"/>
    <s v="CN003930-Climbing-(Cif)_DSHWSH_Cif_OpAuc_Awa_Reach-Contenido-De-Marca-Op-1074714-Febrero-2026"/>
    <x v="1"/>
    <x v="0"/>
    <n v="0"/>
    <n v="0"/>
    <s v="IPG Media Brands S.A."/>
    <s v="IPG Media Brands S.A."/>
    <s v="Unilever - Argentina"/>
    <n v="258084"/>
    <n v="2300000"/>
    <d v="2026-02-12T00:00:00"/>
    <d v="2026-02-28T00:00:00"/>
    <s v="RES"/>
    <s v="120 NET"/>
    <s v="AR"/>
    <s v="MX"/>
    <s v="X Corp."/>
    <n v="10573680"/>
    <d v="2026-02-28T00:00:00"/>
    <x v="0"/>
    <n v="2297348.4"/>
    <s v="USD"/>
    <n v="1589.42"/>
    <n v="1589.42"/>
    <m/>
    <m/>
    <m/>
    <m/>
    <m/>
    <m/>
    <m/>
    <m/>
    <m/>
    <m/>
    <m/>
    <m/>
    <m/>
    <m/>
    <m/>
    <m/>
    <m/>
    <m/>
    <m/>
    <m/>
    <m/>
    <m/>
    <m/>
    <m/>
    <n v="0"/>
    <n v="0"/>
    <n v="0"/>
    <n v="2297348.4"/>
    <n v="1589.42"/>
    <n v="1589.42"/>
    <m/>
    <m/>
    <m/>
    <m/>
    <n v="22"/>
    <n v="505416.65"/>
    <n v="349.67"/>
    <n v="349.67"/>
    <n v="1791931.75"/>
    <n v="1239.75"/>
    <n v="1239.75"/>
    <m/>
    <m/>
    <s v="AR00406161-Unilever-CIF TRIVIPI-Feb 25"/>
    <m/>
    <n v="224554"/>
    <n v="224554"/>
    <s v="REACH"/>
    <s v="N"/>
    <m/>
    <s v="Y"/>
  </r>
  <r>
    <s v="IMM INTERNET MEDIA MEXICO S DE RL DE CV"/>
    <n v="3050535"/>
    <n v="41651"/>
    <s v="pedidosya"/>
    <x v="42"/>
    <x v="41"/>
    <d v="2026-02-01T00:00:00"/>
    <x v="59"/>
    <s v="ps_bra_mix_gro_ma_PY_AR_OBJ-awr_CH-Twitter_CT-XX_[CPM_NAT_ALL]_DmartWeek_Reach-Mar"/>
    <x v="1"/>
    <x v="0"/>
    <n v="0"/>
    <n v="0"/>
    <m/>
    <m/>
    <s v="Pedidos Ya S.A"/>
    <n v="294134"/>
    <n v="12400000"/>
    <d v="2026-02-20T00:00:00"/>
    <d v="2026-03-31T00:00:00"/>
    <s v="RES"/>
    <s v="120 NET"/>
    <s v="AR"/>
    <s v="MX"/>
    <s v="X Corp."/>
    <n v="10573697"/>
    <d v="2026-02-28T00:00:00"/>
    <x v="0"/>
    <n v="168.72"/>
    <s v="USD"/>
    <n v="0.12"/>
    <n v="0.12"/>
    <m/>
    <m/>
    <m/>
    <m/>
    <m/>
    <m/>
    <m/>
    <m/>
    <m/>
    <m/>
    <m/>
    <m/>
    <m/>
    <m/>
    <m/>
    <m/>
    <m/>
    <m/>
    <m/>
    <m/>
    <m/>
    <m/>
    <m/>
    <m/>
    <n v="0"/>
    <n v="0"/>
    <n v="0"/>
    <n v="168.72"/>
    <n v="0.12"/>
    <n v="0.12"/>
    <m/>
    <m/>
    <m/>
    <m/>
    <n v="22"/>
    <n v="37.119999999999997"/>
    <n v="0.03"/>
    <n v="0.03"/>
    <n v="131.6"/>
    <n v="0.09"/>
    <n v="0.09"/>
    <m/>
    <m/>
    <s v="AR00402266 X | PedidosYa AR | dmarts MAR26 ok"/>
    <m/>
    <m/>
    <m/>
    <s v="REACH"/>
    <s v="N"/>
    <m/>
    <s v="Y"/>
  </r>
  <r>
    <s v="IMM INTERNET MEDIA MEXICO S DE RL DE CV"/>
    <n v="3050535"/>
    <n v="41651"/>
    <s v="BancoNacion"/>
    <x v="43"/>
    <x v="42"/>
    <d v="2026-02-01T00:00:00"/>
    <x v="60"/>
    <s v="Campaña Messi   Trafico - Febrero"/>
    <x v="1"/>
    <x v="0"/>
    <n v="0"/>
    <n v="0"/>
    <s v="iProspect - Argentina"/>
    <s v="iProspect - Argentina"/>
    <s v="AGENCIA DE PUBLICIDAD DEL ESTADO S. A. U. (APE S.A.U.)"/>
    <n v="209080722"/>
    <n v="7500000"/>
    <d v="2026-02-03T00:00:00"/>
    <d v="2026-02-28T00:00:00"/>
    <s v="DSO"/>
    <s v="120 NET"/>
    <s v="AR"/>
    <s v="MX"/>
    <s v="X Corp."/>
    <n v="10573705"/>
    <d v="2026-02-28T00:00:00"/>
    <x v="0"/>
    <n v="7445541.0300000003"/>
    <s v="USD"/>
    <n v="5151.21"/>
    <n v="5151.21"/>
    <m/>
    <m/>
    <m/>
    <m/>
    <m/>
    <m/>
    <m/>
    <m/>
    <m/>
    <m/>
    <m/>
    <m/>
    <m/>
    <m/>
    <m/>
    <m/>
    <m/>
    <m/>
    <m/>
    <m/>
    <m/>
    <m/>
    <m/>
    <m/>
    <n v="0"/>
    <n v="0"/>
    <n v="0"/>
    <n v="7445541.0300000003"/>
    <n v="5151.21"/>
    <n v="5151.21"/>
    <m/>
    <m/>
    <m/>
    <m/>
    <n v="22"/>
    <n v="1638019.03"/>
    <n v="1133.27"/>
    <n v="1133.27"/>
    <n v="5807522"/>
    <n v="4017.94"/>
    <n v="4017.94"/>
    <m/>
    <m/>
    <s v="AR00404274 - X - Arg - Banco Nación - FEB 26"/>
    <m/>
    <n v="269449"/>
    <n v="269449"/>
    <s v="WEBSITE_CLICKS"/>
    <s v="N"/>
    <m/>
    <s v="Y"/>
  </r>
  <r>
    <s v="IMM INTERNET MEDIA MEXICO S DE RL DE CV"/>
    <n v="3050535"/>
    <n v="41651"/>
    <s v="pedidosya"/>
    <x v="44"/>
    <x v="35"/>
    <d v="2026-02-01T00:00:00"/>
    <x v="61"/>
    <s v="pedidosya Timeline Takeover Nivel 1 2026-02-05"/>
    <x v="0"/>
    <x v="0"/>
    <n v="0"/>
    <n v="0"/>
    <m/>
    <m/>
    <s v="Pedidos Ya S.A"/>
    <n v="294134"/>
    <n v="2565000"/>
    <d v="2026-02-05T00:00:00"/>
    <d v="2026-02-05T00:00:00"/>
    <s v="RES"/>
    <s v="120 NET"/>
    <s v="AR"/>
    <s v="MX"/>
    <s v="X Corp."/>
    <n v="10573627"/>
    <d v="2026-02-28T00:00:00"/>
    <x v="0"/>
    <n v="2565000"/>
    <s v="USD"/>
    <n v="1774.6"/>
    <n v="1774.6"/>
    <m/>
    <m/>
    <m/>
    <m/>
    <m/>
    <m/>
    <m/>
    <m/>
    <m/>
    <m/>
    <m/>
    <m/>
    <m/>
    <m/>
    <m/>
    <m/>
    <m/>
    <m/>
    <m/>
    <m/>
    <m/>
    <m/>
    <m/>
    <m/>
    <n v="0"/>
    <n v="0"/>
    <n v="0"/>
    <n v="2565000"/>
    <n v="1774.6"/>
    <n v="1774.6"/>
    <m/>
    <m/>
    <m/>
    <m/>
    <n v="39.549999999999997"/>
    <n v="1014521.63"/>
    <n v="701.9"/>
    <n v="701.9"/>
    <n v="1550478.37"/>
    <n v="1072.7"/>
    <n v="1072.7"/>
    <m/>
    <s v="Timeline Takeover - Tier 1"/>
    <s v="X | PedidosYa AR | Bundles FEB 26"/>
    <m/>
    <m/>
    <m/>
    <s v="UNKNOWN_OBJECTIVE"/>
    <s v="N"/>
    <m/>
    <s v="Y"/>
  </r>
  <r>
    <s v="IMM INTERNET MEDIA MEXICO S DE RL DE CV"/>
    <n v="3050535"/>
    <n v="41651"/>
    <s v="USalvador"/>
    <x v="45"/>
    <x v="43"/>
    <d v="2026-02-01T00:00:00"/>
    <x v="62"/>
    <s v="EJE_Clics_Institucional_FEB/MAR26 (Inscripciones)"/>
    <x v="1"/>
    <x v="0"/>
    <n v="0"/>
    <n v="0"/>
    <s v="Eje Publicitaria"/>
    <s v="Eje Publicitaria"/>
    <s v="Usal Argentina"/>
    <n v="1707467"/>
    <n v="10884744.189999999"/>
    <d v="2025-11-05T00:00:00"/>
    <d v="2026-03-20T00:00:00"/>
    <s v="RES"/>
    <s v="120 NET"/>
    <s v="AR"/>
    <s v="MX"/>
    <s v="X Corp."/>
    <n v="10573652"/>
    <d v="2026-02-28T00:00:00"/>
    <x v="0"/>
    <n v="1206718.48"/>
    <s v="USD"/>
    <n v="834.87"/>
    <n v="834.87"/>
    <m/>
    <m/>
    <m/>
    <m/>
    <m/>
    <m/>
    <m/>
    <m/>
    <m/>
    <m/>
    <m/>
    <m/>
    <m/>
    <m/>
    <m/>
    <m/>
    <m/>
    <m/>
    <m/>
    <m/>
    <m/>
    <m/>
    <m/>
    <m/>
    <n v="0"/>
    <n v="0"/>
    <n v="0"/>
    <n v="1206718.48"/>
    <n v="834.87"/>
    <n v="834.87"/>
    <m/>
    <m/>
    <m/>
    <m/>
    <n v="39.549999999999997"/>
    <n v="477287.33"/>
    <n v="330.21"/>
    <n v="330.21"/>
    <n v="729431.15"/>
    <n v="504.66"/>
    <n v="504.66"/>
    <m/>
    <m/>
    <s v="AR00386009 - X - Arg - USAL - Q42025"/>
    <m/>
    <n v="1707491"/>
    <n v="1707491"/>
    <s v="WEBSITE_CLICKS"/>
    <s v="N"/>
    <m/>
    <s v="Y"/>
  </r>
  <r>
    <s v="IMM INTERNET MEDIA MEXICO S DE RL DE CV"/>
    <n v="3050535"/>
    <n v="41651"/>
    <s v="YOY_Arg"/>
    <x v="38"/>
    <x v="38"/>
    <d v="2026-02-01T00:00:00"/>
    <x v="63"/>
    <s v="yoy-sv-brandformance-alcance"/>
    <x v="1"/>
    <x v="0"/>
    <n v="0"/>
    <n v="0"/>
    <s v="PROGMEDIA ARG SAS"/>
    <s v="PROGMEDIA ARG SAS"/>
    <s v="ICBC Argentina"/>
    <n v="124567"/>
    <n v="2780000"/>
    <d v="2025-05-29T00:00:00"/>
    <d v="2026-02-28T00:00:00"/>
    <s v="RES"/>
    <s v="120 NET"/>
    <s v="AR"/>
    <s v="MX"/>
    <s v="X Corp."/>
    <n v="10573701"/>
    <d v="2026-02-28T00:00:00"/>
    <x v="0"/>
    <n v="298461.32"/>
    <s v="USD"/>
    <n v="206.49"/>
    <n v="206.49"/>
    <m/>
    <m/>
    <m/>
    <m/>
    <m/>
    <m/>
    <m/>
    <m/>
    <m/>
    <m/>
    <m/>
    <m/>
    <m/>
    <m/>
    <m/>
    <m/>
    <m/>
    <m/>
    <m/>
    <m/>
    <m/>
    <m/>
    <m/>
    <m/>
    <n v="0"/>
    <n v="0"/>
    <n v="0"/>
    <n v="298461.32"/>
    <n v="206.49"/>
    <n v="206.49"/>
    <m/>
    <m/>
    <m/>
    <m/>
    <n v="39.549999999999997"/>
    <n v="118048.92"/>
    <n v="81.67"/>
    <n v="81.67"/>
    <n v="180412.4"/>
    <n v="124.82"/>
    <n v="124.82"/>
    <m/>
    <m/>
    <s v="AR00344572 X - YOY - Branding - Tácticos"/>
    <m/>
    <n v="181584876"/>
    <n v="181584876"/>
    <s v="REACH"/>
    <s v="N"/>
    <m/>
    <s v="Y"/>
  </r>
  <r>
    <s v="IMM INTERNET MEDIA MEXICO S DE RL DE CV"/>
    <n v="3050535"/>
    <n v="41651"/>
    <s v="BancodeCordoba"/>
    <x v="12"/>
    <x v="12"/>
    <d v="2026-02-01T00:00:00"/>
    <x v="64"/>
    <s v="OT429-V3   Cordobesa Verano - Alcance - Twitter -  Capsulas de Video (MALEVO)"/>
    <x v="1"/>
    <x v="0"/>
    <n v="0"/>
    <n v="0"/>
    <s v="WOBRA S.A.S."/>
    <s v="WOBRA S.A.S."/>
    <s v="BANCO DE LA PROVINCIA DE CORDOBA S.A."/>
    <n v="5733116"/>
    <n v="40600000"/>
    <d v="2024-01-01T00:00:00"/>
    <d v="2026-04-15T00:00:00"/>
    <s v="ISO"/>
    <s v="120 NET"/>
    <s v="AR"/>
    <s v="MX"/>
    <s v="X Corp."/>
    <n v="10573709"/>
    <d v="2026-02-28T00:00:00"/>
    <x v="0"/>
    <n v="411772.08"/>
    <s v="USD"/>
    <n v="284.89"/>
    <n v="284.89"/>
    <m/>
    <m/>
    <m/>
    <m/>
    <m/>
    <m/>
    <m/>
    <m/>
    <m/>
    <m/>
    <m/>
    <m/>
    <m/>
    <m/>
    <m/>
    <m/>
    <m/>
    <m/>
    <m/>
    <m/>
    <m/>
    <m/>
    <m/>
    <m/>
    <n v="0"/>
    <n v="0"/>
    <n v="0"/>
    <n v="411772.08"/>
    <n v="284.89"/>
    <n v="284.89"/>
    <m/>
    <m/>
    <m/>
    <m/>
    <n v="39.549999999999997"/>
    <n v="162866.15"/>
    <n v="112.68"/>
    <n v="112.68"/>
    <n v="248905.93"/>
    <n v="172.21"/>
    <n v="172.21"/>
    <m/>
    <m/>
    <s v="AR00223485 - SMB_ARG_BancoProvinciaCord_Enero24"/>
    <m/>
    <n v="47720819"/>
    <n v="47720819"/>
    <s v="REACH"/>
    <s v="N"/>
    <m/>
    <s v="Y"/>
  </r>
  <r>
    <s v="IMM INTERNET MEDIA MEXICO S DE RL DE CV"/>
    <n v="3050535"/>
    <n v="41651"/>
    <s v="BancodeCordoba"/>
    <x v="12"/>
    <x v="12"/>
    <d v="2026-02-01T00:00:00"/>
    <x v="65"/>
    <s v="OT470   Inversiones Feb26 - Alcance - TWITTER"/>
    <x v="1"/>
    <x v="0"/>
    <n v="0"/>
    <n v="0"/>
    <s v="WOBRA S.A.S."/>
    <s v="WOBRA S.A.S."/>
    <s v="BANCO DE LA PROVINCIA DE CORDOBA S.A."/>
    <n v="5733116"/>
    <n v="40600000"/>
    <d v="2024-01-01T00:00:00"/>
    <d v="2026-04-15T00:00:00"/>
    <s v="ISO"/>
    <s v="120 NET"/>
    <s v="AR"/>
    <s v="MX"/>
    <s v="X Corp."/>
    <n v="10573709"/>
    <d v="2026-02-28T00:00:00"/>
    <x v="0"/>
    <n v="51305.760000000002"/>
    <s v="USD"/>
    <n v="35.5"/>
    <n v="35.5"/>
    <m/>
    <m/>
    <m/>
    <m/>
    <m/>
    <m/>
    <m/>
    <m/>
    <m/>
    <m/>
    <m/>
    <m/>
    <m/>
    <m/>
    <m/>
    <m/>
    <m/>
    <m/>
    <m/>
    <m/>
    <m/>
    <m/>
    <m/>
    <m/>
    <n v="0"/>
    <n v="0"/>
    <n v="0"/>
    <n v="51305.760000000002"/>
    <n v="35.5"/>
    <n v="35.5"/>
    <m/>
    <m/>
    <m/>
    <m/>
    <n v="39.549999999999997"/>
    <n v="20292.71"/>
    <n v="14.04"/>
    <n v="14.04"/>
    <n v="31013.05"/>
    <n v="21.46"/>
    <n v="21.46"/>
    <m/>
    <m/>
    <s v="AR00223485 - SMB_ARG_BancoProvinciaCord_Enero24"/>
    <m/>
    <n v="47720819"/>
    <n v="47720819"/>
    <s v="REACH"/>
    <s v="N"/>
    <m/>
    <s v="Y"/>
  </r>
  <r>
    <s v="IMM INTERNET MEDIA MEXICO S DE RL DE CV"/>
    <n v="3050535"/>
    <n v="41651"/>
    <s v="BancodeCordoba"/>
    <x v="12"/>
    <x v="12"/>
    <d v="2026-02-01T00:00:00"/>
    <x v="13"/>
    <s v="OT466   Rentas - Alcance - Twitter"/>
    <x v="1"/>
    <x v="0"/>
    <n v="0"/>
    <n v="0"/>
    <s v="WOBRA S.A.S."/>
    <s v="WOBRA S.A.S."/>
    <s v="BANCO DE LA PROVINCIA DE CORDOBA S.A."/>
    <n v="5733116"/>
    <n v="40600000"/>
    <d v="2024-01-01T00:00:00"/>
    <d v="2026-04-15T00:00:00"/>
    <s v="ISO"/>
    <s v="120 NET"/>
    <s v="AR"/>
    <s v="MX"/>
    <s v="X Corp."/>
    <n v="10573709"/>
    <d v="2026-02-28T00:00:00"/>
    <x v="0"/>
    <n v="597587.04"/>
    <s v="USD"/>
    <n v="413.44"/>
    <n v="413.44"/>
    <m/>
    <m/>
    <m/>
    <m/>
    <m/>
    <m/>
    <m/>
    <m/>
    <m/>
    <m/>
    <m/>
    <m/>
    <m/>
    <m/>
    <m/>
    <m/>
    <m/>
    <m/>
    <m/>
    <m/>
    <m/>
    <m/>
    <m/>
    <m/>
    <n v="0"/>
    <n v="0"/>
    <n v="0"/>
    <n v="597587.04"/>
    <n v="413.44"/>
    <n v="413.44"/>
    <m/>
    <m/>
    <m/>
    <m/>
    <n v="39.549999999999997"/>
    <n v="236360.61"/>
    <n v="163.53"/>
    <n v="163.53"/>
    <n v="361226.43"/>
    <n v="249.91"/>
    <n v="249.91"/>
    <m/>
    <m/>
    <s v="AR00223485 - SMB_ARG_BancoProvinciaCord_Enero24"/>
    <m/>
    <n v="47720819"/>
    <n v="47720819"/>
    <s v="REACH"/>
    <s v="N"/>
    <m/>
    <s v="Y"/>
  </r>
  <r>
    <s v="IMM INTERNET MEDIA MEXICO S DE RL DE CV"/>
    <n v="3050535"/>
    <n v="41651"/>
    <s v="PersonalAr"/>
    <x v="46"/>
    <x v="44"/>
    <d v="2026-02-01T00:00:00"/>
    <x v="66"/>
    <s v="PS_PERSO_ECST2025_EXBRD_TW_BRD_NAC_AWA_IMG-16.1"/>
    <x v="1"/>
    <x v="0"/>
    <n v="0"/>
    <n v="0"/>
    <s v="Digital Hive Group S.A"/>
    <s v="Digital Hive Group S.A"/>
    <s v="Personal Argentina"/>
    <n v="80883"/>
    <n v="43700000"/>
    <d v="2026-01-16T00:00:00"/>
    <d v="2026-02-28T00:00:00"/>
    <s v="RES"/>
    <s v="120 NET"/>
    <s v="AR"/>
    <s v="MX"/>
    <s v="X Corp."/>
    <n v="10573630"/>
    <d v="2026-02-28T00:00:00"/>
    <x v="0"/>
    <n v="2772458.76"/>
    <s v="USD"/>
    <n v="1918.13"/>
    <n v="1918.13"/>
    <m/>
    <m/>
    <m/>
    <m/>
    <m/>
    <m/>
    <m/>
    <m/>
    <m/>
    <m/>
    <m/>
    <m/>
    <m/>
    <m/>
    <m/>
    <m/>
    <m/>
    <m/>
    <m/>
    <m/>
    <m/>
    <m/>
    <m/>
    <m/>
    <n v="0"/>
    <n v="0"/>
    <n v="0"/>
    <n v="2772458.76"/>
    <n v="1918.13"/>
    <n v="1918.13"/>
    <m/>
    <m/>
    <m/>
    <m/>
    <n v="39.549999999999997"/>
    <n v="1096576.75"/>
    <n v="758.67"/>
    <n v="758.67"/>
    <n v="1675882.01"/>
    <n v="1159.46"/>
    <n v="1159.46"/>
    <m/>
    <m/>
    <s v="AR00398495 | X | PERSONAL | Ecosistema parte 2 | Ene-Feb 2026"/>
    <m/>
    <n v="66013147"/>
    <n v="66013147"/>
    <s v="REACH"/>
    <s v="N"/>
    <m/>
    <s v="Y"/>
  </r>
  <r>
    <s v="IMM INTERNET MEDIA MEXICO S DE RL DE CV"/>
    <n v="3050535"/>
    <n v="41651"/>
    <s v="YPFServiclub"/>
    <x v="47"/>
    <x v="45"/>
    <d v="2026-02-01T00:00:00"/>
    <x v="67"/>
    <s v="ypf_combustibles-tw-alcance-season-verano2026_bdd-2025-dic"/>
    <x v="1"/>
    <x v="0"/>
    <n v="0"/>
    <n v="0"/>
    <s v="Carat Argentina S.A."/>
    <s v="Carat Argentina S.A."/>
    <s v="YPF - Argentina"/>
    <n v="292623"/>
    <n v="6763550"/>
    <d v="2025-12-26T00:00:00"/>
    <d v="2026-02-28T00:00:00"/>
    <s v="RES"/>
    <s v="120 NET"/>
    <s v="AR"/>
    <s v="MX"/>
    <s v="X Corp."/>
    <n v="10573736"/>
    <d v="2026-02-28T00:00:00"/>
    <x v="0"/>
    <n v="79981.11"/>
    <s v="USD"/>
    <n v="55.34"/>
    <n v="55.34"/>
    <m/>
    <m/>
    <m/>
    <m/>
    <m/>
    <m/>
    <m/>
    <m/>
    <m/>
    <m/>
    <m/>
    <m/>
    <m/>
    <m/>
    <m/>
    <m/>
    <m/>
    <m/>
    <m/>
    <m/>
    <m/>
    <m/>
    <m/>
    <m/>
    <n v="0"/>
    <n v="0"/>
    <n v="0"/>
    <n v="79981.11"/>
    <n v="55.34"/>
    <n v="55.34"/>
    <m/>
    <m/>
    <m/>
    <m/>
    <n v="39.549999999999997"/>
    <n v="31634.53"/>
    <n v="21.89"/>
    <n v="21.89"/>
    <n v="48346.58"/>
    <n v="33.450000000000003"/>
    <n v="33.450000000000003"/>
    <m/>
    <m/>
    <s v="AR00396284-X-YPF-COMBUSTIBLES-VERANO-Dic/Ene 26"/>
    <m/>
    <n v="224529"/>
    <n v="224529"/>
    <s v="REACH"/>
    <s v="N"/>
    <m/>
    <s v="Y"/>
  </r>
  <r>
    <s v="IMM INTERNET MEDIA MEXICO S DE RL DE CV"/>
    <n v="3050535"/>
    <n v="41651"/>
    <s v="bancoprovincia"/>
    <x v="20"/>
    <x v="20"/>
    <d v="2026-02-01T00:00:00"/>
    <x v="68"/>
    <s v="2035_sp_2026_rico-en-data-episodio6_feb_arg_alcance_cpm"/>
    <x v="1"/>
    <x v="0"/>
    <n v="0"/>
    <n v="0"/>
    <s v="SUPER MEDIA S.A"/>
    <s v="SUPER MEDIA S.A"/>
    <s v="Banco Provincia"/>
    <n v="7000116"/>
    <n v="12650000"/>
    <d v="2026-01-13T00:00:00"/>
    <d v="2026-02-28T00:00:00"/>
    <s v="RES"/>
    <s v="120 NET"/>
    <s v="AR"/>
    <s v="MX"/>
    <s v="X Corp."/>
    <n v="10573696"/>
    <d v="2026-02-28T00:00:00"/>
    <x v="0"/>
    <n v="149435.07999999999"/>
    <s v="USD"/>
    <n v="103.39"/>
    <n v="103.39"/>
    <m/>
    <m/>
    <m/>
    <m/>
    <m/>
    <m/>
    <m/>
    <m/>
    <m/>
    <m/>
    <m/>
    <m/>
    <m/>
    <m/>
    <m/>
    <m/>
    <m/>
    <m/>
    <m/>
    <m/>
    <m/>
    <m/>
    <m/>
    <m/>
    <n v="0"/>
    <n v="0"/>
    <n v="0"/>
    <n v="149435.07999999999"/>
    <n v="103.39"/>
    <n v="103.39"/>
    <m/>
    <m/>
    <m/>
    <m/>
    <n v="39.549999999999997"/>
    <n v="59105.31"/>
    <n v="40.89"/>
    <n v="40.89"/>
    <n v="90329.77"/>
    <n v="62.5"/>
    <n v="62.5"/>
    <m/>
    <m/>
    <s v="AR00399019 X | Bapro | ENE 26"/>
    <m/>
    <n v="63304606"/>
    <n v="63304606"/>
    <s v="REACH"/>
    <s v="N"/>
    <m/>
    <s v="Y"/>
  </r>
  <r>
    <s v="IMM INTERNET MEDIA MEXICO S DE RL DE CV"/>
    <n v="3050535"/>
    <n v="41651"/>
    <s v="bancoprovincia"/>
    <x v="20"/>
    <x v="20"/>
    <d v="2026-02-01T00:00:00"/>
    <x v="69"/>
    <s v="2035_sp_2026_plazo-fijo-cuenta-dni_feb_arg_trafico_cpc"/>
    <x v="1"/>
    <x v="0"/>
    <n v="0"/>
    <n v="0"/>
    <s v="SUPER MEDIA S.A"/>
    <s v="SUPER MEDIA S.A"/>
    <s v="Banco Provincia"/>
    <n v="7000116"/>
    <n v="12650000"/>
    <d v="2026-01-13T00:00:00"/>
    <d v="2026-02-28T00:00:00"/>
    <s v="RES"/>
    <s v="120 NET"/>
    <s v="AR"/>
    <s v="MX"/>
    <s v="X Corp."/>
    <n v="10573696"/>
    <d v="2026-02-28T00:00:00"/>
    <x v="0"/>
    <n v="99993.63"/>
    <s v="USD"/>
    <n v="69.180000000000007"/>
    <n v="69.180000000000007"/>
    <m/>
    <m/>
    <m/>
    <m/>
    <m/>
    <m/>
    <m/>
    <m/>
    <m/>
    <m/>
    <m/>
    <m/>
    <m/>
    <m/>
    <m/>
    <m/>
    <m/>
    <m/>
    <m/>
    <m/>
    <m/>
    <m/>
    <m/>
    <m/>
    <n v="0"/>
    <n v="0"/>
    <n v="0"/>
    <n v="99993.63"/>
    <n v="69.180000000000007"/>
    <n v="69.180000000000007"/>
    <m/>
    <m/>
    <m/>
    <m/>
    <n v="39.549999999999997"/>
    <n v="39549.980000000003"/>
    <n v="27.36"/>
    <n v="27.36"/>
    <n v="60443.65"/>
    <n v="41.82"/>
    <n v="41.82"/>
    <m/>
    <m/>
    <s v="AR00399019 X | Bapro | ENE 26"/>
    <m/>
    <n v="63304606"/>
    <n v="63304606"/>
    <s v="WEBSITE_CLICKS"/>
    <s v="N"/>
    <m/>
    <s v="Y"/>
  </r>
  <r>
    <s v="IMM INTERNET MEDIA MEXICO S DE RL DE CV"/>
    <n v="3050535"/>
    <n v="41651"/>
    <s v="bancoprovincia"/>
    <x v="20"/>
    <x v="20"/>
    <d v="2026-02-01T00:00:00"/>
    <x v="70"/>
    <s v="2035_sp_2026_rico-en-data-episodio7_feb_arg_trafico_cpc"/>
    <x v="1"/>
    <x v="0"/>
    <n v="0"/>
    <n v="0"/>
    <s v="SUPER MEDIA S.A"/>
    <s v="SUPER MEDIA S.A"/>
    <s v="Banco Provincia"/>
    <n v="7000116"/>
    <n v="12650000"/>
    <d v="2026-01-13T00:00:00"/>
    <d v="2026-02-28T00:00:00"/>
    <s v="RES"/>
    <s v="120 NET"/>
    <s v="AR"/>
    <s v="MX"/>
    <s v="X Corp."/>
    <n v="10573696"/>
    <d v="2026-02-28T00:00:00"/>
    <x v="0"/>
    <n v="299185.09000000003"/>
    <s v="USD"/>
    <n v="206.99"/>
    <n v="206.99"/>
    <m/>
    <m/>
    <m/>
    <m/>
    <m/>
    <m/>
    <m/>
    <m/>
    <m/>
    <m/>
    <m/>
    <m/>
    <m/>
    <m/>
    <m/>
    <m/>
    <m/>
    <m/>
    <m/>
    <m/>
    <m/>
    <m/>
    <m/>
    <m/>
    <n v="0"/>
    <n v="0"/>
    <n v="0"/>
    <n v="299185.09000000003"/>
    <n v="206.99"/>
    <n v="206.99"/>
    <m/>
    <m/>
    <m/>
    <m/>
    <n v="39.549999999999997"/>
    <n v="118335.18"/>
    <n v="81.87"/>
    <n v="81.87"/>
    <n v="180849.91"/>
    <n v="125.12"/>
    <n v="125.12"/>
    <m/>
    <m/>
    <s v="AR00399019 X | Bapro | ENE 26"/>
    <m/>
    <n v="63304606"/>
    <n v="63304606"/>
    <s v="WEBSITE_CLICKS"/>
    <s v="N"/>
    <m/>
    <s v="Y"/>
  </r>
  <r>
    <s v="IMM INTERNET MEDIA MEXICO S DE RL DE CV"/>
    <n v="3050535"/>
    <n v="41651"/>
    <s v="bancoprovincia"/>
    <x v="20"/>
    <x v="20"/>
    <d v="2026-02-01T00:00:00"/>
    <x v="71"/>
    <s v="2035_sp_2026_rico-en-data-episodio7_feb_arg_alcance_cpm"/>
    <x v="1"/>
    <x v="0"/>
    <n v="0"/>
    <n v="0"/>
    <s v="SUPER MEDIA S.A"/>
    <s v="SUPER MEDIA S.A"/>
    <s v="Banco Provincia"/>
    <n v="7000116"/>
    <n v="12650000"/>
    <d v="2026-01-13T00:00:00"/>
    <d v="2026-02-28T00:00:00"/>
    <s v="RES"/>
    <s v="120 NET"/>
    <s v="AR"/>
    <s v="MX"/>
    <s v="X Corp."/>
    <n v="10573696"/>
    <d v="2026-02-28T00:00:00"/>
    <x v="0"/>
    <n v="149418.26"/>
    <s v="USD"/>
    <n v="103.38"/>
    <n v="103.38"/>
    <m/>
    <m/>
    <m/>
    <m/>
    <m/>
    <m/>
    <m/>
    <m/>
    <m/>
    <m/>
    <m/>
    <m/>
    <m/>
    <m/>
    <m/>
    <m/>
    <m/>
    <m/>
    <m/>
    <m/>
    <m/>
    <m/>
    <m/>
    <m/>
    <n v="0"/>
    <n v="0"/>
    <n v="0"/>
    <n v="149418.26"/>
    <n v="103.38"/>
    <n v="103.38"/>
    <m/>
    <m/>
    <m/>
    <m/>
    <n v="39.549999999999997"/>
    <n v="59098.66"/>
    <n v="40.89"/>
    <n v="40.89"/>
    <n v="90319.6"/>
    <n v="62.49"/>
    <n v="62.49"/>
    <m/>
    <m/>
    <s v="AR00399019 X | Bapro | ENE 26"/>
    <m/>
    <n v="63304606"/>
    <n v="63304606"/>
    <s v="REACH"/>
    <s v="N"/>
    <m/>
    <s v="Y"/>
  </r>
  <r>
    <s v="IMM INTERNET MEDIA MEXICO S DE RL DE CV"/>
    <n v="3050535"/>
    <n v="41651"/>
    <s v="bancoprovincia"/>
    <x v="20"/>
    <x v="20"/>
    <d v="2026-02-01T00:00:00"/>
    <x v="72"/>
    <s v="2035_sp_2026_tc-especial-vuelta-a-clases_feb_arg_trafico_cpc"/>
    <x v="1"/>
    <x v="0"/>
    <n v="0"/>
    <n v="0"/>
    <s v="SUPER MEDIA S.A"/>
    <s v="SUPER MEDIA S.A"/>
    <s v="Banco Provincia"/>
    <n v="7000116"/>
    <n v="12650000"/>
    <d v="2026-01-13T00:00:00"/>
    <d v="2026-02-28T00:00:00"/>
    <s v="RES"/>
    <s v="120 NET"/>
    <s v="AR"/>
    <s v="MX"/>
    <s v="X Corp."/>
    <n v="10573696"/>
    <d v="2026-02-28T00:00:00"/>
    <x v="0"/>
    <n v="400092.13"/>
    <s v="USD"/>
    <n v="276.8"/>
    <n v="276.8"/>
    <m/>
    <m/>
    <m/>
    <m/>
    <m/>
    <m/>
    <m/>
    <m/>
    <m/>
    <m/>
    <m/>
    <m/>
    <m/>
    <m/>
    <m/>
    <m/>
    <m/>
    <m/>
    <m/>
    <m/>
    <m/>
    <m/>
    <m/>
    <m/>
    <n v="0"/>
    <n v="0"/>
    <n v="0"/>
    <n v="400092.13"/>
    <n v="276.8"/>
    <n v="276.8"/>
    <m/>
    <m/>
    <m/>
    <m/>
    <n v="39.549999999999997"/>
    <n v="158246.44"/>
    <n v="109.48"/>
    <n v="109.48"/>
    <n v="241845.69"/>
    <n v="167.32"/>
    <n v="167.32"/>
    <m/>
    <m/>
    <s v="AR00399019 X | Bapro | ENE 26"/>
    <m/>
    <n v="63304606"/>
    <n v="63304606"/>
    <s v="WEBSITE_CLICKS"/>
    <s v="N"/>
    <m/>
    <s v="Y"/>
  </r>
  <r>
    <s v="IMM INTERNET MEDIA MEXICO S DE RL DE CV"/>
    <n v="3050535"/>
    <n v="41651"/>
    <s v="bancoprovincia"/>
    <x v="20"/>
    <x v="20"/>
    <d v="2026-02-01T00:00:00"/>
    <x v="73"/>
    <s v="2035_sp_2026_tu-prestamo-aca-feb_arg_alcance_cpm"/>
    <x v="1"/>
    <x v="0"/>
    <n v="0"/>
    <n v="0"/>
    <s v="SUPER MEDIA S.A"/>
    <s v="SUPER MEDIA S.A"/>
    <s v="Banco Provincia"/>
    <n v="7000116"/>
    <n v="12650000"/>
    <d v="2026-01-13T00:00:00"/>
    <d v="2026-02-28T00:00:00"/>
    <s v="RES"/>
    <s v="120 NET"/>
    <s v="AR"/>
    <s v="MX"/>
    <s v="X Corp."/>
    <n v="10573696"/>
    <d v="2026-02-28T00:00:00"/>
    <x v="0"/>
    <n v="401091.17"/>
    <s v="USD"/>
    <n v="277.5"/>
    <n v="277.5"/>
    <m/>
    <m/>
    <m/>
    <m/>
    <m/>
    <m/>
    <m/>
    <m/>
    <m/>
    <m/>
    <m/>
    <m/>
    <m/>
    <m/>
    <m/>
    <m/>
    <m/>
    <m/>
    <m/>
    <m/>
    <m/>
    <m/>
    <m/>
    <m/>
    <n v="0"/>
    <n v="0"/>
    <n v="0"/>
    <n v="401091.17"/>
    <n v="277.5"/>
    <n v="277.5"/>
    <m/>
    <m/>
    <m/>
    <m/>
    <n v="39.549999999999997"/>
    <n v="158641.59"/>
    <n v="109.76"/>
    <n v="109.76"/>
    <n v="242449.58"/>
    <n v="167.74"/>
    <n v="167.74"/>
    <m/>
    <m/>
    <s v="AR00399019 X | Bapro | ENE 26"/>
    <m/>
    <n v="63304606"/>
    <n v="63304606"/>
    <s v="REACH"/>
    <s v="N"/>
    <m/>
    <s v="Y"/>
  </r>
  <r>
    <s v="IMM INTERNET MEDIA MEXICO S DE RL DE CV"/>
    <n v="3050535"/>
    <n v="41651"/>
    <s v="bancoprovincia"/>
    <x v="20"/>
    <x v="20"/>
    <d v="2026-02-01T00:00:00"/>
    <x v="74"/>
    <s v="2035_sp_2026_streaming-hablemos-de-seguridad_feb_arg_trafico_cpc"/>
    <x v="1"/>
    <x v="0"/>
    <n v="0"/>
    <n v="0"/>
    <s v="SUPER MEDIA S.A"/>
    <s v="SUPER MEDIA S.A"/>
    <s v="Banco Provincia"/>
    <n v="7000116"/>
    <n v="12650000"/>
    <d v="2026-01-13T00:00:00"/>
    <d v="2026-02-28T00:00:00"/>
    <s v="RES"/>
    <s v="120 NET"/>
    <s v="AR"/>
    <s v="MX"/>
    <s v="X Corp."/>
    <n v="10573696"/>
    <d v="2026-02-28T00:00:00"/>
    <x v="0"/>
    <n v="89484.64"/>
    <s v="USD"/>
    <n v="61.91"/>
    <n v="61.91"/>
    <m/>
    <m/>
    <m/>
    <m/>
    <m/>
    <m/>
    <m/>
    <m/>
    <m/>
    <m/>
    <m/>
    <m/>
    <m/>
    <m/>
    <m/>
    <m/>
    <m/>
    <m/>
    <m/>
    <m/>
    <m/>
    <m/>
    <m/>
    <m/>
    <n v="0"/>
    <n v="0"/>
    <n v="0"/>
    <n v="89484.64"/>
    <n v="61.91"/>
    <n v="61.91"/>
    <m/>
    <m/>
    <m/>
    <m/>
    <n v="39.549999999999997"/>
    <n v="35393.410000000003"/>
    <n v="24.49"/>
    <n v="24.49"/>
    <n v="54091.23"/>
    <n v="37.42"/>
    <n v="37.42"/>
    <m/>
    <m/>
    <s v="AR00399019 X | Bapro | ENE 26"/>
    <m/>
    <n v="63304606"/>
    <n v="63304606"/>
    <s v="WEBSITE_CLICKS"/>
    <s v="N"/>
    <m/>
    <s v="Y"/>
  </r>
  <r>
    <s v="IMM INTERNET MEDIA MEXICO S DE RL DE CV"/>
    <n v="3050535"/>
    <n v="41651"/>
    <s v="Cinemark_ar"/>
    <x v="48"/>
    <x v="46"/>
    <d v="2026-02-01T00:00:00"/>
    <x v="75"/>
    <s v="bull_cnmk_all_venta_X_all_broad_gene_ticket_ao"/>
    <x v="1"/>
    <x v="0"/>
    <n v="0"/>
    <n v="0"/>
    <s v="Bullmetrix SRL"/>
    <s v="Bullmetrix SRL"/>
    <s v="CINEMARK ARGENTINA SRL"/>
    <n v="207572191"/>
    <n v="12688415"/>
    <d v="2025-11-10T00:00:00"/>
    <d v="2026-02-28T00:00:00"/>
    <s v="RES"/>
    <s v="120 NET"/>
    <s v="AR"/>
    <s v="MX"/>
    <s v="X Corp."/>
    <n v="10573662"/>
    <d v="2026-02-28T00:00:00"/>
    <x v="0"/>
    <n v="1066442.3899999999"/>
    <s v="USD"/>
    <n v="737.82"/>
    <n v="737.82"/>
    <m/>
    <m/>
    <m/>
    <m/>
    <m/>
    <m/>
    <m/>
    <m/>
    <m/>
    <m/>
    <m/>
    <m/>
    <m/>
    <m/>
    <m/>
    <m/>
    <m/>
    <m/>
    <m/>
    <m/>
    <m/>
    <m/>
    <m/>
    <m/>
    <n v="0"/>
    <n v="0"/>
    <n v="0"/>
    <n v="1066442.3899999999"/>
    <n v="737.82"/>
    <n v="737.82"/>
    <m/>
    <m/>
    <m/>
    <m/>
    <n v="39.549999999999997"/>
    <n v="421804.63"/>
    <n v="291.83"/>
    <n v="291.83"/>
    <n v="644637.76"/>
    <n v="445.99"/>
    <n v="445.99"/>
    <m/>
    <m/>
    <s v="AR00386903 _X - Arg - Cinemark - Q42025"/>
    <m/>
    <n v="136433571"/>
    <n v="136433571"/>
    <s v="WEBSITE_CLICKS"/>
    <s v="N"/>
    <m/>
    <s v="Y"/>
  </r>
  <r>
    <s v="IMM INTERNET MEDIA MEXICO S DE RL DE CV"/>
    <n v="3050535"/>
    <n v="41651"/>
    <s v="Cinemark_ar"/>
    <x v="48"/>
    <x v="46"/>
    <d v="2026-02-01T00:00:00"/>
    <x v="76"/>
    <s v="bull_cnmk_all_trafico_X_all_broad_gene_ticket_ao"/>
    <x v="1"/>
    <x v="0"/>
    <n v="0"/>
    <n v="0"/>
    <s v="Bullmetrix SRL"/>
    <s v="Bullmetrix SRL"/>
    <s v="CINEMARK ARGENTINA SRL"/>
    <n v="207572191"/>
    <n v="12688415"/>
    <d v="2025-11-10T00:00:00"/>
    <d v="2026-04-30T00:00:00"/>
    <s v="RES"/>
    <s v="120 NET"/>
    <s v="AR"/>
    <s v="MX"/>
    <s v="X Corp."/>
    <n v="10573662"/>
    <d v="2026-02-28T00:00:00"/>
    <x v="0"/>
    <n v="149590.85999999999"/>
    <s v="USD"/>
    <n v="103.49"/>
    <n v="103.49"/>
    <m/>
    <m/>
    <m/>
    <m/>
    <m/>
    <m/>
    <m/>
    <m/>
    <m/>
    <m/>
    <m/>
    <m/>
    <m/>
    <m/>
    <m/>
    <m/>
    <m/>
    <m/>
    <m/>
    <m/>
    <m/>
    <m/>
    <m/>
    <m/>
    <n v="0"/>
    <n v="0"/>
    <n v="0"/>
    <n v="149590.85999999999"/>
    <n v="103.49"/>
    <n v="103.49"/>
    <m/>
    <m/>
    <m/>
    <m/>
    <n v="39.549999999999997"/>
    <n v="59166.92"/>
    <n v="40.93"/>
    <n v="40.93"/>
    <n v="90423.94"/>
    <n v="62.56"/>
    <n v="62.56"/>
    <m/>
    <m/>
    <s v="AR00386903 _X - Arg - Cinemark - Q42025"/>
    <m/>
    <n v="136433571"/>
    <n v="136433571"/>
    <s v="WEBSITE_CLICKS"/>
    <s v="N"/>
    <m/>
    <s v="Y"/>
  </r>
  <r>
    <s v="IMM INTERNET MEDIA MEXICO S DE RL DE CV"/>
    <n v="3050535"/>
    <n v="41651"/>
    <s v="CervezaBrahma"/>
    <x v="21"/>
    <x v="21"/>
    <d v="2026-02-01T00:00:00"/>
    <x v="77"/>
    <s v="ARG_BRD_BRA_SEDDEBRAHMA_CARNAVAL_NON_RCH_BEY_2026_LDA"/>
    <x v="1"/>
    <x v="0"/>
    <n v="0"/>
    <n v="0"/>
    <s v="Digital Hive Group S.A"/>
    <s v="Digital Hive Group S.A"/>
    <s v="Cervecería y Maltería Quilmes"/>
    <n v="292695"/>
    <n v="8576000"/>
    <d v="2026-01-01T00:00:00"/>
    <d v="2026-02-28T00:00:00"/>
    <s v="RES"/>
    <s v="120 NET"/>
    <s v="AR"/>
    <s v="MX"/>
    <s v="X Corp."/>
    <n v="10573693"/>
    <d v="2026-02-28T00:00:00"/>
    <x v="0"/>
    <n v="158098.96"/>
    <s v="USD"/>
    <n v="109.38"/>
    <n v="109.38"/>
    <m/>
    <m/>
    <m/>
    <m/>
    <m/>
    <m/>
    <m/>
    <m/>
    <m/>
    <m/>
    <m/>
    <m/>
    <m/>
    <m/>
    <m/>
    <m/>
    <m/>
    <m/>
    <m/>
    <m/>
    <m/>
    <m/>
    <m/>
    <m/>
    <n v="0"/>
    <n v="0"/>
    <n v="0"/>
    <n v="158098.96"/>
    <n v="109.38"/>
    <n v="109.38"/>
    <m/>
    <m/>
    <m/>
    <m/>
    <n v="39.549999999999997"/>
    <n v="62532.09"/>
    <n v="43.26"/>
    <n v="43.26"/>
    <n v="95566.87"/>
    <n v="66.12"/>
    <n v="66.12"/>
    <m/>
    <m/>
    <s v="AR00396558-X-ABI ARG-SED DE BRAHMA CARNAVAL-Ene-26"/>
    <m/>
    <n v="66013147"/>
    <n v="66013147"/>
    <s v="REACH"/>
    <s v="N"/>
    <m/>
    <s v="Y"/>
  </r>
  <r>
    <s v="IMM INTERNET MEDIA MEXICO S DE RL DE CV"/>
    <n v="3050535"/>
    <n v="41651"/>
    <s v="HipodromoArgPal"/>
    <x v="49"/>
    <x v="47"/>
    <d v="2026-02-01T00:00:00"/>
    <x v="78"/>
    <s v="Sala_Branding_Alcance_AO_2026"/>
    <x v="1"/>
    <x v="0"/>
    <n v="0"/>
    <n v="0"/>
    <s v="BI MEDIA S.R.L."/>
    <s v="BI MEDIA S.R.L."/>
    <s v="Hipódromo Argentino de Palermo S.A"/>
    <n v="148610446"/>
    <n v="15550000"/>
    <d v="2026-01-05T00:00:00"/>
    <d v="2026-03-31T00:00:00"/>
    <s v="DSO"/>
    <s v="120 NET"/>
    <s v="AR"/>
    <s v="MX"/>
    <s v="X Corp."/>
    <n v="10573704"/>
    <d v="2026-02-28T00:00:00"/>
    <x v="0"/>
    <n v="100000"/>
    <s v="USD"/>
    <n v="69.19"/>
    <n v="69.19"/>
    <m/>
    <m/>
    <m/>
    <m/>
    <m/>
    <m/>
    <m/>
    <m/>
    <m/>
    <m/>
    <m/>
    <m/>
    <m/>
    <m/>
    <m/>
    <m/>
    <m/>
    <m/>
    <m/>
    <m/>
    <m/>
    <m/>
    <m/>
    <m/>
    <n v="0"/>
    <n v="0"/>
    <n v="0"/>
    <n v="100000"/>
    <n v="69.19"/>
    <n v="69.19"/>
    <m/>
    <m/>
    <m/>
    <m/>
    <n v="39.549999999999997"/>
    <n v="39552.5"/>
    <n v="27.36"/>
    <n v="27.36"/>
    <n v="60447.5"/>
    <n v="41.83"/>
    <n v="41.83"/>
    <m/>
    <m/>
    <s v="AR00397257-X-Hipódromo de Palermo-Sala-AON 26"/>
    <m/>
    <n v="192377147"/>
    <n v="192377147"/>
    <s v="REACH"/>
    <s v="N"/>
    <m/>
    <s v="Y"/>
  </r>
  <r>
    <s v="IMM INTERNET MEDIA MEXICO S DE RL DE CV"/>
    <n v="3050535"/>
    <n v="41651"/>
    <s v="MODO_Arg"/>
    <x v="50"/>
    <x v="48"/>
    <d v="2026-02-01T00:00:00"/>
    <x v="79"/>
    <s v="2025_MODO_BRANDING_PROMO_DIARCO_GEO_TWITTER_NU_AW_NOV"/>
    <x v="1"/>
    <x v="0"/>
    <n v="0"/>
    <n v="0"/>
    <s v="OSA ONE STEP AHEAD S.A"/>
    <s v="OSA ONE STEP AHEAD S.A"/>
    <s v="Play Digital S.A."/>
    <n v="57936819"/>
    <n v="6599999.4699999997"/>
    <d v="2025-11-05T00:00:00"/>
    <d v="2026-03-29T00:00:00"/>
    <s v="DSO"/>
    <s v="120 NET"/>
    <s v="AR"/>
    <s v="MX"/>
    <s v="X Corp."/>
    <n v="10573725"/>
    <d v="2026-02-28T00:00:00"/>
    <x v="0"/>
    <n v="115642.13"/>
    <s v="USD"/>
    <n v="80.010000000000005"/>
    <n v="80.010000000000005"/>
    <m/>
    <m/>
    <m/>
    <m/>
    <m/>
    <m/>
    <m/>
    <m/>
    <m/>
    <m/>
    <m/>
    <m/>
    <m/>
    <m/>
    <m/>
    <m/>
    <m/>
    <m/>
    <m/>
    <m/>
    <m/>
    <m/>
    <m/>
    <m/>
    <n v="0"/>
    <n v="0"/>
    <n v="0"/>
    <n v="115642.13"/>
    <n v="80.010000000000005"/>
    <n v="80.010000000000005"/>
    <m/>
    <m/>
    <m/>
    <m/>
    <n v="39.549999999999997"/>
    <n v="45739.35"/>
    <n v="31.64"/>
    <n v="31.64"/>
    <n v="69902.78"/>
    <n v="48.37"/>
    <n v="48.37"/>
    <m/>
    <m/>
    <s v="AR00385631 X | MODO | Promo Diarco"/>
    <m/>
    <n v="224573"/>
    <n v="224573"/>
    <s v="REACH"/>
    <s v="N"/>
    <m/>
    <s v="Y"/>
  </r>
  <r>
    <s v="IMM INTERNET MEDIA MEXICO S DE RL DE CV"/>
    <n v="3050535"/>
    <n v="41651"/>
    <s v="pedidosya"/>
    <x v="51"/>
    <x v="35"/>
    <d v="2026-02-01T00:00:00"/>
    <x v="80"/>
    <s v="pedidosya Estándar 2026-02-08"/>
    <x v="0"/>
    <x v="0"/>
    <n v="0"/>
    <n v="0"/>
    <m/>
    <m/>
    <s v="Pedidos Ya S.A"/>
    <n v="294134"/>
    <n v="891000"/>
    <d v="2026-02-08T00:00:00"/>
    <d v="2026-02-08T00:00:00"/>
    <s v="RES"/>
    <s v="120 NET"/>
    <s v="AR"/>
    <s v="MX"/>
    <s v="X Corp."/>
    <n v="10573627"/>
    <d v="2026-02-28T00:00:00"/>
    <x v="0"/>
    <n v="891000"/>
    <s v="USD"/>
    <n v="616.44000000000005"/>
    <n v="616.44000000000005"/>
    <m/>
    <m/>
    <m/>
    <m/>
    <m/>
    <m/>
    <m/>
    <m/>
    <m/>
    <m/>
    <m/>
    <m/>
    <m/>
    <m/>
    <m/>
    <m/>
    <m/>
    <m/>
    <m/>
    <m/>
    <m/>
    <m/>
    <m/>
    <m/>
    <n v="0"/>
    <n v="0"/>
    <n v="0"/>
    <n v="891000"/>
    <n v="616.44000000000005"/>
    <n v="616.44000000000005"/>
    <m/>
    <m/>
    <m/>
    <m/>
    <n v="39.549999999999997"/>
    <n v="352412.78"/>
    <n v="243.82"/>
    <n v="243.82"/>
    <n v="538587.22"/>
    <n v="372.62"/>
    <n v="372.62"/>
    <m/>
    <s v="Standard + Spotlight"/>
    <s v="X | PedidosYa AR | Bundles FEB 26"/>
    <m/>
    <m/>
    <m/>
    <s v="UNKNOWN_OBJECTIVE"/>
    <s v="N"/>
    <m/>
    <s v="Y"/>
  </r>
  <r>
    <s v="IMM INTERNET MEDIA MEXICO S DE RL DE CV"/>
    <n v="3050535"/>
    <n v="41651"/>
    <s v="MODO_Arg"/>
    <x v="23"/>
    <x v="23"/>
    <d v="2026-02-01T00:00:00"/>
    <x v="81"/>
    <s v="2026_MODO_PERFORMANCE_PERFO_AO_ACTIVACION-IOS-INTERIOR_TWITTER_NU_TX_FEB"/>
    <x v="1"/>
    <x v="0"/>
    <n v="0"/>
    <n v="0"/>
    <s v="OSA ONE STEP AHEAD S.A"/>
    <s v="OSA ONE STEP AHEAD S.A"/>
    <s v="Play Digital S.A."/>
    <n v="57936819"/>
    <n v="9869791.9600000009"/>
    <d v="2026-01-02T00:00:00"/>
    <d v="2026-02-28T00:00:00"/>
    <s v="DSO"/>
    <s v="120 NET"/>
    <s v="AR"/>
    <s v="MX"/>
    <s v="X Corp."/>
    <n v="10573703"/>
    <d v="2026-02-28T00:00:00"/>
    <x v="0"/>
    <n v="206343.56"/>
    <s v="USD"/>
    <n v="142.76"/>
    <n v="142.76"/>
    <m/>
    <m/>
    <m/>
    <m/>
    <m/>
    <m/>
    <m/>
    <m/>
    <m/>
    <m/>
    <m/>
    <m/>
    <m/>
    <m/>
    <m/>
    <m/>
    <m/>
    <m/>
    <m/>
    <m/>
    <m/>
    <m/>
    <m/>
    <m/>
    <n v="0"/>
    <n v="0"/>
    <n v="0"/>
    <n v="206343.56"/>
    <n v="142.76"/>
    <n v="142.76"/>
    <m/>
    <m/>
    <m/>
    <m/>
    <n v="39.549999999999997"/>
    <n v="81614.039999999994"/>
    <n v="56.46"/>
    <n v="56.46"/>
    <n v="124729.52"/>
    <n v="86.3"/>
    <n v="86.3"/>
    <m/>
    <m/>
    <s v="AR00396946 X | MODO | AO Performance"/>
    <m/>
    <n v="224573"/>
    <n v="224573"/>
    <s v="APP_ENGAGEMENTS"/>
    <s v="N"/>
    <m/>
    <s v="Y"/>
  </r>
  <r>
    <s v="IMM INTERNET MEDIA MEXICO S DE RL DE CV"/>
    <n v="3050535"/>
    <n v="41651"/>
    <s v="cocoscap"/>
    <x v="24"/>
    <x v="24"/>
    <d v="2026-02-01T00:00:00"/>
    <x v="82"/>
    <s v="X_AR_BND_AWA_R&amp;F_Maratea"/>
    <x v="1"/>
    <x v="0"/>
    <n v="0"/>
    <n v="0"/>
    <m/>
    <m/>
    <s v="Cocos Capital S.A."/>
    <n v="186932207"/>
    <n v="69550831"/>
    <d v="2024-12-18T00:00:00"/>
    <d v="2026-02-28T00:00:00"/>
    <s v="RES"/>
    <s v="120 NET"/>
    <s v="AR"/>
    <s v="MX"/>
    <s v="X Corp."/>
    <n v="10573629"/>
    <d v="2026-02-28T00:00:00"/>
    <x v="0"/>
    <n v="39026.83"/>
    <s v="USD"/>
    <n v="27"/>
    <n v="27"/>
    <m/>
    <m/>
    <m/>
    <m/>
    <m/>
    <m/>
    <m/>
    <m/>
    <m/>
    <m/>
    <m/>
    <m/>
    <m/>
    <m/>
    <m/>
    <m/>
    <m/>
    <m/>
    <m/>
    <m/>
    <m/>
    <m/>
    <m/>
    <m/>
    <n v="0"/>
    <n v="0"/>
    <n v="0"/>
    <n v="39026.83"/>
    <n v="27"/>
    <n v="27"/>
    <m/>
    <m/>
    <m/>
    <m/>
    <n v="39.549999999999997"/>
    <n v="15436.09"/>
    <n v="10.68"/>
    <n v="10.68"/>
    <n v="23590.74"/>
    <n v="16.32"/>
    <n v="16.32"/>
    <m/>
    <m/>
    <s v="AR00303899 SMB-X ARG - Cocos Capital - Dic/Ene"/>
    <m/>
    <m/>
    <m/>
    <s v="REACH"/>
    <s v="N"/>
    <m/>
    <s v="Y"/>
  </r>
  <r>
    <s v="IMM INTERNET MEDIA MEXICO S DE RL DE CV"/>
    <n v="3050535"/>
    <n v="41651"/>
    <s v="MODO_Arg"/>
    <x v="52"/>
    <x v="49"/>
    <d v="2026-02-01T00:00:00"/>
    <x v="83"/>
    <s v="2026_MODO_BRANDING_PROMO_COTO_GEO_TWITTER_NU_AW_ENE"/>
    <x v="1"/>
    <x v="0"/>
    <n v="0"/>
    <n v="0"/>
    <s v="OSA ONE STEP AHEAD S.A"/>
    <s v="OSA ONE STEP AHEAD S.A"/>
    <s v="Play Digital S.A."/>
    <n v="57936819"/>
    <n v="8949933.4199999999"/>
    <d v="2026-01-20T00:00:00"/>
    <d v="2026-03-31T00:00:00"/>
    <s v="DSO"/>
    <s v="120 NET"/>
    <s v="AR"/>
    <s v="MX"/>
    <s v="X Corp."/>
    <n v="10573633"/>
    <d v="2026-02-28T00:00:00"/>
    <x v="0"/>
    <n v="911075.11"/>
    <s v="USD"/>
    <n v="630.33000000000004"/>
    <n v="630.33000000000004"/>
    <m/>
    <m/>
    <m/>
    <m/>
    <m/>
    <m/>
    <m/>
    <m/>
    <m/>
    <m/>
    <m/>
    <m/>
    <m/>
    <m/>
    <m/>
    <m/>
    <m/>
    <m/>
    <m/>
    <m/>
    <m/>
    <m/>
    <m/>
    <m/>
    <n v="0"/>
    <n v="0"/>
    <n v="0"/>
    <n v="911075.11"/>
    <n v="630.33000000000004"/>
    <n v="630.33000000000004"/>
    <m/>
    <m/>
    <m/>
    <m/>
    <n v="39.549999999999997"/>
    <n v="360352.98"/>
    <n v="249.31"/>
    <n v="249.31"/>
    <n v="550722.13"/>
    <n v="381.02"/>
    <n v="381.02"/>
    <m/>
    <m/>
    <s v="AR00400737 X | MODO | Promo COTO"/>
    <m/>
    <n v="224573"/>
    <n v="224573"/>
    <s v="REACH"/>
    <s v="N"/>
    <m/>
    <s v="Y"/>
  </r>
  <r>
    <s v="IMM INTERNET MEDIA MEXICO S DE RL DE CV"/>
    <n v="3050535"/>
    <n v="41651"/>
    <s v="YPFoficial"/>
    <x v="53"/>
    <x v="50"/>
    <d v="2026-02-01T00:00:00"/>
    <x v="84"/>
    <s v="ypf_full-tw-alcance-season-combodoblehamburguesa-2026-feb"/>
    <x v="1"/>
    <x v="0"/>
    <n v="0"/>
    <n v="0"/>
    <s v="Carat Argentina S.A."/>
    <s v="Carat Argentina S.A."/>
    <s v="YPF - Argentina"/>
    <n v="292623"/>
    <n v="249000.75"/>
    <d v="2026-02-14T00:00:00"/>
    <d v="2026-02-21T00:00:00"/>
    <s v="RES"/>
    <s v="120 NET"/>
    <s v="AR"/>
    <s v="MX"/>
    <s v="X Corp."/>
    <n v="10573684"/>
    <d v="2026-02-28T00:00:00"/>
    <x v="0"/>
    <n v="140039.85999999999"/>
    <s v="USD"/>
    <n v="96.89"/>
    <n v="96.89"/>
    <m/>
    <m/>
    <m/>
    <m/>
    <m/>
    <m/>
    <m/>
    <m/>
    <m/>
    <m/>
    <m/>
    <m/>
    <m/>
    <m/>
    <m/>
    <m/>
    <m/>
    <m/>
    <m/>
    <m/>
    <m/>
    <m/>
    <m/>
    <m/>
    <n v="0"/>
    <n v="0"/>
    <n v="0"/>
    <n v="140039.85999999999"/>
    <n v="96.89"/>
    <n v="96.89"/>
    <m/>
    <m/>
    <m/>
    <m/>
    <n v="22"/>
    <n v="30808.77"/>
    <n v="21.32"/>
    <n v="21.32"/>
    <n v="109231.09"/>
    <n v="75.569999999999993"/>
    <n v="75.569999999999993"/>
    <m/>
    <m/>
    <s v="AR00406357-X-YPF-FULL-COMBO FULL DOBLE CLASICA-Feb 26"/>
    <m/>
    <n v="224529"/>
    <n v="224529"/>
    <s v="REACH"/>
    <s v="N"/>
    <m/>
    <s v="Y"/>
  </r>
  <r>
    <s v="IMM INTERNET MEDIA MEXICO S DE RL DE CV"/>
    <n v="3050535"/>
    <n v="41651"/>
    <s v="SamsungArg"/>
    <x v="54"/>
    <x v="51"/>
    <d v="2026-02-01T00:00:00"/>
    <x v="85"/>
    <s v="ID~B0006C57_CN~back-to-school-intel-twitter-im_PH~promo_MK~ar_OB~awa_FS~lo_FF~own-landing-own-alcance"/>
    <x v="1"/>
    <x v="0"/>
    <n v="0"/>
    <n v="0"/>
    <s v="MMS Comunicaciones Argentina S.A."/>
    <s v="MMS Comunicaciones Argentina S.A."/>
    <s v="Samsung Argentina"/>
    <n v="72805"/>
    <n v="2400000"/>
    <d v="2026-02-04T00:00:00"/>
    <d v="2026-03-01T00:00:00"/>
    <s v="DSO"/>
    <s v="120 NET"/>
    <s v="AR"/>
    <s v="MX"/>
    <s v="X Corp."/>
    <n v="10573646"/>
    <d v="2026-02-28T00:00:00"/>
    <x v="0"/>
    <n v="2327584.0699999998"/>
    <s v="USD"/>
    <n v="1610.34"/>
    <n v="1610.34"/>
    <m/>
    <m/>
    <m/>
    <m/>
    <m/>
    <m/>
    <m/>
    <m/>
    <m/>
    <m/>
    <m/>
    <m/>
    <m/>
    <m/>
    <m/>
    <m/>
    <m/>
    <m/>
    <m/>
    <m/>
    <m/>
    <m/>
    <m/>
    <m/>
    <n v="0"/>
    <n v="0"/>
    <n v="0"/>
    <n v="2327584.0699999998"/>
    <n v="1610.34"/>
    <n v="1610.34"/>
    <m/>
    <m/>
    <m/>
    <m/>
    <n v="22"/>
    <n v="512068.5"/>
    <n v="354.28"/>
    <n v="354.28"/>
    <n v="1815515.57"/>
    <n v="1256.06"/>
    <n v="1256.06"/>
    <m/>
    <m/>
    <s v="AR00404576-X|Samsung ARG-OWN|IM|BTS|-Feb 26-Campaña 2"/>
    <m/>
    <n v="224581"/>
    <n v="224581"/>
    <s v="REACH"/>
    <s v="N"/>
    <m/>
    <s v="Y"/>
  </r>
  <r>
    <s v="IMM INTERNET MEDIA MEXICO S DE RL DE CV"/>
    <n v="3050535"/>
    <n v="41651"/>
    <s v="FieldViewArg"/>
    <x v="3"/>
    <x v="3"/>
    <d v="2026-02-01T00:00:00"/>
    <x v="86"/>
    <s v="Febbrero Trafico Centro de ayuda"/>
    <x v="1"/>
    <x v="0"/>
    <n v="0"/>
    <n v="0"/>
    <s v="Encender Argentina"/>
    <s v="Encender Argentina"/>
    <s v="Monsanto Argentina"/>
    <n v="530773"/>
    <n v="12000000"/>
    <d v="2026-01-20T00:00:00"/>
    <d v="2026-12-31T00:00:00"/>
    <s v="RES"/>
    <s v="120 NET"/>
    <s v="AR"/>
    <s v="MX"/>
    <s v="X Corp."/>
    <n v="10573655"/>
    <d v="2026-02-28T00:00:00"/>
    <x v="0"/>
    <n v="6895.5"/>
    <s v="USD"/>
    <n v="4.7699999999999996"/>
    <n v="4.7699999999999996"/>
    <m/>
    <m/>
    <m/>
    <m/>
    <m/>
    <m/>
    <m/>
    <m/>
    <m/>
    <m/>
    <m/>
    <m/>
    <m/>
    <m/>
    <m/>
    <m/>
    <m/>
    <m/>
    <m/>
    <m/>
    <m/>
    <m/>
    <m/>
    <m/>
    <n v="0"/>
    <n v="0"/>
    <n v="0"/>
    <n v="6895.5"/>
    <n v="4.7699999999999996"/>
    <n v="4.7699999999999996"/>
    <m/>
    <m/>
    <m/>
    <m/>
    <n v="39.549999999999997"/>
    <n v="2727.34"/>
    <n v="1.89"/>
    <n v="1.89"/>
    <n v="4168.16"/>
    <n v="2.88"/>
    <n v="2.88"/>
    <m/>
    <m/>
    <s v="AR00400821 - X - Arg - FieldView - Año 2026"/>
    <m/>
    <n v="530772"/>
    <n v="530772"/>
    <s v="WEBSITE_CLICKS"/>
    <s v="N"/>
    <m/>
    <s v="Y"/>
  </r>
  <r>
    <s v="IMM INTERNET MEDIA MEXICO S DE RL DE CV"/>
    <n v="3050535"/>
    <n v="41651"/>
    <s v="BalanzCapital"/>
    <x v="55"/>
    <x v="52"/>
    <d v="2026-02-01T00:00:00"/>
    <x v="87"/>
    <s v="GKT_Balanz_Academy_9deFebrero"/>
    <x v="1"/>
    <x v="0"/>
    <n v="0"/>
    <n v="0"/>
    <m/>
    <m/>
    <s v="BALANZ CAPITAL VALORES SAU"/>
    <n v="183777845"/>
    <n v="12000000"/>
    <d v="2025-01-09T00:00:00"/>
    <d v="2026-03-31T00:00:00"/>
    <s v="RES"/>
    <s v="120 NET"/>
    <s v="AR"/>
    <s v="MX"/>
    <s v="X Corp."/>
    <n v="10573656"/>
    <d v="2026-02-28T00:00:00"/>
    <x v="0"/>
    <n v="350.57"/>
    <s v="USD"/>
    <n v="0.24"/>
    <n v="0.24"/>
    <m/>
    <m/>
    <m/>
    <m/>
    <m/>
    <m/>
    <m/>
    <m/>
    <m/>
    <m/>
    <m/>
    <m/>
    <m/>
    <m/>
    <m/>
    <m/>
    <m/>
    <m/>
    <m/>
    <m/>
    <m/>
    <m/>
    <m/>
    <m/>
    <n v="0"/>
    <n v="0"/>
    <n v="0"/>
    <n v="350.57"/>
    <n v="0.24"/>
    <n v="0.24"/>
    <m/>
    <m/>
    <m/>
    <m/>
    <n v="39.549999999999997"/>
    <n v="138.66"/>
    <n v="0.1"/>
    <n v="0.1"/>
    <n v="211.91"/>
    <n v="0.14000000000000001"/>
    <n v="0.14000000000000001"/>
    <m/>
    <m/>
    <s v="AR00308588 SMB-X ARG - Balanz - Enero 2025"/>
    <m/>
    <m/>
    <m/>
    <s v="WEBSITE_CLICKS"/>
    <s v="N"/>
    <m/>
    <s v="Y"/>
  </r>
  <r>
    <s v="IMM INTERNET MEDIA MEXICO S DE RL DE CV"/>
    <n v="3050535"/>
    <n v="41651"/>
    <s v="BalanzCapital"/>
    <x v="55"/>
    <x v="52"/>
    <d v="2026-02-01T00:00:00"/>
    <x v="88"/>
    <s v="GKT_Balanz_Academy_9deFeb"/>
    <x v="1"/>
    <x v="0"/>
    <n v="0"/>
    <n v="0"/>
    <m/>
    <m/>
    <s v="BALANZ CAPITAL VALORES SAU"/>
    <n v="183777845"/>
    <n v="12000000"/>
    <d v="2025-01-09T00:00:00"/>
    <d v="2026-03-31T00:00:00"/>
    <s v="RES"/>
    <s v="120 NET"/>
    <s v="AR"/>
    <s v="MX"/>
    <s v="X Corp."/>
    <n v="10573656"/>
    <d v="2026-02-28T00:00:00"/>
    <x v="0"/>
    <n v="15000"/>
    <s v="USD"/>
    <n v="10.38"/>
    <n v="10.38"/>
    <m/>
    <m/>
    <m/>
    <m/>
    <m/>
    <m/>
    <m/>
    <m/>
    <m/>
    <m/>
    <m/>
    <m/>
    <m/>
    <m/>
    <m/>
    <m/>
    <m/>
    <m/>
    <m/>
    <m/>
    <m/>
    <m/>
    <m/>
    <m/>
    <n v="0"/>
    <n v="0"/>
    <n v="0"/>
    <n v="15000"/>
    <n v="10.38"/>
    <n v="10.38"/>
    <m/>
    <m/>
    <m/>
    <m/>
    <n v="39.549999999999997"/>
    <n v="5932.88"/>
    <n v="4.0999999999999996"/>
    <n v="4.0999999999999996"/>
    <n v="9067.1200000000008"/>
    <n v="6.28"/>
    <n v="6.28"/>
    <m/>
    <m/>
    <s v="AR00308588 SMB-X ARG - Balanz - Enero 2025"/>
    <m/>
    <m/>
    <m/>
    <s v="WEBSITE_CLICKS"/>
    <s v="N"/>
    <m/>
    <s v="Y"/>
  </r>
  <r>
    <s v="IMM INTERNET MEDIA MEXICO S DE RL DE CV"/>
    <n v="3050535"/>
    <n v="41651"/>
    <s v="Betfunok"/>
    <x v="56"/>
    <x v="53"/>
    <d v="2026-02-01T00:00:00"/>
    <x v="89"/>
    <s v="Betfunok Timeline Takeover Nivel 1 2026-02-03"/>
    <x v="0"/>
    <x v="0"/>
    <n v="0"/>
    <n v="0"/>
    <s v="BI MEDIA S.R.L."/>
    <s v="BI MEDIA S.R.L."/>
    <s v="Hipódromo Argentino de Palermo S.A"/>
    <n v="148610446"/>
    <n v="2308500"/>
    <d v="2026-02-03T00:00:00"/>
    <d v="2026-02-03T00:00:00"/>
    <s v="DSO"/>
    <s v="120 NET"/>
    <s v="AR"/>
    <s v="MX"/>
    <s v="X Corp."/>
    <n v="10573720"/>
    <d v="2026-02-28T00:00:00"/>
    <x v="0"/>
    <n v="2308500"/>
    <s v="USD"/>
    <n v="1597.14"/>
    <n v="1597.14"/>
    <m/>
    <m/>
    <m/>
    <m/>
    <m/>
    <m/>
    <m/>
    <m/>
    <m/>
    <m/>
    <m/>
    <m/>
    <m/>
    <m/>
    <m/>
    <m/>
    <m/>
    <m/>
    <m/>
    <m/>
    <m/>
    <m/>
    <m/>
    <m/>
    <n v="0"/>
    <n v="0"/>
    <n v="0"/>
    <n v="2308500"/>
    <n v="1597.14"/>
    <n v="1597.14"/>
    <m/>
    <m/>
    <m/>
    <m/>
    <n v="39.549999999999997"/>
    <n v="913069.46"/>
    <n v="631.71"/>
    <n v="631.71"/>
    <n v="1395430.54"/>
    <n v="965.43"/>
    <n v="965.43"/>
    <m/>
    <s v="Timeline Takeover - Tier 1"/>
    <s v="AR00380261-X-Betfun-Takeover-Q1 26"/>
    <m/>
    <n v="192377147"/>
    <n v="192377147"/>
    <s v="UNKNOWN_OBJECTIVE"/>
    <s v="N"/>
    <m/>
    <s v="Y"/>
  </r>
  <r>
    <s v="IMM INTERNET MEDIA MEXICO S DE RL DE CV"/>
    <n v="3050535"/>
    <n v="41651"/>
    <s v="ML_Argentina"/>
    <x v="57"/>
    <x v="0"/>
    <d v="2026-02-01T00:00:00"/>
    <x v="90"/>
    <s v="MLA   Campaña Verano   Spotlight- 4/Feb"/>
    <x v="0"/>
    <x v="0"/>
    <n v="0"/>
    <n v="0"/>
    <s v="IPG Media Brands S.A."/>
    <m/>
    <s v="MercadoLibre S.R.L."/>
    <n v="821027"/>
    <n v="594000"/>
    <d v="2026-02-04T00:00:00"/>
    <d v="2026-02-04T00:00:00"/>
    <s v="DSO"/>
    <s v="120 NET"/>
    <s v="AR"/>
    <s v="MX"/>
    <s v="X Corp."/>
    <n v="10573677"/>
    <d v="2026-02-28T00:00:00"/>
    <x v="0"/>
    <n v="594000"/>
    <s v="USD"/>
    <n v="410.96"/>
    <n v="410.96"/>
    <m/>
    <m/>
    <m/>
    <m/>
    <m/>
    <m/>
    <m/>
    <m/>
    <m/>
    <m/>
    <m/>
    <m/>
    <m/>
    <m/>
    <m/>
    <m/>
    <m/>
    <m/>
    <m/>
    <m/>
    <m/>
    <m/>
    <m/>
    <m/>
    <n v="0"/>
    <n v="0"/>
    <n v="0"/>
    <n v="594000"/>
    <n v="410.96"/>
    <n v="410.96"/>
    <m/>
    <m/>
    <m/>
    <m/>
    <n v="34"/>
    <n v="201948.12"/>
    <n v="139.72"/>
    <n v="139.72"/>
    <n v="392051.88"/>
    <n v="271.24"/>
    <n v="271.24"/>
    <m/>
    <s v="Standard + Spotlight"/>
    <s v="MLA | Campaña Verano | Spotlight- 4/Feb"/>
    <m/>
    <n v="224554"/>
    <m/>
    <s v="UNKNOWN_OBJECTIVE"/>
    <s v="N"/>
    <m/>
    <s v="Y"/>
  </r>
  <r>
    <s v="IMM INTERNET MEDIA MEXICO S DE RL DE CV"/>
    <n v="3050535"/>
    <n v="41651"/>
    <s v="redbullARG"/>
    <x v="58"/>
    <x v="54"/>
    <d v="2026-02-01T00:00:00"/>
    <x v="91"/>
    <s v="17802_V3_P_2026_ARG_ISEDITION_TOTDIGOTH"/>
    <x v="1"/>
    <x v="0"/>
    <n v="0"/>
    <n v="0"/>
    <s v="Digital Hive Group S.A"/>
    <m/>
    <s v="Red Bull Argentina"/>
    <n v="109915"/>
    <n v="8133235"/>
    <d v="2026-01-01T00:00:00"/>
    <d v="2026-02-28T00:00:00"/>
    <s v="RES"/>
    <s v="120 NET"/>
    <s v="AR"/>
    <s v="MX"/>
    <s v="X Corp."/>
    <n v="10573679"/>
    <d v="2026-02-28T00:00:00"/>
    <x v="0"/>
    <n v="1412281.82"/>
    <s v="USD"/>
    <n v="977.09"/>
    <n v="977.09"/>
    <m/>
    <m/>
    <m/>
    <m/>
    <m/>
    <m/>
    <m/>
    <m/>
    <m/>
    <m/>
    <m/>
    <m/>
    <m/>
    <m/>
    <m/>
    <m/>
    <m/>
    <m/>
    <m/>
    <m/>
    <m/>
    <m/>
    <m/>
    <m/>
    <n v="0"/>
    <n v="0"/>
    <n v="0"/>
    <n v="1412281.82"/>
    <n v="977.09"/>
    <n v="977.09"/>
    <m/>
    <m/>
    <m/>
    <m/>
    <n v="39.549999999999997"/>
    <n v="558592.77"/>
    <n v="386.46"/>
    <n v="386.46"/>
    <n v="853689.05"/>
    <n v="590.63"/>
    <n v="590.63"/>
    <m/>
    <m/>
    <s v="AR00393374 - X - Arg - Red Bull - Summer - Q1 2026"/>
    <m/>
    <n v="66013147"/>
    <m/>
    <s v="REACH"/>
    <s v="N"/>
    <m/>
    <s v="Y"/>
  </r>
  <r>
    <s v="IMM INTERNET MEDIA MEXICO S DE RL DE CV"/>
    <n v="3050535"/>
    <n v="41651"/>
    <s v="pedidosya"/>
    <x v="42"/>
    <x v="41"/>
    <d v="2026-02-01T00:00:00"/>
    <x v="59"/>
    <s v="ps_bra_mix_gro_ma_PY_AR_OBJ-awr_CH-Twitter_CT-XX_[CPM_NAT_ALL]_DmartWeek_Reach-Mar"/>
    <x v="1"/>
    <x v="0"/>
    <n v="0"/>
    <n v="0"/>
    <m/>
    <m/>
    <s v="Pedidos Ya S.A"/>
    <n v="294134"/>
    <n v="12400000"/>
    <d v="2026-02-20T00:00:00"/>
    <d v="2026-03-31T00:00:00"/>
    <s v="RES"/>
    <s v="120 NET"/>
    <s v="AR"/>
    <s v="MX"/>
    <s v="X Corp."/>
    <n v="10573697"/>
    <d v="2026-02-28T00:00:00"/>
    <x v="0"/>
    <n v="174.53"/>
    <s v="USD"/>
    <n v="0.12"/>
    <n v="0.12"/>
    <m/>
    <m/>
    <m/>
    <m/>
    <m/>
    <m/>
    <m/>
    <m/>
    <m/>
    <m/>
    <m/>
    <m/>
    <m/>
    <m/>
    <m/>
    <m/>
    <m/>
    <m/>
    <m/>
    <m/>
    <m/>
    <m/>
    <m/>
    <m/>
    <n v="0"/>
    <n v="0"/>
    <n v="0"/>
    <n v="174.53"/>
    <n v="0.12"/>
    <n v="0.12"/>
    <m/>
    <m/>
    <m/>
    <m/>
    <n v="22"/>
    <n v="38.4"/>
    <n v="0.03"/>
    <n v="0.03"/>
    <n v="136.13"/>
    <n v="0.09"/>
    <n v="0.09"/>
    <m/>
    <m/>
    <s v="AR00402266 X | PedidosYa AR | dmarts MAR26 ok"/>
    <m/>
    <m/>
    <m/>
    <s v="REACH"/>
    <s v="N"/>
    <m/>
    <s v="Y"/>
  </r>
  <r>
    <s v="IMM INTERNET MEDIA MEXICO S DE RL DE CV"/>
    <n v="3050535"/>
    <n v="41651"/>
    <s v="RappiArgentina"/>
    <x v="59"/>
    <x v="55"/>
    <d v="2026-02-01T00:00:00"/>
    <x v="92"/>
    <s v="CX_AR_PR_PS_TW_TWI_AND_ALL_RAP_ALL_NA_00000_TAC_INS_INS"/>
    <x v="1"/>
    <x v="0"/>
    <n v="0"/>
    <n v="0"/>
    <m/>
    <m/>
    <s v="RAPPI ARG S.A.S."/>
    <n v="9663269"/>
    <n v="310000000"/>
    <d v="2025-03-14T00:00:00"/>
    <d v="2027-01-31T00:00:00"/>
    <s v="DSO"/>
    <s v="120 NET"/>
    <s v="AR"/>
    <s v="MX"/>
    <s v="X Corp."/>
    <n v="10573738"/>
    <d v="2026-02-28T00:00:00"/>
    <x v="0"/>
    <n v="523174.23"/>
    <s v="USD"/>
    <n v="361.96"/>
    <n v="361.96"/>
    <m/>
    <m/>
    <m/>
    <m/>
    <m/>
    <m/>
    <m/>
    <m/>
    <m/>
    <m/>
    <m/>
    <m/>
    <m/>
    <m/>
    <m/>
    <m/>
    <m/>
    <m/>
    <m/>
    <m/>
    <m/>
    <m/>
    <m/>
    <m/>
    <n v="0"/>
    <n v="0"/>
    <n v="0"/>
    <n v="523174.23"/>
    <n v="361.96"/>
    <n v="361.96"/>
    <m/>
    <m/>
    <m/>
    <m/>
    <n v="34"/>
    <n v="177868.77"/>
    <n v="123.06"/>
    <n v="123.06"/>
    <n v="345305.46"/>
    <n v="238.9"/>
    <n v="238.9"/>
    <m/>
    <m/>
    <s v="Rappi Argentina 2025 LInea de Credito"/>
    <m/>
    <m/>
    <m/>
    <s v="APP_INSTALLS"/>
    <s v="N"/>
    <m/>
    <s v="Y"/>
  </r>
  <r>
    <s v="IMM INTERNET MEDIA MEXICO S DE RL DE CV"/>
    <n v="3050535"/>
    <n v="41651"/>
    <s v="assistcard"/>
    <x v="60"/>
    <x v="56"/>
    <d v="2026-02-01T00:00:00"/>
    <x v="93"/>
    <s v="AR_Purchase_Rmkt_X"/>
    <x v="1"/>
    <x v="0"/>
    <n v="0"/>
    <n v="0"/>
    <m/>
    <m/>
    <s v="Assist Card Argentina"/>
    <n v="5134575"/>
    <n v="29815800"/>
    <d v="2026-01-09T00:00:00"/>
    <d v="2026-06-30T00:00:00"/>
    <s v="RES"/>
    <s v="120 NET"/>
    <s v="AR"/>
    <s v="MX"/>
    <s v="X Corp."/>
    <n v="10573666"/>
    <d v="2026-02-28T00:00:00"/>
    <x v="0"/>
    <n v="894356.52"/>
    <s v="USD"/>
    <n v="618.76"/>
    <n v="618.76"/>
    <m/>
    <m/>
    <m/>
    <m/>
    <m/>
    <m/>
    <m/>
    <m/>
    <m/>
    <m/>
    <m/>
    <m/>
    <m/>
    <m/>
    <m/>
    <m/>
    <m/>
    <m/>
    <m/>
    <m/>
    <m/>
    <m/>
    <m/>
    <m/>
    <n v="0"/>
    <n v="0"/>
    <n v="0"/>
    <n v="894356.52"/>
    <n v="618.76"/>
    <n v="618.76"/>
    <m/>
    <m/>
    <m/>
    <m/>
    <n v="39.549999999999997"/>
    <n v="353740.36"/>
    <n v="244.74"/>
    <n v="244.74"/>
    <n v="540616.16"/>
    <n v="374.02"/>
    <n v="374.02"/>
    <m/>
    <m/>
    <s v="AR00398290 | X | Assist Card AR | 2026"/>
    <m/>
    <m/>
    <m/>
    <s v="WEBSITE_CLICKS"/>
    <s v="N"/>
    <m/>
    <s v="Y"/>
  </r>
  <r>
    <s v="IMM INTERNET MEDIA MEXICO S DE RL DE CV"/>
    <n v="3050535"/>
    <n v="41651"/>
    <s v="BancodeCordoba"/>
    <x v="12"/>
    <x v="12"/>
    <d v="2026-02-01T00:00:00"/>
    <x v="94"/>
    <s v="OT467   Vuelta al cole - Alcance - TWITTER"/>
    <x v="1"/>
    <x v="0"/>
    <n v="0"/>
    <n v="0"/>
    <s v="WOBRA S.A.S."/>
    <s v="WOBRA S.A.S."/>
    <s v="BANCO DE LA PROVINCIA DE CORDOBA S.A."/>
    <n v="5733116"/>
    <n v="40600000"/>
    <d v="2024-01-01T00:00:00"/>
    <d v="2026-04-15T00:00:00"/>
    <s v="ISO"/>
    <s v="120 NET"/>
    <s v="AR"/>
    <s v="MX"/>
    <s v="X Corp."/>
    <n v="10573709"/>
    <d v="2026-02-28T00:00:00"/>
    <x v="0"/>
    <n v="298881.34000000003"/>
    <s v="USD"/>
    <n v="206.78"/>
    <n v="206.78"/>
    <m/>
    <m/>
    <m/>
    <m/>
    <m/>
    <m/>
    <m/>
    <m/>
    <m/>
    <m/>
    <m/>
    <m/>
    <m/>
    <m/>
    <m/>
    <m/>
    <m/>
    <m/>
    <m/>
    <m/>
    <m/>
    <m/>
    <m/>
    <m/>
    <n v="0"/>
    <n v="0"/>
    <n v="0"/>
    <n v="298881.34000000003"/>
    <n v="206.78"/>
    <n v="206.78"/>
    <m/>
    <m/>
    <m/>
    <m/>
    <n v="39.549999999999997"/>
    <n v="118215.03999999999"/>
    <n v="81.790000000000006"/>
    <n v="81.790000000000006"/>
    <n v="180666.3"/>
    <n v="124.99"/>
    <n v="124.99"/>
    <m/>
    <m/>
    <s v="AR00223485 - SMB_ARG_BancoProvinciaCord_Enero24"/>
    <m/>
    <n v="47720819"/>
    <n v="47720819"/>
    <s v="REACH"/>
    <s v="N"/>
    <m/>
    <s v="Y"/>
  </r>
  <r>
    <s v="IMM INTERNET MEDIA MEXICO S DE RL DE CV"/>
    <n v="3050535"/>
    <n v="41651"/>
    <s v="BancodeCordoba"/>
    <x v="12"/>
    <x v="12"/>
    <d v="2026-02-01T00:00:00"/>
    <x v="49"/>
    <s v="OT473   Ciberdelito Feb26 - Alcance - TWITTER"/>
    <x v="1"/>
    <x v="0"/>
    <n v="0"/>
    <n v="0"/>
    <s v="WOBRA S.A.S."/>
    <s v="WOBRA S.A.S."/>
    <s v="BANCO DE LA PROVINCIA DE CORDOBA S.A."/>
    <n v="5733116"/>
    <n v="40600000"/>
    <d v="2024-01-01T00:00:00"/>
    <d v="2026-04-15T00:00:00"/>
    <s v="ISO"/>
    <s v="120 NET"/>
    <s v="AR"/>
    <s v="MX"/>
    <s v="X Corp."/>
    <n v="10573709"/>
    <d v="2026-02-28T00:00:00"/>
    <x v="0"/>
    <n v="221860.86"/>
    <s v="USD"/>
    <n v="153.49"/>
    <n v="153.49"/>
    <m/>
    <m/>
    <m/>
    <m/>
    <m/>
    <m/>
    <m/>
    <m/>
    <m/>
    <m/>
    <m/>
    <m/>
    <m/>
    <m/>
    <m/>
    <m/>
    <m/>
    <m/>
    <m/>
    <m/>
    <m/>
    <m/>
    <m/>
    <m/>
    <n v="0"/>
    <n v="0"/>
    <n v="0"/>
    <n v="221860.86"/>
    <n v="153.49"/>
    <n v="153.49"/>
    <m/>
    <m/>
    <m/>
    <m/>
    <n v="39.549999999999997"/>
    <n v="87751.51"/>
    <n v="60.71"/>
    <n v="60.71"/>
    <n v="134109.35"/>
    <n v="92.78"/>
    <n v="92.78"/>
    <m/>
    <m/>
    <s v="AR00223485 - SMB_ARG_BancoProvinciaCord_Enero24"/>
    <m/>
    <n v="47720819"/>
    <n v="47720819"/>
    <s v="REACH"/>
    <s v="N"/>
    <m/>
    <s v="Y"/>
  </r>
  <r>
    <s v="IMM INTERNET MEDIA MEXICO S DE RL DE CV"/>
    <n v="3050535"/>
    <n v="41651"/>
    <s v="WBPictures_Ar"/>
    <x v="61"/>
    <x v="57"/>
    <d v="2026-02-01T00:00:00"/>
    <x v="95"/>
    <s v="Warner Argentina   CUMBRES BORRASCOSAS Trend Takeover 2/11"/>
    <x v="0"/>
    <x v="0"/>
    <n v="0"/>
    <n v="0"/>
    <s v="Mindshare Argentina"/>
    <s v="Mindshare Argentina"/>
    <s v="Warner - LATAM"/>
    <n v="268721"/>
    <n v="1755000"/>
    <d v="2026-02-11T00:00:00"/>
    <d v="2026-02-11T00:00:00"/>
    <s v="RES"/>
    <s v="120 NET"/>
    <s v="AR"/>
    <s v="MX"/>
    <s v="X Corp."/>
    <n v="10573626"/>
    <d v="2026-02-28T00:00:00"/>
    <x v="0"/>
    <n v="1755000"/>
    <s v="USD"/>
    <n v="1214.2"/>
    <n v="1214.2"/>
    <m/>
    <m/>
    <m/>
    <m/>
    <m/>
    <m/>
    <m/>
    <m/>
    <m/>
    <m/>
    <m/>
    <m/>
    <m/>
    <m/>
    <m/>
    <m/>
    <m/>
    <m/>
    <m/>
    <m/>
    <m/>
    <m/>
    <m/>
    <m/>
    <n v="0"/>
    <n v="0"/>
    <n v="0"/>
    <n v="1755000"/>
    <n v="1214.2"/>
    <n v="1214.2"/>
    <m/>
    <m/>
    <m/>
    <m/>
    <n v="34"/>
    <n v="596664.9"/>
    <n v="412.8"/>
    <n v="412.8"/>
    <n v="1158335.1000000001"/>
    <n v="801.4"/>
    <n v="801.4"/>
    <m/>
    <s v="Standard + Spotlight"/>
    <s v="Warner Argentina | La Novia"/>
    <m/>
    <n v="262319"/>
    <n v="262319"/>
    <s v="UNKNOWN_OBJECTIVE"/>
    <s v="N"/>
    <m/>
    <s v="Y"/>
  </r>
  <r>
    <s v="IMM INTERNET MEDIA MEXICO S DE RL DE CV"/>
    <n v="3050535"/>
    <n v="41651"/>
    <s v="Flow_ar"/>
    <x v="62"/>
    <x v="58"/>
    <d v="2026-02-01T00:00:00"/>
    <x v="96"/>
    <s v="Flow_ar Timeline Takeover Nivel 1 2026-02-27"/>
    <x v="0"/>
    <x v="0"/>
    <n v="0"/>
    <n v="0"/>
    <s v="Digital Hive Group S.A"/>
    <s v="Digital Hive Group S.A"/>
    <s v="Personal Argentina"/>
    <n v="80883"/>
    <n v="3625356"/>
    <d v="2026-02-27T00:00:00"/>
    <d v="2026-02-27T00:00:00"/>
    <s v="RES"/>
    <s v="120 NET"/>
    <s v="AR"/>
    <s v="MX"/>
    <s v="X Corp."/>
    <n v="10573673"/>
    <d v="2026-02-28T00:00:00"/>
    <x v="0"/>
    <n v="3625356"/>
    <s v="USD"/>
    <n v="2508.21"/>
    <n v="2508.21"/>
    <m/>
    <m/>
    <m/>
    <m/>
    <m/>
    <m/>
    <m/>
    <m/>
    <m/>
    <m/>
    <m/>
    <m/>
    <m/>
    <m/>
    <m/>
    <m/>
    <m/>
    <m/>
    <m/>
    <m/>
    <m/>
    <m/>
    <m/>
    <m/>
    <n v="0"/>
    <n v="0"/>
    <n v="0"/>
    <n v="3625356"/>
    <n v="2508.21"/>
    <n v="2508.21"/>
    <m/>
    <m/>
    <m/>
    <m/>
    <n v="39.549999999999997"/>
    <n v="1433918.93"/>
    <n v="992.06"/>
    <n v="992.06"/>
    <n v="2191437.0699999998"/>
    <n v="1516.15"/>
    <n v="1516.15"/>
    <m/>
    <s v="Timeline Takeover - Tier 1"/>
    <s v="AR00403015 | X | FLOW | Cont - LLQLL - Feb26"/>
    <m/>
    <n v="66013147"/>
    <n v="66013147"/>
    <s v="UNKNOWN_OBJECTIVE"/>
    <s v="N"/>
    <m/>
    <s v="Y"/>
  </r>
  <r>
    <s v="IMM INTERNET MEDIA MEXICO S DE RL DE CV"/>
    <n v="3050535"/>
    <n v="41651"/>
    <s v="almundo_ar"/>
    <x v="16"/>
    <x v="16"/>
    <d v="2026-02-01T00:00:00"/>
    <x v="18"/>
    <s v="Banco Galicia 6 y 12 cuotas"/>
    <x v="1"/>
    <x v="0"/>
    <n v="0"/>
    <n v="0"/>
    <m/>
    <m/>
    <s v="ALMUNDO.COM SRL"/>
    <n v="184672459"/>
    <n v="135550000"/>
    <d v="2024-02-06T00:00:00"/>
    <d v="2026-03-31T00:00:00"/>
    <s v="RES"/>
    <s v="120 NET"/>
    <s v="AR"/>
    <s v="MX"/>
    <s v="X Corp."/>
    <n v="10573710"/>
    <d v="2026-02-28T00:00:00"/>
    <x v="0"/>
    <n v="69366.92"/>
    <s v="USD"/>
    <n v="47.99"/>
    <n v="47.99"/>
    <m/>
    <m/>
    <m/>
    <m/>
    <m/>
    <m/>
    <m/>
    <m/>
    <m/>
    <m/>
    <m/>
    <m/>
    <m/>
    <m/>
    <m/>
    <m/>
    <m/>
    <m/>
    <m/>
    <m/>
    <m/>
    <m/>
    <m/>
    <m/>
    <n v="0"/>
    <n v="0"/>
    <n v="0"/>
    <n v="69366.92"/>
    <n v="47.99"/>
    <n v="47.99"/>
    <m/>
    <m/>
    <m/>
    <m/>
    <n v="39.549999999999997"/>
    <n v="27436.35"/>
    <n v="18.98"/>
    <n v="18.98"/>
    <n v="41930.57"/>
    <n v="29.01"/>
    <n v="29.01"/>
    <m/>
    <m/>
    <s v="AR00226309 - SMB - ARG - X - Al Mundo - Febrero 2024"/>
    <m/>
    <m/>
    <m/>
    <s v="WEBSITE_CLICKS"/>
    <s v="N"/>
    <m/>
    <s v="Y"/>
  </r>
  <r>
    <s v="IMM INTERNET MEDIA MEXICO S DE RL DE CV"/>
    <n v="3050535"/>
    <n v="41651"/>
    <s v="gcba"/>
    <x v="63"/>
    <x v="59"/>
    <d v="2026-02-01T00:00:00"/>
    <x v="97"/>
    <s v="2026   Febrero   Twitter   20   Reach   Salud   Cuidados del Calor 2025 - Sintomas"/>
    <x v="1"/>
    <x v="0"/>
    <n v="0"/>
    <n v="0"/>
    <s v="Gustavo Quiroga E.P.M. S.A."/>
    <s v="Gustavo Quiroga E.P.M. S.A."/>
    <s v="Grupo GCBA"/>
    <n v="265630"/>
    <n v="1000000"/>
    <d v="2026-02-03T00:00:00"/>
    <d v="2026-02-28T00:00:00"/>
    <s v="RES"/>
    <s v="120 NET"/>
    <s v="AR"/>
    <s v="MX"/>
    <s v="X Corp."/>
    <n v="10573712"/>
    <d v="2026-02-28T00:00:00"/>
    <x v="0"/>
    <n v="370590.42"/>
    <s v="USD"/>
    <n v="256.39"/>
    <n v="256.39"/>
    <m/>
    <m/>
    <m/>
    <m/>
    <m/>
    <m/>
    <m/>
    <m/>
    <m/>
    <m/>
    <m/>
    <m/>
    <m/>
    <m/>
    <m/>
    <m/>
    <m/>
    <m/>
    <m/>
    <m/>
    <m/>
    <m/>
    <m/>
    <m/>
    <n v="0"/>
    <n v="0"/>
    <n v="0"/>
    <n v="370590.42"/>
    <n v="256.39"/>
    <n v="256.39"/>
    <m/>
    <m/>
    <m/>
    <m/>
    <n v="22"/>
    <n v="81529.89"/>
    <n v="56.41"/>
    <n v="56.41"/>
    <n v="289060.53000000003"/>
    <n v="199.98"/>
    <n v="199.98"/>
    <m/>
    <m/>
    <s v="AR00404296 - X - Arg - GCBA - Feb26"/>
    <m/>
    <n v="224574"/>
    <n v="224574"/>
    <s v="REACH"/>
    <s v="N"/>
    <m/>
    <s v="Y"/>
  </r>
  <r>
    <s v="IMM INTERNET MEDIA MEXICO S DE RL DE CV"/>
    <n v="3050535"/>
    <n v="41651"/>
    <s v="FernetBrancaARG"/>
    <x v="64"/>
    <x v="27"/>
    <d v="2026-02-01T00:00:00"/>
    <x v="98"/>
    <s v="FernetBrancaARG Standard 2026-02-15"/>
    <x v="0"/>
    <x v="0"/>
    <n v="0"/>
    <n v="0"/>
    <s v="IPG Media Brands S.A."/>
    <s v="IPG Media Brands S.A."/>
    <s v="Fratelli Branca Destilerías S.A."/>
    <n v="110597037"/>
    <n v="1259410"/>
    <d v="2026-02-15T00:00:00"/>
    <d v="2026-02-15T00:00:00"/>
    <s v="DSO"/>
    <s v="120 NET"/>
    <s v="AR"/>
    <s v="MX"/>
    <s v="X Corp."/>
    <n v="10573719"/>
    <d v="2026-02-28T00:00:00"/>
    <x v="0"/>
    <n v="1259410"/>
    <s v="USD"/>
    <n v="871.32"/>
    <n v="871.32"/>
    <m/>
    <m/>
    <m/>
    <m/>
    <m/>
    <m/>
    <m/>
    <m/>
    <m/>
    <m/>
    <m/>
    <m/>
    <m/>
    <m/>
    <m/>
    <m/>
    <m/>
    <m/>
    <m/>
    <m/>
    <m/>
    <m/>
    <m/>
    <m/>
    <n v="0"/>
    <n v="0"/>
    <n v="0"/>
    <n v="1259410"/>
    <n v="871.32"/>
    <n v="871.32"/>
    <m/>
    <m/>
    <m/>
    <m/>
    <n v="22"/>
    <n v="277070.2"/>
    <n v="191.69"/>
    <n v="191.69"/>
    <n v="982339.8"/>
    <n v="679.63"/>
    <n v="679.63"/>
    <m/>
    <s v="Standard + Spotlight"/>
    <s v="AR00405931 - X | Arg | Fernet Branca | Febrero 2026 - trend"/>
    <m/>
    <n v="224554"/>
    <n v="224554"/>
    <s v="UNKNOWN_OBJECTIVE"/>
    <s v="N"/>
    <m/>
    <s v="Y"/>
  </r>
  <r>
    <s v="IMM INTERNET MEDIA MEXICO S DE RL DE CV"/>
    <n v="3050535"/>
    <n v="41651"/>
    <s v="YPFServiclub"/>
    <x v="47"/>
    <x v="45"/>
    <d v="2026-02-01T00:00:00"/>
    <x v="99"/>
    <s v="ypf_combustibles-tw-alcance-season-verano2026_intereses-2025-dic"/>
    <x v="1"/>
    <x v="0"/>
    <n v="0"/>
    <n v="0"/>
    <s v="Carat Argentina S.A."/>
    <s v="Carat Argentina S.A."/>
    <s v="YPF - Argentina"/>
    <n v="292623"/>
    <n v="6763550"/>
    <d v="2025-12-26T00:00:00"/>
    <d v="2026-02-15T00:00:00"/>
    <s v="RES"/>
    <s v="120 NET"/>
    <s v="AR"/>
    <s v="MX"/>
    <s v="X Corp."/>
    <n v="10573736"/>
    <d v="2026-02-28T00:00:00"/>
    <x v="0"/>
    <n v="1010258.42"/>
    <s v="USD"/>
    <n v="698.95"/>
    <n v="698.95"/>
    <m/>
    <m/>
    <m/>
    <m/>
    <m/>
    <m/>
    <m/>
    <m/>
    <m/>
    <m/>
    <m/>
    <m/>
    <m/>
    <m/>
    <m/>
    <m/>
    <m/>
    <m/>
    <m/>
    <m/>
    <m/>
    <m/>
    <m/>
    <m/>
    <n v="0"/>
    <n v="0"/>
    <n v="0"/>
    <n v="1010258.42"/>
    <n v="698.95"/>
    <n v="698.95"/>
    <m/>
    <m/>
    <m/>
    <m/>
    <n v="39.549999999999997"/>
    <n v="399582.46"/>
    <n v="276.45"/>
    <n v="276.45"/>
    <n v="610675.96"/>
    <n v="422.5"/>
    <n v="422.5"/>
    <m/>
    <m/>
    <s v="AR00396284-X-YPF-COMBUSTIBLES-VERANO-Dic/Ene 26"/>
    <m/>
    <n v="224529"/>
    <n v="224529"/>
    <s v="REACH"/>
    <s v="N"/>
    <m/>
    <s v="Y"/>
  </r>
  <r>
    <s v="IMM INTERNET MEDIA MEXICO S DE RL DE CV"/>
    <n v="3050535"/>
    <n v="41651"/>
    <s v="pedidosya"/>
    <x v="65"/>
    <x v="35"/>
    <d v="2026-02-01T00:00:00"/>
    <x v="100"/>
    <s v="pedidosya Timeline Takeover Nivel 1 2026-02-08"/>
    <x v="0"/>
    <x v="0"/>
    <n v="0"/>
    <n v="0"/>
    <m/>
    <m/>
    <s v="Pedidos Ya S.A"/>
    <n v="294134"/>
    <n v="2565000"/>
    <d v="2026-02-08T00:00:00"/>
    <d v="2026-02-08T00:00:00"/>
    <s v="RES"/>
    <s v="120 NET"/>
    <s v="AR"/>
    <s v="MX"/>
    <s v="X Corp."/>
    <n v="10573627"/>
    <d v="2026-02-28T00:00:00"/>
    <x v="0"/>
    <n v="2565000"/>
    <s v="USD"/>
    <n v="1774.6"/>
    <n v="1774.6"/>
    <m/>
    <m/>
    <m/>
    <m/>
    <m/>
    <m/>
    <m/>
    <m/>
    <m/>
    <m/>
    <m/>
    <m/>
    <m/>
    <m/>
    <m/>
    <m/>
    <m/>
    <m/>
    <m/>
    <m/>
    <m/>
    <m/>
    <m/>
    <m/>
    <n v="0"/>
    <n v="0"/>
    <n v="0"/>
    <n v="2565000"/>
    <n v="1774.6"/>
    <n v="1774.6"/>
    <m/>
    <m/>
    <m/>
    <m/>
    <n v="39.549999999999997"/>
    <n v="1014521.63"/>
    <n v="701.9"/>
    <n v="701.9"/>
    <n v="1550478.37"/>
    <n v="1072.7"/>
    <n v="1072.7"/>
    <m/>
    <s v="Timeline Takeover - Tier 1"/>
    <s v="X | PedidosYa AR | Bundles FEB 26"/>
    <m/>
    <m/>
    <m/>
    <s v="UNKNOWN_OBJECTIVE"/>
    <s v="N"/>
    <m/>
    <s v="Y"/>
  </r>
  <r>
    <s v="IMM INTERNET MEDIA MEXICO S DE RL DE CV"/>
    <n v="3050535"/>
    <n v="41651"/>
    <s v="MODO_Arg"/>
    <x v="18"/>
    <x v="18"/>
    <d v="2026-02-01T00:00:00"/>
    <x v="101"/>
    <s v="2025_MODO_BRANDING_PROMO_VEA&amp;DISCO_GEO_TWITTER_NU_AW_DIC"/>
    <x v="1"/>
    <x v="0"/>
    <n v="0"/>
    <n v="0"/>
    <s v="OSA ONE STEP AHEAD S.A"/>
    <s v="OSA ONE STEP AHEAD S.A"/>
    <s v="Play Digital S.A."/>
    <n v="57936819"/>
    <n v="19250000.57"/>
    <d v="2025-12-04T00:00:00"/>
    <d v="2026-02-28T00:00:00"/>
    <s v="DSO"/>
    <s v="120 NET"/>
    <s v="AR"/>
    <s v="MX"/>
    <s v="X Corp."/>
    <n v="10573653"/>
    <d v="2026-02-28T00:00:00"/>
    <x v="0"/>
    <n v="2515517.34"/>
    <s v="USD"/>
    <n v="1740.36"/>
    <n v="1740.36"/>
    <m/>
    <m/>
    <m/>
    <m/>
    <m/>
    <m/>
    <m/>
    <m/>
    <m/>
    <m/>
    <m/>
    <m/>
    <m/>
    <m/>
    <m/>
    <m/>
    <m/>
    <m/>
    <m/>
    <m/>
    <m/>
    <m/>
    <m/>
    <m/>
    <n v="0"/>
    <n v="0"/>
    <n v="0"/>
    <n v="2515517.34"/>
    <n v="1740.36"/>
    <n v="1740.36"/>
    <m/>
    <m/>
    <m/>
    <m/>
    <n v="39.549999999999997"/>
    <n v="994950"/>
    <n v="688.36"/>
    <n v="688.36"/>
    <n v="1520567.34"/>
    <n v="1052"/>
    <n v="1052"/>
    <m/>
    <m/>
    <s v="AR00392411 X | MODO | Cencosud"/>
    <m/>
    <n v="224573"/>
    <n v="224573"/>
    <s v="REACH"/>
    <s v="N"/>
    <m/>
    <s v="Y"/>
  </r>
  <r>
    <s v="IMM INTERNET MEDIA MEXICO S DE RL DE CV"/>
    <n v="3050535"/>
    <n v="41651"/>
    <s v="bancoprovincia"/>
    <x v="20"/>
    <x v="20"/>
    <d v="2026-02-01T00:00:00"/>
    <x v="102"/>
    <s v="2035_sp_2026_spot-plazo-fijo-cuenta-dni_feb_arg_alcance_cpm"/>
    <x v="1"/>
    <x v="0"/>
    <n v="0"/>
    <n v="0"/>
    <s v="SUPER MEDIA S.A"/>
    <s v="SUPER MEDIA S.A"/>
    <s v="Banco Provincia"/>
    <n v="7000116"/>
    <n v="12650000"/>
    <d v="2026-01-13T00:00:00"/>
    <d v="2026-02-28T00:00:00"/>
    <s v="RES"/>
    <s v="120 NET"/>
    <s v="AR"/>
    <s v="MX"/>
    <s v="X Corp."/>
    <n v="10573696"/>
    <d v="2026-02-28T00:00:00"/>
    <x v="0"/>
    <n v="672.64"/>
    <s v="USD"/>
    <n v="0.47"/>
    <n v="0.47"/>
    <m/>
    <m/>
    <m/>
    <m/>
    <m/>
    <m/>
    <m/>
    <m/>
    <m/>
    <m/>
    <m/>
    <m/>
    <m/>
    <m/>
    <m/>
    <m/>
    <m/>
    <m/>
    <m/>
    <m/>
    <m/>
    <m/>
    <m/>
    <m/>
    <n v="0"/>
    <n v="0"/>
    <n v="0"/>
    <n v="672.64"/>
    <n v="0.47"/>
    <n v="0.47"/>
    <m/>
    <m/>
    <m/>
    <m/>
    <n v="39.549999999999997"/>
    <n v="266.05"/>
    <n v="0.18"/>
    <n v="0.18"/>
    <n v="406.59"/>
    <n v="0.28999999999999998"/>
    <n v="0.28999999999999998"/>
    <m/>
    <m/>
    <s v="AR00399019 X | Bapro | ENE 26"/>
    <m/>
    <n v="63304606"/>
    <n v="63304606"/>
    <s v="REACH"/>
    <s v="N"/>
    <m/>
    <s v="Y"/>
  </r>
  <r>
    <s v="IMM INTERNET MEDIA MEXICO S DE RL DE CV"/>
    <n v="3050535"/>
    <n v="41651"/>
    <s v="bancoprovincia"/>
    <x v="20"/>
    <x v="20"/>
    <d v="2026-02-01T00:00:00"/>
    <x v="103"/>
    <s v="2035_sp_2026_rico-en-data-ep9-feb_arg_alcance_cpm"/>
    <x v="1"/>
    <x v="0"/>
    <n v="0"/>
    <n v="0"/>
    <s v="SUPER MEDIA S.A"/>
    <s v="SUPER MEDIA S.A"/>
    <s v="Banco Provincia"/>
    <n v="7000116"/>
    <n v="12650000"/>
    <d v="2026-01-13T00:00:00"/>
    <d v="2026-02-28T00:00:00"/>
    <s v="RES"/>
    <s v="120 NET"/>
    <s v="AR"/>
    <s v="MX"/>
    <s v="X Corp."/>
    <n v="10573696"/>
    <d v="2026-02-28T00:00:00"/>
    <x v="0"/>
    <n v="47860.88"/>
    <s v="USD"/>
    <n v="33.11"/>
    <n v="33.11"/>
    <m/>
    <m/>
    <m/>
    <m/>
    <m/>
    <m/>
    <m/>
    <m/>
    <m/>
    <m/>
    <m/>
    <m/>
    <m/>
    <m/>
    <m/>
    <m/>
    <m/>
    <m/>
    <m/>
    <m/>
    <m/>
    <m/>
    <m/>
    <m/>
    <n v="0"/>
    <n v="0"/>
    <n v="0"/>
    <n v="47860.88"/>
    <n v="33.11"/>
    <n v="33.11"/>
    <m/>
    <m/>
    <m/>
    <m/>
    <n v="39.549999999999997"/>
    <n v="18930.18"/>
    <n v="13.1"/>
    <n v="13.1"/>
    <n v="28930.7"/>
    <n v="20.010000000000002"/>
    <n v="20.010000000000002"/>
    <m/>
    <m/>
    <s v="AR00399019 X | Bapro | ENE 26"/>
    <m/>
    <n v="63304606"/>
    <n v="63304606"/>
    <s v="REACH"/>
    <s v="N"/>
    <m/>
    <s v="Y"/>
  </r>
  <r>
    <s v="IMM INTERNET MEDIA MEXICO S DE RL DE CV"/>
    <n v="3050535"/>
    <n v="41651"/>
    <s v="bancoprovincia"/>
    <x v="20"/>
    <x v="20"/>
    <d v="2026-02-01T00:00:00"/>
    <x v="102"/>
    <s v="2035_sp_2026_spot-plazo-fijo-cuenta-dni_feb_arg_alcance_cpm"/>
    <x v="1"/>
    <x v="0"/>
    <n v="0"/>
    <n v="0"/>
    <s v="SUPER MEDIA S.A"/>
    <s v="SUPER MEDIA S.A"/>
    <s v="Banco Provincia"/>
    <n v="7000116"/>
    <n v="12650000"/>
    <d v="2026-01-13T00:00:00"/>
    <d v="2026-02-28T00:00:00"/>
    <s v="RES"/>
    <s v="120 NET"/>
    <s v="AR"/>
    <s v="MX"/>
    <s v="X Corp."/>
    <n v="10573696"/>
    <d v="2026-02-28T00:00:00"/>
    <x v="0"/>
    <n v="149410.04"/>
    <s v="USD"/>
    <n v="103.37"/>
    <n v="103.37"/>
    <m/>
    <m/>
    <m/>
    <m/>
    <m/>
    <m/>
    <m/>
    <m/>
    <m/>
    <m/>
    <m/>
    <m/>
    <m/>
    <m/>
    <m/>
    <m/>
    <m/>
    <m/>
    <m/>
    <m/>
    <m/>
    <m/>
    <m/>
    <m/>
    <n v="0"/>
    <n v="0"/>
    <n v="0"/>
    <n v="149410.04"/>
    <n v="103.37"/>
    <n v="103.37"/>
    <m/>
    <m/>
    <m/>
    <m/>
    <n v="39.549999999999997"/>
    <n v="59095.41"/>
    <n v="40.89"/>
    <n v="40.89"/>
    <n v="90314.63"/>
    <n v="62.48"/>
    <n v="62.48"/>
    <m/>
    <m/>
    <s v="AR00399019 X | Bapro | ENE 26"/>
    <m/>
    <n v="63304606"/>
    <n v="63304606"/>
    <s v="REACH"/>
    <s v="N"/>
    <m/>
    <s v="Y"/>
  </r>
  <r>
    <s v="IMM INTERNET MEDIA MEXICO S DE RL DE CV"/>
    <n v="3050535"/>
    <n v="41651"/>
    <s v="HipodromoArgPal"/>
    <x v="66"/>
    <x v="60"/>
    <d v="2026-02-01T00:00:00"/>
    <x v="104"/>
    <s v="HipodromoArgPal Estándar 2026-02-13"/>
    <x v="0"/>
    <x v="0"/>
    <n v="0"/>
    <n v="0"/>
    <s v="BI MEDIA S.R.L."/>
    <s v="BI MEDIA S.R.L."/>
    <s v="Hipódromo Argentino de Palermo S.A"/>
    <n v="148610446"/>
    <n v="801900"/>
    <d v="2026-02-13T00:00:00"/>
    <d v="2026-02-13T00:00:00"/>
    <s v="DSO"/>
    <s v="120 NET"/>
    <s v="AR"/>
    <s v="MX"/>
    <s v="X Corp."/>
    <n v="10573735"/>
    <d v="2026-02-28T00:00:00"/>
    <x v="0"/>
    <n v="801900"/>
    <s v="USD"/>
    <n v="554.79999999999995"/>
    <n v="554.79999999999995"/>
    <m/>
    <m/>
    <m/>
    <m/>
    <m/>
    <m/>
    <m/>
    <m/>
    <m/>
    <m/>
    <m/>
    <m/>
    <m/>
    <m/>
    <m/>
    <m/>
    <m/>
    <m/>
    <m/>
    <m/>
    <m/>
    <m/>
    <m/>
    <m/>
    <n v="0"/>
    <n v="0"/>
    <n v="0"/>
    <n v="801900"/>
    <n v="554.79999999999995"/>
    <n v="554.79999999999995"/>
    <m/>
    <m/>
    <m/>
    <m/>
    <n v="39.549999999999997"/>
    <n v="317171.5"/>
    <n v="219.44"/>
    <n v="219.44"/>
    <n v="484728.5"/>
    <n v="335.36"/>
    <n v="335.36"/>
    <m/>
    <s v="Standard + Spotlight"/>
    <s v="AR00380263-X-Hipódromo Sala-Takeover-26"/>
    <m/>
    <n v="192377147"/>
    <n v="192377147"/>
    <s v="UNKNOWN_OBJECTIVE"/>
    <s v="N"/>
    <m/>
    <s v="Y"/>
  </r>
  <r>
    <s v="IMM INTERNET MEDIA MEXICO S DE RL DE CV"/>
    <n v="3050535"/>
    <n v="41651"/>
    <s v="HipodromoArgPal"/>
    <x v="67"/>
    <x v="60"/>
    <d v="2026-02-01T00:00:00"/>
    <x v="105"/>
    <s v="HipodromoArgPal Timeline Takeover Nivel 1 2026-02-13"/>
    <x v="0"/>
    <x v="0"/>
    <n v="0"/>
    <n v="0"/>
    <s v="BI MEDIA S.R.L."/>
    <s v="BI MEDIA S.R.L."/>
    <s v="Hipódromo Argentino de Palermo S.A"/>
    <n v="148610446"/>
    <n v="2308500"/>
    <d v="2026-02-13T00:00:00"/>
    <d v="2026-02-13T00:00:00"/>
    <s v="DSO"/>
    <s v="120 NET"/>
    <s v="AR"/>
    <s v="MX"/>
    <s v="X Corp."/>
    <n v="10573735"/>
    <d v="2026-02-28T00:00:00"/>
    <x v="0"/>
    <n v="2308500"/>
    <s v="USD"/>
    <n v="1597.14"/>
    <n v="1597.14"/>
    <m/>
    <m/>
    <m/>
    <m/>
    <m/>
    <m/>
    <m/>
    <m/>
    <m/>
    <m/>
    <m/>
    <m/>
    <m/>
    <m/>
    <m/>
    <m/>
    <m/>
    <m/>
    <m/>
    <m/>
    <m/>
    <m/>
    <m/>
    <m/>
    <n v="0"/>
    <n v="0"/>
    <n v="0"/>
    <n v="2308500"/>
    <n v="1597.14"/>
    <n v="1597.14"/>
    <m/>
    <m/>
    <m/>
    <m/>
    <n v="39.549999999999997"/>
    <n v="913069.46"/>
    <n v="631.71"/>
    <n v="631.71"/>
    <n v="1395430.54"/>
    <n v="965.43"/>
    <n v="965.43"/>
    <m/>
    <s v="Timeline Takeover - Tier 1"/>
    <s v="AR00380263-X-Hipódromo Sala-Takeover-26"/>
    <m/>
    <n v="192377147"/>
    <n v="192377147"/>
    <s v="UNKNOWN_OBJECTIVE"/>
    <s v="N"/>
    <m/>
    <s v="Y"/>
  </r>
  <r>
    <s v="IMM INTERNET MEDIA MEXICO S DE RL DE CV"/>
    <n v="3050535"/>
    <n v="41651"/>
    <s v="HipodromoArgPal"/>
    <x v="49"/>
    <x v="47"/>
    <d v="2026-02-01T00:00:00"/>
    <x v="106"/>
    <s v="Sala_Trafico_AO2026"/>
    <x v="1"/>
    <x v="0"/>
    <n v="0"/>
    <n v="0"/>
    <s v="BI MEDIA S.R.L."/>
    <s v="BI MEDIA S.R.L."/>
    <s v="Hipódromo Argentino de Palermo S.A"/>
    <n v="148610446"/>
    <n v="15550000"/>
    <d v="2026-01-05T00:00:00"/>
    <d v="2026-02-28T00:00:00"/>
    <s v="DSO"/>
    <s v="120 NET"/>
    <s v="AR"/>
    <s v="MX"/>
    <s v="X Corp."/>
    <n v="10573704"/>
    <d v="2026-02-28T00:00:00"/>
    <x v="0"/>
    <n v="1372869.67"/>
    <s v="USD"/>
    <n v="949.82"/>
    <n v="949.82"/>
    <m/>
    <m/>
    <m/>
    <m/>
    <m/>
    <m/>
    <m/>
    <m/>
    <m/>
    <m/>
    <m/>
    <m/>
    <m/>
    <m/>
    <m/>
    <m/>
    <m/>
    <m/>
    <m/>
    <m/>
    <m/>
    <m/>
    <m/>
    <m/>
    <n v="0"/>
    <n v="0"/>
    <n v="0"/>
    <n v="1372869.67"/>
    <n v="949.82"/>
    <n v="949.82"/>
    <m/>
    <m/>
    <m/>
    <m/>
    <n v="39.549999999999997"/>
    <n v="543004.28"/>
    <n v="375.68"/>
    <n v="375.68"/>
    <n v="829865.39"/>
    <n v="574.14"/>
    <n v="574.14"/>
    <m/>
    <m/>
    <s v="AR00397257-X-Hipódromo de Palermo-Sala-AON 26"/>
    <m/>
    <n v="192377147"/>
    <n v="192377147"/>
    <s v="WEBSITE_CLICKS"/>
    <s v="N"/>
    <m/>
    <s v="Y"/>
  </r>
  <r>
    <s v="IMM INTERNET MEDIA MEXICO S DE RL DE CV"/>
    <n v="3050535"/>
    <n v="41651"/>
    <m/>
    <x v="68"/>
    <x v="61"/>
    <d v="2026-02-01T00:00:00"/>
    <x v="54"/>
    <s v="Event Validation Adjustment"/>
    <x v="1"/>
    <x v="0"/>
    <m/>
    <m/>
    <s v="MMS Comunicaciones Argentina S.A."/>
    <s v="MMS Comunicaciones Argentina S.A."/>
    <s v="Arcos Dorados Argentina"/>
    <n v="100986"/>
    <n v="5500000"/>
    <m/>
    <m/>
    <s v="DSO"/>
    <s v="120 NET"/>
    <s v="AR"/>
    <s v="MX"/>
    <s v="X Corp."/>
    <n v="10573648"/>
    <d v="2026-02-28T00:00:00"/>
    <x v="0"/>
    <n v="-5266.59"/>
    <s v="USD"/>
    <n v="-3.64"/>
    <n v="-3.64"/>
    <m/>
    <m/>
    <m/>
    <m/>
    <m/>
    <m/>
    <m/>
    <m/>
    <m/>
    <m/>
    <m/>
    <m/>
    <m/>
    <m/>
    <m/>
    <m/>
    <m/>
    <m/>
    <m/>
    <m/>
    <m/>
    <m/>
    <m/>
    <m/>
    <n v="0"/>
    <n v="0"/>
    <n v="0"/>
    <n v="-5266.59"/>
    <n v="-3.64"/>
    <n v="-3.64"/>
    <m/>
    <m/>
    <m/>
    <m/>
    <n v="39.549999999999997"/>
    <n v="-2083.0700000000002"/>
    <n v="-1.44"/>
    <n v="-1.44"/>
    <n v="-3183.52"/>
    <n v="-2.2000000000000002"/>
    <n v="-2.2000000000000002"/>
    <m/>
    <m/>
    <s v="AR00397993 | X | MCD ARG | CF-LITTLE MC - Ene/Feb 2026"/>
    <m/>
    <n v="224581"/>
    <n v="224581"/>
    <m/>
    <s v="N"/>
    <m/>
    <s v="Y"/>
  </r>
  <r>
    <s v="IMM INTERNET MEDIA MEXICO S DE RL DE CV"/>
    <n v="3050535"/>
    <n v="41651"/>
    <m/>
    <x v="19"/>
    <x v="19"/>
    <d v="2026-02-01T00:00:00"/>
    <x v="54"/>
    <s v="Event Validation Adjustment"/>
    <x v="1"/>
    <x v="0"/>
    <m/>
    <m/>
    <s v="Carat Argentina S.A."/>
    <s v="Carat Argentina S.A."/>
    <s v="YPF - Argentina"/>
    <n v="292623"/>
    <n v="6195990"/>
    <m/>
    <m/>
    <s v="RES"/>
    <s v="120 NET"/>
    <s v="AR"/>
    <s v="MX"/>
    <s v="X Corp."/>
    <n v="10573682"/>
    <d v="2026-02-28T00:00:00"/>
    <x v="0"/>
    <n v="-4290.3599999999997"/>
    <s v="USD"/>
    <n v="-2.97"/>
    <n v="-2.97"/>
    <m/>
    <m/>
    <m/>
    <m/>
    <m/>
    <m/>
    <m/>
    <m/>
    <m/>
    <m/>
    <m/>
    <m/>
    <m/>
    <m/>
    <m/>
    <m/>
    <m/>
    <m/>
    <m/>
    <m/>
    <m/>
    <m/>
    <m/>
    <m/>
    <n v="0"/>
    <n v="0"/>
    <n v="0"/>
    <n v="-4290.3599999999997"/>
    <n v="-2.97"/>
    <n v="-2.97"/>
    <m/>
    <m/>
    <m/>
    <m/>
    <n v="22"/>
    <n v="-943.88"/>
    <n v="-0.65"/>
    <n v="-0.65"/>
    <n v="-3346.48"/>
    <n v="-2.3199999999999998"/>
    <n v="-2.3199999999999998"/>
    <m/>
    <m/>
    <s v="AR00405920-X-YPF-Boxes-Feb 26"/>
    <m/>
    <n v="224529"/>
    <n v="224529"/>
    <m/>
    <s v="N"/>
    <m/>
    <s v="Y"/>
  </r>
  <r>
    <s v="IMM INTERNET MEDIA MEXICO S DE RL DE CV"/>
    <n v="3050535"/>
    <n v="41651"/>
    <m/>
    <x v="69"/>
    <x v="62"/>
    <d v="2026-02-01T00:00:00"/>
    <x v="54"/>
    <s v="Event Validation Adjustment"/>
    <x v="1"/>
    <x v="0"/>
    <m/>
    <m/>
    <s v="Havas Media Argentina S.A."/>
    <s v="Havas Media Argentina S.A."/>
    <s v="CCU Argentina"/>
    <n v="2801591"/>
    <n v="4000000"/>
    <m/>
    <m/>
    <s v="RES"/>
    <s v="120 NET"/>
    <s v="AR"/>
    <s v="MX"/>
    <s v="X Corp."/>
    <n v="10573623"/>
    <d v="2026-02-28T00:00:00"/>
    <x v="0"/>
    <n v="-2572.21"/>
    <s v="USD"/>
    <n v="-1.78"/>
    <n v="-1.78"/>
    <m/>
    <m/>
    <m/>
    <m/>
    <m/>
    <m/>
    <m/>
    <m/>
    <m/>
    <m/>
    <m/>
    <m/>
    <m/>
    <m/>
    <m/>
    <m/>
    <m/>
    <m/>
    <m/>
    <m/>
    <m/>
    <m/>
    <m/>
    <m/>
    <n v="0"/>
    <n v="0"/>
    <n v="0"/>
    <n v="-2572.21"/>
    <n v="-1.78"/>
    <n v="-1.78"/>
    <m/>
    <m/>
    <m/>
    <m/>
    <n v="39.549999999999997"/>
    <n v="-1017.37"/>
    <n v="-0.7"/>
    <n v="-0.7"/>
    <n v="-1554.84"/>
    <n v="-1.08"/>
    <n v="-1.08"/>
    <m/>
    <m/>
    <s v="AR00403821-CCU-Heineken CREDENCIALES-Feb 26"/>
    <m/>
    <n v="14030950"/>
    <n v="14030950"/>
    <m/>
    <s v="N"/>
    <m/>
    <s v="Y"/>
  </r>
  <r>
    <s v="IMM INTERNET MEDIA MEXICO S DE RL DE CV"/>
    <n v="3050535"/>
    <n v="41651"/>
    <s v="Betfunok"/>
    <x v="70"/>
    <x v="9"/>
    <d v="2026-02-01T00:00:00"/>
    <x v="107"/>
    <s v="Betfunok Timeline Takeover Nivel 1 2026-02-09"/>
    <x v="0"/>
    <x v="0"/>
    <n v="0"/>
    <n v="0"/>
    <s v="BI MEDIA S.R.L."/>
    <s v="BI MEDIA S.R.L."/>
    <s v="Hipódromo Argentino de Palermo S.A"/>
    <n v="148610446"/>
    <n v="2308500"/>
    <d v="2026-02-09T00:00:00"/>
    <d v="2026-02-09T00:00:00"/>
    <s v="DSO"/>
    <s v="120 NET"/>
    <s v="AR"/>
    <s v="MX"/>
    <s v="X Corp."/>
    <n v="10573622"/>
    <d v="2026-02-28T00:00:00"/>
    <x v="0"/>
    <n v="2308500"/>
    <s v="USD"/>
    <n v="1597.14"/>
    <n v="1597.14"/>
    <m/>
    <m/>
    <m/>
    <m/>
    <m/>
    <m/>
    <m/>
    <m/>
    <m/>
    <m/>
    <m/>
    <m/>
    <m/>
    <m/>
    <m/>
    <m/>
    <m/>
    <m/>
    <m/>
    <m/>
    <m/>
    <m/>
    <m/>
    <m/>
    <n v="0"/>
    <n v="0"/>
    <n v="0"/>
    <n v="2308500"/>
    <n v="1597.14"/>
    <n v="1597.14"/>
    <m/>
    <m/>
    <m/>
    <m/>
    <n v="39.549999999999997"/>
    <n v="913069.46"/>
    <n v="631.71"/>
    <n v="631.71"/>
    <n v="1395430.54"/>
    <n v="965.43"/>
    <n v="965.43"/>
    <m/>
    <s v="Timeline Takeover - Tier 1"/>
    <s v="X-Betfun-Takeover-Q1 26 9/2"/>
    <m/>
    <n v="192377147"/>
    <n v="192377147"/>
    <s v="UNKNOWN_OBJECTIVE"/>
    <s v="N"/>
    <m/>
    <s v="Y"/>
  </r>
  <r>
    <s v="IMM INTERNET MEDIA MEXICO S DE RL DE CV"/>
    <n v="3050535"/>
    <n v="41651"/>
    <s v="flybondioficial"/>
    <x v="41"/>
    <x v="40"/>
    <d v="2026-02-01T00:00:00"/>
    <x v="108"/>
    <s v="BULL_FLYBONDI_AR_TWITTER_TRAF_ALWAYSON_PRUEBA"/>
    <x v="1"/>
    <x v="0"/>
    <n v="0"/>
    <n v="0"/>
    <s v="Bullmetrix SRL"/>
    <s v="Bullmetrix SRL"/>
    <s v="Flybondi S.A"/>
    <n v="9235510"/>
    <n v="59571605"/>
    <d v="2024-05-14T00:00:00"/>
    <d v="2026-02-28T00:00:00"/>
    <s v="RES"/>
    <s v="120 NET"/>
    <s v="AR"/>
    <s v="MX"/>
    <s v="X Corp."/>
    <n v="10573711"/>
    <d v="2026-02-28T00:00:00"/>
    <x v="0"/>
    <n v="1208044.6299999999"/>
    <s v="USD"/>
    <n v="835.79"/>
    <n v="835.79"/>
    <m/>
    <m/>
    <m/>
    <m/>
    <m/>
    <m/>
    <m/>
    <m/>
    <m/>
    <m/>
    <m/>
    <m/>
    <m/>
    <m/>
    <m/>
    <m/>
    <m/>
    <m/>
    <m/>
    <m/>
    <m/>
    <m/>
    <m/>
    <m/>
    <n v="0"/>
    <n v="0"/>
    <n v="0"/>
    <n v="1208044.6299999999"/>
    <n v="835.79"/>
    <n v="835.79"/>
    <m/>
    <m/>
    <m/>
    <m/>
    <n v="39.549999999999997"/>
    <n v="477811.85"/>
    <n v="330.57"/>
    <n v="330.57"/>
    <n v="730232.78"/>
    <n v="505.22"/>
    <n v="505.22"/>
    <m/>
    <m/>
    <s v="AR00249217 SMB-X ARG - Flybondi (may - jun 24)"/>
    <m/>
    <n v="136433571"/>
    <n v="136433571"/>
    <s v="WEBSITE_CLICKS"/>
    <s v="N"/>
    <m/>
    <s v="Y"/>
  </r>
  <r>
    <s v="IMM INTERNET MEDIA MEXICO S DE RL DE CV"/>
    <n v="3050535"/>
    <n v="41651"/>
    <s v="pedidosya"/>
    <x v="71"/>
    <x v="63"/>
    <d v="2026-02-01T00:00:00"/>
    <x v="109"/>
    <s v="ps_bra_mix_gro_ma_PY_AR_OBJ-awr_CH-Twitter_CT-XX_[CPM_NAT_ALL]_DmartWeek_Reach-Feb"/>
    <x v="1"/>
    <x v="0"/>
    <n v="0"/>
    <n v="0"/>
    <m/>
    <m/>
    <s v="Pedidos Ya S.A"/>
    <n v="294134"/>
    <n v="12400000"/>
    <d v="2026-02-01T00:00:00"/>
    <d v="2026-02-28T00:00:00"/>
    <s v="RES"/>
    <s v="120 NET"/>
    <s v="AR"/>
    <s v="MX"/>
    <s v="X Corp."/>
    <n v="10573621"/>
    <d v="2026-02-28T00:00:00"/>
    <x v="0"/>
    <n v="12365642.550000001"/>
    <s v="USD"/>
    <n v="8555.19"/>
    <n v="8555.19"/>
    <m/>
    <m/>
    <m/>
    <m/>
    <m/>
    <m/>
    <m/>
    <m/>
    <m/>
    <m/>
    <m/>
    <m/>
    <m/>
    <m/>
    <m/>
    <m/>
    <m/>
    <m/>
    <m/>
    <m/>
    <m/>
    <m/>
    <m/>
    <m/>
    <n v="0"/>
    <n v="0"/>
    <n v="0"/>
    <n v="12365642.550000001"/>
    <n v="8555.19"/>
    <n v="8555.19"/>
    <m/>
    <m/>
    <m/>
    <m/>
    <n v="39.549999999999997"/>
    <n v="4890920.7699999996"/>
    <n v="3383.79"/>
    <n v="3383.79"/>
    <n v="7474721.7800000003"/>
    <n v="5171.3999999999996"/>
    <n v="5171.3999999999996"/>
    <m/>
    <m/>
    <s v="AR00402266 X | PedidosYa AR | dmarts FEB26"/>
    <m/>
    <m/>
    <m/>
    <s v="REACH"/>
    <s v="N"/>
    <m/>
    <s v="Y"/>
  </r>
  <r>
    <s v="IMM INTERNET MEDIA MEXICO S DE RL DE CV"/>
    <n v="3050535"/>
    <n v="41651"/>
    <s v="cocoscap"/>
    <x v="24"/>
    <x v="24"/>
    <d v="2026-02-01T00:00:00"/>
    <x v="32"/>
    <s v="X_AR_BND_AWA_R&amp;F_Fondos"/>
    <x v="1"/>
    <x v="0"/>
    <n v="0"/>
    <n v="0"/>
    <m/>
    <m/>
    <s v="Cocos Capital S.A."/>
    <n v="186932207"/>
    <n v="69550831"/>
    <d v="2024-12-18T00:00:00"/>
    <d v="2026-02-28T00:00:00"/>
    <s v="RES"/>
    <s v="120 NET"/>
    <s v="AR"/>
    <s v="MX"/>
    <s v="X Corp."/>
    <n v="10573629"/>
    <d v="2026-02-28T00:00:00"/>
    <x v="0"/>
    <n v="139714.70000000001"/>
    <s v="USD"/>
    <n v="96.66"/>
    <n v="96.66"/>
    <m/>
    <m/>
    <m/>
    <m/>
    <m/>
    <m/>
    <m/>
    <m/>
    <m/>
    <m/>
    <m/>
    <m/>
    <m/>
    <m/>
    <m/>
    <m/>
    <m/>
    <m/>
    <m/>
    <m/>
    <m/>
    <m/>
    <m/>
    <m/>
    <n v="0"/>
    <n v="0"/>
    <n v="0"/>
    <n v="139714.70000000001"/>
    <n v="96.66"/>
    <n v="96.66"/>
    <m/>
    <m/>
    <m/>
    <m/>
    <n v="39.549999999999997"/>
    <n v="55260.66"/>
    <n v="38.229999999999997"/>
    <n v="38.229999999999997"/>
    <n v="84454.04"/>
    <n v="58.43"/>
    <n v="58.43"/>
    <m/>
    <m/>
    <s v="AR00303899 SMB-X ARG - Cocos Capital - Dic/Ene"/>
    <m/>
    <m/>
    <m/>
    <s v="REACH"/>
    <s v="N"/>
    <m/>
    <s v="Y"/>
  </r>
  <r>
    <s v="IMM INTERNET MEDIA MEXICO S DE RL DE CV"/>
    <n v="3050535"/>
    <n v="41651"/>
    <s v="Supervielle_ARG"/>
    <x v="37"/>
    <x v="37"/>
    <d v="2026-02-01T00:00:00"/>
    <x v="110"/>
    <s v="OB-CAH-IOL-Feb-2026"/>
    <x v="1"/>
    <x v="0"/>
    <n v="0"/>
    <n v="0"/>
    <s v="Digital Hive Group S.A"/>
    <s v="Digital Hive Group S.A"/>
    <s v="Banco Supervielle"/>
    <n v="240194"/>
    <n v="2000000"/>
    <d v="2026-02-01T00:00:00"/>
    <d v="2026-02-28T00:00:00"/>
    <s v="RES"/>
    <s v="120 NET"/>
    <s v="AR"/>
    <s v="MX"/>
    <s v="X Corp."/>
    <n v="10573688"/>
    <d v="2026-02-28T00:00:00"/>
    <x v="0"/>
    <n v="1002600.9"/>
    <s v="USD"/>
    <n v="693.65"/>
    <n v="693.65"/>
    <m/>
    <m/>
    <m/>
    <m/>
    <m/>
    <m/>
    <m/>
    <m/>
    <m/>
    <m/>
    <m/>
    <m/>
    <m/>
    <m/>
    <m/>
    <m/>
    <m/>
    <m/>
    <m/>
    <m/>
    <m/>
    <m/>
    <m/>
    <m/>
    <n v="0"/>
    <n v="0"/>
    <n v="0"/>
    <n v="1002600.9"/>
    <n v="693.65"/>
    <n v="693.65"/>
    <m/>
    <m/>
    <m/>
    <m/>
    <n v="39.549999999999997"/>
    <n v="396553.72"/>
    <n v="274.36"/>
    <n v="274.36"/>
    <n v="606047.18000000005"/>
    <n v="419.29"/>
    <n v="419.29"/>
    <m/>
    <m/>
    <s v="X - Arg - Supervielle - Performance - COE | OB Individuos"/>
    <m/>
    <n v="66013147"/>
    <n v="66013147"/>
    <s v="WEBSITE_CLICKS"/>
    <s v="N"/>
    <m/>
    <s v="Y"/>
  </r>
  <r>
    <s v="IMM INTERNET MEDIA MEXICO S DE RL DE CV"/>
    <n v="3050535"/>
    <n v="41651"/>
    <s v="CervezaBrahma"/>
    <x v="6"/>
    <x v="6"/>
    <d v="2026-02-01T00:00:00"/>
    <x v="111"/>
    <s v="ARG_BRD_BRA_SEDDEBRAHMA_VERANO_NON_ENG_BEY_2026_AMBA_COSTA_CBA"/>
    <x v="1"/>
    <x v="0"/>
    <n v="0"/>
    <n v="0"/>
    <s v="Digital Hive Group S.A"/>
    <s v="Digital Hive Group S.A"/>
    <s v="Cervecería y Maltería Quilmes"/>
    <n v="292695"/>
    <n v="23500000"/>
    <d v="2026-01-01T00:00:00"/>
    <d v="2026-02-28T00:00:00"/>
    <s v="RES"/>
    <s v="120 NET"/>
    <s v="AR"/>
    <s v="MX"/>
    <s v="X Corp."/>
    <n v="10573692"/>
    <d v="2026-02-28T00:00:00"/>
    <x v="0"/>
    <n v="3703283.35"/>
    <s v="USD"/>
    <n v="2562.12"/>
    <n v="2562.12"/>
    <m/>
    <m/>
    <m/>
    <m/>
    <m/>
    <m/>
    <m/>
    <m/>
    <m/>
    <m/>
    <m/>
    <m/>
    <m/>
    <m/>
    <m/>
    <m/>
    <m/>
    <m/>
    <m/>
    <m/>
    <m/>
    <m/>
    <m/>
    <m/>
    <n v="0"/>
    <n v="0"/>
    <n v="0"/>
    <n v="3703283.35"/>
    <n v="2562.12"/>
    <n v="2562.12"/>
    <m/>
    <m/>
    <m/>
    <m/>
    <n v="39.549999999999997"/>
    <n v="1464741.15"/>
    <n v="1013.38"/>
    <n v="1013.38"/>
    <n v="2238542.2000000002"/>
    <n v="1548.74"/>
    <n v="1548.74"/>
    <m/>
    <m/>
    <s v="AR00396561-X-ABI ARG-SED DE BRAHMA VERANO-Ene-25"/>
    <m/>
    <n v="66013147"/>
    <n v="66013147"/>
    <s v="BRAND_ENGAGEMENTS"/>
    <s v="N"/>
    <m/>
    <s v="Y"/>
  </r>
  <r>
    <s v="IMM INTERNET MEDIA MEXICO S DE RL DE CV"/>
    <n v="3050535"/>
    <n v="41651"/>
    <s v="Betfunok"/>
    <x v="72"/>
    <x v="64"/>
    <d v="2026-02-01T00:00:00"/>
    <x v="112"/>
    <s v="Betfun_Alcance_AO2026"/>
    <x v="1"/>
    <x v="0"/>
    <n v="0"/>
    <n v="0"/>
    <s v="BI MEDIA S.R.L."/>
    <s v="BI MEDIA S.R.L."/>
    <s v="Hipódromo Argentino de Palermo S.A"/>
    <n v="148610446"/>
    <n v="3000000"/>
    <d v="2026-01-05T00:00:00"/>
    <d v="2026-03-31T00:00:00"/>
    <s v="DSO"/>
    <s v="120 NET"/>
    <s v="AR"/>
    <s v="MX"/>
    <s v="X Corp."/>
    <n v="10573737"/>
    <d v="2026-02-28T00:00:00"/>
    <x v="0"/>
    <n v="33339.49"/>
    <s v="USD"/>
    <n v="23.07"/>
    <n v="23.07"/>
    <m/>
    <m/>
    <m/>
    <m/>
    <m/>
    <m/>
    <m/>
    <m/>
    <m/>
    <m/>
    <m/>
    <m/>
    <m/>
    <m/>
    <m/>
    <m/>
    <m/>
    <m/>
    <m/>
    <m/>
    <m/>
    <m/>
    <m/>
    <m/>
    <n v="0"/>
    <n v="0"/>
    <n v="0"/>
    <n v="33339.49"/>
    <n v="23.07"/>
    <n v="23.07"/>
    <m/>
    <m/>
    <m/>
    <m/>
    <n v="39.549999999999997"/>
    <n v="13186.6"/>
    <n v="9.1199999999999992"/>
    <n v="9.1199999999999992"/>
    <n v="20152.89"/>
    <n v="13.95"/>
    <n v="13.95"/>
    <m/>
    <m/>
    <s v="AR00397261-X-Hipódromo de Palermo-Betfun-AON 26"/>
    <m/>
    <n v="192377147"/>
    <n v="192377147"/>
    <s v="REACH"/>
    <s v="N"/>
    <m/>
    <s v="Y"/>
  </r>
  <r>
    <s v="IMM INTERNET MEDIA MEXICO S DE RL DE CV"/>
    <n v="3050535"/>
    <n v="41651"/>
    <s v="ML_Argentina"/>
    <x v="73"/>
    <x v="65"/>
    <d v="2026-02-01T00:00:00"/>
    <x v="113"/>
    <s v="MLA_ML_TW-TWT_GEN_X_FE-DD-X_ALL_REACH_DD-02_X_77419279"/>
    <x v="1"/>
    <x v="0"/>
    <n v="0"/>
    <n v="0"/>
    <s v="IPG Media Brands S.A."/>
    <s v="IPG Media Brands S.A."/>
    <s v="MercadoLibre S.R.L."/>
    <n v="821027"/>
    <n v="13092970"/>
    <d v="2026-01-19T00:00:00"/>
    <d v="2026-02-02T00:00:00"/>
    <s v="DSO"/>
    <s v="120 NET"/>
    <s v="AR"/>
    <s v="MX"/>
    <s v="X Corp."/>
    <n v="10573639"/>
    <d v="2026-02-28T00:00:00"/>
    <x v="0"/>
    <n v="1745729.16"/>
    <s v="USD"/>
    <n v="1207.79"/>
    <n v="1207.79"/>
    <m/>
    <m/>
    <m/>
    <m/>
    <m/>
    <m/>
    <m/>
    <m/>
    <m/>
    <m/>
    <m/>
    <m/>
    <m/>
    <m/>
    <m/>
    <m/>
    <m/>
    <m/>
    <m/>
    <m/>
    <m/>
    <m/>
    <m/>
    <m/>
    <n v="0"/>
    <n v="0"/>
    <n v="0"/>
    <n v="1745729.16"/>
    <n v="1207.79"/>
    <n v="1207.79"/>
    <m/>
    <m/>
    <m/>
    <m/>
    <n v="34"/>
    <n v="593513"/>
    <n v="410.62"/>
    <n v="410.62"/>
    <n v="1152216.1599999999"/>
    <n v="797.17"/>
    <n v="797.17"/>
    <m/>
    <m/>
    <s v="MLA | Fecha Doble 2/2"/>
    <m/>
    <n v="224554"/>
    <n v="224554"/>
    <s v="REACH"/>
    <s v="N"/>
    <m/>
    <s v="Y"/>
  </r>
  <r>
    <s v="IMM INTERNET MEDIA MEXICO S DE RL DE CV"/>
    <n v="3050535"/>
    <n v="41651"/>
    <s v="Flow_ar"/>
    <x v="74"/>
    <x v="58"/>
    <d v="2026-02-01T00:00:00"/>
    <x v="114"/>
    <s v="Flow_ar Estándar 2026-02-27"/>
    <x v="0"/>
    <x v="0"/>
    <n v="0"/>
    <n v="0"/>
    <s v="Digital Hive Group S.A"/>
    <s v="Digital Hive Group S.A"/>
    <s v="Personal Argentina"/>
    <n v="80883"/>
    <n v="1259410"/>
    <d v="2026-02-27T00:00:00"/>
    <d v="2026-02-27T00:00:00"/>
    <s v="RES"/>
    <s v="120 NET"/>
    <s v="AR"/>
    <s v="MX"/>
    <s v="X Corp."/>
    <n v="10573673"/>
    <d v="2026-02-28T00:00:00"/>
    <x v="0"/>
    <n v="1259410"/>
    <s v="USD"/>
    <n v="871.32"/>
    <n v="871.32"/>
    <m/>
    <m/>
    <m/>
    <m/>
    <m/>
    <m/>
    <m/>
    <m/>
    <m/>
    <m/>
    <m/>
    <m/>
    <m/>
    <m/>
    <m/>
    <m/>
    <m/>
    <m/>
    <m/>
    <m/>
    <m/>
    <m/>
    <m/>
    <m/>
    <n v="0"/>
    <n v="0"/>
    <n v="0"/>
    <n v="1259410"/>
    <n v="871.32"/>
    <n v="871.32"/>
    <m/>
    <m/>
    <m/>
    <m/>
    <n v="39.549999999999997"/>
    <n v="498128.14"/>
    <n v="344.63"/>
    <n v="344.63"/>
    <n v="761281.86"/>
    <n v="526.69000000000005"/>
    <n v="526.69000000000005"/>
    <m/>
    <s v="Standard + Spotlight"/>
    <s v="AR00403015 | X | FLOW | Cont - LLQLL - Feb26"/>
    <m/>
    <n v="66013147"/>
    <n v="66013147"/>
    <s v="UNKNOWN_OBJECTIVE"/>
    <s v="N"/>
    <m/>
    <s v="Y"/>
  </r>
  <r>
    <s v="IMM INTERNET MEDIA MEXICO S DE RL DE CV"/>
    <n v="3050535"/>
    <n v="41651"/>
    <s v="redbullARG"/>
    <x v="58"/>
    <x v="54"/>
    <d v="2026-02-01T00:00:00"/>
    <x v="115"/>
    <s v="17802_V3_P_2026_ARG_ISEDITION_TOTDIGOTH"/>
    <x v="1"/>
    <x v="0"/>
    <n v="0"/>
    <n v="0"/>
    <s v="Digital Hive Group S.A"/>
    <m/>
    <s v="Red Bull Argentina"/>
    <n v="109915"/>
    <n v="8133235"/>
    <d v="2026-01-01T00:00:00"/>
    <d v="2026-02-28T00:00:00"/>
    <s v="RES"/>
    <s v="120 NET"/>
    <s v="AR"/>
    <s v="MX"/>
    <s v="X Corp."/>
    <n v="10573679"/>
    <d v="2026-02-28T00:00:00"/>
    <x v="0"/>
    <n v="4134155.88"/>
    <s v="USD"/>
    <n v="2860.22"/>
    <n v="2860.22"/>
    <m/>
    <m/>
    <m/>
    <m/>
    <m/>
    <m/>
    <m/>
    <m/>
    <m/>
    <m/>
    <m/>
    <m/>
    <m/>
    <m/>
    <m/>
    <m/>
    <m/>
    <m/>
    <m/>
    <m/>
    <m/>
    <m/>
    <m/>
    <m/>
    <n v="0"/>
    <n v="0"/>
    <n v="0"/>
    <n v="4134155.88"/>
    <n v="2860.22"/>
    <n v="2860.22"/>
    <m/>
    <m/>
    <m/>
    <m/>
    <n v="39.549999999999997"/>
    <n v="1635162"/>
    <n v="1131.29"/>
    <n v="1131.29"/>
    <n v="2498993.88"/>
    <n v="1728.93"/>
    <n v="1728.93"/>
    <m/>
    <m/>
    <s v="AR00393374 - X - Arg - Red Bull - Summer - Q1 2026"/>
    <m/>
    <n v="66013147"/>
    <m/>
    <s v="VIDEO_VIEWS"/>
    <s v="N"/>
    <m/>
    <s v="Y"/>
  </r>
  <r>
    <s v="IMM INTERNET MEDIA MEXICO S DE RL DE CV"/>
    <n v="3050535"/>
    <n v="41651"/>
    <s v="WBPictures_Ar"/>
    <x v="75"/>
    <x v="57"/>
    <d v="2026-02-01T00:00:00"/>
    <x v="116"/>
    <s v="WLA_ARG CUMBRES BORRASCOSAS Prelaunch-X CPI Q1_2026"/>
    <x v="1"/>
    <x v="0"/>
    <n v="0"/>
    <n v="0"/>
    <s v="Mindshare Argentina"/>
    <s v="Mindshare Argentina"/>
    <s v="Warner - LATAM"/>
    <n v="268721"/>
    <n v="2700000"/>
    <d v="2026-02-02T00:00:00"/>
    <d v="2026-02-19T00:00:00"/>
    <s v="RES"/>
    <s v="120 NET"/>
    <s v="AR"/>
    <s v="MX"/>
    <s v="X Corp."/>
    <n v="10573626"/>
    <d v="2026-02-28T00:00:00"/>
    <x v="0"/>
    <n v="770437.75"/>
    <s v="USD"/>
    <n v="533.03"/>
    <n v="533.03"/>
    <m/>
    <m/>
    <m/>
    <m/>
    <m/>
    <m/>
    <m/>
    <m/>
    <m/>
    <m/>
    <m/>
    <m/>
    <m/>
    <m/>
    <m/>
    <m/>
    <m/>
    <m/>
    <m/>
    <m/>
    <m/>
    <m/>
    <m/>
    <m/>
    <n v="0"/>
    <n v="0"/>
    <n v="0"/>
    <n v="770437.75"/>
    <n v="533.03"/>
    <n v="533.03"/>
    <m/>
    <m/>
    <m/>
    <m/>
    <n v="34"/>
    <n v="261933.42"/>
    <n v="181.22"/>
    <n v="181.22"/>
    <n v="508504.33"/>
    <n v="351.81"/>
    <n v="351.81"/>
    <m/>
    <m/>
    <s v="Warner Argentina | La Novia"/>
    <m/>
    <n v="262319"/>
    <n v="262319"/>
    <s v="BRAND_ENGAGEMENTS"/>
    <s v="N"/>
    <m/>
    <s v="Y"/>
  </r>
  <r>
    <s v="IMM INTERNET MEDIA MEXICO S DE RL DE CV"/>
    <n v="3050535"/>
    <n v="41651"/>
    <s v="WBPictures_Ar"/>
    <x v="75"/>
    <x v="57"/>
    <d v="2026-02-01T00:00:00"/>
    <x v="117"/>
    <s v="WLA_ARG CUMBRES BORRASCOSAS Launch-X CPI Q1_2026"/>
    <x v="1"/>
    <x v="0"/>
    <n v="0"/>
    <n v="0"/>
    <s v="Mindshare Argentina"/>
    <s v="Mindshare Argentina"/>
    <s v="Warner - LATAM"/>
    <n v="268721"/>
    <n v="2700000"/>
    <d v="2026-02-02T00:00:00"/>
    <d v="2026-02-19T00:00:00"/>
    <s v="RES"/>
    <s v="120 NET"/>
    <s v="AR"/>
    <s v="MX"/>
    <s v="X Corp."/>
    <n v="10573626"/>
    <d v="2026-02-28T00:00:00"/>
    <x v="0"/>
    <n v="643873.17000000004"/>
    <s v="USD"/>
    <n v="445.46"/>
    <n v="445.46"/>
    <m/>
    <m/>
    <m/>
    <m/>
    <m/>
    <m/>
    <m/>
    <m/>
    <m/>
    <m/>
    <m/>
    <m/>
    <m/>
    <m/>
    <m/>
    <m/>
    <m/>
    <m/>
    <m/>
    <m/>
    <m/>
    <m/>
    <m/>
    <m/>
    <n v="0"/>
    <n v="0"/>
    <n v="0"/>
    <n v="643873.17000000004"/>
    <n v="445.46"/>
    <n v="445.46"/>
    <m/>
    <m/>
    <m/>
    <m/>
    <n v="34"/>
    <n v="218904"/>
    <n v="151.44999999999999"/>
    <n v="151.44999999999999"/>
    <n v="424969.17"/>
    <n v="294.01"/>
    <n v="294.01"/>
    <m/>
    <m/>
    <s v="Warner Argentina | La Novia"/>
    <m/>
    <n v="262319"/>
    <n v="262319"/>
    <s v="BRAND_ENGAGEMENTS"/>
    <s v="N"/>
    <m/>
    <s v="Y"/>
  </r>
  <r>
    <s v="IMM INTERNET MEDIA MEXICO S DE RL DE CV"/>
    <n v="3050535"/>
    <n v="41651"/>
    <s v="assistcard"/>
    <x v="60"/>
    <x v="56"/>
    <d v="2026-02-01T00:00:00"/>
    <x v="118"/>
    <s v="AR_Traffic_Prosp_X"/>
    <x v="1"/>
    <x v="0"/>
    <n v="0"/>
    <n v="0"/>
    <m/>
    <m/>
    <s v="Assist Card Argentina"/>
    <n v="5134575"/>
    <n v="29815800"/>
    <d v="2026-01-09T00:00:00"/>
    <d v="2026-06-30T00:00:00"/>
    <s v="RES"/>
    <s v="120 NET"/>
    <s v="AR"/>
    <s v="MX"/>
    <s v="X Corp."/>
    <n v="10573666"/>
    <d v="2026-02-28T00:00:00"/>
    <x v="0"/>
    <n v="756717.76"/>
    <s v="USD"/>
    <n v="523.54"/>
    <n v="523.54"/>
    <m/>
    <m/>
    <m/>
    <m/>
    <m/>
    <m/>
    <m/>
    <m/>
    <m/>
    <m/>
    <m/>
    <m/>
    <m/>
    <m/>
    <m/>
    <m/>
    <m/>
    <m/>
    <m/>
    <m/>
    <m/>
    <m/>
    <m/>
    <m/>
    <n v="0"/>
    <n v="0"/>
    <n v="0"/>
    <n v="756717.76"/>
    <n v="523.54"/>
    <n v="523.54"/>
    <m/>
    <m/>
    <m/>
    <m/>
    <n v="39.549999999999997"/>
    <n v="299300.78999999998"/>
    <n v="207.07"/>
    <n v="207.07"/>
    <n v="457416.97"/>
    <n v="316.47000000000003"/>
    <n v="316.47000000000003"/>
    <m/>
    <m/>
    <s v="AR00398290 | X | Assist Card AR | 2026"/>
    <m/>
    <m/>
    <m/>
    <s v="WEBSITE_CLICKS"/>
    <s v="N"/>
    <m/>
    <s v="Y"/>
  </r>
  <r>
    <s v="IMM INTERNET MEDIA MEXICO S DE RL DE CV"/>
    <n v="3050535"/>
    <n v="41651"/>
    <s v="YPFoficial"/>
    <x v="76"/>
    <x v="66"/>
    <d v="2026-02-01T00:00:00"/>
    <x v="119"/>
    <s v="ypf_full-tw-alcance-season-fullpistacho-2026-feb"/>
    <x v="1"/>
    <x v="0"/>
    <n v="0"/>
    <n v="0"/>
    <s v="Carat Argentina S.A."/>
    <s v="Carat Argentina S.A."/>
    <s v="YPF - Argentina"/>
    <n v="292623"/>
    <n v="1585096.5"/>
    <d v="2026-02-23T00:00:00"/>
    <d v="2026-02-28T00:00:00"/>
    <s v="RES"/>
    <s v="120 NET"/>
    <s v="AR"/>
    <s v="MX"/>
    <s v="X Corp."/>
    <n v="10573674"/>
    <d v="2026-02-28T00:00:00"/>
    <x v="0"/>
    <n v="1585096.5"/>
    <s v="USD"/>
    <n v="1096.6500000000001"/>
    <n v="1096.6500000000001"/>
    <m/>
    <m/>
    <m/>
    <m/>
    <m/>
    <m/>
    <m/>
    <m/>
    <m/>
    <m/>
    <m/>
    <m/>
    <m/>
    <m/>
    <m/>
    <m/>
    <m/>
    <m/>
    <m/>
    <m/>
    <m/>
    <m/>
    <m/>
    <m/>
    <n v="0"/>
    <n v="0"/>
    <n v="0"/>
    <n v="1585096.5"/>
    <n v="1096.6500000000001"/>
    <n v="1096.6500000000001"/>
    <m/>
    <m/>
    <m/>
    <m/>
    <n v="22"/>
    <n v="348721.23"/>
    <n v="241.26"/>
    <n v="241.26"/>
    <n v="1236375.27"/>
    <n v="855.39"/>
    <n v="855.39"/>
    <m/>
    <m/>
    <s v="AR00407753-X-YPF-FULL PISTACHO-Feb 26"/>
    <m/>
    <n v="224529"/>
    <n v="224529"/>
    <s v="REACH"/>
    <s v="N"/>
    <m/>
    <s v="Y"/>
  </r>
  <r>
    <s v="IMM INTERNET MEDIA MEXICO S DE RL DE CV"/>
    <n v="3050535"/>
    <n v="41651"/>
    <s v="BancodeCordoba"/>
    <x v="12"/>
    <x v="12"/>
    <d v="2026-02-01T00:00:00"/>
    <x v="47"/>
    <s v="OT429-V3   Cordobesa Verano - Alcance - Twitter - PROMO PEAJE"/>
    <x v="1"/>
    <x v="0"/>
    <n v="0"/>
    <n v="0"/>
    <s v="WOBRA S.A.S."/>
    <s v="WOBRA S.A.S."/>
    <s v="BANCO DE LA PROVINCIA DE CORDOBA S.A."/>
    <n v="5733116"/>
    <n v="40600000"/>
    <d v="2024-01-01T00:00:00"/>
    <d v="2026-03-31T00:00:00"/>
    <s v="ISO"/>
    <s v="120 NET"/>
    <s v="AR"/>
    <s v="MX"/>
    <s v="X Corp."/>
    <n v="10573709"/>
    <d v="2026-02-28T00:00:00"/>
    <x v="0"/>
    <n v="4434.1499999999996"/>
    <s v="USD"/>
    <n v="3.07"/>
    <n v="3.07"/>
    <m/>
    <m/>
    <m/>
    <m/>
    <m/>
    <m/>
    <m/>
    <m/>
    <m/>
    <m/>
    <m/>
    <m/>
    <m/>
    <m/>
    <m/>
    <m/>
    <m/>
    <m/>
    <m/>
    <m/>
    <m/>
    <m/>
    <m/>
    <m/>
    <n v="0"/>
    <n v="0"/>
    <n v="0"/>
    <n v="4434.1499999999996"/>
    <n v="3.07"/>
    <n v="3.07"/>
    <m/>
    <m/>
    <m/>
    <m/>
    <n v="39.549999999999997"/>
    <n v="1753.82"/>
    <n v="1.21"/>
    <n v="1.21"/>
    <n v="2680.33"/>
    <n v="1.86"/>
    <n v="1.86"/>
    <m/>
    <m/>
    <s v="AR00223485 - SMB_ARG_BancoProvinciaCord_Enero24"/>
    <m/>
    <n v="47720819"/>
    <n v="47720819"/>
    <s v="REACH"/>
    <s v="N"/>
    <m/>
    <s v="Y"/>
  </r>
  <r>
    <s v="IMM INTERNET MEDIA MEXICO S DE RL DE CV"/>
    <n v="3050535"/>
    <n v="41651"/>
    <s v="BancodeCordoba"/>
    <x v="12"/>
    <x v="12"/>
    <d v="2026-02-01T00:00:00"/>
    <x v="14"/>
    <s v="OT470   Inversiones Feb26 - Tráfico - TWITTER"/>
    <x v="1"/>
    <x v="0"/>
    <n v="0"/>
    <n v="0"/>
    <s v="WOBRA S.A.S."/>
    <s v="WOBRA S.A.S."/>
    <s v="BANCO DE LA PROVINCIA DE CORDOBA S.A."/>
    <n v="5733116"/>
    <n v="40600000"/>
    <d v="2024-01-01T00:00:00"/>
    <d v="2026-04-15T00:00:00"/>
    <s v="ISO"/>
    <s v="120 NET"/>
    <s v="AR"/>
    <s v="MX"/>
    <s v="X Corp."/>
    <n v="10573709"/>
    <d v="2026-02-28T00:00:00"/>
    <x v="0"/>
    <n v="79791.02"/>
    <s v="USD"/>
    <n v="55.2"/>
    <n v="55.2"/>
    <m/>
    <m/>
    <m/>
    <m/>
    <m/>
    <m/>
    <m/>
    <m/>
    <m/>
    <m/>
    <m/>
    <m/>
    <m/>
    <m/>
    <m/>
    <m/>
    <m/>
    <m/>
    <m/>
    <m/>
    <m/>
    <m/>
    <m/>
    <m/>
    <n v="0"/>
    <n v="0"/>
    <n v="0"/>
    <n v="79791.02"/>
    <n v="55.2"/>
    <n v="55.2"/>
    <m/>
    <m/>
    <m/>
    <m/>
    <n v="39.549999999999997"/>
    <n v="31559.34"/>
    <n v="21.83"/>
    <n v="21.83"/>
    <n v="48231.68"/>
    <n v="33.369999999999997"/>
    <n v="33.369999999999997"/>
    <m/>
    <m/>
    <s v="AR00223485 - SMB_ARG_BancoProvinciaCord_Enero24"/>
    <m/>
    <n v="47720819"/>
    <n v="47720819"/>
    <s v="WEBSITE_CLICKS"/>
    <s v="N"/>
    <m/>
    <s v="Y"/>
  </r>
  <r>
    <s v="IMM INTERNET MEDIA MEXICO S DE RL DE CV"/>
    <n v="3050535"/>
    <n v="41651"/>
    <s v="BancoGalicia"/>
    <x v="77"/>
    <x v="67"/>
    <d v="2026-02-01T00:00:00"/>
    <x v="120"/>
    <s v="BG_LOYALTY_PLAN-PIX_ALCANCE_FEBRERO_2026"/>
    <x v="1"/>
    <x v="0"/>
    <n v="0"/>
    <n v="0"/>
    <s v="Digital Soul SA"/>
    <s v="Digital Soul SA"/>
    <s v="Banco Galicia"/>
    <n v="26599"/>
    <n v="2500000"/>
    <d v="2026-02-01T00:00:00"/>
    <d v="2026-02-28T00:00:00"/>
    <s v="RES"/>
    <s v="120 NET"/>
    <s v="AR"/>
    <s v="MX"/>
    <s v="X Corp."/>
    <n v="10573624"/>
    <d v="2026-02-28T00:00:00"/>
    <x v="0"/>
    <n v="2489548.4"/>
    <s v="USD"/>
    <n v="1722.4"/>
    <n v="1722.4"/>
    <m/>
    <m/>
    <m/>
    <m/>
    <m/>
    <m/>
    <m/>
    <m/>
    <m/>
    <m/>
    <m/>
    <m/>
    <m/>
    <m/>
    <m/>
    <m/>
    <m/>
    <m/>
    <m/>
    <m/>
    <m/>
    <m/>
    <m/>
    <m/>
    <n v="0"/>
    <n v="0"/>
    <n v="0"/>
    <n v="2489548.4"/>
    <n v="1722.4"/>
    <n v="1722.4"/>
    <m/>
    <m/>
    <m/>
    <m/>
    <n v="39.549999999999997"/>
    <n v="984678.63"/>
    <n v="681.25"/>
    <n v="681.25"/>
    <n v="1504869.77"/>
    <n v="1041.1500000000001"/>
    <n v="1041.1500000000001"/>
    <m/>
    <m/>
    <s v="AR00403301 | X | Arg | Galicia | Febrero 2026"/>
    <m/>
    <n v="10284403"/>
    <n v="10284403"/>
    <s v="REACH"/>
    <s v="N"/>
    <m/>
    <s v="Y"/>
  </r>
  <r>
    <s v="IMM INTERNET MEDIA MEXICO S DE RL DE CV"/>
    <n v="3050535"/>
    <n v="41651"/>
    <s v="gcba"/>
    <x v="63"/>
    <x v="59"/>
    <d v="2026-02-01T00:00:00"/>
    <x v="121"/>
    <s v="2026   Febrero   Twitter   20   Reach   Encuentro   Cuidados del Calor 2025 - Prevencion"/>
    <x v="1"/>
    <x v="0"/>
    <n v="0"/>
    <n v="0"/>
    <s v="Gustavo Quiroga E.P.M. S.A."/>
    <s v="Gustavo Quiroga E.P.M. S.A."/>
    <s v="Grupo GCBA"/>
    <n v="265630"/>
    <n v="1000000"/>
    <d v="2026-02-03T00:00:00"/>
    <d v="2026-02-28T00:00:00"/>
    <s v="RES"/>
    <s v="120 NET"/>
    <s v="AR"/>
    <s v="MX"/>
    <s v="X Corp."/>
    <n v="10573712"/>
    <d v="2026-02-28T00:00:00"/>
    <x v="0"/>
    <n v="379349.07"/>
    <s v="USD"/>
    <n v="262.45"/>
    <n v="262.45"/>
    <m/>
    <m/>
    <m/>
    <m/>
    <m/>
    <m/>
    <m/>
    <m/>
    <m/>
    <m/>
    <m/>
    <m/>
    <m/>
    <m/>
    <m/>
    <m/>
    <m/>
    <m/>
    <m/>
    <m/>
    <m/>
    <m/>
    <m/>
    <m/>
    <n v="0"/>
    <n v="0"/>
    <n v="0"/>
    <n v="379349.07"/>
    <n v="262.45"/>
    <n v="262.45"/>
    <m/>
    <m/>
    <m/>
    <m/>
    <n v="22"/>
    <n v="83456.800000000003"/>
    <n v="57.74"/>
    <n v="57.74"/>
    <n v="295892.27"/>
    <n v="204.71"/>
    <n v="204.71"/>
    <m/>
    <m/>
    <s v="AR00404296 - X - Arg - GCBA - Feb26"/>
    <m/>
    <n v="224574"/>
    <n v="224574"/>
    <s v="REACH"/>
    <s v="N"/>
    <m/>
    <s v="Y"/>
  </r>
  <r>
    <s v="IMM INTERNET MEDIA MEXICO S DE RL DE CV"/>
    <n v="3050535"/>
    <n v="41651"/>
    <s v="Flow_ar"/>
    <x v="78"/>
    <x v="68"/>
    <d v="2026-02-01T00:00:00"/>
    <x v="122"/>
    <s v="FW_CONT_LLQLL_EXBRD_BRD_NAC_REACH_X"/>
    <x v="1"/>
    <x v="0"/>
    <n v="0"/>
    <n v="0"/>
    <s v="Digital Hive Group S.A"/>
    <s v="Digital Hive Group S.A"/>
    <s v="Personal Argentina"/>
    <n v="80883"/>
    <n v="5000000"/>
    <d v="2026-02-03T00:00:00"/>
    <d v="2026-03-19T00:00:00"/>
    <s v="RES"/>
    <s v="120 NET"/>
    <s v="AR"/>
    <s v="MX"/>
    <s v="X Corp."/>
    <n v="10573729"/>
    <d v="2026-02-28T00:00:00"/>
    <x v="0"/>
    <n v="997649.16"/>
    <s v="USD"/>
    <n v="690.23"/>
    <n v="690.23"/>
    <m/>
    <m/>
    <m/>
    <m/>
    <m/>
    <m/>
    <m/>
    <m/>
    <m/>
    <m/>
    <m/>
    <m/>
    <m/>
    <m/>
    <m/>
    <m/>
    <m/>
    <m/>
    <m/>
    <m/>
    <m/>
    <m/>
    <m/>
    <m/>
    <n v="0"/>
    <n v="0"/>
    <n v="0"/>
    <n v="997649.16"/>
    <n v="690.23"/>
    <n v="690.23"/>
    <m/>
    <m/>
    <m/>
    <m/>
    <n v="22"/>
    <n v="219482.81"/>
    <n v="151.85"/>
    <n v="151.85"/>
    <n v="778166.35"/>
    <n v="538.38"/>
    <n v="538.38"/>
    <m/>
    <m/>
    <s v="AR00404195 | X | FLOW | Contenidos - LLQLL - Feb/Mar 26"/>
    <m/>
    <n v="66013147"/>
    <n v="66013147"/>
    <s v="VIDEO_VIEWS"/>
    <s v="N"/>
    <m/>
    <s v="Y"/>
  </r>
  <r>
    <s v="IMM INTERNET MEDIA MEXICO S DE RL DE CV"/>
    <n v="3050535"/>
    <n v="41651"/>
    <s v="LilianaElectros"/>
    <x v="79"/>
    <x v="69"/>
    <d v="2026-02-01T00:00:00"/>
    <x v="123"/>
    <s v="Liliana   Always On   General  2025"/>
    <x v="1"/>
    <x v="0"/>
    <n v="0"/>
    <n v="0"/>
    <s v="iProspect - Argentina"/>
    <s v="iProspect - Argentina"/>
    <s v="Liliana SRL"/>
    <n v="123698582"/>
    <n v="15001678"/>
    <d v="2024-10-02T00:00:00"/>
    <d v="2026-02-28T00:00:00"/>
    <s v="ISO"/>
    <s v="120 NET"/>
    <s v="AR"/>
    <s v="MX"/>
    <s v="X Corp."/>
    <n v="10573619"/>
    <d v="2026-02-28T00:00:00"/>
    <x v="0"/>
    <n v="1269863.22"/>
    <s v="USD"/>
    <n v="878.56"/>
    <n v="878.56"/>
    <m/>
    <m/>
    <m/>
    <m/>
    <m/>
    <m/>
    <m/>
    <m/>
    <m/>
    <m/>
    <m/>
    <m/>
    <m/>
    <m/>
    <m/>
    <m/>
    <m/>
    <m/>
    <m/>
    <m/>
    <m/>
    <m/>
    <m/>
    <m/>
    <n v="0"/>
    <n v="0"/>
    <n v="0"/>
    <n v="1269863.22"/>
    <n v="878.56"/>
    <n v="878.56"/>
    <m/>
    <m/>
    <m/>
    <m/>
    <n v="39.549999999999997"/>
    <n v="502262.65"/>
    <n v="347.49"/>
    <n v="347.49"/>
    <n v="767600.57"/>
    <n v="531.07000000000005"/>
    <n v="531.07000000000005"/>
    <m/>
    <m/>
    <s v="AR00280197 SMB-X ARG - Liliana - Octubre 24"/>
    <m/>
    <n v="269449"/>
    <n v="269449"/>
    <s v="WEBSITE_CLICKS"/>
    <s v="N"/>
    <m/>
    <s v="Y"/>
  </r>
  <r>
    <s v="IMM INTERNET MEDIA MEXICO S DE RL DE CV"/>
    <n v="3050535"/>
    <n v="41651"/>
    <s v="YPFoficial"/>
    <x v="19"/>
    <x v="19"/>
    <d v="2026-02-01T00:00:00"/>
    <x v="124"/>
    <s v="ypf_boxes-tw-trafico-season-aofebrero2026-2026-feb"/>
    <x v="1"/>
    <x v="0"/>
    <n v="0"/>
    <n v="0"/>
    <s v="Carat Argentina S.A."/>
    <s v="Carat Argentina S.A."/>
    <s v="YPF - Argentina"/>
    <n v="292623"/>
    <n v="6195990"/>
    <d v="2026-02-11T00:00:00"/>
    <d v="2026-02-28T00:00:00"/>
    <s v="RES"/>
    <s v="120 NET"/>
    <s v="AR"/>
    <s v="MX"/>
    <s v="X Corp."/>
    <n v="10573682"/>
    <d v="2026-02-28T00:00:00"/>
    <x v="0"/>
    <n v="2688693.47"/>
    <s v="USD"/>
    <n v="1860.18"/>
    <n v="1860.18"/>
    <m/>
    <m/>
    <m/>
    <m/>
    <m/>
    <m/>
    <m/>
    <m/>
    <m/>
    <m/>
    <m/>
    <m/>
    <m/>
    <m/>
    <m/>
    <m/>
    <m/>
    <m/>
    <m/>
    <m/>
    <m/>
    <m/>
    <m/>
    <m/>
    <n v="0"/>
    <n v="0"/>
    <n v="0"/>
    <n v="2688693.47"/>
    <n v="1860.18"/>
    <n v="1860.18"/>
    <m/>
    <m/>
    <m/>
    <m/>
    <n v="22"/>
    <n v="591512.56000000006"/>
    <n v="409.24"/>
    <n v="409.24"/>
    <n v="2097180.91"/>
    <n v="1450.94"/>
    <n v="1450.94"/>
    <m/>
    <m/>
    <s v="AR00405920-X-YPF-Boxes-Feb 26"/>
    <m/>
    <n v="224529"/>
    <n v="224529"/>
    <s v="WEBSITE_CLICKS"/>
    <s v="N"/>
    <m/>
    <s v="Y"/>
  </r>
  <r>
    <s v="IMM INTERNET MEDIA MEXICO S DE RL DE CV"/>
    <n v="3050535"/>
    <n v="41651"/>
    <s v="bancoprovincia"/>
    <x v="20"/>
    <x v="20"/>
    <d v="2026-02-01T00:00:00"/>
    <x v="125"/>
    <s v="2035_sp_2026_financia-tus-vacaciones_feb_arg_alcance_cpm"/>
    <x v="1"/>
    <x v="0"/>
    <n v="0"/>
    <n v="0"/>
    <s v="SUPER MEDIA S.A"/>
    <s v="SUPER MEDIA S.A"/>
    <s v="Banco Provincia"/>
    <n v="7000116"/>
    <n v="12650000"/>
    <d v="2026-01-13T00:00:00"/>
    <d v="2026-02-28T00:00:00"/>
    <s v="RES"/>
    <s v="120 NET"/>
    <s v="AR"/>
    <s v="MX"/>
    <s v="X Corp."/>
    <n v="10573696"/>
    <d v="2026-02-28T00:00:00"/>
    <x v="0"/>
    <n v="30319.91"/>
    <s v="USD"/>
    <n v="20.98"/>
    <n v="20.98"/>
    <m/>
    <m/>
    <m/>
    <m/>
    <m/>
    <m/>
    <m/>
    <m/>
    <m/>
    <m/>
    <m/>
    <m/>
    <m/>
    <m/>
    <m/>
    <m/>
    <m/>
    <m/>
    <m/>
    <m/>
    <m/>
    <m/>
    <m/>
    <m/>
    <n v="0"/>
    <n v="0"/>
    <n v="0"/>
    <n v="30319.91"/>
    <n v="20.98"/>
    <n v="20.98"/>
    <m/>
    <m/>
    <m/>
    <m/>
    <n v="39.549999999999997"/>
    <n v="11992.28"/>
    <n v="8.3000000000000007"/>
    <n v="8.3000000000000007"/>
    <n v="18327.63"/>
    <n v="12.68"/>
    <n v="12.68"/>
    <m/>
    <m/>
    <s v="AR00399019 X | Bapro | ENE 26"/>
    <m/>
    <n v="63304606"/>
    <n v="63304606"/>
    <s v="REACH"/>
    <s v="N"/>
    <m/>
    <s v="Y"/>
  </r>
  <r>
    <s v="IMM INTERNET MEDIA MEXICO S DE RL DE CV"/>
    <n v="3050535"/>
    <n v="41651"/>
    <s v="bancoprovincia"/>
    <x v="20"/>
    <x v="20"/>
    <d v="2026-02-01T00:00:00"/>
    <x v="125"/>
    <s v="2035_sp_2026_financia-tus-vacaciones_feb_arg_alcance_cpm"/>
    <x v="1"/>
    <x v="0"/>
    <n v="0"/>
    <n v="0"/>
    <s v="SUPER MEDIA S.A"/>
    <s v="SUPER MEDIA S.A"/>
    <s v="Banco Provincia"/>
    <n v="7000116"/>
    <n v="12650000"/>
    <d v="2026-01-13T00:00:00"/>
    <d v="2026-02-28T00:00:00"/>
    <s v="RES"/>
    <s v="120 NET"/>
    <s v="AR"/>
    <s v="MX"/>
    <s v="X Corp."/>
    <n v="10573696"/>
    <d v="2026-02-28T00:00:00"/>
    <x v="0"/>
    <n v="270223.39"/>
    <s v="USD"/>
    <n v="186.95"/>
    <n v="186.95"/>
    <m/>
    <m/>
    <m/>
    <m/>
    <m/>
    <m/>
    <m/>
    <m/>
    <m/>
    <m/>
    <m/>
    <m/>
    <m/>
    <m/>
    <m/>
    <m/>
    <m/>
    <m/>
    <m/>
    <m/>
    <m/>
    <m/>
    <m/>
    <m/>
    <n v="0"/>
    <n v="0"/>
    <n v="0"/>
    <n v="270223.39"/>
    <n v="186.95"/>
    <n v="186.95"/>
    <m/>
    <m/>
    <m/>
    <m/>
    <n v="39.549999999999997"/>
    <n v="106880.11"/>
    <n v="73.95"/>
    <n v="73.95"/>
    <n v="163343.28"/>
    <n v="113"/>
    <n v="113"/>
    <m/>
    <m/>
    <s v="AR00399019 X | Bapro | ENE 26"/>
    <m/>
    <n v="63304606"/>
    <n v="63304606"/>
    <s v="REACH"/>
    <s v="N"/>
    <m/>
    <s v="Y"/>
  </r>
  <r>
    <s v="IMM INTERNET MEDIA MEXICO S DE RL DE CV"/>
    <n v="3050535"/>
    <n v="41651"/>
    <s v="bancoprovincia"/>
    <x v="20"/>
    <x v="20"/>
    <d v="2026-02-01T00:00:00"/>
    <x v="126"/>
    <s v="2035_sp_2026_streaming-hablemos-de-todo_feb_arg_trafico_cpc"/>
    <x v="1"/>
    <x v="0"/>
    <n v="0"/>
    <n v="0"/>
    <s v="SUPER MEDIA S.A"/>
    <s v="SUPER MEDIA S.A"/>
    <s v="Banco Provincia"/>
    <n v="7000116"/>
    <n v="12650000"/>
    <d v="2026-01-13T00:00:00"/>
    <d v="2026-02-28T00:00:00"/>
    <s v="RES"/>
    <s v="120 NET"/>
    <s v="AR"/>
    <s v="MX"/>
    <s v="X Corp."/>
    <n v="10573696"/>
    <d v="2026-02-28T00:00:00"/>
    <x v="0"/>
    <n v="803187.57"/>
    <s v="USD"/>
    <n v="555.69000000000005"/>
    <n v="555.69000000000005"/>
    <m/>
    <m/>
    <m/>
    <m/>
    <m/>
    <m/>
    <m/>
    <m/>
    <m/>
    <m/>
    <m/>
    <m/>
    <m/>
    <m/>
    <m/>
    <m/>
    <m/>
    <m/>
    <m/>
    <m/>
    <m/>
    <m/>
    <m/>
    <m/>
    <n v="0"/>
    <n v="0"/>
    <n v="0"/>
    <n v="803187.57"/>
    <n v="555.69000000000005"/>
    <n v="555.69000000000005"/>
    <m/>
    <m/>
    <m/>
    <m/>
    <n v="39.549999999999997"/>
    <n v="317680.76"/>
    <n v="219.79"/>
    <n v="219.79"/>
    <n v="485506.81"/>
    <n v="335.9"/>
    <n v="335.9"/>
    <m/>
    <m/>
    <s v="AR00399019 X | Bapro | ENE 26"/>
    <m/>
    <n v="63304606"/>
    <n v="63304606"/>
    <s v="WEBSITE_CLICKS"/>
    <s v="N"/>
    <m/>
    <s v="Y"/>
  </r>
  <r>
    <s v="IMM INTERNET MEDIA MEXICO S DE RL DE CV"/>
    <n v="3050535"/>
    <n v="41651"/>
    <s v="bancoprovincia"/>
    <x v="20"/>
    <x v="20"/>
    <d v="2026-02-01T00:00:00"/>
    <x v="127"/>
    <s v="2035_sp_2026_compra-dolares-cdni_feb_arg_alcance_cpm"/>
    <x v="1"/>
    <x v="0"/>
    <n v="0"/>
    <n v="0"/>
    <s v="SUPER MEDIA S.A"/>
    <s v="SUPER MEDIA S.A"/>
    <s v="Banco Provincia"/>
    <n v="7000116"/>
    <n v="12650000"/>
    <d v="2026-01-13T00:00:00"/>
    <d v="2026-02-28T00:00:00"/>
    <s v="RES"/>
    <s v="120 NET"/>
    <s v="AR"/>
    <s v="MX"/>
    <s v="X Corp."/>
    <n v="10573696"/>
    <d v="2026-02-28T00:00:00"/>
    <x v="0"/>
    <n v="600259.75"/>
    <s v="USD"/>
    <n v="415.29"/>
    <n v="415.29"/>
    <m/>
    <m/>
    <m/>
    <m/>
    <m/>
    <m/>
    <m/>
    <m/>
    <m/>
    <m/>
    <m/>
    <m/>
    <m/>
    <m/>
    <m/>
    <m/>
    <m/>
    <m/>
    <m/>
    <m/>
    <m/>
    <m/>
    <m/>
    <m/>
    <n v="0"/>
    <n v="0"/>
    <n v="0"/>
    <n v="600259.75"/>
    <n v="415.29"/>
    <n v="415.29"/>
    <m/>
    <m/>
    <m/>
    <m/>
    <n v="39.549999999999997"/>
    <n v="237417.74"/>
    <n v="164.26"/>
    <n v="164.26"/>
    <n v="362842.01"/>
    <n v="251.03"/>
    <n v="251.03"/>
    <m/>
    <m/>
    <s v="AR00399019 X | Bapro | ENE 26"/>
    <m/>
    <n v="63304606"/>
    <n v="63304606"/>
    <s v="REACH"/>
    <s v="N"/>
    <m/>
    <s v="Y"/>
  </r>
  <r>
    <s v="IMM INTERNET MEDIA MEXICO S DE RL DE CV"/>
    <n v="3050535"/>
    <n v="41651"/>
    <s v="bancoprovincia"/>
    <x v="20"/>
    <x v="20"/>
    <d v="2026-02-01T00:00:00"/>
    <x v="128"/>
    <s v="2035_sp_2026_rico-en-data-ep9_feb_arg_trafico_cpc"/>
    <x v="1"/>
    <x v="0"/>
    <n v="0"/>
    <n v="0"/>
    <s v="SUPER MEDIA S.A"/>
    <s v="SUPER MEDIA S.A"/>
    <s v="Banco Provincia"/>
    <n v="7000116"/>
    <n v="12650000"/>
    <d v="2026-01-13T00:00:00"/>
    <d v="2026-02-28T00:00:00"/>
    <s v="RES"/>
    <s v="120 NET"/>
    <s v="AR"/>
    <s v="MX"/>
    <s v="X Corp."/>
    <n v="10573696"/>
    <d v="2026-02-28T00:00:00"/>
    <x v="0"/>
    <n v="150314.38"/>
    <s v="USD"/>
    <n v="104"/>
    <n v="104"/>
    <m/>
    <m/>
    <m/>
    <m/>
    <m/>
    <m/>
    <m/>
    <m/>
    <m/>
    <m/>
    <m/>
    <m/>
    <m/>
    <m/>
    <m/>
    <m/>
    <m/>
    <m/>
    <m/>
    <m/>
    <m/>
    <m/>
    <m/>
    <m/>
    <n v="0"/>
    <n v="0"/>
    <n v="0"/>
    <n v="150314.38"/>
    <n v="104"/>
    <n v="104"/>
    <m/>
    <m/>
    <m/>
    <m/>
    <n v="39.549999999999997"/>
    <n v="59453.09"/>
    <n v="41.13"/>
    <n v="41.13"/>
    <n v="90861.29"/>
    <n v="62.87"/>
    <n v="62.87"/>
    <m/>
    <m/>
    <s v="AR00399019 X | Bapro | ENE 26"/>
    <m/>
    <n v="63304606"/>
    <n v="63304606"/>
    <s v="WEBSITE_CLICKS"/>
    <s v="N"/>
    <m/>
    <s v="Y"/>
  </r>
  <r>
    <s v="IMM INTERNET MEDIA MEXICO S DE RL DE CV"/>
    <n v="3050535"/>
    <n v="41651"/>
    <m/>
    <x v="5"/>
    <x v="5"/>
    <d v="2026-02-01T00:00:00"/>
    <x v="54"/>
    <s v="Event Validation Adjustment"/>
    <x v="1"/>
    <x v="0"/>
    <m/>
    <m/>
    <s v="IPG Media Brands S.A."/>
    <s v="IPG Media Brands S.A."/>
    <s v="Unilever - Argentina"/>
    <n v="258084"/>
    <n v="2300000"/>
    <m/>
    <m/>
    <s v="RES"/>
    <s v="120 NET"/>
    <s v="AR"/>
    <s v="MX"/>
    <s v="X Corp."/>
    <n v="10573680"/>
    <d v="2026-02-28T00:00:00"/>
    <x v="0"/>
    <n v="-2160.9299999999998"/>
    <s v="USD"/>
    <n v="-1.5"/>
    <n v="-1.5"/>
    <m/>
    <m/>
    <m/>
    <m/>
    <m/>
    <m/>
    <m/>
    <m/>
    <m/>
    <m/>
    <m/>
    <m/>
    <m/>
    <m/>
    <m/>
    <m/>
    <m/>
    <m/>
    <m/>
    <m/>
    <m/>
    <m/>
    <m/>
    <m/>
    <n v="0"/>
    <n v="0"/>
    <n v="0"/>
    <n v="-2160.9299999999998"/>
    <n v="-1.5"/>
    <n v="-1.5"/>
    <m/>
    <m/>
    <m/>
    <m/>
    <n v="22"/>
    <n v="-475.4"/>
    <n v="-0.33"/>
    <n v="-0.33"/>
    <n v="-1685.53"/>
    <n v="-1.17"/>
    <n v="-1.17"/>
    <m/>
    <m/>
    <s v="AR00406161-Unilever-CIF TRIVIPI-Feb 25"/>
    <m/>
    <n v="224554"/>
    <n v="224554"/>
    <m/>
    <s v="N"/>
    <m/>
    <s v="Y"/>
  </r>
  <r>
    <s v="IMM INTERNET MEDIA MEXICO S DE RL DE CV"/>
    <n v="3050535"/>
    <n v="41651"/>
    <s v="UniversalPicsAr"/>
    <x v="80"/>
    <x v="70"/>
    <d v="2026-02-01T00:00:00"/>
    <x v="129"/>
    <s v="UIP_UNIVERSAL-REMINDER_OF_HIM-PROXIMAMENTE-TWITTER-TOTAL-AWARENESS-INTERESES-IMPRESIONES-MUJERES_18A54_OP_505488/505496"/>
    <x v="1"/>
    <x v="0"/>
    <n v="0"/>
    <n v="0"/>
    <s v="Carat Argentina S.A."/>
    <s v="Carat Argentina S.A."/>
    <s v="United International Pictures"/>
    <n v="2097220"/>
    <n v="3600000"/>
    <d v="2026-02-24T00:00:00"/>
    <d v="2026-03-15T00:00:00"/>
    <s v="RES"/>
    <s v="120 NET"/>
    <s v="AR"/>
    <s v="MX"/>
    <s v="X Corp."/>
    <n v="10573675"/>
    <d v="2026-02-28T00:00:00"/>
    <x v="0"/>
    <n v="540391.47"/>
    <s v="USD"/>
    <n v="373.87"/>
    <n v="373.87"/>
    <m/>
    <m/>
    <m/>
    <m/>
    <m/>
    <m/>
    <m/>
    <m/>
    <m/>
    <m/>
    <m/>
    <m/>
    <m/>
    <m/>
    <m/>
    <m/>
    <m/>
    <m/>
    <m/>
    <m/>
    <m/>
    <m/>
    <m/>
    <m/>
    <n v="0"/>
    <n v="0"/>
    <n v="0"/>
    <n v="540391.47"/>
    <n v="373.87"/>
    <n v="373.87"/>
    <m/>
    <m/>
    <m/>
    <m/>
    <n v="22"/>
    <n v="118886.12"/>
    <n v="82.25"/>
    <n v="82.25"/>
    <n v="421505.35"/>
    <n v="291.62"/>
    <n v="291.62"/>
    <m/>
    <m/>
    <s v="UIP Argentina | Reminder of Him"/>
    <m/>
    <n v="224529"/>
    <n v="224529"/>
    <s v="REACH"/>
    <s v="N"/>
    <m/>
    <s v="Y"/>
  </r>
  <r>
    <s v="IMM INTERNET MEDIA MEXICO S DE RL DE CV"/>
    <n v="3050535"/>
    <n v="41651"/>
    <s v="MODO_Arg"/>
    <x v="23"/>
    <x v="23"/>
    <d v="2026-02-01T00:00:00"/>
    <x v="130"/>
    <s v="2026_MODO_PERFORMANCE_PERFO_AO_ACTIVACION-IOS-AMBA_TWITTER_NU_TX_FEB"/>
    <x v="1"/>
    <x v="0"/>
    <n v="0"/>
    <n v="0"/>
    <s v="OSA ONE STEP AHEAD S.A"/>
    <s v="OSA ONE STEP AHEAD S.A"/>
    <s v="Play Digital S.A."/>
    <n v="57936819"/>
    <n v="9869791.9600000009"/>
    <d v="2026-01-02T00:00:00"/>
    <d v="2026-02-28T00:00:00"/>
    <s v="DSO"/>
    <s v="120 NET"/>
    <s v="AR"/>
    <s v="MX"/>
    <s v="X Corp."/>
    <n v="10573703"/>
    <d v="2026-02-28T00:00:00"/>
    <x v="0"/>
    <n v="237367.58"/>
    <s v="USD"/>
    <n v="164.22"/>
    <n v="164.22"/>
    <m/>
    <m/>
    <m/>
    <m/>
    <m/>
    <m/>
    <m/>
    <m/>
    <m/>
    <m/>
    <m/>
    <m/>
    <m/>
    <m/>
    <m/>
    <m/>
    <m/>
    <m/>
    <m/>
    <m/>
    <m/>
    <m/>
    <m/>
    <m/>
    <n v="0"/>
    <n v="0"/>
    <n v="0"/>
    <n v="237367.58"/>
    <n v="164.22"/>
    <n v="164.22"/>
    <m/>
    <m/>
    <m/>
    <m/>
    <n v="39.549999999999997"/>
    <n v="93884.81"/>
    <n v="64.95"/>
    <n v="64.95"/>
    <n v="143482.76999999999"/>
    <n v="99.27"/>
    <n v="99.27"/>
    <m/>
    <m/>
    <s v="AR00396946 X | MODO | AO Performance"/>
    <m/>
    <n v="224573"/>
    <n v="224573"/>
    <s v="APP_ENGAGEMENTS"/>
    <s v="N"/>
    <m/>
    <s v="Y"/>
  </r>
  <r>
    <s v="IMM INTERNET MEDIA MEXICO S DE RL DE CV"/>
    <n v="3050535"/>
    <n v="41651"/>
    <s v="MODO_Arg"/>
    <x v="23"/>
    <x v="23"/>
    <d v="2026-02-01T00:00:00"/>
    <x v="30"/>
    <s v="2026_MODO_PERFORMANCE_PERFO_AO_ACTIVACION-ANDROID-AMBA_TWITTER_NU_TX_FEB"/>
    <x v="1"/>
    <x v="0"/>
    <n v="0"/>
    <n v="0"/>
    <s v="OSA ONE STEP AHEAD S.A"/>
    <s v="OSA ONE STEP AHEAD S.A"/>
    <s v="Play Digital S.A."/>
    <n v="57936819"/>
    <n v="9869791.9600000009"/>
    <d v="2026-01-02T00:00:00"/>
    <d v="2026-03-31T00:00:00"/>
    <s v="DSO"/>
    <s v="120 NET"/>
    <s v="AR"/>
    <s v="MX"/>
    <s v="X Corp."/>
    <n v="10573703"/>
    <d v="2026-02-28T00:00:00"/>
    <x v="0"/>
    <n v="266790.11"/>
    <s v="USD"/>
    <n v="184.58"/>
    <n v="184.58"/>
    <m/>
    <m/>
    <m/>
    <m/>
    <m/>
    <m/>
    <m/>
    <m/>
    <m/>
    <m/>
    <m/>
    <m/>
    <m/>
    <m/>
    <m/>
    <m/>
    <m/>
    <m/>
    <m/>
    <m/>
    <m/>
    <m/>
    <m/>
    <m/>
    <n v="0"/>
    <n v="0"/>
    <n v="0"/>
    <n v="266790.11"/>
    <n v="184.58"/>
    <n v="184.58"/>
    <m/>
    <m/>
    <m/>
    <m/>
    <n v="39.549999999999997"/>
    <n v="105522.16"/>
    <n v="73.010000000000005"/>
    <n v="73.010000000000005"/>
    <n v="161267.95000000001"/>
    <n v="111.57"/>
    <n v="111.57"/>
    <m/>
    <m/>
    <s v="AR00396946 X | MODO | AO Performance"/>
    <m/>
    <n v="224573"/>
    <n v="224573"/>
    <s v="APP_ENGAGEMENTS"/>
    <s v="N"/>
    <m/>
    <s v="Y"/>
  </r>
  <r>
    <s v="IMM INTERNET MEDIA MEXICO S DE RL DE CV"/>
    <n v="3050535"/>
    <n v="41651"/>
    <s v="cocoscap"/>
    <x v="24"/>
    <x v="24"/>
    <d v="2026-02-01T00:00:00"/>
    <x v="131"/>
    <s v="X_AR_BND_AWA_R&amp;F_DCD"/>
    <x v="1"/>
    <x v="0"/>
    <n v="0"/>
    <n v="0"/>
    <m/>
    <m/>
    <s v="Cocos Capital S.A."/>
    <n v="186932207"/>
    <n v="69550831"/>
    <d v="2024-12-18T00:00:00"/>
    <d v="2026-02-28T00:00:00"/>
    <s v="RES"/>
    <s v="120 NET"/>
    <s v="AR"/>
    <s v="MX"/>
    <s v="X Corp."/>
    <n v="10573629"/>
    <d v="2026-02-28T00:00:00"/>
    <x v="0"/>
    <n v="130787.86"/>
    <s v="USD"/>
    <n v="90.49"/>
    <n v="90.49"/>
    <m/>
    <m/>
    <m/>
    <m/>
    <m/>
    <m/>
    <m/>
    <m/>
    <m/>
    <m/>
    <m/>
    <m/>
    <m/>
    <m/>
    <m/>
    <m/>
    <m/>
    <m/>
    <m/>
    <m/>
    <m/>
    <m/>
    <m/>
    <m/>
    <n v="0"/>
    <n v="0"/>
    <n v="0"/>
    <n v="130787.86"/>
    <n v="90.49"/>
    <n v="90.49"/>
    <m/>
    <m/>
    <m/>
    <m/>
    <n v="39.549999999999997"/>
    <n v="51729.87"/>
    <n v="35.79"/>
    <n v="35.79"/>
    <n v="79057.990000000005"/>
    <n v="54.7"/>
    <n v="54.7"/>
    <m/>
    <m/>
    <s v="AR00303899 SMB-X ARG - Cocos Capital - Dic/Ene"/>
    <m/>
    <m/>
    <m/>
    <s v="REACH"/>
    <s v="N"/>
    <m/>
    <s v="Y"/>
  </r>
  <r>
    <s v="IMM INTERNET MEDIA MEXICO S DE RL DE CV"/>
    <n v="3050535"/>
    <n v="41651"/>
    <s v="cocoscap"/>
    <x v="24"/>
    <x v="24"/>
    <d v="2026-02-01T00:00:00"/>
    <x v="132"/>
    <s v="X_AR_BND_AWA_R&amp;F_AO"/>
    <x v="1"/>
    <x v="0"/>
    <n v="0"/>
    <n v="0"/>
    <m/>
    <m/>
    <s v="Cocos Capital S.A."/>
    <n v="186932207"/>
    <n v="69550831"/>
    <d v="2024-12-18T00:00:00"/>
    <d v="2026-02-28T00:00:00"/>
    <s v="RES"/>
    <s v="120 NET"/>
    <s v="AR"/>
    <s v="MX"/>
    <s v="X Corp."/>
    <n v="10573629"/>
    <d v="2026-02-28T00:00:00"/>
    <x v="0"/>
    <n v="139716.46"/>
    <s v="USD"/>
    <n v="96.66"/>
    <n v="96.66"/>
    <m/>
    <m/>
    <m/>
    <m/>
    <m/>
    <m/>
    <m/>
    <m/>
    <m/>
    <m/>
    <m/>
    <m/>
    <m/>
    <m/>
    <m/>
    <m/>
    <m/>
    <m/>
    <m/>
    <m/>
    <m/>
    <m/>
    <m/>
    <m/>
    <n v="0"/>
    <n v="0"/>
    <n v="0"/>
    <n v="139716.46"/>
    <n v="96.66"/>
    <n v="96.66"/>
    <m/>
    <m/>
    <m/>
    <m/>
    <n v="39.549999999999997"/>
    <n v="55261.35"/>
    <n v="38.229999999999997"/>
    <n v="38.229999999999997"/>
    <n v="84455.11"/>
    <n v="58.43"/>
    <n v="58.43"/>
    <m/>
    <m/>
    <s v="AR00303899 SMB-X ARG - Cocos Capital - Dic/Ene"/>
    <m/>
    <m/>
    <m/>
    <s v="REACH"/>
    <s v="N"/>
    <m/>
    <s v="Y"/>
  </r>
  <r>
    <s v="IMM INTERNET MEDIA MEXICO S DE RL DE CV"/>
    <n v="3050535"/>
    <n v="41651"/>
    <s v="ML_Argentina"/>
    <x v="81"/>
    <x v="71"/>
    <d v="2026-02-01T00:00:00"/>
    <x v="133"/>
    <s v="MLA   DD2   Spotlight- 2/2"/>
    <x v="0"/>
    <x v="0"/>
    <n v="0"/>
    <n v="0"/>
    <s v="IPG Media Brands S.A."/>
    <s v="IPG Media Brands S.A."/>
    <s v="MercadoLibre S.R.L."/>
    <n v="821027"/>
    <n v="594000"/>
    <d v="2026-02-02T00:00:00"/>
    <d v="2026-02-02T00:00:00"/>
    <s v="DSO"/>
    <s v="120 NET"/>
    <s v="AR"/>
    <s v="MX"/>
    <s v="X Corp."/>
    <n v="10573724"/>
    <d v="2026-02-28T00:00:00"/>
    <x v="0"/>
    <n v="594000"/>
    <s v="USD"/>
    <n v="410.96"/>
    <n v="410.96"/>
    <m/>
    <m/>
    <m/>
    <m/>
    <m/>
    <m/>
    <m/>
    <m/>
    <m/>
    <m/>
    <m/>
    <m/>
    <m/>
    <m/>
    <m/>
    <m/>
    <m/>
    <m/>
    <m/>
    <m/>
    <m/>
    <m/>
    <m/>
    <m/>
    <n v="0"/>
    <n v="0"/>
    <n v="0"/>
    <n v="594000"/>
    <n v="410.96"/>
    <n v="410.96"/>
    <m/>
    <m/>
    <m/>
    <m/>
    <n v="34"/>
    <n v="201948.12"/>
    <n v="139.72"/>
    <n v="139.72"/>
    <n v="392051.88"/>
    <n v="271.24"/>
    <n v="271.24"/>
    <m/>
    <s v="Standard + Spotlight"/>
    <s v="MLA | DD2 | Spotlight- 2/2"/>
    <m/>
    <n v="224554"/>
    <n v="224554"/>
    <s v="UNKNOWN_OBJECTIVE"/>
    <s v="N"/>
    <m/>
    <s v="Y"/>
  </r>
  <r>
    <s v="IMM INTERNET MEDIA MEXICO S DE RL DE CV"/>
    <n v="3050535"/>
    <n v="41651"/>
    <s v="Beturf_ok"/>
    <x v="2"/>
    <x v="2"/>
    <d v="2026-02-01T00:00:00"/>
    <x v="2"/>
    <s v="Beturf_Trafico_AO_2026"/>
    <x v="1"/>
    <x v="0"/>
    <n v="0"/>
    <n v="0"/>
    <s v="BI MEDIA S.R.L."/>
    <s v="BI MEDIA S.R.L."/>
    <s v="Hipódromo Argentino de Palermo S.A"/>
    <n v="148610446"/>
    <n v="11500000"/>
    <d v="2026-01-05T00:00:00"/>
    <d v="2026-03-31T00:00:00"/>
    <s v="DSO"/>
    <s v="120 NET"/>
    <s v="AR"/>
    <s v="MX"/>
    <s v="X Corp."/>
    <n v="10573647"/>
    <d v="2026-02-28T00:00:00"/>
    <x v="0"/>
    <n v="83349.5"/>
    <s v="USD"/>
    <n v="57.67"/>
    <n v="57.67"/>
    <m/>
    <m/>
    <m/>
    <m/>
    <m/>
    <m/>
    <m/>
    <m/>
    <m/>
    <m/>
    <m/>
    <m/>
    <m/>
    <m/>
    <m/>
    <m/>
    <m/>
    <m/>
    <m/>
    <m/>
    <m/>
    <m/>
    <m/>
    <m/>
    <n v="0"/>
    <n v="0"/>
    <n v="0"/>
    <n v="83349.5"/>
    <n v="57.67"/>
    <n v="57.67"/>
    <m/>
    <m/>
    <m/>
    <m/>
    <n v="39.549999999999997"/>
    <n v="32966.81"/>
    <n v="22.81"/>
    <n v="22.81"/>
    <n v="50382.69"/>
    <n v="34.86"/>
    <n v="34.86"/>
    <m/>
    <m/>
    <s v="AR00397255-X-Hipódromo de Palemro-Beturf-AON 26"/>
    <m/>
    <n v="192377147"/>
    <n v="192377147"/>
    <s v="WEBSITE_CLICKS"/>
    <s v="N"/>
    <m/>
    <s v="Y"/>
  </r>
  <r>
    <s v="IMM INTERNET MEDIA MEXICO S DE RL DE CV"/>
    <n v="3050535"/>
    <n v="41651"/>
    <s v="FieldViewArg"/>
    <x v="3"/>
    <x v="3"/>
    <d v="2026-02-01T00:00:00"/>
    <x v="3"/>
    <s v="Awareness  Enero 2026 nueva funcionalidad"/>
    <x v="1"/>
    <x v="0"/>
    <n v="0"/>
    <n v="0"/>
    <s v="Encender Argentina"/>
    <s v="Encender Argentina"/>
    <s v="Monsanto Argentina"/>
    <n v="530773"/>
    <n v="12000000"/>
    <d v="2026-01-20T00:00:00"/>
    <d v="2026-12-31T00:00:00"/>
    <s v="RES"/>
    <s v="120 NET"/>
    <s v="AR"/>
    <s v="MX"/>
    <s v="X Corp."/>
    <n v="10573655"/>
    <d v="2026-02-28T00:00:00"/>
    <x v="0"/>
    <n v="149502.07999999999"/>
    <s v="USD"/>
    <n v="103.43"/>
    <n v="103.43"/>
    <m/>
    <m/>
    <m/>
    <m/>
    <m/>
    <m/>
    <m/>
    <m/>
    <m/>
    <m/>
    <m/>
    <m/>
    <m/>
    <m/>
    <m/>
    <m/>
    <m/>
    <m/>
    <m/>
    <m/>
    <m/>
    <m/>
    <m/>
    <m/>
    <n v="0"/>
    <n v="0"/>
    <n v="0"/>
    <n v="149502.07999999999"/>
    <n v="103.43"/>
    <n v="103.43"/>
    <m/>
    <m/>
    <m/>
    <m/>
    <n v="39.549999999999997"/>
    <n v="59131.81"/>
    <n v="40.909999999999997"/>
    <n v="40.909999999999997"/>
    <n v="90370.27"/>
    <n v="62.52"/>
    <n v="62.52"/>
    <m/>
    <m/>
    <s v="AR00400821 - X - Arg - FieldView - Año 2026"/>
    <m/>
    <n v="530772"/>
    <n v="530772"/>
    <s v="REACH"/>
    <s v="N"/>
    <m/>
    <s v="Y"/>
  </r>
  <r>
    <s v="IMM INTERNET MEDIA MEXICO S DE RL DE CV"/>
    <n v="3050535"/>
    <n v="41651"/>
    <s v="FieldViewArg"/>
    <x v="3"/>
    <x v="3"/>
    <d v="2026-02-01T00:00:00"/>
    <x v="86"/>
    <s v="Febbrero Trafico Centro de ayuda"/>
    <x v="1"/>
    <x v="0"/>
    <n v="0"/>
    <n v="0"/>
    <s v="Encender Argentina"/>
    <s v="Encender Argentina"/>
    <s v="Monsanto Argentina"/>
    <n v="530773"/>
    <n v="12000000"/>
    <d v="2026-01-20T00:00:00"/>
    <d v="2026-12-31T00:00:00"/>
    <s v="RES"/>
    <s v="120 NET"/>
    <s v="AR"/>
    <s v="MX"/>
    <s v="X Corp."/>
    <n v="10573655"/>
    <d v="2026-02-28T00:00:00"/>
    <x v="0"/>
    <n v="243104.37"/>
    <s v="USD"/>
    <n v="168.19"/>
    <n v="168.19"/>
    <m/>
    <m/>
    <m/>
    <m/>
    <m/>
    <m/>
    <m/>
    <m/>
    <m/>
    <m/>
    <m/>
    <m/>
    <m/>
    <m/>
    <m/>
    <m/>
    <m/>
    <m/>
    <m/>
    <m/>
    <m/>
    <m/>
    <m/>
    <m/>
    <n v="0"/>
    <n v="0"/>
    <n v="0"/>
    <n v="243104.37"/>
    <n v="168.19"/>
    <n v="168.19"/>
    <m/>
    <m/>
    <m/>
    <m/>
    <n v="39.549999999999997"/>
    <n v="96153.86"/>
    <n v="66.52"/>
    <n v="66.52"/>
    <n v="146950.51"/>
    <n v="101.67"/>
    <n v="101.67"/>
    <m/>
    <m/>
    <s v="AR00400821 - X - Arg - FieldView - Año 2026"/>
    <m/>
    <n v="530772"/>
    <n v="530772"/>
    <s v="WEBSITE_CLICKS"/>
    <s v="N"/>
    <m/>
    <s v="Y"/>
  </r>
  <r>
    <s v="IMM INTERNET MEDIA MEXICO S DE RL DE CV"/>
    <n v="3050535"/>
    <n v="41651"/>
    <s v="FieldViewArg"/>
    <x v="3"/>
    <x v="3"/>
    <d v="2026-02-01T00:00:00"/>
    <x v="134"/>
    <s v="Febbrero Trafico  Expoagro 1"/>
    <x v="1"/>
    <x v="0"/>
    <n v="0"/>
    <n v="0"/>
    <s v="Encender Argentina"/>
    <s v="Encender Argentina"/>
    <s v="Monsanto Argentina"/>
    <n v="530773"/>
    <n v="12000000"/>
    <d v="2026-01-20T00:00:00"/>
    <d v="2026-12-31T00:00:00"/>
    <s v="RES"/>
    <s v="120 NET"/>
    <s v="AR"/>
    <s v="MX"/>
    <s v="X Corp."/>
    <n v="10573655"/>
    <d v="2026-02-28T00:00:00"/>
    <x v="0"/>
    <n v="148429.29999999999"/>
    <s v="USD"/>
    <n v="102.69"/>
    <n v="102.69"/>
    <m/>
    <m/>
    <m/>
    <m/>
    <m/>
    <m/>
    <m/>
    <m/>
    <m/>
    <m/>
    <m/>
    <m/>
    <m/>
    <m/>
    <m/>
    <m/>
    <m/>
    <m/>
    <m/>
    <m/>
    <m/>
    <m/>
    <m/>
    <m/>
    <n v="0"/>
    <n v="0"/>
    <n v="0"/>
    <n v="148429.29999999999"/>
    <n v="102.69"/>
    <n v="102.69"/>
    <m/>
    <m/>
    <m/>
    <m/>
    <n v="39.549999999999997"/>
    <n v="58707.5"/>
    <n v="40.619999999999997"/>
    <n v="40.619999999999997"/>
    <n v="89721.8"/>
    <n v="62.07"/>
    <n v="62.07"/>
    <m/>
    <m/>
    <s v="AR00400821 - X - Arg - FieldView - Año 2026"/>
    <m/>
    <n v="530772"/>
    <n v="530772"/>
    <s v="WEBSITE_CLICKS"/>
    <s v="N"/>
    <m/>
    <s v="Y"/>
  </r>
  <r>
    <s v="IMM INTERNET MEDIA MEXICO S DE RL DE CV"/>
    <n v="3050535"/>
    <n v="41651"/>
    <s v="Supervielle_ARG"/>
    <x v="37"/>
    <x v="37"/>
    <d v="2026-02-01T00:00:00"/>
    <x v="135"/>
    <s v="OB-CAH-Selección-Feb-2026"/>
    <x v="1"/>
    <x v="0"/>
    <n v="0"/>
    <n v="0"/>
    <s v="Digital Hive Group S.A"/>
    <s v="Digital Hive Group S.A"/>
    <s v="Banco Supervielle"/>
    <n v="240194"/>
    <n v="2000000"/>
    <d v="2026-02-01T00:00:00"/>
    <d v="2026-02-28T00:00:00"/>
    <s v="RES"/>
    <s v="120 NET"/>
    <s v="AR"/>
    <s v="MX"/>
    <s v="X Corp."/>
    <n v="10573688"/>
    <d v="2026-02-28T00:00:00"/>
    <x v="0"/>
    <n v="1001615.29"/>
    <s v="USD"/>
    <n v="692.97"/>
    <n v="692.97"/>
    <m/>
    <m/>
    <m/>
    <m/>
    <m/>
    <m/>
    <m/>
    <m/>
    <m/>
    <m/>
    <m/>
    <m/>
    <m/>
    <m/>
    <m/>
    <m/>
    <m/>
    <m/>
    <m/>
    <m/>
    <m/>
    <m/>
    <m/>
    <m/>
    <n v="0"/>
    <n v="0"/>
    <n v="0"/>
    <n v="1001615.29"/>
    <n v="692.97"/>
    <n v="692.97"/>
    <m/>
    <m/>
    <m/>
    <m/>
    <n v="39.549999999999997"/>
    <n v="396163.89"/>
    <n v="274.08999999999997"/>
    <n v="274.08999999999997"/>
    <n v="605451.4"/>
    <n v="418.88"/>
    <n v="418.88"/>
    <m/>
    <m/>
    <s v="X - Arg - Supervielle - Performance - COE | OB Individuos"/>
    <m/>
    <n v="66013147"/>
    <n v="66013147"/>
    <s v="WEBSITE_CLICKS"/>
    <s v="N"/>
    <m/>
    <s v="Y"/>
  </r>
  <r>
    <s v="IMM INTERNET MEDIA MEXICO S DE RL DE CV"/>
    <n v="3050535"/>
    <n v="41651"/>
    <s v="CervezaBrahma"/>
    <x v="6"/>
    <x v="6"/>
    <d v="2026-02-01T00:00:00"/>
    <x v="136"/>
    <s v="ARG_BRD_BRA_SEDDEBRAHMA_VERANO_NON_AWA_BEY_2026_STAFE_LAPAMPA_ER"/>
    <x v="1"/>
    <x v="0"/>
    <n v="0"/>
    <n v="0"/>
    <s v="Digital Hive Group S.A"/>
    <s v="Digital Hive Group S.A"/>
    <s v="Cervecería y Maltería Quilmes"/>
    <n v="292695"/>
    <n v="23500000"/>
    <d v="2026-01-01T00:00:00"/>
    <d v="2026-02-28T00:00:00"/>
    <s v="RES"/>
    <s v="120 NET"/>
    <s v="AR"/>
    <s v="MX"/>
    <s v="X Corp."/>
    <n v="10573692"/>
    <d v="2026-02-28T00:00:00"/>
    <x v="0"/>
    <n v="480031.53"/>
    <s v="USD"/>
    <n v="332.11"/>
    <n v="332.11"/>
    <m/>
    <m/>
    <m/>
    <m/>
    <m/>
    <m/>
    <m/>
    <m/>
    <m/>
    <m/>
    <m/>
    <m/>
    <m/>
    <m/>
    <m/>
    <m/>
    <m/>
    <m/>
    <m/>
    <m/>
    <m/>
    <m/>
    <m/>
    <m/>
    <n v="0"/>
    <n v="0"/>
    <n v="0"/>
    <n v="480031.53"/>
    <n v="332.11"/>
    <n v="332.11"/>
    <m/>
    <m/>
    <m/>
    <m/>
    <n v="39.549999999999997"/>
    <n v="189864.47"/>
    <n v="131.36000000000001"/>
    <n v="131.36000000000001"/>
    <n v="290167.06"/>
    <n v="200.75"/>
    <n v="200.75"/>
    <m/>
    <m/>
    <s v="AR00396561-X-ABI ARG-SED DE BRAHMA VERANO-Ene-25"/>
    <m/>
    <n v="66013147"/>
    <n v="66013147"/>
    <s v="REACH"/>
    <s v="N"/>
    <m/>
    <s v="Y"/>
  </r>
  <r>
    <s v="IMM INTERNET MEDIA MEXICO S DE RL DE CV"/>
    <n v="3050535"/>
    <n v="41651"/>
    <s v="CervezaBrahma"/>
    <x v="6"/>
    <x v="6"/>
    <d v="2026-02-01T00:00:00"/>
    <x v="137"/>
    <s v="ARG_BRD_BRA_SEDDEBRAHMA_VERANO_NON_AWA_BEY_2026_NOA"/>
    <x v="1"/>
    <x v="0"/>
    <n v="0"/>
    <n v="0"/>
    <s v="Digital Hive Group S.A"/>
    <s v="Digital Hive Group S.A"/>
    <s v="Cervecería y Maltería Quilmes"/>
    <n v="292695"/>
    <n v="23500000"/>
    <d v="2026-01-01T00:00:00"/>
    <d v="2026-02-28T00:00:00"/>
    <s v="RES"/>
    <s v="120 NET"/>
    <s v="AR"/>
    <s v="MX"/>
    <s v="X Corp."/>
    <n v="10573692"/>
    <d v="2026-02-28T00:00:00"/>
    <x v="0"/>
    <n v="74837.240000000005"/>
    <s v="USD"/>
    <n v="51.78"/>
    <n v="51.78"/>
    <m/>
    <m/>
    <m/>
    <m/>
    <m/>
    <m/>
    <m/>
    <m/>
    <m/>
    <m/>
    <m/>
    <m/>
    <m/>
    <m/>
    <m/>
    <m/>
    <m/>
    <m/>
    <m/>
    <m/>
    <m/>
    <m/>
    <m/>
    <m/>
    <n v="0"/>
    <n v="0"/>
    <n v="0"/>
    <n v="74837.240000000005"/>
    <n v="51.78"/>
    <n v="51.78"/>
    <m/>
    <m/>
    <m/>
    <m/>
    <n v="39.549999999999997"/>
    <n v="29600"/>
    <n v="20.48"/>
    <n v="20.48"/>
    <n v="45237.24"/>
    <n v="31.3"/>
    <n v="31.3"/>
    <m/>
    <m/>
    <s v="AR00396561-X-ABI ARG-SED DE BRAHMA VERANO-Ene-25"/>
    <m/>
    <n v="66013147"/>
    <n v="66013147"/>
    <s v="REACH"/>
    <s v="N"/>
    <m/>
    <s v="Y"/>
  </r>
  <r>
    <s v="IMM INTERNET MEDIA MEXICO S DE RL DE CV"/>
    <n v="3050535"/>
    <n v="41651"/>
    <s v="CervezaBrahma"/>
    <x v="6"/>
    <x v="6"/>
    <d v="2026-02-01T00:00:00"/>
    <x v="138"/>
    <s v="ARG_BRD_BRA_SEDDEBRAHMA_VERANO_NON_AWA_BEY_2026_LDA"/>
    <x v="1"/>
    <x v="0"/>
    <n v="0"/>
    <n v="0"/>
    <s v="Digital Hive Group S.A"/>
    <s v="Digital Hive Group S.A"/>
    <s v="Cervecería y Maltería Quilmes"/>
    <n v="292695"/>
    <n v="23500000"/>
    <d v="2026-01-01T00:00:00"/>
    <d v="2026-02-28T00:00:00"/>
    <s v="RES"/>
    <s v="120 NET"/>
    <s v="AR"/>
    <s v="MX"/>
    <s v="X Corp."/>
    <n v="10573692"/>
    <d v="2026-02-28T00:00:00"/>
    <x v="0"/>
    <n v="815704.5"/>
    <s v="USD"/>
    <n v="564.35"/>
    <n v="564.35"/>
    <m/>
    <m/>
    <m/>
    <m/>
    <m/>
    <m/>
    <m/>
    <m/>
    <m/>
    <m/>
    <m/>
    <m/>
    <m/>
    <m/>
    <m/>
    <m/>
    <m/>
    <m/>
    <m/>
    <m/>
    <m/>
    <m/>
    <m/>
    <m/>
    <n v="0"/>
    <n v="0"/>
    <n v="0"/>
    <n v="815704.5"/>
    <n v="564.35"/>
    <n v="564.35"/>
    <m/>
    <m/>
    <m/>
    <m/>
    <n v="39.549999999999997"/>
    <n v="322631.52"/>
    <n v="223.21"/>
    <n v="223.21"/>
    <n v="493072.98"/>
    <n v="341.14"/>
    <n v="341.14"/>
    <m/>
    <m/>
    <s v="AR00396561-X-ABI ARG-SED DE BRAHMA VERANO-Ene-25"/>
    <m/>
    <n v="66013147"/>
    <n v="66013147"/>
    <s v="REACH"/>
    <s v="N"/>
    <m/>
    <s v="Y"/>
  </r>
  <r>
    <s v="IMM INTERNET MEDIA MEXICO S DE RL DE CV"/>
    <n v="3050535"/>
    <n v="41651"/>
    <s v="SatoshiTango"/>
    <x v="7"/>
    <x v="7"/>
    <d v="2026-02-01T00:00:00"/>
    <x v="139"/>
    <s v="Branch_Descargas_ios2026"/>
    <x v="1"/>
    <x v="0"/>
    <n v="0"/>
    <n v="0"/>
    <m/>
    <m/>
    <s v="Fintech SA"/>
    <n v="115399678"/>
    <n v="40300000"/>
    <d v="2024-08-12T00:00:00"/>
    <d v="2026-02-28T00:00:00"/>
    <s v="DSO"/>
    <s v="120 NET"/>
    <s v="AR"/>
    <s v="MX"/>
    <s v="X Corp."/>
    <n v="10573707"/>
    <d v="2026-02-28T00:00:00"/>
    <x v="0"/>
    <n v="163897.81"/>
    <s v="USD"/>
    <n v="113.39"/>
    <n v="113.39"/>
    <m/>
    <m/>
    <m/>
    <m/>
    <m/>
    <m/>
    <m/>
    <m/>
    <m/>
    <m/>
    <m/>
    <m/>
    <m/>
    <m/>
    <m/>
    <m/>
    <m/>
    <m/>
    <m/>
    <m/>
    <m/>
    <m/>
    <m/>
    <m/>
    <n v="0"/>
    <n v="0"/>
    <n v="0"/>
    <n v="163897.81"/>
    <n v="113.39"/>
    <n v="113.39"/>
    <m/>
    <m/>
    <m/>
    <m/>
    <n v="39.549999999999997"/>
    <n v="64825.68"/>
    <n v="44.85"/>
    <n v="44.85"/>
    <n v="99072.13"/>
    <n v="68.540000000000006"/>
    <n v="68.540000000000006"/>
    <m/>
    <m/>
    <s v="AR00260247 - TW - Satoshi Tango - Q3"/>
    <m/>
    <m/>
    <m/>
    <s v="APP_INSTALLS"/>
    <s v="N"/>
    <m/>
    <s v="Y"/>
  </r>
  <r>
    <s v="IMM INTERNET MEDIA MEXICO S DE RL DE CV"/>
    <n v="3050535"/>
    <n v="41651"/>
    <s v="uipargentina"/>
    <x v="30"/>
    <x v="30"/>
    <d v="2026-02-01T00:00:00"/>
    <x v="43"/>
    <s v="UIP_PARAMOUNT-SCREAM_7-PROXIMAMENTE-TWITTER-TOTAL-AWARENESS-INTERESES-IMPRESIONES-OP_504952"/>
    <x v="1"/>
    <x v="0"/>
    <n v="0"/>
    <n v="0"/>
    <s v="Carat Argentina S.A."/>
    <s v="Carat Argentina S.A."/>
    <s v="United International Pictures"/>
    <n v="2097220"/>
    <n v="3000000"/>
    <d v="2026-02-09T00:00:00"/>
    <d v="2026-03-08T00:00:00"/>
    <s v="RES"/>
    <s v="120 NET"/>
    <s v="AR"/>
    <s v="MX"/>
    <s v="X Corp."/>
    <n v="10573728"/>
    <d v="2026-02-28T00:00:00"/>
    <x v="0"/>
    <n v="2194.0100000000002"/>
    <s v="USD"/>
    <n v="1.52"/>
    <n v="1.52"/>
    <m/>
    <m/>
    <m/>
    <m/>
    <m/>
    <m/>
    <m/>
    <m/>
    <m/>
    <m/>
    <m/>
    <m/>
    <m/>
    <m/>
    <m/>
    <m/>
    <m/>
    <m/>
    <m/>
    <m/>
    <m/>
    <m/>
    <m/>
    <m/>
    <n v="0"/>
    <n v="0"/>
    <n v="0"/>
    <n v="2194.0100000000002"/>
    <n v="1.52"/>
    <n v="1.52"/>
    <m/>
    <m/>
    <m/>
    <m/>
    <n v="22"/>
    <n v="482.68"/>
    <n v="0.33"/>
    <n v="0.33"/>
    <n v="1711.33"/>
    <n v="1.19"/>
    <n v="1.19"/>
    <m/>
    <m/>
    <s v="UIP Argentina | Scream 7"/>
    <m/>
    <n v="224529"/>
    <n v="224529"/>
    <s v="REACH"/>
    <s v="N"/>
    <m/>
    <s v="Y"/>
  </r>
  <r>
    <s v="IMM INTERNET MEDIA MEXICO S DE RL DE CV"/>
    <n v="3050535"/>
    <n v="41651"/>
    <s v="Supervielle_ARG"/>
    <x v="31"/>
    <x v="31"/>
    <d v="2026-02-01T00:00:00"/>
    <x v="140"/>
    <s v="COMU_Supervielle_Individuos_4-2026_Twitter_CPC_VamosconSupervielle-Genériconovia-ClienteInglés-Tarjetas"/>
    <x v="1"/>
    <x v="0"/>
    <n v="0"/>
    <n v="0"/>
    <s v="Digital Hive Group S.A"/>
    <s v="Digital Hive Group S.A"/>
    <s v="Banco Supervielle"/>
    <n v="240194"/>
    <n v="7800000"/>
    <d v="2026-01-08T00:00:00"/>
    <d v="2026-03-31T00:00:00"/>
    <s v="RES"/>
    <s v="120 NET"/>
    <s v="AR"/>
    <s v="MX"/>
    <s v="X Corp."/>
    <n v="10573620"/>
    <d v="2026-02-28T00:00:00"/>
    <x v="0"/>
    <n v="2905324.81"/>
    <s v="USD"/>
    <n v="2010.05"/>
    <n v="2010.05"/>
    <m/>
    <m/>
    <m/>
    <m/>
    <m/>
    <m/>
    <m/>
    <m/>
    <m/>
    <m/>
    <m/>
    <m/>
    <m/>
    <m/>
    <m/>
    <m/>
    <m/>
    <m/>
    <m/>
    <m/>
    <m/>
    <m/>
    <m/>
    <m/>
    <n v="0"/>
    <n v="0"/>
    <n v="0"/>
    <n v="2905324.81"/>
    <n v="2010.05"/>
    <n v="2010.05"/>
    <m/>
    <m/>
    <m/>
    <m/>
    <n v="39.549999999999997"/>
    <n v="1149128.5900000001"/>
    <n v="795.03"/>
    <n v="795.03"/>
    <n v="1756196.22"/>
    <n v="1215.02"/>
    <n v="1215.02"/>
    <m/>
    <m/>
    <s v="AR00397734 X | Banco Supervielle | ENE 26"/>
    <m/>
    <n v="66013147"/>
    <n v="66013147"/>
    <s v="WEBSITE_CLICKS"/>
    <s v="N"/>
    <m/>
    <s v="Y"/>
  </r>
  <r>
    <s v="IMM INTERNET MEDIA MEXICO S DE RL DE CV"/>
    <n v="3050535"/>
    <n v="41651"/>
    <s v="Supervielle_ARG"/>
    <x v="31"/>
    <x v="31"/>
    <d v="2026-02-01T00:00:00"/>
    <x v="141"/>
    <s v="COMU_Supervielle_Individuos_4-2026_Twitter_CPC_CUENTAHITIOL-CUENTAHITIOL"/>
    <x v="1"/>
    <x v="0"/>
    <n v="0"/>
    <n v="0"/>
    <s v="Digital Hive Group S.A"/>
    <s v="Digital Hive Group S.A"/>
    <s v="Banco Supervielle"/>
    <n v="240194"/>
    <n v="7800000"/>
    <d v="2026-01-08T00:00:00"/>
    <d v="2026-03-31T00:00:00"/>
    <s v="RES"/>
    <s v="120 NET"/>
    <s v="AR"/>
    <s v="MX"/>
    <s v="X Corp."/>
    <n v="10573620"/>
    <d v="2026-02-28T00:00:00"/>
    <x v="0"/>
    <n v="1454731.14"/>
    <s v="USD"/>
    <n v="1006.46"/>
    <n v="1006.46"/>
    <m/>
    <m/>
    <m/>
    <m/>
    <m/>
    <m/>
    <m/>
    <m/>
    <m/>
    <m/>
    <m/>
    <m/>
    <m/>
    <m/>
    <m/>
    <m/>
    <m/>
    <m/>
    <m/>
    <m/>
    <m/>
    <m/>
    <m/>
    <m/>
    <n v="0"/>
    <n v="0"/>
    <n v="0"/>
    <n v="1454731.14"/>
    <n v="1006.46"/>
    <n v="1006.46"/>
    <m/>
    <m/>
    <m/>
    <m/>
    <n v="39.549999999999997"/>
    <n v="575382.53"/>
    <n v="398.08"/>
    <n v="398.08"/>
    <n v="879348.61"/>
    <n v="608.38"/>
    <n v="608.38"/>
    <m/>
    <m/>
    <s v="AR00397734 X | Banco Supervielle | ENE 26"/>
    <m/>
    <n v="66013147"/>
    <n v="66013147"/>
    <s v="WEBSITE_CLICKS"/>
    <s v="N"/>
    <m/>
    <s v="Y"/>
  </r>
  <r>
    <s v="IMM INTERNET MEDIA MEXICO S DE RL DE CV"/>
    <n v="3050535"/>
    <n v="41651"/>
    <s v="YPFoficial"/>
    <x v="32"/>
    <x v="32"/>
    <d v="2026-02-01T00:00:00"/>
    <x v="142"/>
    <s v="ypf_combustibles-tw-alcance-season-beneficiobnamodo_descuento6-2026-feb"/>
    <x v="1"/>
    <x v="0"/>
    <n v="0"/>
    <n v="0"/>
    <s v="Carat Argentina S.A."/>
    <s v="Carat Argentina S.A."/>
    <s v="YPF - Argentina"/>
    <n v="292623"/>
    <n v="1990002.6"/>
    <d v="2026-01-23T00:00:00"/>
    <d v="2026-02-27T00:00:00"/>
    <s v="RES"/>
    <s v="120 NET"/>
    <s v="AR"/>
    <s v="MX"/>
    <s v="X Corp."/>
    <n v="10573643"/>
    <d v="2026-02-28T00:00:00"/>
    <x v="0"/>
    <n v="291081.57"/>
    <s v="USD"/>
    <n v="201.39"/>
    <n v="201.39"/>
    <m/>
    <m/>
    <m/>
    <m/>
    <m/>
    <m/>
    <m/>
    <m/>
    <m/>
    <m/>
    <m/>
    <m/>
    <m/>
    <m/>
    <m/>
    <m/>
    <m/>
    <m/>
    <m/>
    <m/>
    <m/>
    <m/>
    <m/>
    <m/>
    <n v="0"/>
    <n v="0"/>
    <n v="0"/>
    <n v="291081.57"/>
    <n v="201.39"/>
    <n v="201.39"/>
    <m/>
    <m/>
    <m/>
    <m/>
    <n v="39.549999999999997"/>
    <n v="115130.04"/>
    <n v="79.650000000000006"/>
    <n v="79.650000000000006"/>
    <n v="175951.53"/>
    <n v="121.74"/>
    <n v="121.74"/>
    <m/>
    <m/>
    <s v="AR00401632-X-YPF-COMBUSTIBLES-BENEFICIO BNA+MODO-Ene 26"/>
    <m/>
    <n v="224529"/>
    <n v="224529"/>
    <s v="REACH"/>
    <s v="N"/>
    <m/>
    <s v="Y"/>
  </r>
  <r>
    <s v="IMM INTERNET MEDIA MEXICO S DE RL DE CV"/>
    <n v="3050535"/>
    <n v="41651"/>
    <s v="BancodeCordoba"/>
    <x v="12"/>
    <x v="12"/>
    <d v="2026-02-01T00:00:00"/>
    <x v="143"/>
    <s v="OT429-V3   Cordobesa Verano - Alcance - Twitter -   PROMO SUPERMERCADO"/>
    <x v="1"/>
    <x v="0"/>
    <n v="0"/>
    <n v="0"/>
    <s v="WOBRA S.A.S."/>
    <s v="WOBRA S.A.S."/>
    <s v="BANCO DE LA PROVINCIA DE CORDOBA S.A."/>
    <n v="5733116"/>
    <n v="40600000"/>
    <d v="2024-01-01T00:00:00"/>
    <d v="2026-03-31T00:00:00"/>
    <s v="ISO"/>
    <s v="120 NET"/>
    <s v="AR"/>
    <s v="MX"/>
    <s v="X Corp."/>
    <n v="10573709"/>
    <d v="2026-02-28T00:00:00"/>
    <x v="0"/>
    <n v="4429.7"/>
    <s v="USD"/>
    <n v="3.06"/>
    <n v="3.06"/>
    <m/>
    <m/>
    <m/>
    <m/>
    <m/>
    <m/>
    <m/>
    <m/>
    <m/>
    <m/>
    <m/>
    <m/>
    <m/>
    <m/>
    <m/>
    <m/>
    <m/>
    <m/>
    <m/>
    <m/>
    <m/>
    <m/>
    <m/>
    <m/>
    <n v="0"/>
    <n v="0"/>
    <n v="0"/>
    <n v="4429.7"/>
    <n v="3.06"/>
    <n v="3.06"/>
    <m/>
    <m/>
    <m/>
    <m/>
    <n v="39.549999999999997"/>
    <n v="1752.06"/>
    <n v="1.21"/>
    <n v="1.21"/>
    <n v="2677.64"/>
    <n v="1.85"/>
    <n v="1.85"/>
    <m/>
    <m/>
    <s v="AR00223485 - SMB_ARG_BancoProvinciaCord_Enero24"/>
    <m/>
    <n v="47720819"/>
    <n v="47720819"/>
    <s v="REACH"/>
    <s v="N"/>
    <m/>
    <s v="Y"/>
  </r>
  <r>
    <s v="IMM INTERNET MEDIA MEXICO S DE RL DE CV"/>
    <n v="3050535"/>
    <n v="41651"/>
    <s v="BancodeCordoba"/>
    <x v="12"/>
    <x v="12"/>
    <d v="2026-02-01T00:00:00"/>
    <x v="94"/>
    <s v="OT467   Vuelta al cole - Alcance - TWITTER"/>
    <x v="1"/>
    <x v="0"/>
    <n v="0"/>
    <n v="0"/>
    <s v="WOBRA S.A.S."/>
    <s v="WOBRA S.A.S."/>
    <s v="BANCO DE LA PROVINCIA DE CORDOBA S.A."/>
    <n v="5733116"/>
    <n v="40600000"/>
    <d v="2024-01-01T00:00:00"/>
    <d v="2026-04-15T00:00:00"/>
    <s v="ISO"/>
    <s v="120 NET"/>
    <s v="AR"/>
    <s v="MX"/>
    <s v="X Corp."/>
    <n v="10573709"/>
    <d v="2026-02-28T00:00:00"/>
    <x v="0"/>
    <n v="672.44"/>
    <s v="USD"/>
    <n v="0.47"/>
    <n v="0.47"/>
    <m/>
    <m/>
    <m/>
    <m/>
    <m/>
    <m/>
    <m/>
    <m/>
    <m/>
    <m/>
    <m/>
    <m/>
    <m/>
    <m/>
    <m/>
    <m/>
    <m/>
    <m/>
    <m/>
    <m/>
    <m/>
    <m/>
    <m/>
    <m/>
    <n v="0"/>
    <n v="0"/>
    <n v="0"/>
    <n v="672.44"/>
    <n v="0.47"/>
    <n v="0.47"/>
    <m/>
    <m/>
    <m/>
    <m/>
    <n v="39.549999999999997"/>
    <n v="265.97000000000003"/>
    <n v="0.18"/>
    <n v="0.18"/>
    <n v="406.47"/>
    <n v="0.28999999999999998"/>
    <n v="0.28999999999999998"/>
    <m/>
    <m/>
    <s v="AR00223485 - SMB_ARG_BancoProvinciaCord_Enero24"/>
    <m/>
    <n v="47720819"/>
    <n v="47720819"/>
    <s v="REACH"/>
    <s v="N"/>
    <m/>
    <s v="Y"/>
  </r>
  <r>
    <s v="IMM INTERNET MEDIA MEXICO S DE RL DE CV"/>
    <n v="3050535"/>
    <n v="41651"/>
    <s v="BancodeCordoba"/>
    <x v="12"/>
    <x v="12"/>
    <d v="2026-02-01T00:00:00"/>
    <x v="94"/>
    <s v="OT467   Vuelta al cole - Alcance - TWITTER"/>
    <x v="1"/>
    <x v="0"/>
    <n v="0"/>
    <n v="0"/>
    <s v="WOBRA S.A.S."/>
    <s v="WOBRA S.A.S."/>
    <s v="BANCO DE LA PROVINCIA DE CORDOBA S.A."/>
    <n v="5733116"/>
    <n v="40600000"/>
    <d v="2024-01-01T00:00:00"/>
    <d v="2026-04-15T00:00:00"/>
    <s v="ISO"/>
    <s v="120 NET"/>
    <s v="AR"/>
    <s v="MX"/>
    <s v="X Corp."/>
    <n v="10573709"/>
    <d v="2026-02-28T00:00:00"/>
    <x v="0"/>
    <n v="600985.66"/>
    <s v="USD"/>
    <n v="415.79"/>
    <n v="415.79"/>
    <m/>
    <m/>
    <m/>
    <m/>
    <m/>
    <m/>
    <m/>
    <m/>
    <m/>
    <m/>
    <m/>
    <m/>
    <m/>
    <m/>
    <m/>
    <m/>
    <m/>
    <m/>
    <m/>
    <m/>
    <m/>
    <m/>
    <m/>
    <m/>
    <n v="0"/>
    <n v="0"/>
    <n v="0"/>
    <n v="600985.66"/>
    <n v="415.79"/>
    <n v="415.79"/>
    <m/>
    <m/>
    <m/>
    <m/>
    <n v="39.549999999999997"/>
    <n v="237704.85"/>
    <n v="164.46"/>
    <n v="164.46"/>
    <n v="363280.81"/>
    <n v="251.33"/>
    <n v="251.33"/>
    <m/>
    <m/>
    <s v="AR00223485 - SMB_ARG_BancoProvinciaCord_Enero24"/>
    <m/>
    <n v="47720819"/>
    <n v="47720819"/>
    <s v="REACH"/>
    <s v="N"/>
    <m/>
    <s v="Y"/>
  </r>
  <r>
    <s v="IMM INTERNET MEDIA MEXICO S DE RL DE CV"/>
    <n v="3050535"/>
    <n v="41651"/>
    <s v="mercadopago"/>
    <x v="82"/>
    <x v="72"/>
    <d v="2026-02-01T00:00:00"/>
    <x v="144"/>
    <s v="MPA   Somos Francos   Spotlight- 6/Feb"/>
    <x v="0"/>
    <x v="0"/>
    <n v="0"/>
    <n v="0"/>
    <s v="IPG Media Brands S.A."/>
    <s v="IPG Media Brands S.A."/>
    <s v="MercadoLibre S.R.L."/>
    <n v="821027"/>
    <n v="757350"/>
    <d v="2026-02-06T00:00:00"/>
    <d v="2026-02-06T00:00:00"/>
    <s v="DSO"/>
    <s v="120 NET"/>
    <s v="AR"/>
    <s v="MX"/>
    <s v="X Corp."/>
    <n v="10573672"/>
    <d v="2026-02-28T00:00:00"/>
    <x v="0"/>
    <n v="757350"/>
    <s v="USD"/>
    <n v="523.97"/>
    <n v="523.97"/>
    <m/>
    <m/>
    <m/>
    <m/>
    <m/>
    <m/>
    <m/>
    <m/>
    <m/>
    <m/>
    <m/>
    <m/>
    <m/>
    <m/>
    <m/>
    <m/>
    <m/>
    <m/>
    <m/>
    <m/>
    <m/>
    <m/>
    <m/>
    <m/>
    <n v="0"/>
    <n v="0"/>
    <n v="0"/>
    <n v="757350"/>
    <n v="523.97"/>
    <n v="523.97"/>
    <m/>
    <m/>
    <m/>
    <m/>
    <n v="34"/>
    <n v="257483.85"/>
    <n v="178.14"/>
    <n v="178.14"/>
    <n v="499866.15"/>
    <n v="345.83"/>
    <n v="345.83"/>
    <m/>
    <s v="Standard + Spotlight"/>
    <s v="MPA | Somos Francos | Spotlight- 6/Feb"/>
    <m/>
    <n v="224554"/>
    <n v="224554"/>
    <s v="UNKNOWN_OBJECTIVE"/>
    <s v="N"/>
    <m/>
    <s v="Y"/>
  </r>
  <r>
    <s v="IMM INTERNET MEDIA MEXICO S DE RL DE CV"/>
    <n v="3050535"/>
    <n v="41651"/>
    <s v="bancoprovincia"/>
    <x v="20"/>
    <x v="20"/>
    <d v="2026-02-01T00:00:00"/>
    <x v="24"/>
    <s v="2035_sp_2026_plazo-fijo-cuenta-dni_feb_arg_alcance_cpm"/>
    <x v="1"/>
    <x v="0"/>
    <n v="0"/>
    <n v="0"/>
    <s v="SUPER MEDIA S.A"/>
    <s v="SUPER MEDIA S.A"/>
    <s v="Banco Provincia"/>
    <n v="7000116"/>
    <n v="12650000"/>
    <d v="2026-01-13T00:00:00"/>
    <d v="2026-02-28T00:00:00"/>
    <s v="RES"/>
    <s v="120 NET"/>
    <s v="AR"/>
    <s v="MX"/>
    <s v="X Corp."/>
    <n v="10573696"/>
    <d v="2026-02-28T00:00:00"/>
    <x v="0"/>
    <n v="8126.2"/>
    <s v="USD"/>
    <n v="5.62"/>
    <n v="5.62"/>
    <m/>
    <m/>
    <m/>
    <m/>
    <m/>
    <m/>
    <m/>
    <m/>
    <m/>
    <m/>
    <m/>
    <m/>
    <m/>
    <m/>
    <m/>
    <m/>
    <m/>
    <m/>
    <m/>
    <m/>
    <m/>
    <m/>
    <m/>
    <m/>
    <n v="0"/>
    <n v="0"/>
    <n v="0"/>
    <n v="8126.2"/>
    <n v="5.62"/>
    <n v="5.62"/>
    <m/>
    <m/>
    <m/>
    <m/>
    <n v="39.549999999999997"/>
    <n v="3214.12"/>
    <n v="2.2200000000000002"/>
    <n v="2.2200000000000002"/>
    <n v="4912.08"/>
    <n v="3.4"/>
    <n v="3.4"/>
    <m/>
    <m/>
    <s v="AR00399019 X | Bapro | ENE 26"/>
    <m/>
    <n v="63304606"/>
    <n v="63304606"/>
    <s v="REACH"/>
    <s v="N"/>
    <m/>
    <s v="Y"/>
  </r>
  <r>
    <s v="IMM INTERNET MEDIA MEXICO S DE RL DE CV"/>
    <n v="3050535"/>
    <n v="41651"/>
    <s v="bancoprovincia"/>
    <x v="20"/>
    <x v="20"/>
    <d v="2026-02-01T00:00:00"/>
    <x v="145"/>
    <s v="2035_sp_2026_tc-especial-vuelta-a-clases-feb_arg_alcance_cpm"/>
    <x v="1"/>
    <x v="0"/>
    <n v="0"/>
    <n v="0"/>
    <s v="SUPER MEDIA S.A"/>
    <s v="SUPER MEDIA S.A"/>
    <s v="Banco Provincia"/>
    <n v="7000116"/>
    <n v="12650000"/>
    <d v="2026-01-13T00:00:00"/>
    <d v="2026-02-28T00:00:00"/>
    <s v="RES"/>
    <s v="120 NET"/>
    <s v="AR"/>
    <s v="MX"/>
    <s v="X Corp."/>
    <n v="10573696"/>
    <d v="2026-02-28T00:00:00"/>
    <x v="0"/>
    <n v="200075.18"/>
    <s v="USD"/>
    <n v="138.41999999999999"/>
    <n v="138.41999999999999"/>
    <m/>
    <m/>
    <m/>
    <m/>
    <m/>
    <m/>
    <m/>
    <m/>
    <m/>
    <m/>
    <m/>
    <m/>
    <m/>
    <m/>
    <m/>
    <m/>
    <m/>
    <m/>
    <m/>
    <m/>
    <m/>
    <m/>
    <m/>
    <m/>
    <n v="0"/>
    <n v="0"/>
    <n v="0"/>
    <n v="200075.18"/>
    <n v="138.41999999999999"/>
    <n v="138.41999999999999"/>
    <m/>
    <m/>
    <m/>
    <m/>
    <n v="39.549999999999997"/>
    <n v="79134.73"/>
    <n v="54.75"/>
    <n v="54.75"/>
    <n v="120940.45"/>
    <n v="83.67"/>
    <n v="83.67"/>
    <m/>
    <m/>
    <s v="AR00399019 X | Bapro | ENE 26"/>
    <m/>
    <n v="63304606"/>
    <n v="63304606"/>
    <s v="REACH"/>
    <s v="N"/>
    <m/>
    <s v="Y"/>
  </r>
  <r>
    <s v="IMM INTERNET MEDIA MEXICO S DE RL DE CV"/>
    <n v="3050535"/>
    <n v="41651"/>
    <s v="bancoprovincia"/>
    <x v="20"/>
    <x v="20"/>
    <d v="2026-02-01T00:00:00"/>
    <x v="68"/>
    <s v="2035_sp_2026_rico-en-data-episodio6_feb_arg_alcance_cpm"/>
    <x v="1"/>
    <x v="0"/>
    <n v="0"/>
    <n v="0"/>
    <s v="SUPER MEDIA S.A"/>
    <s v="SUPER MEDIA S.A"/>
    <s v="Banco Provincia"/>
    <n v="7000116"/>
    <n v="12650000"/>
    <d v="2026-01-13T00:00:00"/>
    <d v="2026-02-28T00:00:00"/>
    <s v="RES"/>
    <s v="120 NET"/>
    <s v="AR"/>
    <s v="MX"/>
    <s v="X Corp."/>
    <n v="10573696"/>
    <d v="2026-02-28T00:00:00"/>
    <x v="0"/>
    <n v="666.39"/>
    <s v="USD"/>
    <n v="0.46"/>
    <n v="0.46"/>
    <m/>
    <m/>
    <m/>
    <m/>
    <m/>
    <m/>
    <m/>
    <m/>
    <m/>
    <m/>
    <m/>
    <m/>
    <m/>
    <m/>
    <m/>
    <m/>
    <m/>
    <m/>
    <m/>
    <m/>
    <m/>
    <m/>
    <m/>
    <m/>
    <n v="0"/>
    <n v="0"/>
    <n v="0"/>
    <n v="666.39"/>
    <n v="0.46"/>
    <n v="0.46"/>
    <m/>
    <m/>
    <m/>
    <m/>
    <n v="39.549999999999997"/>
    <n v="263.57"/>
    <n v="0.18"/>
    <n v="0.18"/>
    <n v="402.82"/>
    <n v="0.28000000000000003"/>
    <n v="0.28000000000000003"/>
    <m/>
    <m/>
    <s v="AR00399019 X | Bapro | ENE 26"/>
    <m/>
    <n v="63304606"/>
    <n v="63304606"/>
    <s v="REACH"/>
    <s v="N"/>
    <m/>
    <s v="Y"/>
  </r>
  <r>
    <s v="IMM INTERNET MEDIA MEXICO S DE RL DE CV"/>
    <n v="3050535"/>
    <n v="41651"/>
    <s v="bancoprovincia"/>
    <x v="20"/>
    <x v="20"/>
    <d v="2026-02-01T00:00:00"/>
    <x v="71"/>
    <s v="2035_sp_2026_rico-en-data-episodio7_feb_arg_alcance_cpm"/>
    <x v="1"/>
    <x v="0"/>
    <n v="0"/>
    <n v="0"/>
    <s v="SUPER MEDIA S.A"/>
    <s v="SUPER MEDIA S.A"/>
    <s v="Banco Provincia"/>
    <n v="7000116"/>
    <n v="12650000"/>
    <d v="2026-01-13T00:00:00"/>
    <d v="2026-02-28T00:00:00"/>
    <s v="RES"/>
    <s v="120 NET"/>
    <s v="AR"/>
    <s v="MX"/>
    <s v="X Corp."/>
    <n v="10573696"/>
    <d v="2026-02-28T00:00:00"/>
    <x v="0"/>
    <n v="692.56"/>
    <s v="USD"/>
    <n v="0.48"/>
    <n v="0.48"/>
    <m/>
    <m/>
    <m/>
    <m/>
    <m/>
    <m/>
    <m/>
    <m/>
    <m/>
    <m/>
    <m/>
    <m/>
    <m/>
    <m/>
    <m/>
    <m/>
    <m/>
    <m/>
    <m/>
    <m/>
    <m/>
    <m/>
    <m/>
    <m/>
    <n v="0"/>
    <n v="0"/>
    <n v="0"/>
    <n v="692.56"/>
    <n v="0.48"/>
    <n v="0.48"/>
    <m/>
    <m/>
    <m/>
    <m/>
    <n v="39.549999999999997"/>
    <n v="273.93"/>
    <n v="0.19"/>
    <n v="0.19"/>
    <n v="418.63"/>
    <n v="0.28999999999999998"/>
    <n v="0.28999999999999998"/>
    <m/>
    <m/>
    <s v="AR00399019 X | Bapro | ENE 26"/>
    <m/>
    <n v="63304606"/>
    <n v="63304606"/>
    <s v="REACH"/>
    <s v="N"/>
    <m/>
    <s v="Y"/>
  </r>
  <r>
    <s v="IMM INTERNET MEDIA MEXICO S DE RL DE CV"/>
    <n v="3050535"/>
    <n v="41651"/>
    <s v="bancoprovincia"/>
    <x v="20"/>
    <x v="20"/>
    <d v="2026-02-01T00:00:00"/>
    <x v="27"/>
    <s v="2035_sp_2026_prestamo-express-feb_arg_alcance_cpm"/>
    <x v="1"/>
    <x v="0"/>
    <n v="0"/>
    <n v="0"/>
    <s v="SUPER MEDIA S.A"/>
    <s v="SUPER MEDIA S.A"/>
    <s v="Banco Provincia"/>
    <n v="7000116"/>
    <n v="12650000"/>
    <d v="2026-01-13T00:00:00"/>
    <d v="2026-02-28T00:00:00"/>
    <s v="RES"/>
    <s v="120 NET"/>
    <s v="AR"/>
    <s v="MX"/>
    <s v="X Corp."/>
    <n v="10573696"/>
    <d v="2026-02-28T00:00:00"/>
    <x v="0"/>
    <n v="10.039999999999999"/>
    <s v="USD"/>
    <n v="0.01"/>
    <n v="0.01"/>
    <m/>
    <m/>
    <m/>
    <m/>
    <m/>
    <m/>
    <m/>
    <m/>
    <m/>
    <m/>
    <m/>
    <m/>
    <m/>
    <m/>
    <m/>
    <m/>
    <m/>
    <m/>
    <m/>
    <m/>
    <m/>
    <m/>
    <m/>
    <m/>
    <n v="0"/>
    <n v="0"/>
    <n v="0"/>
    <n v="10.039999999999999"/>
    <n v="0.01"/>
    <n v="0.01"/>
    <m/>
    <m/>
    <m/>
    <m/>
    <n v="39.549999999999997"/>
    <n v="3.97"/>
    <n v="0"/>
    <n v="0"/>
    <n v="6.07"/>
    <n v="0.01"/>
    <n v="0.01"/>
    <m/>
    <m/>
    <s v="AR00399019 X | Bapro | ENE 26"/>
    <m/>
    <n v="63304606"/>
    <n v="63304606"/>
    <s v="REACH"/>
    <s v="N"/>
    <m/>
    <s v="Y"/>
  </r>
  <r>
    <s v="IMM INTERNET MEDIA MEXICO S DE RL DE CV"/>
    <n v="3050535"/>
    <n v="41651"/>
    <s v="bancoprovincia"/>
    <x v="20"/>
    <x v="20"/>
    <d v="2026-02-01T00:00:00"/>
    <x v="146"/>
    <s v="2035_sp_2026_spot-plazo-fijo-cuenta-dni_feb_arg_trafico_cpc"/>
    <x v="1"/>
    <x v="0"/>
    <n v="0"/>
    <n v="0"/>
    <s v="SUPER MEDIA S.A"/>
    <s v="SUPER MEDIA S.A"/>
    <s v="Banco Provincia"/>
    <n v="7000116"/>
    <n v="12650000"/>
    <d v="2026-01-13T00:00:00"/>
    <d v="2026-02-28T00:00:00"/>
    <s v="RES"/>
    <s v="120 NET"/>
    <s v="AR"/>
    <s v="MX"/>
    <s v="X Corp."/>
    <n v="10573696"/>
    <d v="2026-02-28T00:00:00"/>
    <x v="0"/>
    <n v="100078.08"/>
    <s v="USD"/>
    <n v="69.239999999999995"/>
    <n v="69.239999999999995"/>
    <m/>
    <m/>
    <m/>
    <m/>
    <m/>
    <m/>
    <m/>
    <m/>
    <m/>
    <m/>
    <m/>
    <m/>
    <m/>
    <m/>
    <m/>
    <m/>
    <m/>
    <m/>
    <m/>
    <m/>
    <m/>
    <m/>
    <m/>
    <m/>
    <n v="0"/>
    <n v="0"/>
    <n v="0"/>
    <n v="100078.08"/>
    <n v="69.239999999999995"/>
    <n v="69.239999999999995"/>
    <m/>
    <m/>
    <m/>
    <m/>
    <n v="39.549999999999997"/>
    <n v="39583.379999999997"/>
    <n v="27.39"/>
    <n v="27.39"/>
    <n v="60494.7"/>
    <n v="41.85"/>
    <n v="41.85"/>
    <m/>
    <m/>
    <s v="AR00399019 X | Bapro | ENE 26"/>
    <m/>
    <n v="63304606"/>
    <n v="63304606"/>
    <s v="WEBSITE_CLICKS"/>
    <s v="N"/>
    <m/>
    <s v="Y"/>
  </r>
  <r>
    <s v="IMM INTERNET MEDIA MEXICO S DE RL DE CV"/>
    <n v="3050535"/>
    <n v="41651"/>
    <s v="bancoprovincia"/>
    <x v="20"/>
    <x v="20"/>
    <d v="2026-02-01T00:00:00"/>
    <x v="147"/>
    <s v="2035_sp_2026_rico-en-data-ep8_feb_arg_trafico_cpc"/>
    <x v="1"/>
    <x v="0"/>
    <n v="0"/>
    <n v="0"/>
    <s v="SUPER MEDIA S.A"/>
    <s v="SUPER MEDIA S.A"/>
    <s v="Banco Provincia"/>
    <n v="7000116"/>
    <n v="12650000"/>
    <d v="2026-01-13T00:00:00"/>
    <d v="2026-02-28T00:00:00"/>
    <s v="RES"/>
    <s v="120 NET"/>
    <s v="AR"/>
    <s v="MX"/>
    <s v="X Corp."/>
    <n v="10573696"/>
    <d v="2026-02-28T00:00:00"/>
    <x v="0"/>
    <n v="251537.01"/>
    <s v="USD"/>
    <n v="174.03"/>
    <n v="174.03"/>
    <m/>
    <m/>
    <m/>
    <m/>
    <m/>
    <m/>
    <m/>
    <m/>
    <m/>
    <m/>
    <m/>
    <m/>
    <m/>
    <m/>
    <m/>
    <m/>
    <m/>
    <m/>
    <m/>
    <m/>
    <m/>
    <m/>
    <m/>
    <m/>
    <n v="0"/>
    <n v="0"/>
    <n v="0"/>
    <n v="251537.01"/>
    <n v="174.03"/>
    <n v="174.03"/>
    <m/>
    <m/>
    <m/>
    <m/>
    <n v="39.549999999999997"/>
    <n v="99489.18"/>
    <n v="68.83"/>
    <n v="68.83"/>
    <n v="152047.82999999999"/>
    <n v="105.2"/>
    <n v="105.2"/>
    <m/>
    <m/>
    <s v="AR00399019 X | Bapro | ENE 26"/>
    <m/>
    <n v="63304606"/>
    <n v="63304606"/>
    <s v="WEBSITE_CLICKS"/>
    <s v="N"/>
    <m/>
    <s v="Y"/>
  </r>
  <r>
    <s v="IMM INTERNET MEDIA MEXICO S DE RL DE CV"/>
    <n v="3050535"/>
    <n v="41651"/>
    <s v="bancoprovincia"/>
    <x v="20"/>
    <x v="20"/>
    <d v="2026-02-01T00:00:00"/>
    <x v="148"/>
    <s v="2035_sp_2026_rico-en-data-ep8-feb_arg_alcance_cpm"/>
    <x v="1"/>
    <x v="0"/>
    <n v="0"/>
    <n v="0"/>
    <s v="SUPER MEDIA S.A"/>
    <s v="SUPER MEDIA S.A"/>
    <s v="Banco Provincia"/>
    <n v="7000116"/>
    <n v="12650000"/>
    <d v="2026-01-13T00:00:00"/>
    <d v="2026-02-28T00:00:00"/>
    <s v="RES"/>
    <s v="120 NET"/>
    <s v="AR"/>
    <s v="MX"/>
    <s v="X Corp."/>
    <n v="10573696"/>
    <d v="2026-02-28T00:00:00"/>
    <x v="0"/>
    <n v="100066.79"/>
    <s v="USD"/>
    <n v="69.23"/>
    <n v="69.23"/>
    <m/>
    <m/>
    <m/>
    <m/>
    <m/>
    <m/>
    <m/>
    <m/>
    <m/>
    <m/>
    <m/>
    <m/>
    <m/>
    <m/>
    <m/>
    <m/>
    <m/>
    <m/>
    <m/>
    <m/>
    <m/>
    <m/>
    <m/>
    <m/>
    <n v="0"/>
    <n v="0"/>
    <n v="0"/>
    <n v="100066.79"/>
    <n v="69.23"/>
    <n v="69.23"/>
    <m/>
    <m/>
    <m/>
    <m/>
    <n v="39.549999999999997"/>
    <n v="39578.92"/>
    <n v="27.38"/>
    <n v="27.38"/>
    <n v="60487.87"/>
    <n v="41.85"/>
    <n v="41.85"/>
    <m/>
    <m/>
    <s v="AR00399019 X | Bapro | ENE 26"/>
    <m/>
    <n v="63304606"/>
    <n v="63304606"/>
    <s v="REACH"/>
    <s v="N"/>
    <m/>
    <s v="Y"/>
  </r>
  <r>
    <s v="IMM INTERNET MEDIA MEXICO S DE RL DE CV"/>
    <n v="3050535"/>
    <n v="41651"/>
    <s v="bancoprovincia"/>
    <x v="20"/>
    <x v="20"/>
    <d v="2026-02-01T00:00:00"/>
    <x v="149"/>
    <s v="2035_sp_2026_tu-prestamo-aca_feb_arg_trafico_cpc"/>
    <x v="1"/>
    <x v="0"/>
    <n v="0"/>
    <n v="0"/>
    <s v="SUPER MEDIA S.A"/>
    <s v="SUPER MEDIA S.A"/>
    <s v="Banco Provincia"/>
    <n v="7000116"/>
    <n v="12650000"/>
    <d v="2026-01-13T00:00:00"/>
    <d v="2026-02-28T00:00:00"/>
    <s v="RES"/>
    <s v="120 NET"/>
    <s v="AR"/>
    <s v="MX"/>
    <s v="X Corp."/>
    <n v="10573696"/>
    <d v="2026-02-28T00:00:00"/>
    <x v="0"/>
    <n v="593326.93999999994"/>
    <s v="USD"/>
    <n v="410.49"/>
    <n v="410.49"/>
    <m/>
    <m/>
    <m/>
    <m/>
    <m/>
    <m/>
    <m/>
    <m/>
    <m/>
    <m/>
    <m/>
    <m/>
    <m/>
    <m/>
    <m/>
    <m/>
    <m/>
    <m/>
    <m/>
    <m/>
    <m/>
    <m/>
    <m/>
    <m/>
    <n v="0"/>
    <n v="0"/>
    <n v="0"/>
    <n v="593326.93999999994"/>
    <n v="410.49"/>
    <n v="410.49"/>
    <m/>
    <m/>
    <m/>
    <m/>
    <n v="39.549999999999997"/>
    <n v="234675.64"/>
    <n v="162.36000000000001"/>
    <n v="162.36000000000001"/>
    <n v="358651.3"/>
    <n v="248.13"/>
    <n v="248.13"/>
    <m/>
    <m/>
    <s v="AR00399019 X | Bapro | ENE 26"/>
    <m/>
    <n v="63304606"/>
    <n v="63304606"/>
    <s v="WEBSITE_CLICKS"/>
    <s v="N"/>
    <m/>
    <s v="Y"/>
  </r>
  <r>
    <s v="IMM INTERNET MEDIA MEXICO S DE RL DE CV"/>
    <n v="3050535"/>
    <n v="41651"/>
    <s v="bancoprovincia"/>
    <x v="20"/>
    <x v="20"/>
    <d v="2026-02-01T00:00:00"/>
    <x v="52"/>
    <s v="2035_sp_2026_rico-en-data-episodio6_feb_arg_trafico_cpc"/>
    <x v="1"/>
    <x v="0"/>
    <n v="0"/>
    <n v="0"/>
    <s v="SUPER MEDIA S.A"/>
    <s v="SUPER MEDIA S.A"/>
    <s v="Banco Provincia"/>
    <n v="7000116"/>
    <n v="12650000"/>
    <d v="2026-01-13T00:00:00"/>
    <d v="2026-02-28T00:00:00"/>
    <s v="RES"/>
    <s v="120 NET"/>
    <s v="AR"/>
    <s v="MX"/>
    <s v="X Corp."/>
    <n v="10573696"/>
    <d v="2026-02-28T00:00:00"/>
    <x v="0"/>
    <n v="299947.63"/>
    <s v="USD"/>
    <n v="207.52"/>
    <n v="207.52"/>
    <m/>
    <m/>
    <m/>
    <m/>
    <m/>
    <m/>
    <m/>
    <m/>
    <m/>
    <m/>
    <m/>
    <m/>
    <m/>
    <m/>
    <m/>
    <m/>
    <m/>
    <m/>
    <m/>
    <m/>
    <m/>
    <m/>
    <m/>
    <m/>
    <n v="0"/>
    <n v="0"/>
    <n v="0"/>
    <n v="299947.63"/>
    <n v="207.52"/>
    <n v="207.52"/>
    <m/>
    <m/>
    <m/>
    <m/>
    <n v="39.549999999999997"/>
    <n v="118636.79"/>
    <n v="82.08"/>
    <n v="82.08"/>
    <n v="181310.84"/>
    <n v="125.44"/>
    <n v="125.44"/>
    <m/>
    <m/>
    <s v="AR00399019 X | Bapro | ENE 26"/>
    <m/>
    <n v="63304606"/>
    <n v="63304606"/>
    <s v="WEBSITE_CLICKS"/>
    <s v="N"/>
    <m/>
    <s v="Y"/>
  </r>
  <r>
    <s v="IMM INTERNET MEDIA MEXICO S DE RL DE CV"/>
    <n v="3050535"/>
    <n v="41651"/>
    <s v="Bodog_Oficial"/>
    <x v="83"/>
    <x v="73"/>
    <d v="2026-02-01T00:00:00"/>
    <x v="150"/>
    <s v="wf_2601_br_x_display_aw_ba_ext"/>
    <x v="1"/>
    <x v="0"/>
    <n v="0"/>
    <n v="0"/>
    <s v="WILD FI ARGENTINA SA"/>
    <s v="WILD FI ARGENTINA SA"/>
    <s v="Connaught International Limited"/>
    <n v="209164024"/>
    <n v="50000"/>
    <d v="2026-01-27T00:00:00"/>
    <d v="2026-06-30T00:00:00"/>
    <s v="RES"/>
    <s v="120 NET"/>
    <s v="MT"/>
    <s v="MX"/>
    <s v="X Corp."/>
    <n v="10572898"/>
    <d v="2026-02-28T00:00:00"/>
    <x v="1"/>
    <n v="8.35"/>
    <s v="USD"/>
    <n v="8.35"/>
    <n v="8.35"/>
    <m/>
    <m/>
    <m/>
    <m/>
    <m/>
    <m/>
    <m/>
    <m/>
    <m/>
    <m/>
    <m/>
    <m/>
    <m/>
    <m/>
    <m/>
    <m/>
    <m/>
    <m/>
    <m/>
    <m/>
    <m/>
    <m/>
    <m/>
    <m/>
    <n v="0"/>
    <n v="0"/>
    <n v="0"/>
    <n v="8.35"/>
    <n v="8.35"/>
    <n v="8.35"/>
    <m/>
    <m/>
    <m/>
    <m/>
    <n v="15"/>
    <n v="1.25"/>
    <n v="1.25"/>
    <n v="1.25"/>
    <n v="7.1"/>
    <n v="7.1"/>
    <n v="7.1"/>
    <m/>
    <m/>
    <s v="AR00402659-X ARG-Bodog Brasil-Q1/Q2-26"/>
    <m/>
    <n v="140088451"/>
    <n v="140088451"/>
    <s v="WEBSITE_CLICKS"/>
    <s v="N"/>
    <m/>
    <s v="Y"/>
  </r>
  <r>
    <s v="IMM INTERNET MEDIA MEXICO S DE RL DE CV"/>
    <n v="3050535"/>
    <n v="41651"/>
    <s v="Cinemark_ar"/>
    <x v="48"/>
    <x v="46"/>
    <d v="2026-02-01T00:00:00"/>
    <x v="75"/>
    <s v="bull_cnmk_all_venta_X_all_broad_gene_ticket_ao"/>
    <x v="1"/>
    <x v="0"/>
    <n v="0"/>
    <n v="0"/>
    <s v="Bullmetrix SRL"/>
    <s v="Bullmetrix SRL"/>
    <s v="CINEMARK ARGENTINA SRL"/>
    <n v="207572191"/>
    <n v="12688415"/>
    <d v="2025-11-10T00:00:00"/>
    <d v="2026-04-30T00:00:00"/>
    <s v="RES"/>
    <s v="120 NET"/>
    <s v="AR"/>
    <s v="MX"/>
    <s v="X Corp."/>
    <n v="10573662"/>
    <d v="2026-02-28T00:00:00"/>
    <x v="0"/>
    <n v="148193.1"/>
    <s v="USD"/>
    <n v="102.53"/>
    <n v="102.53"/>
    <m/>
    <m/>
    <m/>
    <m/>
    <m/>
    <m/>
    <m/>
    <m/>
    <m/>
    <m/>
    <m/>
    <m/>
    <m/>
    <m/>
    <m/>
    <m/>
    <m/>
    <m/>
    <m/>
    <m/>
    <m/>
    <m/>
    <m/>
    <m/>
    <n v="0"/>
    <n v="0"/>
    <n v="0"/>
    <n v="148193.1"/>
    <n v="102.53"/>
    <n v="102.53"/>
    <m/>
    <m/>
    <m/>
    <m/>
    <n v="39.549999999999997"/>
    <n v="58614.080000000002"/>
    <n v="40.549999999999997"/>
    <n v="40.549999999999997"/>
    <n v="89579.02"/>
    <n v="61.98"/>
    <n v="61.98"/>
    <m/>
    <m/>
    <s v="AR00386903 _X - Arg - Cinemark - Q42025"/>
    <m/>
    <n v="136433571"/>
    <n v="136433571"/>
    <s v="WEBSITE_CLICKS"/>
    <s v="N"/>
    <m/>
    <s v="Y"/>
  </r>
  <r>
    <s v="IMM INTERNET MEDIA MEXICO S DE RL DE CV"/>
    <n v="3050535"/>
    <n v="41651"/>
    <s v="MODO_Arg"/>
    <x v="50"/>
    <x v="48"/>
    <d v="2026-02-01T00:00:00"/>
    <x v="79"/>
    <s v="2025_MODO_BRANDING_PROMO_DIARCO_GEO_TWITTER_NU_AW_NOV"/>
    <x v="1"/>
    <x v="0"/>
    <n v="0"/>
    <n v="0"/>
    <s v="OSA ONE STEP AHEAD S.A"/>
    <s v="OSA ONE STEP AHEAD S.A"/>
    <s v="Play Digital S.A."/>
    <n v="57936819"/>
    <n v="6599999.4699999997"/>
    <d v="2025-11-05T00:00:00"/>
    <d v="2026-02-28T00:00:00"/>
    <s v="DSO"/>
    <s v="120 NET"/>
    <s v="AR"/>
    <s v="MX"/>
    <s v="X Corp."/>
    <n v="10573725"/>
    <d v="2026-02-28T00:00:00"/>
    <x v="0"/>
    <n v="602634.81999999995"/>
    <s v="USD"/>
    <n v="416.93"/>
    <n v="416.93"/>
    <m/>
    <m/>
    <m/>
    <m/>
    <m/>
    <m/>
    <m/>
    <m/>
    <m/>
    <m/>
    <m/>
    <m/>
    <m/>
    <m/>
    <m/>
    <m/>
    <m/>
    <m/>
    <m/>
    <m/>
    <m/>
    <m/>
    <m/>
    <m/>
    <n v="0"/>
    <n v="0"/>
    <n v="0"/>
    <n v="602634.81999999995"/>
    <n v="416.93"/>
    <n v="416.93"/>
    <m/>
    <m/>
    <m/>
    <m/>
    <n v="39.549999999999997"/>
    <n v="238357.14"/>
    <n v="164.91"/>
    <n v="164.91"/>
    <n v="364277.68"/>
    <n v="252.02"/>
    <n v="252.02"/>
    <m/>
    <m/>
    <s v="AR00385631 X | MODO | Promo Diarco"/>
    <m/>
    <n v="224573"/>
    <n v="224573"/>
    <s v="REACH"/>
    <s v="N"/>
    <m/>
    <s v="Y"/>
  </r>
  <r>
    <s v="IMM INTERNET MEDIA MEXICO S DE RL DE CV"/>
    <n v="3050535"/>
    <n v="41651"/>
    <s v="Flow_ar"/>
    <x v="84"/>
    <x v="74"/>
    <d v="2026-02-01T00:00:00"/>
    <x v="151"/>
    <s v="FW_MSC_LOLLA_EXBRD_BRD_NAC_REACH_X"/>
    <x v="1"/>
    <x v="0"/>
    <n v="0"/>
    <n v="0"/>
    <s v="Digital Hive Group S.A"/>
    <s v="Digital Hive Group S.A"/>
    <s v="Personal Argentina"/>
    <n v="80883"/>
    <n v="3955000"/>
    <d v="2026-02-27T00:00:00"/>
    <d v="2026-03-31T00:00:00"/>
    <s v="RES"/>
    <s v="120 NET"/>
    <s v="AR"/>
    <s v="MX"/>
    <s v="X Corp."/>
    <n v="10573667"/>
    <d v="2026-02-28T00:00:00"/>
    <x v="0"/>
    <n v="241926.19"/>
    <s v="USD"/>
    <n v="167.38"/>
    <n v="167.38"/>
    <m/>
    <m/>
    <m/>
    <m/>
    <m/>
    <m/>
    <m/>
    <m/>
    <m/>
    <m/>
    <m/>
    <m/>
    <m/>
    <m/>
    <m/>
    <m/>
    <m/>
    <m/>
    <m/>
    <m/>
    <m/>
    <m/>
    <m/>
    <m/>
    <n v="0"/>
    <n v="0"/>
    <n v="0"/>
    <n v="241926.19"/>
    <n v="167.38"/>
    <n v="167.38"/>
    <m/>
    <m/>
    <m/>
    <m/>
    <n v="22"/>
    <n v="53223.76"/>
    <n v="36.82"/>
    <n v="36.82"/>
    <n v="188702.43"/>
    <n v="130.56"/>
    <n v="130.56"/>
    <m/>
    <m/>
    <s v="AR00395703 | X | Personal | Flow - Lollapalooza - Mar 26"/>
    <m/>
    <n v="66013147"/>
    <n v="66013147"/>
    <s v="REACH"/>
    <s v="N"/>
    <m/>
    <s v="Y"/>
  </r>
  <r>
    <s v="IMM INTERNET MEDIA MEXICO S DE RL DE CV"/>
    <n v="3050535"/>
    <n v="41651"/>
    <s v="MODO_Arg"/>
    <x v="23"/>
    <x v="23"/>
    <d v="2026-02-01T00:00:00"/>
    <x v="57"/>
    <s v="2026_MODO_PERFORMANCE_PERFO_AO_ACTIVACION-ANDROID-INTERIOR_TWITTER_NU_TX_FEB"/>
    <x v="1"/>
    <x v="0"/>
    <n v="0"/>
    <n v="0"/>
    <s v="OSA ONE STEP AHEAD S.A"/>
    <s v="OSA ONE STEP AHEAD S.A"/>
    <s v="Play Digital S.A."/>
    <n v="57936819"/>
    <n v="9869791.9600000009"/>
    <d v="2026-01-02T00:00:00"/>
    <d v="2026-03-31T00:00:00"/>
    <s v="DSO"/>
    <s v="120 NET"/>
    <s v="AR"/>
    <s v="MX"/>
    <s v="X Corp."/>
    <n v="10573703"/>
    <d v="2026-02-28T00:00:00"/>
    <x v="0"/>
    <n v="172105.01"/>
    <s v="USD"/>
    <n v="119.07"/>
    <n v="119.07"/>
    <m/>
    <m/>
    <m/>
    <m/>
    <m/>
    <m/>
    <m/>
    <m/>
    <m/>
    <m/>
    <m/>
    <m/>
    <m/>
    <m/>
    <m/>
    <m/>
    <m/>
    <m/>
    <m/>
    <m/>
    <m/>
    <m/>
    <m/>
    <m/>
    <n v="0"/>
    <n v="0"/>
    <n v="0"/>
    <n v="172105.01"/>
    <n v="119.07"/>
    <n v="119.07"/>
    <m/>
    <m/>
    <m/>
    <m/>
    <n v="39.549999999999997"/>
    <n v="68071.83"/>
    <n v="47.1"/>
    <n v="47.1"/>
    <n v="104033.18"/>
    <n v="71.97"/>
    <n v="71.97"/>
    <m/>
    <m/>
    <s v="AR00396946 X | MODO | AO Performance"/>
    <m/>
    <n v="224573"/>
    <n v="224573"/>
    <s v="APP_ENGAGEMENTS"/>
    <s v="N"/>
    <m/>
    <s v="Y"/>
  </r>
  <r>
    <s v="IMM INTERNET MEDIA MEXICO S DE RL DE CV"/>
    <n v="3050535"/>
    <n v="41651"/>
    <s v="cocoscap"/>
    <x v="24"/>
    <x v="24"/>
    <d v="2026-02-01T00:00:00"/>
    <x v="131"/>
    <s v="X_AR_BND_AWA_R&amp;F_DCD"/>
    <x v="1"/>
    <x v="0"/>
    <n v="0"/>
    <n v="0"/>
    <m/>
    <m/>
    <s v="Cocos Capital S.A."/>
    <n v="186932207"/>
    <n v="69550831"/>
    <d v="2024-12-18T00:00:00"/>
    <d v="2026-02-28T00:00:00"/>
    <s v="RES"/>
    <s v="120 NET"/>
    <s v="AR"/>
    <s v="MX"/>
    <s v="X Corp."/>
    <n v="10573629"/>
    <d v="2026-02-28T00:00:00"/>
    <x v="0"/>
    <n v="455509.34"/>
    <s v="USD"/>
    <n v="315.14"/>
    <n v="315.14"/>
    <m/>
    <m/>
    <m/>
    <m/>
    <m/>
    <m/>
    <m/>
    <m/>
    <m/>
    <m/>
    <m/>
    <m/>
    <m/>
    <m/>
    <m/>
    <m/>
    <m/>
    <m/>
    <m/>
    <m/>
    <m/>
    <m/>
    <m/>
    <m/>
    <n v="0"/>
    <n v="0"/>
    <n v="0"/>
    <n v="455509.34"/>
    <n v="315.14"/>
    <n v="315.14"/>
    <m/>
    <m/>
    <m/>
    <m/>
    <n v="39.549999999999997"/>
    <n v="180165.33"/>
    <n v="124.65"/>
    <n v="124.65"/>
    <n v="275344.01"/>
    <n v="190.49"/>
    <n v="190.49"/>
    <m/>
    <m/>
    <s v="AR00303899 SMB-X ARG - Cocos Capital - Dic/Ene"/>
    <m/>
    <m/>
    <m/>
    <s v="REACH"/>
    <s v="N"/>
    <m/>
    <s v="Y"/>
  </r>
  <r>
    <s v="IMM INTERNET MEDIA MEXICO S DE RL DE CV"/>
    <n v="3050535"/>
    <n v="41651"/>
    <s v="cocoscap"/>
    <x v="24"/>
    <x v="24"/>
    <d v="2026-02-01T00:00:00"/>
    <x v="132"/>
    <s v="X_AR_BND_AWA_R&amp;F_AO"/>
    <x v="1"/>
    <x v="0"/>
    <n v="0"/>
    <n v="0"/>
    <m/>
    <m/>
    <s v="Cocos Capital S.A."/>
    <n v="186932207"/>
    <n v="69550831"/>
    <d v="2024-12-18T00:00:00"/>
    <d v="2026-02-28T00:00:00"/>
    <s v="RES"/>
    <s v="120 NET"/>
    <s v="AR"/>
    <s v="MX"/>
    <s v="X Corp."/>
    <n v="10573629"/>
    <d v="2026-02-28T00:00:00"/>
    <x v="0"/>
    <n v="486407.62"/>
    <s v="USD"/>
    <n v="336.52"/>
    <n v="336.52"/>
    <m/>
    <m/>
    <m/>
    <m/>
    <m/>
    <m/>
    <m/>
    <m/>
    <m/>
    <m/>
    <m/>
    <m/>
    <m/>
    <m/>
    <m/>
    <m/>
    <m/>
    <m/>
    <m/>
    <m/>
    <m/>
    <m/>
    <m/>
    <m/>
    <n v="0"/>
    <n v="0"/>
    <n v="0"/>
    <n v="486407.62"/>
    <n v="336.52"/>
    <n v="336.52"/>
    <m/>
    <m/>
    <m/>
    <m/>
    <n v="39.549999999999997"/>
    <n v="192386.37"/>
    <n v="133.1"/>
    <n v="133.1"/>
    <n v="294021.25"/>
    <n v="203.42"/>
    <n v="203.42"/>
    <m/>
    <m/>
    <s v="AR00303899 SMB-X ARG - Cocos Capital - Dic/Ene"/>
    <m/>
    <m/>
    <m/>
    <s v="REACH"/>
    <s v="N"/>
    <m/>
    <s v="Y"/>
  </r>
  <r>
    <s v="IMM INTERNET MEDIA MEXICO S DE RL DE CV"/>
    <n v="3050535"/>
    <n v="41651"/>
    <s v="MODO_Arg"/>
    <x v="52"/>
    <x v="49"/>
    <d v="2026-02-01T00:00:00"/>
    <x v="83"/>
    <s v="2026_MODO_BRANDING_PROMO_COTO_GEO_GEO_TWITTER_NU_AW_ENE"/>
    <x v="1"/>
    <x v="0"/>
    <n v="0"/>
    <n v="0"/>
    <s v="OSA ONE STEP AHEAD S.A"/>
    <s v="OSA ONE STEP AHEAD S.A"/>
    <s v="Play Digital S.A."/>
    <n v="57936819"/>
    <n v="8949933.4199999999"/>
    <d v="2026-01-20T00:00:00"/>
    <d v="2026-02-28T00:00:00"/>
    <s v="DSO"/>
    <s v="120 NET"/>
    <s v="AR"/>
    <s v="MX"/>
    <s v="X Corp."/>
    <n v="10573633"/>
    <d v="2026-02-28T00:00:00"/>
    <x v="0"/>
    <n v="128256.95"/>
    <s v="USD"/>
    <n v="88.73"/>
    <n v="88.73"/>
    <m/>
    <m/>
    <m/>
    <m/>
    <m/>
    <m/>
    <m/>
    <m/>
    <m/>
    <m/>
    <m/>
    <m/>
    <m/>
    <m/>
    <m/>
    <m/>
    <m/>
    <m/>
    <m/>
    <m/>
    <m/>
    <m/>
    <m/>
    <m/>
    <n v="0"/>
    <n v="0"/>
    <n v="0"/>
    <n v="128256.95"/>
    <n v="88.73"/>
    <n v="88.73"/>
    <m/>
    <m/>
    <m/>
    <m/>
    <n v="39.549999999999997"/>
    <n v="50728.83"/>
    <n v="35.1"/>
    <n v="35.1"/>
    <n v="77528.12"/>
    <n v="53.63"/>
    <n v="53.63"/>
    <m/>
    <m/>
    <s v="AR00400737 X | MODO | Promo COTO"/>
    <m/>
    <n v="224573"/>
    <n v="224573"/>
    <s v="REACH"/>
    <s v="N"/>
    <m/>
    <s v="Y"/>
  </r>
  <r>
    <s v="IMM INTERNET MEDIA MEXICO S DE RL DE CV"/>
    <n v="3050535"/>
    <n v="41651"/>
    <s v="MODO_Arg"/>
    <x v="52"/>
    <x v="49"/>
    <d v="2026-02-01T00:00:00"/>
    <x v="83"/>
    <s v="2026_MODO_BRANDING_PROMO_COTO_GEO_TWITTER_NU_AW_ENE"/>
    <x v="1"/>
    <x v="0"/>
    <n v="0"/>
    <n v="0"/>
    <s v="OSA ONE STEP AHEAD S.A"/>
    <s v="OSA ONE STEP AHEAD S.A"/>
    <s v="Play Digital S.A."/>
    <n v="57936819"/>
    <n v="8949933.4199999999"/>
    <d v="2026-01-20T00:00:00"/>
    <d v="2026-02-28T00:00:00"/>
    <s v="DSO"/>
    <s v="120 NET"/>
    <s v="AR"/>
    <s v="MX"/>
    <s v="X Corp."/>
    <n v="10573633"/>
    <d v="2026-02-28T00:00:00"/>
    <x v="0"/>
    <n v="2528293.96"/>
    <s v="USD"/>
    <n v="1749.2"/>
    <n v="1749.2"/>
    <m/>
    <m/>
    <m/>
    <m/>
    <m/>
    <m/>
    <m/>
    <m/>
    <m/>
    <m/>
    <m/>
    <m/>
    <m/>
    <m/>
    <m/>
    <m/>
    <m/>
    <m/>
    <m/>
    <m/>
    <m/>
    <m/>
    <m/>
    <m/>
    <n v="0"/>
    <n v="0"/>
    <n v="0"/>
    <n v="2528293.96"/>
    <n v="1749.2"/>
    <n v="1749.2"/>
    <m/>
    <m/>
    <m/>
    <m/>
    <n v="39.549999999999997"/>
    <n v="1000003.47"/>
    <n v="691.85"/>
    <n v="691.85"/>
    <n v="1528290.49"/>
    <n v="1057.3499999999999"/>
    <n v="1057.3499999999999"/>
    <m/>
    <m/>
    <s v="AR00400737 X | MODO | Promo COTO"/>
    <m/>
    <n v="224573"/>
    <n v="224573"/>
    <s v="REACH"/>
    <s v="N"/>
    <m/>
    <s v="Y"/>
  </r>
  <r>
    <s v="IMM INTERNET MEDIA MEXICO S DE RL DE CV"/>
    <n v="3050535"/>
    <n v="41651"/>
    <s v="SchneiderARG"/>
    <x v="1"/>
    <x v="1"/>
    <d v="2026-02-01T00:00:00"/>
    <x v="152"/>
    <s v="ccu_schneider_remix limon 2025_reach_suspect_febrero_2026_twitter_op-760699_"/>
    <x v="1"/>
    <x v="0"/>
    <n v="0"/>
    <n v="0"/>
    <s v="Havas Media Argentina S.A."/>
    <s v="Havas Media Argentina S.A."/>
    <s v="CCU Argentina"/>
    <n v="2801591"/>
    <n v="5000000"/>
    <d v="2026-02-01T00:00:00"/>
    <d v="2026-02-28T00:00:00"/>
    <s v="RES"/>
    <s v="120 NET"/>
    <s v="AR"/>
    <s v="MX"/>
    <s v="X Corp."/>
    <n v="10573631"/>
    <d v="2026-02-28T00:00:00"/>
    <x v="0"/>
    <n v="3090147.74"/>
    <s v="USD"/>
    <n v="2137.92"/>
    <n v="2137.92"/>
    <m/>
    <m/>
    <m/>
    <m/>
    <m/>
    <m/>
    <m/>
    <m/>
    <m/>
    <m/>
    <m/>
    <m/>
    <m/>
    <m/>
    <m/>
    <m/>
    <m/>
    <m/>
    <m/>
    <m/>
    <m/>
    <m/>
    <m/>
    <m/>
    <n v="0"/>
    <n v="0"/>
    <n v="0"/>
    <n v="3090147.74"/>
    <n v="2137.92"/>
    <n v="2137.92"/>
    <m/>
    <m/>
    <m/>
    <m/>
    <n v="39.549999999999997"/>
    <n v="1222230.68"/>
    <n v="845.6"/>
    <n v="845.6"/>
    <n v="1867917.06"/>
    <n v="1292.32"/>
    <n v="1292.32"/>
    <m/>
    <m/>
    <s v="AR00402663-CCU-Schneider Remix Limón-Feb 26"/>
    <m/>
    <n v="14030950"/>
    <n v="14030950"/>
    <s v="REACH"/>
    <s v="N"/>
    <m/>
    <s v="Y"/>
  </r>
  <r>
    <s v="IMM INTERNET MEDIA MEXICO S DE RL DE CV"/>
    <n v="3050535"/>
    <n v="41651"/>
    <s v="CervezaBrahma"/>
    <x v="6"/>
    <x v="6"/>
    <d v="2026-02-01T00:00:00"/>
    <x v="137"/>
    <s v="ARG_BRD_BRA_SEDDEBRAHMA_VERANO_NON_AWA_BEY_2026_NOA"/>
    <x v="1"/>
    <x v="0"/>
    <n v="0"/>
    <n v="0"/>
    <s v="Digital Hive Group S.A"/>
    <s v="Digital Hive Group S.A"/>
    <s v="Cervecería y Maltería Quilmes"/>
    <n v="292695"/>
    <n v="23500000"/>
    <d v="2026-01-01T00:00:00"/>
    <d v="2026-02-28T00:00:00"/>
    <s v="RES"/>
    <s v="120 NET"/>
    <s v="AR"/>
    <s v="MX"/>
    <s v="X Corp."/>
    <n v="10573692"/>
    <d v="2026-02-28T00:00:00"/>
    <x v="0"/>
    <n v="8.93"/>
    <s v="USD"/>
    <n v="0.01"/>
    <n v="0.01"/>
    <m/>
    <m/>
    <m/>
    <m/>
    <m/>
    <m/>
    <m/>
    <m/>
    <m/>
    <m/>
    <m/>
    <m/>
    <m/>
    <m/>
    <m/>
    <m/>
    <m/>
    <m/>
    <m/>
    <m/>
    <m/>
    <m/>
    <m/>
    <m/>
    <n v="0"/>
    <n v="0"/>
    <n v="0"/>
    <n v="8.93"/>
    <n v="0.01"/>
    <n v="0.01"/>
    <m/>
    <m/>
    <m/>
    <m/>
    <n v="39.549999999999997"/>
    <n v="3.53"/>
    <n v="0"/>
    <n v="0"/>
    <n v="5.4"/>
    <n v="0.01"/>
    <n v="0.01"/>
    <m/>
    <m/>
    <s v="AR00396561-X-ABI ARG-SED DE BRAHMA VERANO-Ene-25"/>
    <m/>
    <n v="66013147"/>
    <n v="66013147"/>
    <s v="REACH"/>
    <s v="N"/>
    <m/>
    <s v="Y"/>
  </r>
  <r>
    <s v="IMM INTERNET MEDIA MEXICO S DE RL DE CV"/>
    <n v="3050535"/>
    <n v="41651"/>
    <s v="SatoshiTango"/>
    <x v="7"/>
    <x v="7"/>
    <d v="2026-02-01T00:00:00"/>
    <x v="153"/>
    <s v="Branch_Descargas_Android2026"/>
    <x v="1"/>
    <x v="0"/>
    <n v="0"/>
    <n v="0"/>
    <m/>
    <m/>
    <s v="Fintech SA"/>
    <n v="115399678"/>
    <n v="40300000"/>
    <d v="2024-08-12T00:00:00"/>
    <d v="2026-02-28T00:00:00"/>
    <s v="DSO"/>
    <s v="120 NET"/>
    <s v="AR"/>
    <s v="MX"/>
    <s v="X Corp."/>
    <n v="10573707"/>
    <d v="2026-02-28T00:00:00"/>
    <x v="0"/>
    <n v="180916.13"/>
    <s v="USD"/>
    <n v="125.17"/>
    <n v="125.17"/>
    <m/>
    <m/>
    <m/>
    <m/>
    <m/>
    <m/>
    <m/>
    <m/>
    <m/>
    <m/>
    <m/>
    <m/>
    <m/>
    <m/>
    <m/>
    <m/>
    <m/>
    <m/>
    <m/>
    <m/>
    <m/>
    <m/>
    <m/>
    <m/>
    <n v="0"/>
    <n v="0"/>
    <n v="0"/>
    <n v="180916.13"/>
    <n v="125.17"/>
    <n v="125.17"/>
    <m/>
    <m/>
    <m/>
    <m/>
    <n v="39.549999999999997"/>
    <n v="71556.850000000006"/>
    <n v="49.51"/>
    <n v="49.51"/>
    <n v="109359.28"/>
    <n v="75.66"/>
    <n v="75.66"/>
    <m/>
    <m/>
    <s v="AR00260247 - TW - Satoshi Tango - Q3"/>
    <m/>
    <m/>
    <m/>
    <s v="APP_INSTALLS"/>
    <s v="N"/>
    <m/>
    <s v="Y"/>
  </r>
  <r>
    <s v="IMM INTERNET MEDIA MEXICO S DE RL DE CV"/>
    <n v="3050535"/>
    <n v="41651"/>
    <s v="UniversalPicsAr"/>
    <x v="33"/>
    <x v="33"/>
    <d v="2026-02-01T00:00:00"/>
    <x v="154"/>
    <s v="UIP_UNIVERSAL-HAMNET-SOLOENCINES-TWITTER-TOTAL-TRAFICO-INTERESES-CLICKS-OP_504180"/>
    <x v="1"/>
    <x v="0"/>
    <n v="0"/>
    <n v="0"/>
    <s v="Carat Argentina S.A."/>
    <s v="Carat Argentina S.A."/>
    <s v="United International Pictures"/>
    <n v="2097220"/>
    <n v="2800000"/>
    <d v="2026-01-05T00:00:00"/>
    <d v="2026-02-08T00:00:00"/>
    <s v="RES"/>
    <s v="120 NET"/>
    <s v="AR"/>
    <s v="MX"/>
    <s v="X Corp."/>
    <n v="10573699"/>
    <d v="2026-02-28T00:00:00"/>
    <x v="0"/>
    <n v="1185638.18"/>
    <s v="USD"/>
    <n v="820.29"/>
    <n v="820.29"/>
    <m/>
    <m/>
    <m/>
    <m/>
    <m/>
    <m/>
    <m/>
    <m/>
    <m/>
    <m/>
    <m/>
    <m/>
    <m/>
    <m/>
    <m/>
    <m/>
    <m/>
    <m/>
    <m/>
    <m/>
    <m/>
    <m/>
    <m/>
    <m/>
    <n v="0"/>
    <n v="0"/>
    <n v="0"/>
    <n v="1185638.18"/>
    <n v="820.29"/>
    <n v="820.29"/>
    <m/>
    <m/>
    <m/>
    <m/>
    <n v="34"/>
    <n v="403093.27"/>
    <n v="278.88"/>
    <n v="278.88"/>
    <n v="782544.91"/>
    <n v="541.41"/>
    <n v="541.41"/>
    <m/>
    <m/>
    <s v="UIP Argentina | Hamnet"/>
    <m/>
    <n v="224529"/>
    <n v="224529"/>
    <s v="WEBSITE_CLICKS"/>
    <s v="N"/>
    <m/>
    <s v="Y"/>
  </r>
  <r>
    <s v="IMM INTERNET MEDIA MEXICO S DE RL DE CV"/>
    <n v="3050535"/>
    <n v="41651"/>
    <s v="ML_Argentina"/>
    <x v="85"/>
    <x v="71"/>
    <d v="2026-02-01T00:00:00"/>
    <x v="155"/>
    <s v="MLA   DD2   Timeline- 2/2"/>
    <x v="0"/>
    <x v="0"/>
    <n v="0"/>
    <n v="0"/>
    <s v="IPG Media Brands S.A."/>
    <s v="IPG Media Brands S.A."/>
    <s v="MercadoLibre S.R.L."/>
    <n v="821027"/>
    <n v="1710000"/>
    <d v="2026-02-02T00:00:00"/>
    <d v="2026-02-02T00:00:00"/>
    <s v="DSO"/>
    <s v="120 NET"/>
    <s v="AR"/>
    <s v="MX"/>
    <s v="X Corp."/>
    <n v="10573724"/>
    <d v="2026-02-28T00:00:00"/>
    <x v="0"/>
    <n v="1710000"/>
    <s v="USD"/>
    <n v="1183.07"/>
    <n v="1183.07"/>
    <m/>
    <m/>
    <m/>
    <m/>
    <m/>
    <m/>
    <m/>
    <m/>
    <m/>
    <m/>
    <m/>
    <m/>
    <m/>
    <m/>
    <m/>
    <m/>
    <m/>
    <m/>
    <m/>
    <m/>
    <m/>
    <m/>
    <m/>
    <m/>
    <n v="0"/>
    <n v="0"/>
    <n v="0"/>
    <n v="1710000"/>
    <n v="1183.07"/>
    <n v="1183.07"/>
    <m/>
    <m/>
    <m/>
    <m/>
    <n v="34"/>
    <n v="581365.80000000005"/>
    <n v="402.22"/>
    <n v="402.22"/>
    <n v="1128634.2"/>
    <n v="780.85"/>
    <n v="780.85"/>
    <m/>
    <s v="Timeline Takeover - Tier 1"/>
    <s v="MLA | DD2 | Timeline- 2/2"/>
    <m/>
    <n v="224554"/>
    <n v="224554"/>
    <s v="UNKNOWN_OBJECTIVE"/>
    <s v="N"/>
    <m/>
    <s v="Y"/>
  </r>
  <r>
    <s v="IMM INTERNET MEDIA MEXICO S DE RL DE CV"/>
    <n v="3050535"/>
    <n v="41651"/>
    <s v="RappiArgentina"/>
    <x v="59"/>
    <x v="55"/>
    <d v="2026-02-01T00:00:00"/>
    <x v="156"/>
    <s v="CX_AR_PR_PS_TW_TWI_IOS_ALL_RAP_ALL_NA_00000_TAC_INS_INS"/>
    <x v="1"/>
    <x v="0"/>
    <n v="0"/>
    <n v="0"/>
    <m/>
    <m/>
    <s v="RAPPI ARG S.A.S."/>
    <n v="9663269"/>
    <n v="310000000"/>
    <d v="2025-03-14T00:00:00"/>
    <d v="2027-01-31T00:00:00"/>
    <s v="DSO"/>
    <s v="120 NET"/>
    <s v="AR"/>
    <s v="MX"/>
    <s v="X Corp."/>
    <n v="10573738"/>
    <d v="2026-02-28T00:00:00"/>
    <x v="0"/>
    <n v="11242765.68"/>
    <s v="USD"/>
    <n v="7778.33"/>
    <n v="7778.33"/>
    <m/>
    <m/>
    <m/>
    <m/>
    <m/>
    <m/>
    <m/>
    <m/>
    <m/>
    <m/>
    <m/>
    <m/>
    <m/>
    <m/>
    <m/>
    <m/>
    <m/>
    <m/>
    <m/>
    <m/>
    <m/>
    <m/>
    <m/>
    <m/>
    <n v="0"/>
    <n v="0"/>
    <n v="0"/>
    <n v="11242765.68"/>
    <n v="7778.33"/>
    <n v="7778.33"/>
    <m/>
    <m/>
    <m/>
    <m/>
    <n v="34"/>
    <n v="3822315.48"/>
    <n v="2644.48"/>
    <n v="2644.48"/>
    <n v="7420450.2000000002"/>
    <n v="5133.8500000000004"/>
    <n v="5133.8500000000004"/>
    <m/>
    <m/>
    <s v="Rappi Argentina 2025 LInea de Credito"/>
    <m/>
    <m/>
    <m/>
    <s v="APP_INSTALLS"/>
    <s v="N"/>
    <m/>
    <s v="Y"/>
  </r>
  <r>
    <s v="IMM INTERNET MEDIA MEXICO S DE RL DE CV"/>
    <n v="3050535"/>
    <n v="41651"/>
    <s v="NaranjaX"/>
    <x v="86"/>
    <x v="75"/>
    <d v="2026-02-01T00:00:00"/>
    <x v="157"/>
    <s v="br-verano-x"/>
    <x v="1"/>
    <x v="0"/>
    <n v="0"/>
    <n v="0"/>
    <m/>
    <m/>
    <s v="Tarjeta Naranja"/>
    <n v="184868"/>
    <n v="20000000"/>
    <d v="2026-01-12T00:00:00"/>
    <d v="2026-02-15T00:00:00"/>
    <s v="RES"/>
    <s v="120 NET"/>
    <s v="AR"/>
    <s v="MX"/>
    <s v="X Corp."/>
    <n v="10573649"/>
    <d v="2026-02-28T00:00:00"/>
    <x v="0"/>
    <n v="7779983.4400000004"/>
    <s v="USD"/>
    <n v="5382.59"/>
    <n v="5382.59"/>
    <m/>
    <m/>
    <m/>
    <m/>
    <m/>
    <m/>
    <m/>
    <m/>
    <m/>
    <m/>
    <m/>
    <m/>
    <m/>
    <m/>
    <m/>
    <m/>
    <m/>
    <m/>
    <m/>
    <m/>
    <m/>
    <m/>
    <m/>
    <m/>
    <n v="0"/>
    <n v="0"/>
    <n v="0"/>
    <n v="7779983.4400000004"/>
    <n v="5382.59"/>
    <n v="5382.59"/>
    <m/>
    <m/>
    <m/>
    <m/>
    <n v="39.549999999999997"/>
    <n v="3077177.95"/>
    <n v="2128.9499999999998"/>
    <n v="2128.9499999999998"/>
    <n v="4702805.49"/>
    <n v="3253.64"/>
    <n v="3253.64"/>
    <m/>
    <m/>
    <s v="AR00398214-X-ARG-Naranja X-Verano-Ene/Feb 26"/>
    <m/>
    <m/>
    <m/>
    <s v="VIDEO_VIEWS"/>
    <s v="N"/>
    <m/>
    <s v="Y"/>
  </r>
  <r>
    <s v="IMM INTERNET MEDIA MEXICO S DE RL DE CV"/>
    <n v="3050535"/>
    <n v="41651"/>
    <s v="BancodeCordoba"/>
    <x v="12"/>
    <x v="12"/>
    <d v="2026-02-01T00:00:00"/>
    <x v="143"/>
    <s v="OT429-V3   Cordobesa Verano - Alcance - Twitter -   PROMO SUPERMERCADO"/>
    <x v="1"/>
    <x v="0"/>
    <n v="0"/>
    <n v="0"/>
    <s v="WOBRA S.A.S."/>
    <s v="WOBRA S.A.S."/>
    <s v="BANCO DE LA PROVINCIA DE CORDOBA S.A."/>
    <n v="5733116"/>
    <n v="40600000"/>
    <d v="2024-01-01T00:00:00"/>
    <d v="2026-04-15T00:00:00"/>
    <s v="ISO"/>
    <s v="120 NET"/>
    <s v="AR"/>
    <s v="MX"/>
    <s v="X Corp."/>
    <n v="10573709"/>
    <d v="2026-02-28T00:00:00"/>
    <x v="0"/>
    <n v="57240.639999999999"/>
    <s v="USD"/>
    <n v="39.6"/>
    <n v="39.6"/>
    <m/>
    <m/>
    <m/>
    <m/>
    <m/>
    <m/>
    <m/>
    <m/>
    <m/>
    <m/>
    <m/>
    <m/>
    <m/>
    <m/>
    <m/>
    <m/>
    <m/>
    <m/>
    <m/>
    <m/>
    <m/>
    <m/>
    <m/>
    <m/>
    <n v="0"/>
    <n v="0"/>
    <n v="0"/>
    <n v="57240.639999999999"/>
    <n v="39.6"/>
    <n v="39.6"/>
    <m/>
    <m/>
    <m/>
    <m/>
    <n v="39.549999999999997"/>
    <n v="22640.1"/>
    <n v="15.66"/>
    <n v="15.66"/>
    <n v="34600.54"/>
    <n v="23.94"/>
    <n v="23.94"/>
    <m/>
    <m/>
    <s v="AR00223485 - SMB_ARG_BancoProvinciaCord_Enero24"/>
    <m/>
    <n v="47720819"/>
    <n v="47720819"/>
    <s v="REACH"/>
    <s v="N"/>
    <m/>
    <s v="Y"/>
  </r>
  <r>
    <s v="IMM INTERNET MEDIA MEXICO S DE RL DE CV"/>
    <n v="3050535"/>
    <n v="41651"/>
    <s v="PersonalAr"/>
    <x v="46"/>
    <x v="44"/>
    <d v="2026-02-01T00:00:00"/>
    <x v="158"/>
    <s v="PS_PERSO_ECST2025_EXBRD_TW_BRD_NAC_AWA_VID-16.1"/>
    <x v="1"/>
    <x v="0"/>
    <n v="0"/>
    <n v="0"/>
    <s v="Digital Hive Group S.A"/>
    <s v="Digital Hive Group S.A"/>
    <s v="Personal Argentina"/>
    <n v="80883"/>
    <n v="43700000"/>
    <d v="2026-01-16T00:00:00"/>
    <d v="2026-02-28T00:00:00"/>
    <s v="RES"/>
    <s v="120 NET"/>
    <s v="AR"/>
    <s v="MX"/>
    <s v="X Corp."/>
    <n v="10573630"/>
    <d v="2026-02-28T00:00:00"/>
    <x v="0"/>
    <n v="2237064.12"/>
    <s v="USD"/>
    <n v="1547.72"/>
    <n v="1547.72"/>
    <m/>
    <m/>
    <m/>
    <m/>
    <m/>
    <m/>
    <m/>
    <m/>
    <m/>
    <m/>
    <m/>
    <m/>
    <m/>
    <m/>
    <m/>
    <m/>
    <m/>
    <m/>
    <m/>
    <m/>
    <m/>
    <m/>
    <m/>
    <m/>
    <n v="0"/>
    <n v="0"/>
    <n v="0"/>
    <n v="2237064.12"/>
    <n v="1547.72"/>
    <n v="1547.72"/>
    <m/>
    <m/>
    <m/>
    <m/>
    <n v="39.549999999999997"/>
    <n v="884814.79"/>
    <n v="612.16"/>
    <n v="612.16"/>
    <n v="1352249.33"/>
    <n v="935.56"/>
    <n v="935.56"/>
    <m/>
    <m/>
    <s v="AR00398495 | X | PERSONAL | Ecosistema parte 2 | Ene-Feb 2026"/>
    <m/>
    <n v="66013147"/>
    <n v="66013147"/>
    <s v="REACH"/>
    <s v="N"/>
    <m/>
    <s v="Y"/>
  </r>
  <r>
    <s v="IMM INTERNET MEDIA MEXICO S DE RL DE CV"/>
    <n v="3050535"/>
    <n v="41651"/>
    <s v="PersonalAr"/>
    <x v="46"/>
    <x v="44"/>
    <d v="2026-02-01T00:00:00"/>
    <x v="159"/>
    <s v="PS_PERSO_ECST2025_EXBRD_TW_BRD_NAC_AWA_CRSL-16.1"/>
    <x v="1"/>
    <x v="0"/>
    <n v="0"/>
    <n v="0"/>
    <s v="Digital Hive Group S.A"/>
    <s v="Digital Hive Group S.A"/>
    <s v="Personal Argentina"/>
    <n v="80883"/>
    <n v="43700000"/>
    <d v="2026-01-16T00:00:00"/>
    <d v="2026-02-28T00:00:00"/>
    <s v="RES"/>
    <s v="120 NET"/>
    <s v="AR"/>
    <s v="MX"/>
    <s v="X Corp."/>
    <n v="10573630"/>
    <d v="2026-02-28T00:00:00"/>
    <x v="0"/>
    <n v="2504630.25"/>
    <s v="USD"/>
    <n v="1732.83"/>
    <n v="1732.83"/>
    <m/>
    <m/>
    <m/>
    <m/>
    <m/>
    <m/>
    <m/>
    <m/>
    <m/>
    <m/>
    <m/>
    <m/>
    <m/>
    <m/>
    <m/>
    <m/>
    <m/>
    <m/>
    <m/>
    <m/>
    <m/>
    <m/>
    <m/>
    <m/>
    <n v="0"/>
    <n v="0"/>
    <n v="0"/>
    <n v="2504630.25"/>
    <n v="1732.83"/>
    <n v="1732.83"/>
    <m/>
    <m/>
    <m/>
    <m/>
    <n v="39.549999999999997"/>
    <n v="990643.88"/>
    <n v="685.38"/>
    <n v="685.38"/>
    <n v="1513986.37"/>
    <n v="1047.45"/>
    <n v="1047.45"/>
    <m/>
    <m/>
    <s v="AR00398495 | X | PERSONAL | Ecosistema parte 2 | Ene-Feb 2026"/>
    <m/>
    <n v="66013147"/>
    <n v="66013147"/>
    <s v="REACH"/>
    <s v="N"/>
    <m/>
    <s v="Y"/>
  </r>
  <r>
    <s v="IMM INTERNET MEDIA MEXICO S DE RL DE CV"/>
    <n v="3050535"/>
    <n v="41651"/>
    <s v="WBPictures_Ar"/>
    <x v="34"/>
    <x v="34"/>
    <d v="2026-02-01T00:00:00"/>
    <x v="160"/>
    <s v="WLA_ARG LA NOVIA Prelaunch-X CPI Q1_2026"/>
    <x v="1"/>
    <x v="0"/>
    <n v="0"/>
    <n v="0"/>
    <s v="Mindshare Argentina"/>
    <s v="Mindshare Argentina"/>
    <s v="Warner - LATAM"/>
    <n v="268721"/>
    <n v="2700000"/>
    <d v="2026-02-23T00:00:00"/>
    <d v="2026-03-09T00:00:00"/>
    <s v="RES"/>
    <s v="120 NET"/>
    <s v="AR"/>
    <s v="MX"/>
    <s v="X Corp."/>
    <n v="10573678"/>
    <d v="2026-02-28T00:00:00"/>
    <x v="0"/>
    <n v="534603.53"/>
    <s v="USD"/>
    <n v="369.87"/>
    <n v="369.87"/>
    <m/>
    <m/>
    <m/>
    <m/>
    <m/>
    <m/>
    <m/>
    <m/>
    <m/>
    <m/>
    <m/>
    <m/>
    <m/>
    <m/>
    <m/>
    <m/>
    <m/>
    <m/>
    <m/>
    <m/>
    <m/>
    <m/>
    <m/>
    <m/>
    <n v="0"/>
    <n v="0"/>
    <n v="0"/>
    <n v="534603.53"/>
    <n v="369.87"/>
    <n v="369.87"/>
    <m/>
    <m/>
    <m/>
    <m/>
    <n v="22"/>
    <n v="117612.78"/>
    <n v="81.37"/>
    <n v="81.37"/>
    <n v="416990.75"/>
    <n v="288.5"/>
    <n v="288.5"/>
    <m/>
    <m/>
    <s v="Warner Argentina | La Novia"/>
    <m/>
    <n v="262319"/>
    <n v="262319"/>
    <s v="BRAND_ENGAGEMENTS"/>
    <s v="N"/>
    <m/>
    <s v="Y"/>
  </r>
  <r>
    <s v="IMM INTERNET MEDIA MEXICO S DE RL DE CV"/>
    <n v="3050535"/>
    <n v="41651"/>
    <s v="gcba"/>
    <x v="63"/>
    <x v="59"/>
    <d v="2026-02-01T00:00:00"/>
    <x v="161"/>
    <s v="2026   Febrero   Twitter   20   Reach   Encuentro   La Ciudad Mas Linda del Mundo"/>
    <x v="1"/>
    <x v="0"/>
    <n v="0"/>
    <n v="0"/>
    <s v="Gustavo Quiroga E.P.M. S.A."/>
    <s v="Gustavo Quiroga E.P.M. S.A."/>
    <s v="Grupo GCBA"/>
    <n v="265630"/>
    <n v="1000000"/>
    <d v="2026-02-03T00:00:00"/>
    <d v="2026-02-28T00:00:00"/>
    <s v="RES"/>
    <s v="120 NET"/>
    <s v="AR"/>
    <s v="MX"/>
    <s v="X Corp."/>
    <n v="10573712"/>
    <d v="2026-02-28T00:00:00"/>
    <x v="0"/>
    <n v="89400.47"/>
    <s v="USD"/>
    <n v="61.85"/>
    <n v="61.85"/>
    <m/>
    <m/>
    <m/>
    <m/>
    <m/>
    <m/>
    <m/>
    <m/>
    <m/>
    <m/>
    <m/>
    <m/>
    <m/>
    <m/>
    <m/>
    <m/>
    <m/>
    <m/>
    <m/>
    <m/>
    <m/>
    <m/>
    <m/>
    <m/>
    <n v="0"/>
    <n v="0"/>
    <n v="0"/>
    <n v="89400.47"/>
    <n v="61.85"/>
    <n v="61.85"/>
    <m/>
    <m/>
    <m/>
    <m/>
    <n v="22"/>
    <n v="19668.099999999999"/>
    <n v="13.61"/>
    <n v="13.61"/>
    <n v="69732.37"/>
    <n v="48.24"/>
    <n v="48.24"/>
    <m/>
    <m/>
    <s v="AR00404296 - X - Arg - GCBA - Feb26"/>
    <m/>
    <n v="224574"/>
    <n v="224574"/>
    <s v="REACH"/>
    <s v="N"/>
    <m/>
    <s v="Y"/>
  </r>
  <r>
    <s v="IMM INTERNET MEDIA MEXICO S DE RL DE CV"/>
    <n v="3050535"/>
    <n v="41651"/>
    <s v="YPFServiclub"/>
    <x v="47"/>
    <x v="45"/>
    <d v="2026-02-01T00:00:00"/>
    <x v="67"/>
    <s v="ypf_combustibles-tw-alcance-season-verano2026_bdd-2025-dic"/>
    <x v="1"/>
    <x v="0"/>
    <n v="0"/>
    <n v="0"/>
    <s v="Carat Argentina S.A."/>
    <s v="Carat Argentina S.A."/>
    <s v="YPF - Argentina"/>
    <n v="292623"/>
    <n v="6763550"/>
    <d v="2025-12-26T00:00:00"/>
    <d v="2026-02-15T00:00:00"/>
    <s v="RES"/>
    <s v="120 NET"/>
    <s v="AR"/>
    <s v="MX"/>
    <s v="X Corp."/>
    <n v="10573736"/>
    <d v="2026-02-28T00:00:00"/>
    <x v="0"/>
    <n v="216079.67"/>
    <s v="USD"/>
    <n v="149.5"/>
    <n v="149.5"/>
    <m/>
    <m/>
    <m/>
    <m/>
    <m/>
    <m/>
    <m/>
    <m/>
    <m/>
    <m/>
    <m/>
    <m/>
    <m/>
    <m/>
    <m/>
    <m/>
    <m/>
    <m/>
    <m/>
    <m/>
    <m/>
    <m/>
    <m/>
    <m/>
    <n v="0"/>
    <n v="0"/>
    <n v="0"/>
    <n v="216079.67"/>
    <n v="149.5"/>
    <n v="149.5"/>
    <m/>
    <m/>
    <m/>
    <m/>
    <n v="39.549999999999997"/>
    <n v="85464.91"/>
    <n v="59.13"/>
    <n v="59.13"/>
    <n v="130614.76"/>
    <n v="90.37"/>
    <n v="90.37"/>
    <m/>
    <m/>
    <s v="AR00396284-X-YPF-COMBUSTIBLES-VERANO-Dic/Ene 26"/>
    <m/>
    <n v="224529"/>
    <n v="224529"/>
    <s v="REACH"/>
    <s v="N"/>
    <m/>
    <s v="Y"/>
  </r>
  <r>
    <s v="IMM INTERNET MEDIA MEXICO S DE RL DE CV"/>
    <n v="3050535"/>
    <n v="41651"/>
    <s v="MODO_Arg"/>
    <x v="18"/>
    <x v="18"/>
    <d v="2026-02-01T00:00:00"/>
    <x v="162"/>
    <s v="2025_MODO_BRANDING_PROMO_MAKRO_GEO_TWITTER_NU_AW_DIC"/>
    <x v="1"/>
    <x v="0"/>
    <n v="0"/>
    <n v="0"/>
    <s v="OSA ONE STEP AHEAD S.A"/>
    <s v="OSA ONE STEP AHEAD S.A"/>
    <s v="Play Digital S.A."/>
    <n v="57936819"/>
    <n v="19250000.57"/>
    <d v="2025-12-04T00:00:00"/>
    <d v="2026-02-28T00:00:00"/>
    <s v="DSO"/>
    <s v="120 NET"/>
    <s v="AR"/>
    <s v="MX"/>
    <s v="X Corp."/>
    <n v="10573653"/>
    <d v="2026-02-28T00:00:00"/>
    <x v="0"/>
    <n v="1642611.98"/>
    <s v="USD"/>
    <n v="1136.44"/>
    <n v="1136.44"/>
    <m/>
    <m/>
    <m/>
    <m/>
    <m/>
    <m/>
    <m/>
    <m/>
    <m/>
    <m/>
    <m/>
    <m/>
    <m/>
    <m/>
    <m/>
    <m/>
    <m/>
    <m/>
    <m/>
    <m/>
    <m/>
    <m/>
    <m/>
    <m/>
    <n v="0"/>
    <n v="0"/>
    <n v="0"/>
    <n v="1642611.98"/>
    <n v="1136.44"/>
    <n v="1136.44"/>
    <m/>
    <m/>
    <m/>
    <m/>
    <n v="39.549999999999997"/>
    <n v="649694.1"/>
    <n v="449.49"/>
    <n v="449.49"/>
    <n v="992917.88"/>
    <n v="686.95"/>
    <n v="686.95"/>
    <m/>
    <m/>
    <s v="AR00392411 X | MODO | Cencosud"/>
    <m/>
    <n v="224573"/>
    <n v="224573"/>
    <s v="REACH"/>
    <s v="N"/>
    <m/>
    <s v="Y"/>
  </r>
  <r>
    <s v="IMM INTERNET MEDIA MEXICO S DE RL DE CV"/>
    <n v="3050535"/>
    <n v="41651"/>
    <s v="bancoprovincia"/>
    <x v="20"/>
    <x v="20"/>
    <d v="2026-02-01T00:00:00"/>
    <x v="163"/>
    <s v="2035_sp_2026_cdni-20-toledo-feb_arg_alcance_cpm"/>
    <x v="1"/>
    <x v="0"/>
    <n v="0"/>
    <n v="0"/>
    <s v="SUPER MEDIA S.A"/>
    <s v="SUPER MEDIA S.A"/>
    <s v="Banco Provincia"/>
    <n v="7000116"/>
    <n v="12650000"/>
    <d v="2026-01-13T00:00:00"/>
    <d v="2026-02-28T00:00:00"/>
    <s v="RES"/>
    <s v="120 NET"/>
    <s v="AR"/>
    <s v="MX"/>
    <s v="X Corp."/>
    <n v="10573696"/>
    <d v="2026-02-28T00:00:00"/>
    <x v="0"/>
    <n v="300000"/>
    <s v="USD"/>
    <n v="207.56"/>
    <n v="207.56"/>
    <m/>
    <m/>
    <m/>
    <m/>
    <m/>
    <m/>
    <m/>
    <m/>
    <m/>
    <m/>
    <m/>
    <m/>
    <m/>
    <m/>
    <m/>
    <m/>
    <m/>
    <m/>
    <m/>
    <m/>
    <m/>
    <m/>
    <m/>
    <m/>
    <n v="0"/>
    <n v="0"/>
    <n v="0"/>
    <n v="300000"/>
    <n v="207.56"/>
    <n v="207.56"/>
    <m/>
    <m/>
    <m/>
    <m/>
    <n v="39.549999999999997"/>
    <n v="118657.5"/>
    <n v="82.09"/>
    <n v="82.09"/>
    <n v="181342.5"/>
    <n v="125.47"/>
    <n v="125.47"/>
    <m/>
    <m/>
    <s v="AR00399019 X | Bapro | ENE 26"/>
    <m/>
    <n v="63304606"/>
    <n v="63304606"/>
    <s v="REACH"/>
    <s v="N"/>
    <m/>
    <s v="Y"/>
  </r>
  <r>
    <s v="IMM INTERNET MEDIA MEXICO S DE RL DE CV"/>
    <n v="3050535"/>
    <n v="41651"/>
    <s v="bancoprovincia"/>
    <x v="20"/>
    <x v="20"/>
    <d v="2026-02-01T00:00:00"/>
    <x v="164"/>
    <s v="2035_sp_2026_streaming-hablemos-de-guita_feb_arg_alcance_cpm"/>
    <x v="1"/>
    <x v="0"/>
    <n v="0"/>
    <n v="0"/>
    <s v="SUPER MEDIA S.A"/>
    <s v="SUPER MEDIA S.A"/>
    <s v="Banco Provincia"/>
    <n v="7000116"/>
    <n v="12650000"/>
    <d v="2026-01-13T00:00:00"/>
    <d v="2026-02-28T00:00:00"/>
    <s v="RES"/>
    <s v="120 NET"/>
    <s v="AR"/>
    <s v="MX"/>
    <s v="X Corp."/>
    <n v="10573696"/>
    <d v="2026-02-28T00:00:00"/>
    <x v="0"/>
    <n v="200310.12"/>
    <s v="USD"/>
    <n v="138.58000000000001"/>
    <n v="138.58000000000001"/>
    <m/>
    <m/>
    <m/>
    <m/>
    <m/>
    <m/>
    <m/>
    <m/>
    <m/>
    <m/>
    <m/>
    <m/>
    <m/>
    <m/>
    <m/>
    <m/>
    <m/>
    <m/>
    <m/>
    <m/>
    <m/>
    <m/>
    <m/>
    <m/>
    <n v="0"/>
    <n v="0"/>
    <n v="0"/>
    <n v="200310.12"/>
    <n v="138.58000000000001"/>
    <n v="138.58000000000001"/>
    <m/>
    <m/>
    <m/>
    <m/>
    <n v="39.549999999999997"/>
    <n v="79227.66"/>
    <n v="54.81"/>
    <n v="54.81"/>
    <n v="121082.46"/>
    <n v="83.77"/>
    <n v="83.77"/>
    <m/>
    <m/>
    <s v="AR00399019 X | Bapro | ENE 26"/>
    <m/>
    <n v="63304606"/>
    <n v="63304606"/>
    <s v="REACH"/>
    <s v="N"/>
    <m/>
    <s v="Y"/>
  </r>
  <r>
    <s v="IMM INTERNET MEDIA MEXICO S DE RL DE CV"/>
    <n v="3050535"/>
    <n v="41651"/>
    <s v="bancoprovincia"/>
    <x v="20"/>
    <x v="20"/>
    <d v="2026-02-01T00:00:00"/>
    <x v="70"/>
    <s v="2035_sp_2026_rico-en-data-episodio7_feb_arg_trafico_cpc"/>
    <x v="1"/>
    <x v="0"/>
    <n v="0"/>
    <n v="0"/>
    <s v="SUPER MEDIA S.A"/>
    <s v="SUPER MEDIA S.A"/>
    <s v="Banco Provincia"/>
    <n v="7000116"/>
    <n v="12650000"/>
    <d v="2026-01-13T00:00:00"/>
    <d v="2026-02-28T00:00:00"/>
    <s v="RES"/>
    <s v="120 NET"/>
    <s v="AR"/>
    <s v="MX"/>
    <s v="X Corp."/>
    <n v="10573696"/>
    <d v="2026-02-28T00:00:00"/>
    <x v="0"/>
    <n v="853.73"/>
    <s v="USD"/>
    <n v="0.59"/>
    <n v="0.59"/>
    <m/>
    <m/>
    <m/>
    <m/>
    <m/>
    <m/>
    <m/>
    <m/>
    <m/>
    <m/>
    <m/>
    <m/>
    <m/>
    <m/>
    <m/>
    <m/>
    <m/>
    <m/>
    <m/>
    <m/>
    <m/>
    <m/>
    <m/>
    <m/>
    <n v="0"/>
    <n v="0"/>
    <n v="0"/>
    <n v="853.73"/>
    <n v="0.59"/>
    <n v="0.59"/>
    <m/>
    <m/>
    <m/>
    <m/>
    <n v="39.549999999999997"/>
    <n v="337.67"/>
    <n v="0.23"/>
    <n v="0.23"/>
    <n v="516.05999999999995"/>
    <n v="0.36"/>
    <n v="0.36"/>
    <m/>
    <m/>
    <s v="AR00399019 X | Bapro | ENE 26"/>
    <m/>
    <n v="63304606"/>
    <n v="63304606"/>
    <s v="WEBSITE_CLICKS"/>
    <s v="N"/>
    <m/>
    <s v="Y"/>
  </r>
  <r>
    <s v="IMM INTERNET MEDIA MEXICO S DE RL DE CV"/>
    <n v="3050535"/>
    <n v="41651"/>
    <s v="DrLemonAR"/>
    <x v="87"/>
    <x v="76"/>
    <d v="2026-02-01T00:00:00"/>
    <x v="165"/>
    <s v="2026_AR_CEPAS_DRL_AWA_RCH_LOLLAPALOOZA_NU_X_NU_FEB-MAR"/>
    <x v="1"/>
    <x v="0"/>
    <n v="0"/>
    <n v="0"/>
    <s v="CPDMM"/>
    <s v="CPDMM"/>
    <s v="Cepas"/>
    <n v="4701762"/>
    <n v="6399999.8399999999"/>
    <d v="2026-02-25T00:00:00"/>
    <d v="2026-03-08T00:00:00"/>
    <s v="RES"/>
    <s v="120 NET"/>
    <s v="AR"/>
    <s v="MX"/>
    <s v="X Corp."/>
    <n v="10573698"/>
    <d v="2026-02-28T00:00:00"/>
    <x v="0"/>
    <n v="1065199.8799999999"/>
    <s v="USD"/>
    <n v="736.96"/>
    <n v="736.96"/>
    <m/>
    <m/>
    <m/>
    <m/>
    <m/>
    <m/>
    <m/>
    <m/>
    <m/>
    <m/>
    <m/>
    <m/>
    <m/>
    <m/>
    <m/>
    <m/>
    <m/>
    <m/>
    <m/>
    <m/>
    <m/>
    <m/>
    <m/>
    <m/>
    <n v="0"/>
    <n v="0"/>
    <n v="0"/>
    <n v="1065199.8799999999"/>
    <n v="736.96"/>
    <n v="736.96"/>
    <m/>
    <m/>
    <m/>
    <m/>
    <n v="22"/>
    <n v="234343.97"/>
    <n v="162.13"/>
    <n v="162.13"/>
    <n v="830855.91"/>
    <n v="574.83000000000004"/>
    <n v="574.83000000000004"/>
    <m/>
    <m/>
    <s v="AR00408441 X | Cepas | Dr Lemon - Lolla"/>
    <m/>
    <n v="207886551"/>
    <n v="207886551"/>
    <s v="REACH"/>
    <s v="N"/>
    <m/>
    <s v="Y"/>
  </r>
  <r>
    <s v="IMM INTERNET MEDIA MEXICO S DE RL DE CV"/>
    <n v="3050535"/>
    <n v="41651"/>
    <s v="CervezaBrahma"/>
    <x v="21"/>
    <x v="21"/>
    <d v="2026-02-01T00:00:00"/>
    <x v="166"/>
    <s v="ARG_BRD_BRA_SEDDEBRAHMA_CARNAVAL_NON_RCH_BEY_2026_GUALEGUAYCHU"/>
    <x v="1"/>
    <x v="0"/>
    <n v="0"/>
    <n v="0"/>
    <s v="Digital Hive Group S.A"/>
    <s v="Digital Hive Group S.A"/>
    <s v="Cervecería y Maltería Quilmes"/>
    <n v="292695"/>
    <n v="8576000"/>
    <d v="2026-01-01T00:00:00"/>
    <d v="2026-02-28T00:00:00"/>
    <s v="RES"/>
    <s v="120 NET"/>
    <s v="AR"/>
    <s v="MX"/>
    <s v="X Corp."/>
    <n v="10573693"/>
    <d v="2026-02-28T00:00:00"/>
    <x v="0"/>
    <n v="213624.01"/>
    <s v="USD"/>
    <n v="147.80000000000001"/>
    <n v="147.80000000000001"/>
    <m/>
    <m/>
    <m/>
    <m/>
    <m/>
    <m/>
    <m/>
    <m/>
    <m/>
    <m/>
    <m/>
    <m/>
    <m/>
    <m/>
    <m/>
    <m/>
    <m/>
    <m/>
    <m/>
    <m/>
    <m/>
    <m/>
    <m/>
    <m/>
    <n v="0"/>
    <n v="0"/>
    <n v="0"/>
    <n v="213624.01"/>
    <n v="147.80000000000001"/>
    <n v="147.80000000000001"/>
    <m/>
    <m/>
    <m/>
    <m/>
    <n v="39.549999999999997"/>
    <n v="84493.64"/>
    <n v="58.46"/>
    <n v="58.46"/>
    <n v="129130.37"/>
    <n v="89.34"/>
    <n v="89.34"/>
    <m/>
    <m/>
    <s v="AR00396558-X-ABI ARG-SED DE BRAHMA CARNAVAL-Ene-26"/>
    <m/>
    <n v="66013147"/>
    <n v="66013147"/>
    <s v="REACH"/>
    <s v="N"/>
    <m/>
    <s v="Y"/>
  </r>
  <r>
    <s v="IMM INTERNET MEDIA MEXICO S DE RL DE CV"/>
    <n v="3050535"/>
    <n v="41651"/>
    <m/>
    <x v="1"/>
    <x v="1"/>
    <d v="2026-02-01T00:00:00"/>
    <x v="54"/>
    <s v="Event Validation Adjustment"/>
    <x v="1"/>
    <x v="0"/>
    <m/>
    <m/>
    <s v="Havas Media Argentina S.A."/>
    <s v="Havas Media Argentina S.A."/>
    <s v="CCU Argentina"/>
    <n v="2801591"/>
    <n v="5000000"/>
    <m/>
    <m/>
    <s v="RES"/>
    <s v="120 NET"/>
    <s v="AR"/>
    <s v="MX"/>
    <s v="X Corp."/>
    <n v="10573631"/>
    <d v="2026-02-28T00:00:00"/>
    <x v="0"/>
    <n v="-4389.96"/>
    <s v="USD"/>
    <n v="-3.04"/>
    <n v="-3.04"/>
    <m/>
    <m/>
    <m/>
    <m/>
    <m/>
    <m/>
    <m/>
    <m/>
    <m/>
    <m/>
    <m/>
    <m/>
    <m/>
    <m/>
    <m/>
    <m/>
    <m/>
    <m/>
    <m/>
    <m/>
    <m/>
    <m/>
    <m/>
    <m/>
    <n v="0"/>
    <n v="0"/>
    <n v="0"/>
    <n v="-4389.96"/>
    <n v="-3.04"/>
    <n v="-3.04"/>
    <m/>
    <m/>
    <m/>
    <m/>
    <n v="39.549999999999997"/>
    <n v="-1736.34"/>
    <n v="-1.2"/>
    <n v="-1.2"/>
    <n v="-2653.62"/>
    <n v="-1.84"/>
    <n v="-1.84"/>
    <m/>
    <m/>
    <s v="AR00402663-CCU-Schneider Remix Limón-Feb 26"/>
    <m/>
    <n v="14030950"/>
    <n v="14030950"/>
    <m/>
    <s v="N"/>
    <m/>
    <s v="Y"/>
  </r>
  <r>
    <s v="IMM INTERNET MEDIA MEXICO S DE RL DE CV"/>
    <n v="3050535"/>
    <n v="41651"/>
    <s v="MODO_Arg"/>
    <x v="23"/>
    <x v="23"/>
    <d v="2026-02-01T00:00:00"/>
    <x v="81"/>
    <s v="2026_MODO_PERFORMANCE_PERFO_AO_ACTIVACION-IOS-INTERIOR_TWITTER_NU_TX_FEB"/>
    <x v="1"/>
    <x v="0"/>
    <n v="0"/>
    <n v="0"/>
    <s v="OSA ONE STEP AHEAD S.A"/>
    <s v="OSA ONE STEP AHEAD S.A"/>
    <s v="Play Digital S.A."/>
    <n v="57936819"/>
    <n v="9869791.9600000009"/>
    <d v="2026-01-02T00:00:00"/>
    <d v="2026-02-28T00:00:00"/>
    <s v="DSO"/>
    <s v="120 NET"/>
    <s v="AR"/>
    <s v="MX"/>
    <s v="X Corp."/>
    <n v="10573703"/>
    <d v="2026-02-28T00:00:00"/>
    <x v="0"/>
    <n v="12363.07"/>
    <s v="USD"/>
    <n v="8.5500000000000007"/>
    <n v="8.5500000000000007"/>
    <m/>
    <m/>
    <m/>
    <m/>
    <m/>
    <m/>
    <m/>
    <m/>
    <m/>
    <m/>
    <m/>
    <m/>
    <m/>
    <m/>
    <m/>
    <m/>
    <m/>
    <m/>
    <m/>
    <m/>
    <m/>
    <m/>
    <m/>
    <m/>
    <n v="0"/>
    <n v="0"/>
    <n v="0"/>
    <n v="12363.07"/>
    <n v="8.5500000000000007"/>
    <n v="8.5500000000000007"/>
    <m/>
    <m/>
    <m/>
    <m/>
    <n v="39.549999999999997"/>
    <n v="4889.8999999999996"/>
    <n v="3.38"/>
    <n v="3.38"/>
    <n v="7473.17"/>
    <n v="5.17"/>
    <n v="5.17"/>
    <m/>
    <m/>
    <s v="AR00396946 X | MODO | AO Performance"/>
    <m/>
    <n v="224573"/>
    <n v="224573"/>
    <s v="APP_ENGAGEMENTS"/>
    <s v="N"/>
    <m/>
    <s v="Y"/>
  </r>
  <r>
    <s v="IMM INTERNET MEDIA MEXICO S DE RL DE CV"/>
    <n v="3050535"/>
    <n v="41651"/>
    <s v="FernetBrancaARG"/>
    <x v="88"/>
    <x v="27"/>
    <d v="2026-02-01T00:00:00"/>
    <x v="167"/>
    <s v="1074008_AR_feb-2026__Branca_FB_COSQUIN_ROCK_Views_Alcance_CPM_Video_X-TWITTER"/>
    <x v="1"/>
    <x v="0"/>
    <n v="0"/>
    <n v="0"/>
    <s v="IPG Media Brands S.A."/>
    <s v="IPG Media Brands S.A."/>
    <s v="Fratelli Branca Destilerías S.A."/>
    <n v="110597037"/>
    <n v="8084766"/>
    <d v="2026-02-13T00:00:00"/>
    <d v="2026-02-15T00:00:00"/>
    <s v="DSO"/>
    <s v="120 NET"/>
    <s v="AR"/>
    <s v="MX"/>
    <s v="X Corp."/>
    <n v="10573719"/>
    <d v="2026-02-28T00:00:00"/>
    <x v="0"/>
    <n v="16709.939999999999"/>
    <s v="USD"/>
    <n v="11.56"/>
    <n v="11.56"/>
    <m/>
    <m/>
    <m/>
    <m/>
    <m/>
    <m/>
    <m/>
    <m/>
    <m/>
    <m/>
    <m/>
    <m/>
    <m/>
    <m/>
    <m/>
    <m/>
    <m/>
    <m/>
    <m/>
    <m/>
    <m/>
    <m/>
    <m/>
    <m/>
    <n v="0"/>
    <n v="0"/>
    <n v="0"/>
    <n v="16709.939999999999"/>
    <n v="11.56"/>
    <n v="11.56"/>
    <m/>
    <m/>
    <m/>
    <m/>
    <n v="22"/>
    <n v="3676.19"/>
    <n v="2.54"/>
    <n v="2.54"/>
    <n v="13033.75"/>
    <n v="9.02"/>
    <n v="9.02"/>
    <m/>
    <m/>
    <s v="AR00405931 - X | Arg | Fernet Branca | Febrero 2026"/>
    <m/>
    <n v="224554"/>
    <n v="224554"/>
    <s v="REACH"/>
    <s v="N"/>
    <m/>
    <s v="Y"/>
  </r>
  <r>
    <s v="IMM INTERNET MEDIA MEXICO S DE RL DE CV"/>
    <n v="3050535"/>
    <n v="41651"/>
    <s v="Bodog_Lat"/>
    <x v="89"/>
    <x v="77"/>
    <d v="2026-02-01T00:00:00"/>
    <x v="168"/>
    <s v="wf_2601_mx_x_display_aw_ba_ext"/>
    <x v="1"/>
    <x v="0"/>
    <n v="0"/>
    <n v="0"/>
    <s v="WILD FI ARGENTINA SA"/>
    <s v="WILD FI ARGENTINA SA"/>
    <s v="Connaught International Limited"/>
    <n v="209164024"/>
    <n v="50000"/>
    <d v="2026-01-27T00:00:00"/>
    <d v="2026-06-30T00:00:00"/>
    <s v="RES"/>
    <s v="120 NET"/>
    <s v="MT"/>
    <s v="MX"/>
    <s v="X Corp."/>
    <n v="10572880"/>
    <d v="2026-02-28T00:00:00"/>
    <x v="1"/>
    <n v="1722"/>
    <s v="USD"/>
    <n v="1722"/>
    <n v="1722"/>
    <m/>
    <m/>
    <m/>
    <m/>
    <m/>
    <m/>
    <m/>
    <m/>
    <m/>
    <m/>
    <m/>
    <m/>
    <m/>
    <m/>
    <m/>
    <m/>
    <m/>
    <m/>
    <m/>
    <m/>
    <m/>
    <m/>
    <m/>
    <m/>
    <n v="0"/>
    <n v="0"/>
    <n v="0"/>
    <n v="1722"/>
    <n v="1722"/>
    <n v="1722"/>
    <m/>
    <m/>
    <m/>
    <m/>
    <n v="15"/>
    <n v="258.3"/>
    <n v="258.3"/>
    <n v="258.3"/>
    <n v="1463.7"/>
    <n v="1463.7"/>
    <n v="1463.7"/>
    <m/>
    <m/>
    <s v="AR00402658-X ARG-Bodog México-Q1/Q2-26"/>
    <m/>
    <n v="140088451"/>
    <n v="140088451"/>
    <s v="WEBSITE_CLICKS"/>
    <s v="N"/>
    <m/>
    <s v="Y"/>
  </r>
  <r>
    <s v="IMM INTERNET MEDIA MEXICO S DE RL DE CV"/>
    <n v="3050535"/>
    <n v="41651"/>
    <s v="MODO_Arg"/>
    <x v="52"/>
    <x v="49"/>
    <d v="2026-02-01T00:00:00"/>
    <x v="83"/>
    <s v="2026_MODO_BRANDING_PROMO_COTO_GEO_GEO_TWITTER_NU_AW_ENE"/>
    <x v="1"/>
    <x v="0"/>
    <n v="0"/>
    <n v="0"/>
    <s v="OSA ONE STEP AHEAD S.A"/>
    <s v="OSA ONE STEP AHEAD S.A"/>
    <s v="Play Digital S.A."/>
    <n v="57936819"/>
    <n v="8949933.4199999999"/>
    <d v="2026-01-20T00:00:00"/>
    <d v="2026-02-28T00:00:00"/>
    <s v="DSO"/>
    <s v="120 NET"/>
    <s v="AR"/>
    <s v="MX"/>
    <s v="X Corp."/>
    <n v="10573633"/>
    <d v="2026-02-28T00:00:00"/>
    <x v="0"/>
    <n v="542338.96"/>
    <s v="USD"/>
    <n v="375.22"/>
    <n v="375.22"/>
    <m/>
    <m/>
    <m/>
    <m/>
    <m/>
    <m/>
    <m/>
    <m/>
    <m/>
    <m/>
    <m/>
    <m/>
    <m/>
    <m/>
    <m/>
    <m/>
    <m/>
    <m/>
    <m/>
    <m/>
    <m/>
    <m/>
    <m/>
    <m/>
    <n v="0"/>
    <n v="0"/>
    <n v="0"/>
    <n v="542338.96"/>
    <n v="375.22"/>
    <n v="375.22"/>
    <m/>
    <m/>
    <m/>
    <m/>
    <n v="39.549999999999997"/>
    <n v="214508.62"/>
    <n v="148.41"/>
    <n v="148.41"/>
    <n v="327830.34000000003"/>
    <n v="226.81"/>
    <n v="226.81"/>
    <m/>
    <m/>
    <s v="AR00400737 X | MODO | Promo COTO"/>
    <m/>
    <n v="224573"/>
    <n v="224573"/>
    <s v="REACH"/>
    <s v="N"/>
    <m/>
    <s v="Y"/>
  </r>
  <r>
    <s v="IMM INTERNET MEDIA MEXICO S DE RL DE CV"/>
    <n v="3050535"/>
    <n v="41651"/>
    <s v="YPFoficial"/>
    <x v="53"/>
    <x v="50"/>
    <d v="2026-02-01T00:00:00"/>
    <x v="84"/>
    <s v="ypf_combustibles-tw-alcance-season-combodoblehamburguesa-2026-feb"/>
    <x v="1"/>
    <x v="0"/>
    <n v="0"/>
    <n v="0"/>
    <s v="Carat Argentina S.A."/>
    <s v="Carat Argentina S.A."/>
    <s v="YPF - Argentina"/>
    <n v="292623"/>
    <n v="249000.75"/>
    <d v="2026-02-14T00:00:00"/>
    <d v="2026-02-21T00:00:00"/>
    <s v="RES"/>
    <s v="120 NET"/>
    <s v="AR"/>
    <s v="MX"/>
    <s v="X Corp."/>
    <n v="10573684"/>
    <d v="2026-02-28T00:00:00"/>
    <x v="0"/>
    <n v="92205.06"/>
    <s v="USD"/>
    <n v="63.79"/>
    <n v="63.79"/>
    <m/>
    <m/>
    <m/>
    <m/>
    <m/>
    <m/>
    <m/>
    <m/>
    <m/>
    <m/>
    <m/>
    <m/>
    <m/>
    <m/>
    <m/>
    <m/>
    <m/>
    <m/>
    <m/>
    <m/>
    <m/>
    <m/>
    <m/>
    <m/>
    <n v="0"/>
    <n v="0"/>
    <n v="0"/>
    <n v="92205.06"/>
    <n v="63.79"/>
    <n v="63.79"/>
    <m/>
    <m/>
    <m/>
    <m/>
    <n v="22"/>
    <n v="20285.11"/>
    <n v="14.03"/>
    <n v="14.03"/>
    <n v="71919.95"/>
    <n v="49.76"/>
    <n v="49.76"/>
    <m/>
    <m/>
    <s v="AR00406357-X-YPF-FULL-COMBO FULL DOBLE CLASICA-Feb 26"/>
    <m/>
    <n v="224529"/>
    <n v="224529"/>
    <s v="REACH"/>
    <s v="N"/>
    <m/>
    <s v="Y"/>
  </r>
  <r>
    <s v="IMM INTERNET MEDIA MEXICO S DE RL DE CV"/>
    <n v="3050535"/>
    <n v="41651"/>
    <s v="SchneiderARG"/>
    <x v="1"/>
    <x v="1"/>
    <d v="2026-02-01T00:00:00"/>
    <x v="1"/>
    <s v="ccu_schneider_remix limon 2025_views_suspect_febrero_2026_twitter_op-760699_"/>
    <x v="1"/>
    <x v="0"/>
    <n v="0"/>
    <n v="0"/>
    <s v="Havas Media Argentina S.A."/>
    <s v="Havas Media Argentina S.A."/>
    <s v="CCU Argentina"/>
    <n v="2801591"/>
    <n v="5000000"/>
    <d v="2026-02-01T00:00:00"/>
    <d v="2026-02-28T00:00:00"/>
    <s v="RES"/>
    <s v="120 NET"/>
    <s v="AR"/>
    <s v="MX"/>
    <s v="X Corp."/>
    <n v="10573631"/>
    <d v="2026-02-28T00:00:00"/>
    <x v="0"/>
    <n v="1678.16"/>
    <s v="USD"/>
    <n v="1.1599999999999999"/>
    <n v="1.1599999999999999"/>
    <m/>
    <m/>
    <m/>
    <m/>
    <m/>
    <m/>
    <m/>
    <m/>
    <m/>
    <m/>
    <m/>
    <m/>
    <m/>
    <m/>
    <m/>
    <m/>
    <m/>
    <m/>
    <m/>
    <m/>
    <m/>
    <m/>
    <m/>
    <m/>
    <n v="0"/>
    <n v="0"/>
    <n v="0"/>
    <n v="1678.16"/>
    <n v="1.1599999999999999"/>
    <n v="1.1599999999999999"/>
    <m/>
    <m/>
    <m/>
    <m/>
    <n v="39.549999999999997"/>
    <n v="663.76"/>
    <n v="0.46"/>
    <n v="0.46"/>
    <n v="1014.4"/>
    <n v="0.7"/>
    <n v="0.7"/>
    <m/>
    <m/>
    <s v="AR00402663-CCU-Schneider Remix Limón-Feb 26"/>
    <m/>
    <n v="14030950"/>
    <n v="14030950"/>
    <s v="VIDEO_VIEWS"/>
    <s v="N"/>
    <m/>
    <s v="Y"/>
  </r>
  <r>
    <s v="IMM INTERNET MEDIA MEXICO S DE RL DE CV"/>
    <n v="3050535"/>
    <n v="41651"/>
    <s v="Honda_Autos"/>
    <x v="90"/>
    <x v="78"/>
    <d v="2026-02-01T00:00:00"/>
    <x v="169"/>
    <s v="HCM-ALCANCE-WRV-PRELANZAMIENTO-2026"/>
    <x v="1"/>
    <x v="0"/>
    <n v="0"/>
    <n v="0"/>
    <s v="Wedoit SRL"/>
    <s v="Wedoit SRL"/>
    <s v="Honda Motor de Argentina S.A"/>
    <n v="10284340"/>
    <n v="6000000"/>
    <d v="2026-01-22T00:00:00"/>
    <d v="2026-03-31T00:00:00"/>
    <s v="RES"/>
    <s v="120 NET"/>
    <s v="AR"/>
    <s v="MX"/>
    <s v="X Corp."/>
    <n v="10573642"/>
    <d v="2026-02-28T00:00:00"/>
    <x v="0"/>
    <n v="2028302.04"/>
    <s v="USD"/>
    <n v="1403.28"/>
    <n v="1403.28"/>
    <m/>
    <m/>
    <m/>
    <m/>
    <m/>
    <m/>
    <m/>
    <m/>
    <m/>
    <m/>
    <m/>
    <m/>
    <m/>
    <m/>
    <m/>
    <m/>
    <m/>
    <m/>
    <m/>
    <m/>
    <m/>
    <m/>
    <m/>
    <m/>
    <n v="0"/>
    <n v="0"/>
    <n v="0"/>
    <n v="2028302.04"/>
    <n v="1403.28"/>
    <n v="1403.28"/>
    <m/>
    <m/>
    <m/>
    <m/>
    <n v="39.549999999999997"/>
    <n v="802244.17"/>
    <n v="555.03"/>
    <n v="555.03"/>
    <n v="1226057.8700000001"/>
    <n v="848.25"/>
    <n v="848.25"/>
    <m/>
    <m/>
    <s v="AR00401391 - X | Arg | Honda | Q1 2026"/>
    <m/>
    <n v="106552507"/>
    <n v="106552507"/>
    <s v="REACH"/>
    <s v="N"/>
    <m/>
    <s v="Y"/>
  </r>
  <r>
    <s v="IMM INTERNET MEDIA MEXICO S DE RL DE CV"/>
    <n v="3050535"/>
    <n v="41651"/>
    <s v="FieldViewArg"/>
    <x v="3"/>
    <x v="3"/>
    <d v="2026-02-01T00:00:00"/>
    <x v="4"/>
    <s v="Awareness  Febrero 2026 wrapped 2"/>
    <x v="1"/>
    <x v="0"/>
    <n v="0"/>
    <n v="0"/>
    <s v="Encender Argentina"/>
    <s v="Encender Argentina"/>
    <s v="Monsanto Argentina"/>
    <n v="530773"/>
    <n v="12000000"/>
    <d v="2026-01-20T00:00:00"/>
    <d v="2026-12-31T00:00:00"/>
    <s v="RES"/>
    <s v="120 NET"/>
    <s v="AR"/>
    <s v="MX"/>
    <s v="X Corp."/>
    <n v="10573655"/>
    <d v="2026-02-28T00:00:00"/>
    <x v="0"/>
    <n v="163618.12"/>
    <s v="USD"/>
    <n v="113.2"/>
    <n v="113.2"/>
    <m/>
    <m/>
    <m/>
    <m/>
    <m/>
    <m/>
    <m/>
    <m/>
    <m/>
    <m/>
    <m/>
    <m/>
    <m/>
    <m/>
    <m/>
    <m/>
    <m/>
    <m/>
    <m/>
    <m/>
    <m/>
    <m/>
    <m/>
    <m/>
    <n v="0"/>
    <n v="0"/>
    <n v="0"/>
    <n v="163618.12"/>
    <n v="113.2"/>
    <n v="113.2"/>
    <m/>
    <m/>
    <m/>
    <m/>
    <n v="39.549999999999997"/>
    <n v="64715.06"/>
    <n v="44.77"/>
    <n v="44.77"/>
    <n v="98903.06"/>
    <n v="68.430000000000007"/>
    <n v="68.430000000000007"/>
    <m/>
    <m/>
    <s v="AR00400821 - X - Arg - FieldView - Año 2026"/>
    <m/>
    <n v="530772"/>
    <n v="530772"/>
    <s v="REACH"/>
    <s v="N"/>
    <m/>
    <s v="Y"/>
  </r>
  <r>
    <s v="IMM INTERNET MEDIA MEXICO S DE RL DE CV"/>
    <n v="3050535"/>
    <n v="41651"/>
    <s v="FieldViewArg"/>
    <x v="3"/>
    <x v="3"/>
    <d v="2026-02-01T00:00:00"/>
    <x v="170"/>
    <s v="Awareness  Febrero 2026 Centro de ayuda"/>
    <x v="1"/>
    <x v="0"/>
    <n v="0"/>
    <n v="0"/>
    <s v="Encender Argentina"/>
    <s v="Encender Argentina"/>
    <s v="Monsanto Argentina"/>
    <n v="530773"/>
    <n v="12000000"/>
    <d v="2026-01-20T00:00:00"/>
    <d v="2026-12-31T00:00:00"/>
    <s v="RES"/>
    <s v="120 NET"/>
    <s v="AR"/>
    <s v="MX"/>
    <s v="X Corp."/>
    <n v="10573655"/>
    <d v="2026-02-28T00:00:00"/>
    <x v="0"/>
    <n v="95.44"/>
    <s v="USD"/>
    <n v="7.0000000000000007E-2"/>
    <n v="7.0000000000000007E-2"/>
    <m/>
    <m/>
    <m/>
    <m/>
    <m/>
    <m/>
    <m/>
    <m/>
    <m/>
    <m/>
    <m/>
    <m/>
    <m/>
    <m/>
    <m/>
    <m/>
    <m/>
    <m/>
    <m/>
    <m/>
    <m/>
    <m/>
    <m/>
    <m/>
    <n v="0"/>
    <n v="0"/>
    <n v="0"/>
    <n v="95.44"/>
    <n v="7.0000000000000007E-2"/>
    <n v="7.0000000000000007E-2"/>
    <m/>
    <m/>
    <m/>
    <m/>
    <n v="39.549999999999997"/>
    <n v="37.75"/>
    <n v="0.03"/>
    <n v="0.03"/>
    <n v="57.69"/>
    <n v="0.04"/>
    <n v="0.04"/>
    <m/>
    <m/>
    <s v="AR00400821 - X - Arg - FieldView - Año 2026"/>
    <m/>
    <n v="530772"/>
    <n v="530772"/>
    <s v="REACH"/>
    <s v="N"/>
    <m/>
    <s v="Y"/>
  </r>
  <r>
    <s v="IMM INTERNET MEDIA MEXICO S DE RL DE CV"/>
    <n v="3050535"/>
    <n v="41651"/>
    <s v="BalanzCapital"/>
    <x v="55"/>
    <x v="52"/>
    <d v="2026-02-01T00:00:00"/>
    <x v="171"/>
    <s v="GKT_Balanz_Academy_Curso_Renta Fija"/>
    <x v="1"/>
    <x v="0"/>
    <n v="0"/>
    <n v="0"/>
    <m/>
    <m/>
    <s v="BALANZ CAPITAL VALORES SAU"/>
    <n v="183777845"/>
    <n v="12000000"/>
    <d v="2025-01-09T00:00:00"/>
    <d v="2026-03-31T00:00:00"/>
    <s v="RES"/>
    <s v="120 NET"/>
    <s v="AR"/>
    <s v="MX"/>
    <s v="X Corp."/>
    <n v="10573656"/>
    <d v="2026-02-28T00:00:00"/>
    <x v="0"/>
    <n v="66576.42"/>
    <s v="USD"/>
    <n v="46.06"/>
    <n v="46.06"/>
    <m/>
    <m/>
    <m/>
    <m/>
    <m/>
    <m/>
    <m/>
    <m/>
    <m/>
    <m/>
    <m/>
    <m/>
    <m/>
    <m/>
    <m/>
    <m/>
    <m/>
    <m/>
    <m/>
    <m/>
    <m/>
    <m/>
    <m/>
    <m/>
    <n v="0"/>
    <n v="0"/>
    <n v="0"/>
    <n v="66576.42"/>
    <n v="46.06"/>
    <n v="46.06"/>
    <m/>
    <m/>
    <m/>
    <m/>
    <n v="39.549999999999997"/>
    <n v="26332.639999999999"/>
    <n v="18.22"/>
    <n v="18.22"/>
    <n v="40243.78"/>
    <n v="27.84"/>
    <n v="27.84"/>
    <m/>
    <m/>
    <s v="AR00308588 SMB-X ARG - Balanz - Enero 2025"/>
    <m/>
    <m/>
    <m/>
    <s v="WEBSITE_CLICKS"/>
    <s v="N"/>
    <m/>
    <s v="Y"/>
  </r>
  <r>
    <s v="IMM INTERNET MEDIA MEXICO S DE RL DE CV"/>
    <n v="3050535"/>
    <n v="41651"/>
    <s v="mercadopago"/>
    <x v="91"/>
    <x v="72"/>
    <d v="2026-02-01T00:00:00"/>
    <x v="172"/>
    <s v="MPA   Somos Francos   Timeline- 6/Feb"/>
    <x v="0"/>
    <x v="0"/>
    <n v="0"/>
    <n v="0"/>
    <s v="IPG Media Brands S.A."/>
    <s v="IPG Media Brands S.A."/>
    <s v="MercadoLibre S.R.L."/>
    <n v="821027"/>
    <n v="2180250"/>
    <d v="2026-02-06T00:00:00"/>
    <d v="2026-02-06T00:00:00"/>
    <s v="DSO"/>
    <s v="120 NET"/>
    <s v="AR"/>
    <s v="MX"/>
    <s v="X Corp."/>
    <n v="10573672"/>
    <d v="2026-02-28T00:00:00"/>
    <x v="0"/>
    <n v="2180250"/>
    <s v="USD"/>
    <n v="1508.41"/>
    <n v="1508.41"/>
    <m/>
    <m/>
    <m/>
    <m/>
    <m/>
    <m/>
    <m/>
    <m/>
    <m/>
    <m/>
    <m/>
    <m/>
    <m/>
    <m/>
    <m/>
    <m/>
    <m/>
    <m/>
    <m/>
    <m/>
    <m/>
    <m/>
    <m/>
    <m/>
    <n v="0"/>
    <n v="0"/>
    <n v="0"/>
    <n v="2180250"/>
    <n v="1508.41"/>
    <n v="1508.41"/>
    <m/>
    <m/>
    <m/>
    <m/>
    <n v="34"/>
    <n v="741241.4"/>
    <n v="512.83000000000004"/>
    <n v="512.83000000000004"/>
    <n v="1439008.6"/>
    <n v="995.58"/>
    <n v="995.58"/>
    <m/>
    <s v="Timeline Takeover - Tier 1"/>
    <s v="MPA | Somos Francos | Timeline- 6/Feb"/>
    <m/>
    <n v="224554"/>
    <n v="224554"/>
    <s v="UNKNOWN_OBJECTIVE"/>
    <s v="N"/>
    <m/>
    <s v="Y"/>
  </r>
  <r>
    <s v="IMM INTERNET MEDIA MEXICO S DE RL DE CV"/>
    <n v="3050535"/>
    <n v="41651"/>
    <s v="uipargentina"/>
    <x v="30"/>
    <x v="30"/>
    <d v="2026-02-01T00:00:00"/>
    <x v="173"/>
    <s v="UIP_PARAMOUNT-SCREAM_7-SOLOENCINES-TWITTER-TOTAL-TRAFICO-INTERESES-CLICKS-OP_PENDIENTE"/>
    <x v="1"/>
    <x v="0"/>
    <n v="0"/>
    <n v="0"/>
    <s v="Carat Argentina S.A."/>
    <s v="Carat Argentina S.A."/>
    <s v="United International Pictures"/>
    <n v="2097220"/>
    <n v="3000000"/>
    <d v="2026-02-09T00:00:00"/>
    <d v="2026-03-08T00:00:00"/>
    <s v="RES"/>
    <s v="120 NET"/>
    <s v="AR"/>
    <s v="MX"/>
    <s v="X Corp."/>
    <n v="10573728"/>
    <d v="2026-02-28T00:00:00"/>
    <x v="0"/>
    <n v="1417361.47"/>
    <s v="USD"/>
    <n v="980.6"/>
    <n v="980.6"/>
    <m/>
    <m/>
    <m/>
    <m/>
    <m/>
    <m/>
    <m/>
    <m/>
    <m/>
    <m/>
    <m/>
    <m/>
    <m/>
    <m/>
    <m/>
    <m/>
    <m/>
    <m/>
    <m/>
    <m/>
    <m/>
    <m/>
    <m/>
    <m/>
    <n v="0"/>
    <n v="0"/>
    <n v="0"/>
    <n v="1417361.47"/>
    <n v="980.6"/>
    <n v="980.6"/>
    <m/>
    <m/>
    <m/>
    <m/>
    <n v="22"/>
    <n v="311819.52000000002"/>
    <n v="215.73"/>
    <n v="215.73"/>
    <n v="1105541.95"/>
    <n v="764.87"/>
    <n v="764.87"/>
    <m/>
    <m/>
    <s v="UIP Argentina | Scream 7"/>
    <m/>
    <n v="224529"/>
    <n v="224529"/>
    <s v="WEBSITE_CLICKS"/>
    <s v="N"/>
    <m/>
    <s v="Y"/>
  </r>
  <r>
    <s v="IMM INTERNET MEDIA MEXICO S DE RL DE CV"/>
    <n v="3050535"/>
    <n v="41651"/>
    <s v="uipargentina"/>
    <x v="30"/>
    <x v="30"/>
    <d v="2026-02-01T00:00:00"/>
    <x v="43"/>
    <s v="UIP_PARAMOUNT-SCREAM_7-PROXIMAMENTE-TWITTER-TOTAL-AWARENESS-INTERESES-IMPRESIONES-OP_PENDIENTE"/>
    <x v="1"/>
    <x v="0"/>
    <n v="0"/>
    <n v="0"/>
    <s v="Carat Argentina S.A."/>
    <s v="Carat Argentina S.A."/>
    <s v="United International Pictures"/>
    <n v="2097220"/>
    <n v="3000000"/>
    <d v="2026-02-09T00:00:00"/>
    <d v="2026-03-08T00:00:00"/>
    <s v="RES"/>
    <s v="120 NET"/>
    <s v="AR"/>
    <s v="MX"/>
    <s v="X Corp."/>
    <n v="10573728"/>
    <d v="2026-02-28T00:00:00"/>
    <x v="0"/>
    <n v="997853.59"/>
    <s v="USD"/>
    <n v="690.37"/>
    <n v="690.37"/>
    <m/>
    <m/>
    <m/>
    <m/>
    <m/>
    <m/>
    <m/>
    <m/>
    <m/>
    <m/>
    <m/>
    <m/>
    <m/>
    <m/>
    <m/>
    <m/>
    <m/>
    <m/>
    <m/>
    <m/>
    <m/>
    <m/>
    <m/>
    <m/>
    <n v="0"/>
    <n v="0"/>
    <n v="0"/>
    <n v="997853.59"/>
    <n v="690.37"/>
    <n v="690.37"/>
    <m/>
    <m/>
    <m/>
    <m/>
    <n v="22"/>
    <n v="219527.79"/>
    <n v="151.88"/>
    <n v="151.88"/>
    <n v="778325.8"/>
    <n v="538.49"/>
    <n v="538.49"/>
    <m/>
    <m/>
    <s v="UIP Argentina | Scream 7"/>
    <m/>
    <n v="224529"/>
    <n v="224529"/>
    <s v="REACH"/>
    <s v="N"/>
    <m/>
    <s v="Y"/>
  </r>
  <r>
    <s v="IMM INTERNET MEDIA MEXICO S DE RL DE CV"/>
    <n v="3050535"/>
    <n v="41651"/>
    <s v="uipargentina"/>
    <x v="30"/>
    <x v="30"/>
    <d v="2026-02-01T00:00:00"/>
    <x v="173"/>
    <s v="UIP_PARAMOUNT-SCREAM_7-SOLOENCINES-TWITTER-TOTAL-TRAFICO-INTERESES-CLICKS-OP_504952/504962"/>
    <x v="1"/>
    <x v="0"/>
    <n v="0"/>
    <n v="0"/>
    <s v="Carat Argentina S.A."/>
    <s v="Carat Argentina S.A."/>
    <s v="United International Pictures"/>
    <n v="2097220"/>
    <n v="3000000"/>
    <d v="2026-02-09T00:00:00"/>
    <d v="2026-03-08T00:00:00"/>
    <s v="RES"/>
    <s v="120 NET"/>
    <s v="AR"/>
    <s v="MX"/>
    <s v="X Corp."/>
    <n v="10573728"/>
    <d v="2026-02-28T00:00:00"/>
    <x v="0"/>
    <n v="472993.05"/>
    <s v="USD"/>
    <n v="327.24"/>
    <n v="327.24"/>
    <m/>
    <m/>
    <m/>
    <m/>
    <m/>
    <m/>
    <m/>
    <m/>
    <m/>
    <m/>
    <m/>
    <m/>
    <m/>
    <m/>
    <m/>
    <m/>
    <m/>
    <m/>
    <m/>
    <m/>
    <m/>
    <m/>
    <m/>
    <m/>
    <n v="0"/>
    <n v="0"/>
    <n v="0"/>
    <n v="472993.05"/>
    <n v="327.24"/>
    <n v="327.24"/>
    <m/>
    <m/>
    <m/>
    <m/>
    <n v="22"/>
    <n v="104058.47"/>
    <n v="71.989999999999995"/>
    <n v="71.989999999999995"/>
    <n v="368934.58"/>
    <n v="255.25"/>
    <n v="255.25"/>
    <m/>
    <m/>
    <s v="UIP Argentina | Scream 7"/>
    <m/>
    <n v="224529"/>
    <n v="224529"/>
    <s v="WEBSITE_CLICKS"/>
    <s v="N"/>
    <m/>
    <s v="Y"/>
  </r>
  <r>
    <s v="IMM INTERNET MEDIA MEXICO S DE RL DE CV"/>
    <n v="3050535"/>
    <n v="41651"/>
    <s v="Betfunok"/>
    <x v="72"/>
    <x v="64"/>
    <d v="2026-02-01T00:00:00"/>
    <x v="112"/>
    <s v="Betfun_Alcance_AO2026"/>
    <x v="1"/>
    <x v="0"/>
    <n v="0"/>
    <n v="0"/>
    <s v="BI MEDIA S.R.L."/>
    <s v="BI MEDIA S.R.L."/>
    <s v="Hipódromo Argentino de Palermo S.A"/>
    <n v="148610446"/>
    <n v="3000000"/>
    <d v="2026-01-05T00:00:00"/>
    <d v="2026-02-28T00:00:00"/>
    <s v="DSO"/>
    <s v="120 NET"/>
    <s v="AR"/>
    <s v="MX"/>
    <s v="X Corp."/>
    <n v="10573737"/>
    <d v="2026-02-28T00:00:00"/>
    <x v="0"/>
    <n v="859984.41"/>
    <s v="USD"/>
    <n v="594.98"/>
    <n v="594.98"/>
    <m/>
    <m/>
    <m/>
    <m/>
    <m/>
    <m/>
    <m/>
    <m/>
    <m/>
    <m/>
    <m/>
    <m/>
    <m/>
    <m/>
    <m/>
    <m/>
    <m/>
    <m/>
    <m/>
    <m/>
    <m/>
    <m/>
    <m/>
    <m/>
    <n v="0"/>
    <n v="0"/>
    <n v="0"/>
    <n v="859984.41"/>
    <n v="594.98"/>
    <n v="594.98"/>
    <m/>
    <m/>
    <m/>
    <m/>
    <n v="39.549999999999997"/>
    <n v="340145.33"/>
    <n v="235.33"/>
    <n v="235.33"/>
    <n v="519839.08"/>
    <n v="359.65"/>
    <n v="359.65"/>
    <m/>
    <m/>
    <s v="AR00397261-X-Hipódromo de Palermo-Betfun-AON 26"/>
    <m/>
    <n v="192377147"/>
    <n v="192377147"/>
    <s v="REACH"/>
    <s v="N"/>
    <m/>
    <s v="Y"/>
  </r>
  <r>
    <s v="IMM INTERNET MEDIA MEXICO S DE RL DE CV"/>
    <n v="3050535"/>
    <n v="41651"/>
    <s v="Supervielle_ARG"/>
    <x v="31"/>
    <x v="31"/>
    <d v="2026-02-01T00:00:00"/>
    <x v="44"/>
    <s v="COMU_Supervielle_Individuos_Verano_Twitter_Subasta-Reproducciones-Intereses-Verano2026"/>
    <x v="1"/>
    <x v="0"/>
    <n v="0"/>
    <n v="0"/>
    <s v="Digital Hive Group S.A"/>
    <s v="Digital Hive Group S.A"/>
    <s v="Banco Supervielle"/>
    <n v="240194"/>
    <n v="7800000"/>
    <d v="2026-01-08T00:00:00"/>
    <d v="2026-02-28T00:00:00"/>
    <s v="RES"/>
    <s v="120 NET"/>
    <s v="AR"/>
    <s v="MX"/>
    <s v="X Corp."/>
    <n v="10573620"/>
    <d v="2026-02-28T00:00:00"/>
    <x v="0"/>
    <n v="315054.31"/>
    <s v="USD"/>
    <n v="217.97"/>
    <n v="217.97"/>
    <m/>
    <m/>
    <m/>
    <m/>
    <m/>
    <m/>
    <m/>
    <m/>
    <m/>
    <m/>
    <m/>
    <m/>
    <m/>
    <m/>
    <m/>
    <m/>
    <m/>
    <m/>
    <m/>
    <m/>
    <m/>
    <m/>
    <m/>
    <m/>
    <n v="0"/>
    <n v="0"/>
    <n v="0"/>
    <n v="315054.31"/>
    <n v="217.97"/>
    <n v="217.97"/>
    <m/>
    <m/>
    <m/>
    <m/>
    <n v="39.549999999999997"/>
    <n v="124611.86"/>
    <n v="86.21"/>
    <n v="86.21"/>
    <n v="190442.45"/>
    <n v="131.76"/>
    <n v="131.76"/>
    <m/>
    <m/>
    <s v="AR00397734 X | Banco Supervielle | ENE 26"/>
    <m/>
    <n v="66013147"/>
    <n v="66013147"/>
    <s v="REACH"/>
    <s v="N"/>
    <m/>
    <s v="Y"/>
  </r>
  <r>
    <s v="IMM INTERNET MEDIA MEXICO S DE RL DE CV"/>
    <n v="3050535"/>
    <n v="41651"/>
    <s v="Supervielle_ARG"/>
    <x v="31"/>
    <x v="31"/>
    <d v="2026-02-01T00:00:00"/>
    <x v="44"/>
    <s v="COMU_Supervielle_Individuos_Verano_Twitter_Subasta-Reproducciones-Intereses-Verano2026"/>
    <x v="1"/>
    <x v="0"/>
    <n v="0"/>
    <n v="0"/>
    <s v="Digital Hive Group S.A"/>
    <s v="Digital Hive Group S.A"/>
    <s v="Banco Supervielle"/>
    <n v="240194"/>
    <n v="7800000"/>
    <d v="2026-01-08T00:00:00"/>
    <d v="2026-03-31T00:00:00"/>
    <s v="RES"/>
    <s v="120 NET"/>
    <s v="AR"/>
    <s v="MX"/>
    <s v="X Corp."/>
    <n v="10573620"/>
    <d v="2026-02-28T00:00:00"/>
    <x v="0"/>
    <n v="37782"/>
    <s v="USD"/>
    <n v="26.14"/>
    <n v="26.14"/>
    <m/>
    <m/>
    <m/>
    <m/>
    <m/>
    <m/>
    <m/>
    <m/>
    <m/>
    <m/>
    <m/>
    <m/>
    <m/>
    <m/>
    <m/>
    <m/>
    <m/>
    <m/>
    <m/>
    <m/>
    <m/>
    <m/>
    <m/>
    <m/>
    <n v="0"/>
    <n v="0"/>
    <n v="0"/>
    <n v="37782"/>
    <n v="26.14"/>
    <n v="26.14"/>
    <m/>
    <m/>
    <m/>
    <m/>
    <n v="39.549999999999997"/>
    <n v="14943.73"/>
    <n v="10.34"/>
    <n v="10.34"/>
    <n v="22838.27"/>
    <n v="15.8"/>
    <n v="15.8"/>
    <m/>
    <m/>
    <s v="AR00397734 X | Banco Supervielle | ENE 26"/>
    <m/>
    <n v="66013147"/>
    <n v="66013147"/>
    <s v="REACH"/>
    <s v="N"/>
    <m/>
    <s v="Y"/>
  </r>
  <r>
    <s v="IMM INTERNET MEDIA MEXICO S DE RL DE CV"/>
    <n v="3050535"/>
    <n v="41651"/>
    <s v="YPFoficial"/>
    <x v="32"/>
    <x v="32"/>
    <d v="2026-02-01T00:00:00"/>
    <x v="174"/>
    <s v="ypf_combustibles-tw-alcance-season-beneficiobnamodo-2026-feb"/>
    <x v="1"/>
    <x v="0"/>
    <n v="0"/>
    <n v="0"/>
    <s v="Carat Argentina S.A."/>
    <s v="Carat Argentina S.A."/>
    <s v="YPF - Argentina"/>
    <n v="292623"/>
    <n v="1990002.6"/>
    <d v="2026-01-23T00:00:00"/>
    <d v="2026-02-27T00:00:00"/>
    <s v="RES"/>
    <s v="120 NET"/>
    <s v="AR"/>
    <s v="MX"/>
    <s v="X Corp."/>
    <n v="10573643"/>
    <d v="2026-02-28T00:00:00"/>
    <x v="0"/>
    <n v="350000"/>
    <s v="USD"/>
    <n v="242.15"/>
    <n v="242.15"/>
    <m/>
    <m/>
    <m/>
    <m/>
    <m/>
    <m/>
    <m/>
    <m/>
    <m/>
    <m/>
    <m/>
    <m/>
    <m/>
    <m/>
    <m/>
    <m/>
    <m/>
    <m/>
    <m/>
    <m/>
    <m/>
    <m/>
    <m/>
    <m/>
    <n v="0"/>
    <n v="0"/>
    <n v="0"/>
    <n v="350000"/>
    <n v="242.15"/>
    <n v="242.15"/>
    <m/>
    <m/>
    <m/>
    <m/>
    <n v="39.549999999999997"/>
    <n v="138433.75"/>
    <n v="95.78"/>
    <n v="95.78"/>
    <n v="211566.25"/>
    <n v="146.37"/>
    <n v="146.37"/>
    <m/>
    <m/>
    <s v="AR00401632-X-YPF-COMBUSTIBLES-BENEFICIO BNA+MODO-Ene 26"/>
    <m/>
    <n v="224529"/>
    <n v="224529"/>
    <s v="REACH"/>
    <s v="N"/>
    <m/>
    <s v="Y"/>
  </r>
  <r>
    <s v="IMM INTERNET MEDIA MEXICO S DE RL DE CV"/>
    <n v="3050535"/>
    <n v="41651"/>
    <s v="YPFoficial"/>
    <x v="32"/>
    <x v="32"/>
    <d v="2026-02-01T00:00:00"/>
    <x v="175"/>
    <s v="ypf_combustibles-tw-alcance-season-beneficiobnamodo_descuento4-2026-feb"/>
    <x v="1"/>
    <x v="0"/>
    <n v="0"/>
    <n v="0"/>
    <s v="Carat Argentina S.A."/>
    <s v="Carat Argentina S.A."/>
    <s v="YPF - Argentina"/>
    <n v="292623"/>
    <n v="1990002.6"/>
    <d v="2026-01-23T00:00:00"/>
    <d v="2026-02-27T00:00:00"/>
    <s v="RES"/>
    <s v="120 NET"/>
    <s v="AR"/>
    <s v="MX"/>
    <s v="X Corp."/>
    <n v="10573643"/>
    <d v="2026-02-28T00:00:00"/>
    <x v="0"/>
    <n v="388489.58"/>
    <s v="USD"/>
    <n v="268.77999999999997"/>
    <n v="268.77999999999997"/>
    <m/>
    <m/>
    <m/>
    <m/>
    <m/>
    <m/>
    <m/>
    <m/>
    <m/>
    <m/>
    <m/>
    <m/>
    <m/>
    <m/>
    <m/>
    <m/>
    <m/>
    <m/>
    <m/>
    <m/>
    <m/>
    <m/>
    <m/>
    <m/>
    <n v="0"/>
    <n v="0"/>
    <n v="0"/>
    <n v="388489.58"/>
    <n v="268.77999999999997"/>
    <n v="268.77999999999997"/>
    <m/>
    <m/>
    <m/>
    <m/>
    <n v="39.549999999999997"/>
    <n v="153657.34"/>
    <n v="106.31"/>
    <n v="106.31"/>
    <n v="234832.24"/>
    <n v="162.47"/>
    <n v="162.47"/>
    <m/>
    <m/>
    <s v="AR00401632-X-YPF-COMBUSTIBLES-BENEFICIO BNA+MODO-Ene 26"/>
    <m/>
    <n v="224529"/>
    <n v="224529"/>
    <s v="REACH"/>
    <s v="N"/>
    <m/>
    <s v="Y"/>
  </r>
  <r>
    <s v="IMM INTERNET MEDIA MEXICO S DE RL DE CV"/>
    <n v="3050535"/>
    <n v="41651"/>
    <s v="RappiArgentina"/>
    <x v="59"/>
    <x v="55"/>
    <d v="2026-02-01T00:00:00"/>
    <x v="176"/>
    <s v="BG_AR_AL_PS_TW_TWI_ALL_ALL_RAP_ALL_NA_99999_COC_VWC"/>
    <x v="1"/>
    <x v="0"/>
    <n v="0"/>
    <n v="0"/>
    <m/>
    <m/>
    <s v="RAPPI ARG S.A.S."/>
    <n v="9663269"/>
    <n v="310000000"/>
    <d v="2025-03-14T00:00:00"/>
    <d v="2027-01-31T00:00:00"/>
    <s v="DSO"/>
    <s v="120 NET"/>
    <s v="AR"/>
    <s v="MX"/>
    <s v="X Corp."/>
    <n v="10573738"/>
    <d v="2026-02-28T00:00:00"/>
    <x v="0"/>
    <n v="4570398.05"/>
    <s v="USD"/>
    <n v="3162.04"/>
    <n v="3162.04"/>
    <m/>
    <m/>
    <m/>
    <m/>
    <m/>
    <m/>
    <m/>
    <m/>
    <m/>
    <m/>
    <m/>
    <m/>
    <m/>
    <m/>
    <m/>
    <m/>
    <m/>
    <m/>
    <m/>
    <m/>
    <m/>
    <m/>
    <m/>
    <m/>
    <n v="0"/>
    <n v="0"/>
    <n v="0"/>
    <n v="4570398.05"/>
    <n v="3162.04"/>
    <n v="3162.04"/>
    <m/>
    <m/>
    <m/>
    <m/>
    <n v="34"/>
    <n v="1553843.93"/>
    <n v="1075.03"/>
    <n v="1075.03"/>
    <n v="3016554.12"/>
    <n v="2087.0100000000002"/>
    <n v="2087.0100000000002"/>
    <m/>
    <m/>
    <s v="Rappi Argentina 2025 LInea de Credito"/>
    <m/>
    <m/>
    <m/>
    <s v="REACH"/>
    <s v="N"/>
    <m/>
    <s v="Y"/>
  </r>
  <r>
    <s v="IMM INTERNET MEDIA MEXICO S DE RL DE CV"/>
    <n v="3050535"/>
    <n v="41651"/>
    <s v="WBPictures_Ar"/>
    <x v="75"/>
    <x v="57"/>
    <d v="2026-02-01T00:00:00"/>
    <x v="177"/>
    <s v="WLA_ARG CUMBRES BORRASCOSAS PreLaunch-X CPM Q1_2026"/>
    <x v="1"/>
    <x v="0"/>
    <n v="0"/>
    <n v="0"/>
    <s v="Mindshare Argentina"/>
    <s v="Mindshare Argentina"/>
    <s v="Warner - LATAM"/>
    <n v="268721"/>
    <n v="2700000"/>
    <d v="2026-02-02T00:00:00"/>
    <d v="2026-02-19T00:00:00"/>
    <s v="RES"/>
    <s v="120 NET"/>
    <s v="AR"/>
    <s v="MX"/>
    <s v="X Corp."/>
    <n v="10573626"/>
    <d v="2026-02-28T00:00:00"/>
    <x v="0"/>
    <n v="1285324.1299999999"/>
    <s v="USD"/>
    <n v="889.25"/>
    <n v="889.25"/>
    <m/>
    <m/>
    <m/>
    <m/>
    <m/>
    <m/>
    <m/>
    <m/>
    <m/>
    <m/>
    <m/>
    <m/>
    <m/>
    <m/>
    <m/>
    <m/>
    <m/>
    <m/>
    <m/>
    <m/>
    <m/>
    <m/>
    <m/>
    <m/>
    <n v="0"/>
    <n v="0"/>
    <n v="0"/>
    <n v="1285324.1299999999"/>
    <n v="889.25"/>
    <n v="889.25"/>
    <m/>
    <m/>
    <m/>
    <m/>
    <n v="34"/>
    <n v="436984.5"/>
    <n v="302.33"/>
    <n v="302.33"/>
    <n v="848339.63"/>
    <n v="586.91999999999996"/>
    <n v="586.91999999999996"/>
    <m/>
    <m/>
    <s v="Warner Argentina | La Novia"/>
    <m/>
    <n v="262319"/>
    <n v="262319"/>
    <s v="REACH"/>
    <s v="N"/>
    <m/>
    <s v="Y"/>
  </r>
  <r>
    <s v="IMM INTERNET MEDIA MEXICO S DE RL DE CV"/>
    <n v="3050535"/>
    <n v="41651"/>
    <s v="YOY_Arg"/>
    <x v="38"/>
    <x v="38"/>
    <d v="2026-02-01T00:00:00"/>
    <x v="178"/>
    <s v="yoy-brandformance-alcance"/>
    <x v="1"/>
    <x v="0"/>
    <n v="0"/>
    <n v="0"/>
    <s v="PROGMEDIA ARG SAS"/>
    <s v="PROGMEDIA ARG SAS"/>
    <s v="ICBC Argentina"/>
    <n v="124567"/>
    <n v="2780000"/>
    <d v="2025-05-29T00:00:00"/>
    <d v="2026-02-28T00:00:00"/>
    <s v="RES"/>
    <s v="120 NET"/>
    <s v="AR"/>
    <s v="MX"/>
    <s v="X Corp."/>
    <n v="10573701"/>
    <d v="2026-02-28T00:00:00"/>
    <x v="0"/>
    <n v="311760.77"/>
    <s v="USD"/>
    <n v="215.69"/>
    <n v="215.69"/>
    <m/>
    <m/>
    <m/>
    <m/>
    <m/>
    <m/>
    <m/>
    <m/>
    <m/>
    <m/>
    <m/>
    <m/>
    <m/>
    <m/>
    <m/>
    <m/>
    <m/>
    <m/>
    <m/>
    <m/>
    <m/>
    <m/>
    <m/>
    <m/>
    <n v="0"/>
    <n v="0"/>
    <n v="0"/>
    <n v="311760.77"/>
    <n v="215.69"/>
    <n v="215.69"/>
    <m/>
    <m/>
    <m/>
    <m/>
    <n v="39.549999999999997"/>
    <n v="123309.18"/>
    <n v="85.31"/>
    <n v="85.31"/>
    <n v="188451.59"/>
    <n v="130.38"/>
    <n v="130.38"/>
    <m/>
    <m/>
    <s v="AR00344572 X - YOY - Branding - Tácticos"/>
    <m/>
    <n v="181584876"/>
    <n v="181584876"/>
    <s v="REACH"/>
    <s v="N"/>
    <m/>
    <s v="Y"/>
  </r>
  <r>
    <s v="IMM INTERNET MEDIA MEXICO S DE RL DE CV"/>
    <n v="3050535"/>
    <n v="41651"/>
    <s v="BancodeCordoba"/>
    <x v="12"/>
    <x v="12"/>
    <d v="2026-02-01T00:00:00"/>
    <x v="48"/>
    <s v="OT429-V3   Cordobesa Verano - Alcance - Twitter -   PROMO Festivales y Espectáculos"/>
    <x v="1"/>
    <x v="0"/>
    <n v="0"/>
    <n v="0"/>
    <s v="WOBRA S.A.S."/>
    <s v="WOBRA S.A.S."/>
    <s v="BANCO DE LA PROVINCIA DE CORDOBA S.A."/>
    <n v="5733116"/>
    <n v="40600000"/>
    <d v="2024-01-01T00:00:00"/>
    <d v="2026-03-31T00:00:00"/>
    <s v="ISO"/>
    <s v="120 NET"/>
    <s v="AR"/>
    <s v="MX"/>
    <s v="X Corp."/>
    <n v="10573709"/>
    <d v="2026-02-28T00:00:00"/>
    <x v="0"/>
    <n v="23000"/>
    <s v="USD"/>
    <n v="15.91"/>
    <n v="15.91"/>
    <m/>
    <m/>
    <m/>
    <m/>
    <m/>
    <m/>
    <m/>
    <m/>
    <m/>
    <m/>
    <m/>
    <m/>
    <m/>
    <m/>
    <m/>
    <m/>
    <m/>
    <m/>
    <m/>
    <m/>
    <m/>
    <m/>
    <m/>
    <m/>
    <n v="0"/>
    <n v="0"/>
    <n v="0"/>
    <n v="23000"/>
    <n v="15.91"/>
    <n v="15.91"/>
    <m/>
    <m/>
    <m/>
    <m/>
    <n v="39.549999999999997"/>
    <n v="9097.08"/>
    <n v="6.29"/>
    <n v="6.29"/>
    <n v="13902.92"/>
    <n v="9.6199999999999992"/>
    <n v="9.6199999999999992"/>
    <m/>
    <m/>
    <s v="AR00223485 - SMB_ARG_BancoProvinciaCord_Enero24"/>
    <m/>
    <n v="47720819"/>
    <n v="47720819"/>
    <s v="REACH"/>
    <s v="N"/>
    <m/>
    <s v="Y"/>
  </r>
  <r>
    <s v="IMM INTERNET MEDIA MEXICO S DE RL DE CV"/>
    <n v="3050535"/>
    <n v="41651"/>
    <s v="BancodeCordoba"/>
    <x v="12"/>
    <x v="12"/>
    <d v="2026-02-01T00:00:00"/>
    <x v="64"/>
    <s v="OT429-V3   Cordobesa Verano - Alcance - Twitter -  Capsulas de Video (MALEVO)"/>
    <x v="1"/>
    <x v="0"/>
    <n v="0"/>
    <n v="0"/>
    <s v="WOBRA S.A.S."/>
    <s v="WOBRA S.A.S."/>
    <s v="BANCO DE LA PROVINCIA DE CORDOBA S.A."/>
    <n v="5733116"/>
    <n v="40600000"/>
    <d v="2024-01-01T00:00:00"/>
    <d v="2026-03-31T00:00:00"/>
    <s v="ISO"/>
    <s v="120 NET"/>
    <s v="AR"/>
    <s v="MX"/>
    <s v="X Corp."/>
    <n v="10573709"/>
    <d v="2026-02-28T00:00:00"/>
    <x v="0"/>
    <n v="32000"/>
    <s v="USD"/>
    <n v="22.14"/>
    <n v="22.14"/>
    <m/>
    <m/>
    <m/>
    <m/>
    <m/>
    <m/>
    <m/>
    <m/>
    <m/>
    <m/>
    <m/>
    <m/>
    <m/>
    <m/>
    <m/>
    <m/>
    <m/>
    <m/>
    <m/>
    <m/>
    <m/>
    <m/>
    <m/>
    <m/>
    <n v="0"/>
    <n v="0"/>
    <n v="0"/>
    <n v="32000"/>
    <n v="22.14"/>
    <n v="22.14"/>
    <m/>
    <m/>
    <m/>
    <m/>
    <n v="39.549999999999997"/>
    <n v="12656.8"/>
    <n v="8.76"/>
    <n v="8.76"/>
    <n v="19343.2"/>
    <n v="13.38"/>
    <n v="13.38"/>
    <m/>
    <m/>
    <s v="AR00223485 - SMB_ARG_BancoProvinciaCord_Enero24"/>
    <m/>
    <n v="47720819"/>
    <n v="47720819"/>
    <s v="REACH"/>
    <s v="N"/>
    <m/>
    <s v="Y"/>
  </r>
  <r>
    <s v="IMM INTERNET MEDIA MEXICO S DE RL DE CV"/>
    <n v="3050535"/>
    <n v="41651"/>
    <s v="BancodeCordoba"/>
    <x v="12"/>
    <x v="12"/>
    <d v="2026-02-01T00:00:00"/>
    <x v="65"/>
    <s v="OT470   Inversiones Feb26 - Alcance - TWITTER"/>
    <x v="1"/>
    <x v="0"/>
    <n v="0"/>
    <n v="0"/>
    <s v="WOBRA S.A.S."/>
    <s v="WOBRA S.A.S."/>
    <s v="BANCO DE LA PROVINCIA DE CORDOBA S.A."/>
    <n v="5733116"/>
    <n v="40600000"/>
    <d v="2024-01-01T00:00:00"/>
    <d v="2026-04-15T00:00:00"/>
    <s v="ISO"/>
    <s v="120 NET"/>
    <s v="AR"/>
    <s v="MX"/>
    <s v="X Corp."/>
    <n v="10573709"/>
    <d v="2026-02-28T00:00:00"/>
    <x v="0"/>
    <n v="51259.76"/>
    <s v="USD"/>
    <n v="35.46"/>
    <n v="35.46"/>
    <m/>
    <m/>
    <m/>
    <m/>
    <m/>
    <m/>
    <m/>
    <m/>
    <m/>
    <m/>
    <m/>
    <m/>
    <m/>
    <m/>
    <m/>
    <m/>
    <m/>
    <m/>
    <m/>
    <m/>
    <m/>
    <m/>
    <m/>
    <m/>
    <n v="0"/>
    <n v="0"/>
    <n v="0"/>
    <n v="51259.76"/>
    <n v="35.46"/>
    <n v="35.46"/>
    <m/>
    <m/>
    <m/>
    <m/>
    <n v="39.549999999999997"/>
    <n v="20274.52"/>
    <n v="14.03"/>
    <n v="14.03"/>
    <n v="30985.24"/>
    <n v="21.43"/>
    <n v="21.43"/>
    <m/>
    <m/>
    <s v="AR00223485 - SMB_ARG_BancoProvinciaCord_Enero24"/>
    <m/>
    <n v="47720819"/>
    <n v="47720819"/>
    <s v="REACH"/>
    <s v="N"/>
    <m/>
    <s v="Y"/>
  </r>
  <r>
    <s v="IMM INTERNET MEDIA MEXICO S DE RL DE CV"/>
    <n v="3050535"/>
    <n v="41651"/>
    <s v="Betfunok"/>
    <x v="92"/>
    <x v="53"/>
    <d v="2026-02-01T00:00:00"/>
    <x v="179"/>
    <s v="Betfunok Estándar 2026-02-03"/>
    <x v="0"/>
    <x v="0"/>
    <n v="0"/>
    <n v="0"/>
    <s v="BI MEDIA S.R.L."/>
    <s v="BI MEDIA S.R.L."/>
    <s v="Hipódromo Argentino de Palermo S.A"/>
    <n v="148610446"/>
    <n v="801900"/>
    <d v="2026-02-03T00:00:00"/>
    <d v="2026-02-03T00:00:00"/>
    <s v="DSO"/>
    <s v="120 NET"/>
    <s v="AR"/>
    <s v="MX"/>
    <s v="X Corp."/>
    <n v="10573720"/>
    <d v="2026-02-28T00:00:00"/>
    <x v="0"/>
    <n v="801900"/>
    <s v="USD"/>
    <n v="554.79999999999995"/>
    <n v="554.79999999999995"/>
    <m/>
    <m/>
    <m/>
    <m/>
    <m/>
    <m/>
    <m/>
    <m/>
    <m/>
    <m/>
    <m/>
    <m/>
    <m/>
    <m/>
    <m/>
    <m/>
    <m/>
    <m/>
    <m/>
    <m/>
    <m/>
    <m/>
    <m/>
    <m/>
    <n v="0"/>
    <n v="0"/>
    <n v="0"/>
    <n v="801900"/>
    <n v="554.79999999999995"/>
    <n v="554.79999999999995"/>
    <m/>
    <m/>
    <m/>
    <m/>
    <n v="39.549999999999997"/>
    <n v="317171.5"/>
    <n v="219.44"/>
    <n v="219.44"/>
    <n v="484728.5"/>
    <n v="335.36"/>
    <n v="335.36"/>
    <m/>
    <s v="Standard + Spotlight"/>
    <s v="AR00380261-X-Betfun-Takeover-Q1 26"/>
    <m/>
    <n v="192377147"/>
    <n v="192377147"/>
    <s v="UNKNOWN_OBJECTIVE"/>
    <s v="N"/>
    <m/>
    <s v="Y"/>
  </r>
  <r>
    <s v="IMM INTERNET MEDIA MEXICO S DE RL DE CV"/>
    <n v="3050535"/>
    <n v="41651"/>
    <s v="McDonalds_Ar"/>
    <x v="68"/>
    <x v="61"/>
    <d v="2026-02-01T00:00:00"/>
    <x v="180"/>
    <s v="starcom_argentina_awareness_twitter_social_reach_1312025_CF-LITTLEMC_4485990020000"/>
    <x v="1"/>
    <x v="0"/>
    <n v="0"/>
    <n v="0"/>
    <s v="MMS Comunicaciones Argentina S.A."/>
    <s v="MMS Comunicaciones Argentina S.A."/>
    <s v="Arcos Dorados Argentina"/>
    <n v="100986"/>
    <n v="5500000"/>
    <d v="2026-01-13T00:00:00"/>
    <d v="2026-02-23T00:00:00"/>
    <s v="DSO"/>
    <s v="120 NET"/>
    <s v="AR"/>
    <s v="MX"/>
    <s v="X Corp."/>
    <n v="10573648"/>
    <d v="2026-02-28T00:00:00"/>
    <x v="0"/>
    <n v="4387094.46"/>
    <s v="USD"/>
    <n v="3035.22"/>
    <n v="3035.22"/>
    <m/>
    <m/>
    <m/>
    <m/>
    <m/>
    <m/>
    <m/>
    <m/>
    <m/>
    <m/>
    <m/>
    <m/>
    <m/>
    <m/>
    <m/>
    <m/>
    <m/>
    <m/>
    <m/>
    <m/>
    <m/>
    <m/>
    <m/>
    <m/>
    <n v="0"/>
    <n v="0"/>
    <n v="0"/>
    <n v="4387094.46"/>
    <n v="3035.22"/>
    <n v="3035.22"/>
    <m/>
    <m/>
    <m/>
    <m/>
    <n v="39.549999999999997"/>
    <n v="1735205.54"/>
    <n v="1200.5"/>
    <n v="1200.5"/>
    <n v="2651888.92"/>
    <n v="1834.72"/>
    <n v="1834.72"/>
    <m/>
    <m/>
    <s v="AR00397993 | X | MCD ARG | CF-LITTLE MC - Ene/Feb 2026"/>
    <m/>
    <n v="224581"/>
    <n v="224581"/>
    <s v="REACH"/>
    <s v="N"/>
    <m/>
    <s v="Y"/>
  </r>
  <r>
    <s v="IMM INTERNET MEDIA MEXICO S DE RL DE CV"/>
    <n v="3050535"/>
    <n v="41651"/>
    <s v="YPFServiclub"/>
    <x v="47"/>
    <x v="45"/>
    <d v="2026-02-01T00:00:00"/>
    <x v="99"/>
    <s v="ypf_combustibles-tw-alcance-season-verano2026_intereses-2025-dic"/>
    <x v="1"/>
    <x v="0"/>
    <n v="0"/>
    <n v="0"/>
    <s v="Carat Argentina S.A."/>
    <s v="Carat Argentina S.A."/>
    <s v="YPF - Argentina"/>
    <n v="292623"/>
    <n v="6763550"/>
    <d v="2025-12-26T00:00:00"/>
    <d v="2026-02-28T00:00:00"/>
    <s v="RES"/>
    <s v="120 NET"/>
    <s v="AR"/>
    <s v="MX"/>
    <s v="X Corp."/>
    <n v="10573736"/>
    <d v="2026-02-28T00:00:00"/>
    <x v="0"/>
    <n v="371537.96"/>
    <s v="USD"/>
    <n v="257.05"/>
    <n v="257.05"/>
    <m/>
    <m/>
    <m/>
    <m/>
    <m/>
    <m/>
    <m/>
    <m/>
    <m/>
    <m/>
    <m/>
    <m/>
    <m/>
    <m/>
    <m/>
    <m/>
    <m/>
    <m/>
    <m/>
    <m/>
    <m/>
    <m/>
    <m/>
    <m/>
    <n v="0"/>
    <n v="0"/>
    <n v="0"/>
    <n v="371537.96"/>
    <n v="257.05"/>
    <n v="257.05"/>
    <m/>
    <m/>
    <m/>
    <m/>
    <n v="39.549999999999997"/>
    <n v="146952.54999999999"/>
    <n v="101.67"/>
    <n v="101.67"/>
    <n v="224585.41"/>
    <n v="155.38"/>
    <n v="155.38"/>
    <m/>
    <m/>
    <s v="AR00396284-X-YPF-COMBUSTIBLES-VERANO-Dic/Ene 26"/>
    <m/>
    <n v="224529"/>
    <n v="224529"/>
    <s v="REACH"/>
    <s v="N"/>
    <m/>
    <s v="Y"/>
  </r>
  <r>
    <s v="IMM INTERNET MEDIA MEXICO S DE RL DE CV"/>
    <n v="3050535"/>
    <n v="41651"/>
    <s v="McDonalds_Ar"/>
    <x v="93"/>
    <x v="79"/>
    <d v="2026-02-01T00:00:00"/>
    <x v="181"/>
    <s v="starcom_argentina_awareness_twitter_social_reach_11022026_CLUB HOUSE_4496810030000"/>
    <x v="1"/>
    <x v="0"/>
    <n v="0"/>
    <n v="0"/>
    <s v="MMS Comunicaciones Argentina S.A."/>
    <s v="MMS Comunicaciones Argentina S.A."/>
    <s v="Arcos Dorados Argentina"/>
    <n v="100986"/>
    <n v="7000000"/>
    <d v="2026-02-10T00:00:00"/>
    <d v="2026-04-10T00:00:00"/>
    <s v="DSO"/>
    <s v="120 NET"/>
    <s v="AR"/>
    <s v="MX"/>
    <s v="X Corp."/>
    <n v="10573681"/>
    <d v="2026-02-28T00:00:00"/>
    <x v="0"/>
    <n v="2113734.34"/>
    <s v="USD"/>
    <n v="1462.39"/>
    <n v="1462.39"/>
    <m/>
    <m/>
    <m/>
    <m/>
    <m/>
    <m/>
    <m/>
    <m/>
    <m/>
    <m/>
    <m/>
    <m/>
    <m/>
    <m/>
    <m/>
    <m/>
    <m/>
    <m/>
    <m/>
    <m/>
    <m/>
    <m/>
    <m/>
    <m/>
    <n v="0"/>
    <n v="0"/>
    <n v="0"/>
    <n v="2113734.34"/>
    <n v="1462.39"/>
    <n v="1462.39"/>
    <m/>
    <m/>
    <m/>
    <m/>
    <n v="22"/>
    <n v="465021.56"/>
    <n v="321.73"/>
    <n v="321.73"/>
    <n v="1648712.78"/>
    <n v="1140.6600000000001"/>
    <n v="1140.6600000000001"/>
    <m/>
    <m/>
    <s v="AR00405725 | X | MCD ARG | Beef - CLUBHOUSE - Feb-Abr 2026"/>
    <m/>
    <n v="224581"/>
    <n v="224581"/>
    <s v="REACH"/>
    <s v="N"/>
    <m/>
    <s v="Y"/>
  </r>
  <r>
    <s v="IMM INTERNET MEDIA MEXICO S DE RL DE CV"/>
    <n v="3050535"/>
    <n v="41651"/>
    <s v="bancoprovincia"/>
    <x v="20"/>
    <x v="20"/>
    <d v="2026-02-01T00:00:00"/>
    <x v="182"/>
    <s v="2035_sp_2026_pc-vuelta-a-clases-24-al-26-feb_arg_alcance_cpm"/>
    <x v="1"/>
    <x v="0"/>
    <n v="0"/>
    <n v="0"/>
    <s v="SUPER MEDIA S.A"/>
    <s v="SUPER MEDIA S.A"/>
    <s v="Banco Provincia"/>
    <n v="7000116"/>
    <n v="12650000"/>
    <d v="2026-01-13T00:00:00"/>
    <d v="2026-02-28T00:00:00"/>
    <s v="RES"/>
    <s v="120 NET"/>
    <s v="AR"/>
    <s v="MX"/>
    <s v="X Corp."/>
    <n v="10573696"/>
    <d v="2026-02-28T00:00:00"/>
    <x v="0"/>
    <n v="100000"/>
    <s v="USD"/>
    <n v="69.19"/>
    <n v="69.19"/>
    <m/>
    <m/>
    <m/>
    <m/>
    <m/>
    <m/>
    <m/>
    <m/>
    <m/>
    <m/>
    <m/>
    <m/>
    <m/>
    <m/>
    <m/>
    <m/>
    <m/>
    <m/>
    <m/>
    <m/>
    <m/>
    <m/>
    <m/>
    <m/>
    <n v="0"/>
    <n v="0"/>
    <n v="0"/>
    <n v="100000"/>
    <n v="69.19"/>
    <n v="69.19"/>
    <m/>
    <m/>
    <m/>
    <m/>
    <n v="39.549999999999997"/>
    <n v="39552.5"/>
    <n v="27.36"/>
    <n v="27.36"/>
    <n v="60447.5"/>
    <n v="41.83"/>
    <n v="41.83"/>
    <m/>
    <m/>
    <s v="AR00399019 X | Bapro | ENE 26"/>
    <m/>
    <n v="63304606"/>
    <n v="63304606"/>
    <s v="REACH"/>
    <s v="N"/>
    <m/>
    <s v="Y"/>
  </r>
  <r>
    <s v="IMM INTERNET MEDIA MEXICO S DE RL DE CV"/>
    <n v="3050535"/>
    <n v="41651"/>
    <s v="bancoprovincia"/>
    <x v="20"/>
    <x v="20"/>
    <d v="2026-02-01T00:00:00"/>
    <x v="183"/>
    <s v="2035_sp_2026_pc-vuelta-a-clases-24-al-26_feb_arg_trafico_cpc"/>
    <x v="1"/>
    <x v="0"/>
    <n v="0"/>
    <n v="0"/>
    <s v="SUPER MEDIA S.A"/>
    <s v="SUPER MEDIA S.A"/>
    <s v="Banco Provincia"/>
    <n v="7000116"/>
    <n v="12650000"/>
    <d v="2026-01-13T00:00:00"/>
    <d v="2026-02-28T00:00:00"/>
    <s v="RES"/>
    <s v="120 NET"/>
    <s v="AR"/>
    <s v="MX"/>
    <s v="X Corp."/>
    <n v="10573696"/>
    <d v="2026-02-28T00:00:00"/>
    <x v="0"/>
    <n v="192683.22"/>
    <s v="USD"/>
    <n v="133.31"/>
    <n v="133.31"/>
    <m/>
    <m/>
    <m/>
    <m/>
    <m/>
    <m/>
    <m/>
    <m/>
    <m/>
    <m/>
    <m/>
    <m/>
    <m/>
    <m/>
    <m/>
    <m/>
    <m/>
    <m/>
    <m/>
    <m/>
    <m/>
    <m/>
    <m/>
    <m/>
    <n v="0"/>
    <n v="0"/>
    <n v="0"/>
    <n v="192683.22"/>
    <n v="133.31"/>
    <n v="133.31"/>
    <m/>
    <m/>
    <m/>
    <m/>
    <n v="39.549999999999997"/>
    <n v="76211.03"/>
    <n v="52.73"/>
    <n v="52.73"/>
    <n v="116472.19"/>
    <n v="80.58"/>
    <n v="80.58"/>
    <m/>
    <m/>
    <s v="AR00399019 X | Bapro | ENE 26"/>
    <m/>
    <n v="63304606"/>
    <n v="63304606"/>
    <s v="WEBSITE_CLICKS"/>
    <s v="N"/>
    <m/>
    <s v="Y"/>
  </r>
  <r>
    <s v="IMM INTERNET MEDIA MEXICO S DE RL DE CV"/>
    <n v="3050535"/>
    <n v="41651"/>
    <s v="bancoprovincia"/>
    <x v="20"/>
    <x v="20"/>
    <d v="2026-02-01T00:00:00"/>
    <x v="74"/>
    <s v="2035_sp_2026_streaming-hablemos-de-seguridad_feb_arg_trafico_cpc"/>
    <x v="1"/>
    <x v="0"/>
    <n v="0"/>
    <n v="0"/>
    <s v="SUPER MEDIA S.A"/>
    <s v="SUPER MEDIA S.A"/>
    <s v="Banco Provincia"/>
    <n v="7000116"/>
    <n v="12650000"/>
    <d v="2026-01-13T00:00:00"/>
    <d v="2026-02-28T00:00:00"/>
    <s v="RES"/>
    <s v="120 NET"/>
    <s v="AR"/>
    <s v="MX"/>
    <s v="X Corp."/>
    <n v="10573696"/>
    <d v="2026-02-28T00:00:00"/>
    <x v="0"/>
    <n v="210789.99"/>
    <s v="USD"/>
    <n v="145.84"/>
    <n v="145.84"/>
    <m/>
    <m/>
    <m/>
    <m/>
    <m/>
    <m/>
    <m/>
    <m/>
    <m/>
    <m/>
    <m/>
    <m/>
    <m/>
    <m/>
    <m/>
    <m/>
    <m/>
    <m/>
    <m/>
    <m/>
    <m/>
    <m/>
    <m/>
    <m/>
    <n v="0"/>
    <n v="0"/>
    <n v="0"/>
    <n v="210789.99"/>
    <n v="145.84"/>
    <n v="145.84"/>
    <m/>
    <m/>
    <m/>
    <m/>
    <n v="39.549999999999997"/>
    <n v="83372.710000000006"/>
    <n v="57.68"/>
    <n v="57.68"/>
    <n v="127417.28"/>
    <n v="88.16"/>
    <n v="88.16"/>
    <m/>
    <m/>
    <s v="AR00399019 X | Bapro | ENE 26"/>
    <m/>
    <n v="63304606"/>
    <n v="63304606"/>
    <s v="WEBSITE_CLICKS"/>
    <s v="N"/>
    <m/>
    <s v="Y"/>
  </r>
  <r>
    <s v="IMM INTERNET MEDIA MEXICO S DE RL DE CV"/>
    <n v="3050535"/>
    <n v="41651"/>
    <s v="lemonapp_ar"/>
    <x v="94"/>
    <x v="80"/>
    <d v="2026-02-01T00:00:00"/>
    <x v="184"/>
    <s v="BULL_LEMON_AR_INTERACCION_TW_ALL_BROAD_AO_NEW"/>
    <x v="1"/>
    <x v="0"/>
    <n v="0"/>
    <n v="0"/>
    <m/>
    <m/>
    <s v="Findi SA"/>
    <n v="105408595"/>
    <n v="104633404"/>
    <d v="2023-08-22T00:00:00"/>
    <d v="2026-02-28T00:00:00"/>
    <s v="RES"/>
    <s v="120 NET"/>
    <s v="AR"/>
    <s v="MX"/>
    <s v="X Corp."/>
    <n v="10573708"/>
    <d v="2026-02-28T00:00:00"/>
    <x v="0"/>
    <n v="911867.62"/>
    <s v="USD"/>
    <n v="630.88"/>
    <n v="630.88"/>
    <m/>
    <m/>
    <m/>
    <m/>
    <m/>
    <m/>
    <m/>
    <m/>
    <m/>
    <m/>
    <m/>
    <m/>
    <m/>
    <m/>
    <m/>
    <m/>
    <m/>
    <m/>
    <m/>
    <m/>
    <m/>
    <m/>
    <m/>
    <m/>
    <n v="0"/>
    <n v="0"/>
    <n v="0"/>
    <n v="911867.62"/>
    <n v="630.88"/>
    <n v="630.88"/>
    <m/>
    <m/>
    <m/>
    <m/>
    <n v="39.549999999999997"/>
    <n v="360666.44"/>
    <n v="249.53"/>
    <n v="249.53"/>
    <n v="551201.18000000005"/>
    <n v="381.35"/>
    <n v="381.35"/>
    <m/>
    <m/>
    <s v="CUC-00128065 - TW | Perfomance - Lemon Q3 23"/>
    <m/>
    <m/>
    <m/>
    <s v="BRAND_ENGAGEMENTS"/>
    <s v="N"/>
    <m/>
    <s v="Y"/>
  </r>
  <r>
    <s v="IMM INTERNET MEDIA MEXICO S DE RL DE CV"/>
    <n v="3050535"/>
    <n v="41651"/>
    <s v="Heineken__Ar"/>
    <x v="69"/>
    <x v="62"/>
    <d v="2026-02-01T00:00:00"/>
    <x v="185"/>
    <s v="ccu_heineken_credenciales 2026_reach_suspect_febrero_2026_twitter_op-_"/>
    <x v="1"/>
    <x v="0"/>
    <n v="0"/>
    <n v="0"/>
    <s v="Havas Media Argentina S.A."/>
    <s v="Havas Media Argentina S.A."/>
    <s v="CCU Argentina"/>
    <n v="2801591"/>
    <n v="4000000"/>
    <d v="2026-02-02T00:00:00"/>
    <d v="2026-02-28T00:00:00"/>
    <s v="RES"/>
    <s v="120 NET"/>
    <s v="AR"/>
    <s v="MX"/>
    <s v="X Corp."/>
    <n v="10573623"/>
    <d v="2026-02-28T00:00:00"/>
    <x v="0"/>
    <n v="4002572.21"/>
    <s v="USD"/>
    <n v="2769.19"/>
    <n v="2769.19"/>
    <m/>
    <m/>
    <m/>
    <m/>
    <m/>
    <m/>
    <m/>
    <m/>
    <m/>
    <m/>
    <m/>
    <m/>
    <m/>
    <m/>
    <m/>
    <m/>
    <m/>
    <m/>
    <m/>
    <m/>
    <m/>
    <m/>
    <m/>
    <m/>
    <n v="0"/>
    <n v="0"/>
    <n v="0"/>
    <n v="4002572.21"/>
    <n v="2769.19"/>
    <n v="2769.19"/>
    <m/>
    <m/>
    <m/>
    <m/>
    <n v="39.549999999999997"/>
    <n v="1583117.37"/>
    <n v="1095.28"/>
    <n v="1095.28"/>
    <n v="2419454.84"/>
    <n v="1673.91"/>
    <n v="1673.91"/>
    <m/>
    <m/>
    <s v="AR00403821-CCU-Heineken CREDENCIALES-Feb 26"/>
    <m/>
    <n v="14030950"/>
    <n v="14030950"/>
    <s v="REACH"/>
    <s v="N"/>
    <m/>
    <s v="Y"/>
  </r>
  <r>
    <s v="IMM INTERNET MEDIA MEXICO S DE RL DE CV"/>
    <n v="3050535"/>
    <n v="41651"/>
    <s v="Cinemark_ar"/>
    <x v="48"/>
    <x v="46"/>
    <d v="2026-02-01T00:00:00"/>
    <x v="76"/>
    <s v="bull_cnmk_all_trafico_X_all_broad_gene_ticket_ao"/>
    <x v="1"/>
    <x v="0"/>
    <n v="0"/>
    <n v="0"/>
    <s v="Bullmetrix SRL"/>
    <s v="Bullmetrix SRL"/>
    <s v="CINEMARK ARGENTINA SRL"/>
    <n v="207572191"/>
    <n v="12688415"/>
    <d v="2025-11-10T00:00:00"/>
    <d v="2026-02-28T00:00:00"/>
    <s v="RES"/>
    <s v="120 NET"/>
    <s v="AR"/>
    <s v="MX"/>
    <s v="X Corp."/>
    <n v="10573662"/>
    <d v="2026-02-28T00:00:00"/>
    <x v="0"/>
    <n v="1067204.77"/>
    <s v="USD"/>
    <n v="738.35"/>
    <n v="738.35"/>
    <m/>
    <m/>
    <m/>
    <m/>
    <m/>
    <m/>
    <m/>
    <m/>
    <m/>
    <m/>
    <m/>
    <m/>
    <m/>
    <m/>
    <m/>
    <m/>
    <m/>
    <m/>
    <m/>
    <m/>
    <m/>
    <m/>
    <m/>
    <m/>
    <n v="0"/>
    <n v="0"/>
    <n v="0"/>
    <n v="1067204.77"/>
    <n v="738.35"/>
    <n v="738.35"/>
    <m/>
    <m/>
    <m/>
    <m/>
    <n v="39.549999999999997"/>
    <n v="422106.17"/>
    <n v="292.02999999999997"/>
    <n v="292.02999999999997"/>
    <n v="645098.6"/>
    <n v="446.32"/>
    <n v="446.32"/>
    <m/>
    <m/>
    <s v="AR00386903 _X - Arg - Cinemark - Q42025"/>
    <m/>
    <n v="136433571"/>
    <n v="136433571"/>
    <s v="WEBSITE_CLICKS"/>
    <s v="N"/>
    <m/>
    <s v="Y"/>
  </r>
  <r>
    <s v="IMM INTERNET MEDIA MEXICO S DE RL DE CV"/>
    <n v="3050535"/>
    <n v="41651"/>
    <s v="CervezaBrahma"/>
    <x v="21"/>
    <x v="21"/>
    <d v="2026-02-01T00:00:00"/>
    <x v="186"/>
    <s v="ARG_BRD_BRA_SEDDEBRAHMA_CARNAVAL_NON_RCH_BEY_2026_CORRIENTES"/>
    <x v="1"/>
    <x v="0"/>
    <n v="0"/>
    <n v="0"/>
    <s v="Digital Hive Group S.A"/>
    <s v="Digital Hive Group S.A"/>
    <s v="Cervecería y Maltería Quilmes"/>
    <n v="292695"/>
    <n v="8576000"/>
    <d v="2026-01-01T00:00:00"/>
    <d v="2026-02-28T00:00:00"/>
    <s v="RES"/>
    <s v="120 NET"/>
    <s v="AR"/>
    <s v="MX"/>
    <s v="X Corp."/>
    <n v="10573693"/>
    <d v="2026-02-28T00:00:00"/>
    <x v="0"/>
    <n v="301607.77"/>
    <s v="USD"/>
    <n v="208.67"/>
    <n v="208.67"/>
    <m/>
    <m/>
    <m/>
    <m/>
    <m/>
    <m/>
    <m/>
    <m/>
    <m/>
    <m/>
    <m/>
    <m/>
    <m/>
    <m/>
    <m/>
    <m/>
    <m/>
    <m/>
    <m/>
    <m/>
    <m/>
    <m/>
    <m/>
    <m/>
    <n v="0"/>
    <n v="0"/>
    <n v="0"/>
    <n v="301607.77"/>
    <n v="208.67"/>
    <n v="208.67"/>
    <m/>
    <m/>
    <m/>
    <m/>
    <n v="39.549999999999997"/>
    <n v="119293.41"/>
    <n v="82.53"/>
    <n v="82.53"/>
    <n v="182314.36"/>
    <n v="126.14"/>
    <n v="126.14"/>
    <m/>
    <m/>
    <s v="AR00396558-X-ABI ARG-SED DE BRAHMA CARNAVAL-Ene-26"/>
    <m/>
    <n v="66013147"/>
    <n v="66013147"/>
    <s v="REACH"/>
    <s v="N"/>
    <m/>
    <s v="Y"/>
  </r>
  <r>
    <s v="IMM INTERNET MEDIA MEXICO S DE RL DE CV"/>
    <n v="3050535"/>
    <n v="41651"/>
    <s v="HipodromoArgPal"/>
    <x v="49"/>
    <x v="47"/>
    <d v="2026-02-01T00:00:00"/>
    <x v="78"/>
    <s v="Sala_Branding_Alcance_AO_2026"/>
    <x v="1"/>
    <x v="0"/>
    <n v="0"/>
    <n v="0"/>
    <s v="BI MEDIA S.R.L."/>
    <s v="BI MEDIA S.R.L."/>
    <s v="Hipódromo Argentino de Palermo S.A"/>
    <n v="148610446"/>
    <n v="15550000"/>
    <d v="2026-01-05T00:00:00"/>
    <d v="2026-02-28T00:00:00"/>
    <s v="DSO"/>
    <s v="120 NET"/>
    <s v="AR"/>
    <s v="MX"/>
    <s v="X Corp."/>
    <n v="10573704"/>
    <d v="2026-02-28T00:00:00"/>
    <x v="0"/>
    <n v="2583098.65"/>
    <s v="USD"/>
    <n v="1787.12"/>
    <n v="1787.12"/>
    <m/>
    <m/>
    <m/>
    <m/>
    <m/>
    <m/>
    <m/>
    <m/>
    <m/>
    <m/>
    <m/>
    <m/>
    <m/>
    <m/>
    <m/>
    <m/>
    <m/>
    <m/>
    <m/>
    <m/>
    <m/>
    <m/>
    <m/>
    <m/>
    <n v="0"/>
    <n v="0"/>
    <n v="0"/>
    <n v="2583098.65"/>
    <n v="1787.12"/>
    <n v="1787.12"/>
    <m/>
    <m/>
    <m/>
    <m/>
    <n v="39.549999999999997"/>
    <n v="1021680.1"/>
    <n v="706.85"/>
    <n v="706.85"/>
    <n v="1561418.55"/>
    <n v="1080.27"/>
    <n v="1080.27"/>
    <m/>
    <m/>
    <s v="AR00397257-X-Hipódromo de Palermo-Sala-AON 26"/>
    <m/>
    <n v="192377147"/>
    <n v="192377147"/>
    <s v="REACH"/>
    <s v="N"/>
    <m/>
    <s v="Y"/>
  </r>
  <r>
    <s v="IMM INTERNET MEDIA MEXICO S DE RL DE CV"/>
    <n v="3050535"/>
    <n v="41651"/>
    <s v="MODO_Arg"/>
    <x v="95"/>
    <x v="81"/>
    <d v="2026-02-01T00:00:00"/>
    <x v="187"/>
    <s v="2025_MODO_BRANDING_PROMO_PROMO-DIAV2_TOTAL-PAIS_TWITTER_NU_AW_JUN-JUL"/>
    <x v="1"/>
    <x v="0"/>
    <n v="0"/>
    <n v="0"/>
    <s v="OSA ONE STEP AHEAD S.A"/>
    <s v="OSA ONE STEP AHEAD S.A"/>
    <s v="Play Digital S.A."/>
    <n v="57936819"/>
    <n v="15920154.99"/>
    <d v="2025-06-13T00:00:00"/>
    <d v="2026-02-28T00:00:00"/>
    <s v="DSO"/>
    <s v="120 NET"/>
    <s v="AR"/>
    <s v="MX"/>
    <s v="X Corp."/>
    <n v="10573714"/>
    <d v="2026-02-28T00:00:00"/>
    <x v="0"/>
    <n v="2007664.48"/>
    <s v="USD"/>
    <n v="1389.01"/>
    <n v="1389.01"/>
    <m/>
    <m/>
    <m/>
    <m/>
    <m/>
    <m/>
    <m/>
    <m/>
    <m/>
    <m/>
    <m/>
    <m/>
    <m/>
    <m/>
    <m/>
    <m/>
    <m/>
    <m/>
    <m/>
    <m/>
    <m/>
    <m/>
    <m/>
    <m/>
    <n v="0"/>
    <n v="0"/>
    <n v="0"/>
    <n v="2007664.48"/>
    <n v="1389.01"/>
    <n v="1389.01"/>
    <m/>
    <m/>
    <m/>
    <m/>
    <n v="39.549999999999997"/>
    <n v="794081.49"/>
    <n v="549.39"/>
    <n v="549.39"/>
    <n v="1213582.99"/>
    <n v="839.62"/>
    <n v="839.62"/>
    <m/>
    <m/>
    <s v="AR00348122 TW - MODO - Promo Día"/>
    <m/>
    <n v="224573"/>
    <n v="224573"/>
    <s v="REACH"/>
    <s v="N"/>
    <m/>
    <s v="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505545-34D5-45CF-BB5B-42CFE6A6E910}" name="PivotTable6" cacheId="445" applyNumberFormats="0" applyBorderFormats="0" applyFontFormats="0" applyPatternFormats="0" applyAlignmentFormats="0" applyWidthHeightFormats="1" dataCaption="Values" updatedVersion="8" minRefreshableVersion="3" useAutoFormatting="1" itemPrintTitles="1" createdVersion="5" indent="0" compact="0" compactData="0" gridDropZones="1" multipleFieldFilters="0" fieldListSortAscending="1">
  <location ref="A3:G199" firstHeaderRow="1" firstDataRow="2" firstDataCol="4" rowPageCount="1" colPageCount="1"/>
  <pivotFields count="83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230">
        <item m="1" x="111"/>
        <item x="16"/>
        <item m="1" x="166"/>
        <item m="1" x="126"/>
        <item x="41"/>
        <item m="1" x="158"/>
        <item x="79"/>
        <item x="24"/>
        <item m="1" x="101"/>
        <item x="59"/>
        <item m="1" x="144"/>
        <item x="12"/>
        <item m="1" x="156"/>
        <item x="38"/>
        <item x="95"/>
        <item m="1" x="165"/>
        <item x="55"/>
        <item m="1" x="163"/>
        <item m="1" x="115"/>
        <item x="48"/>
        <item m="1" x="105"/>
        <item x="50"/>
        <item x="18"/>
        <item m="1" x="120"/>
        <item x="47"/>
        <item m="1" x="125"/>
        <item x="36"/>
        <item m="1" x="208"/>
        <item m="1" x="131"/>
        <item m="1" x="108"/>
        <item m="1" x="112"/>
        <item x="23"/>
        <item x="21"/>
        <item x="6"/>
        <item x="2"/>
        <item x="86"/>
        <item m="1" x="209"/>
        <item m="1" x="130"/>
        <item m="1" x="171"/>
        <item m="1" x="106"/>
        <item x="20"/>
        <item m="1" x="143"/>
        <item x="3"/>
        <item x="49"/>
        <item x="33"/>
        <item m="1" x="173"/>
        <item m="1" x="96"/>
        <item m="1" x="98"/>
        <item m="1" x="195"/>
        <item m="1" x="164"/>
        <item x="73"/>
        <item x="7"/>
        <item x="58"/>
        <item m="1" x="107"/>
        <item m="1" x="102"/>
        <item m="1" x="189"/>
        <item m="1" x="123"/>
        <item x="90"/>
        <item m="1" x="129"/>
        <item m="1" x="139"/>
        <item m="1" x="218"/>
        <item m="1" x="178"/>
        <item m="1" x="177"/>
        <item x="52"/>
        <item m="1" x="229"/>
        <item x="28"/>
        <item x="72"/>
        <item x="31"/>
        <item m="1" x="147"/>
        <item m="1" x="181"/>
        <item m="1" x="175"/>
        <item x="13"/>
        <item x="89"/>
        <item m="1" x="117"/>
        <item m="1" x="220"/>
        <item x="26"/>
        <item x="11"/>
        <item x="46"/>
        <item m="1" x="167"/>
        <item x="60"/>
        <item m="1" x="228"/>
        <item m="1" x="215"/>
        <item m="1" x="141"/>
        <item m="1" x="207"/>
        <item m="1" x="121"/>
        <item m="1" x="118"/>
        <item m="1" x="103"/>
        <item m="1" x="154"/>
        <item x="68"/>
        <item m="1" x="205"/>
        <item m="1" x="211"/>
        <item m="1" x="192"/>
        <item x="32"/>
        <item m="1" x="97"/>
        <item m="1" x="99"/>
        <item m="1" x="100"/>
        <item m="1" x="104"/>
        <item x="0"/>
        <item x="1"/>
        <item x="4"/>
        <item x="5"/>
        <item x="8"/>
        <item x="9"/>
        <item x="10"/>
        <item m="1" x="109"/>
        <item m="1" x="110"/>
        <item m="1" x="113"/>
        <item m="1" x="114"/>
        <item m="1" x="116"/>
        <item m="1" x="119"/>
        <item m="1" x="122"/>
        <item x="14"/>
        <item x="15"/>
        <item m="1" x="124"/>
        <item x="17"/>
        <item x="19"/>
        <item m="1" x="127"/>
        <item m="1" x="128"/>
        <item x="22"/>
        <item m="1" x="132"/>
        <item m="1" x="133"/>
        <item m="1" x="134"/>
        <item m="1" x="135"/>
        <item m="1" x="136"/>
        <item m="1" x="137"/>
        <item x="25"/>
        <item x="27"/>
        <item m="1" x="138"/>
        <item x="29"/>
        <item x="30"/>
        <item m="1" x="140"/>
        <item m="1" x="142"/>
        <item x="34"/>
        <item x="35"/>
        <item m="1" x="145"/>
        <item m="1" x="146"/>
        <item m="1" x="148"/>
        <item m="1" x="149"/>
        <item x="37"/>
        <item m="1" x="150"/>
        <item m="1" x="151"/>
        <item m="1" x="152"/>
        <item x="39"/>
        <item x="40"/>
        <item m="1" x="153"/>
        <item m="1" x="155"/>
        <item m="1" x="157"/>
        <item m="1" x="159"/>
        <item m="1" x="160"/>
        <item m="1" x="161"/>
        <item m="1" x="162"/>
        <item x="42"/>
        <item x="43"/>
        <item x="44"/>
        <item x="45"/>
        <item m="1" x="168"/>
        <item m="1" x="169"/>
        <item m="1" x="170"/>
        <item m="1" x="172"/>
        <item m="1" x="174"/>
        <item x="51"/>
        <item m="1" x="176"/>
        <item x="53"/>
        <item m="1" x="179"/>
        <item m="1" x="180"/>
        <item x="54"/>
        <item x="56"/>
        <item m="1" x="182"/>
        <item m="1" x="183"/>
        <item x="57"/>
        <item m="1" x="184"/>
        <item m="1" x="185"/>
        <item m="1" x="186"/>
        <item x="61"/>
        <item m="1" x="187"/>
        <item x="62"/>
        <item x="63"/>
        <item x="64"/>
        <item m="1" x="188"/>
        <item x="65"/>
        <item x="66"/>
        <item x="67"/>
        <item x="69"/>
        <item x="70"/>
        <item m="1" x="190"/>
        <item x="71"/>
        <item m="1" x="191"/>
        <item m="1" x="193"/>
        <item m="1" x="194"/>
        <item m="1" x="196"/>
        <item m="1" x="197"/>
        <item x="74"/>
        <item m="1" x="198"/>
        <item x="75"/>
        <item x="76"/>
        <item m="1" x="199"/>
        <item x="77"/>
        <item x="78"/>
        <item m="1" x="200"/>
        <item m="1" x="201"/>
        <item m="1" x="202"/>
        <item m="1" x="203"/>
        <item m="1" x="204"/>
        <item m="1" x="206"/>
        <item x="80"/>
        <item x="81"/>
        <item m="1" x="210"/>
        <item x="82"/>
        <item x="83"/>
        <item m="1" x="212"/>
        <item m="1" x="213"/>
        <item m="1" x="214"/>
        <item x="84"/>
        <item m="1" x="216"/>
        <item m="1" x="217"/>
        <item m="1" x="219"/>
        <item x="85"/>
        <item m="1" x="221"/>
        <item x="87"/>
        <item m="1" x="222"/>
        <item m="1" x="223"/>
        <item x="88"/>
        <item m="1" x="224"/>
        <item m="1" x="225"/>
        <item x="91"/>
        <item x="92"/>
        <item x="93"/>
        <item x="94"/>
        <item m="1" x="226"/>
        <item m="1" x="227"/>
      </items>
    </pivotField>
    <pivotField axis="axisRow" compact="0" outline="0" showAll="0" defaultSubtotal="0">
      <items count="193">
        <item m="1" x="96"/>
        <item x="16"/>
        <item m="1" x="146"/>
        <item m="1" x="109"/>
        <item x="40"/>
        <item m="1" x="139"/>
        <item x="69"/>
        <item x="24"/>
        <item m="1" x="87"/>
        <item x="55"/>
        <item m="1" x="126"/>
        <item x="12"/>
        <item m="1" x="137"/>
        <item x="38"/>
        <item x="81"/>
        <item m="1" x="145"/>
        <item x="52"/>
        <item m="1" x="144"/>
        <item m="1" x="100"/>
        <item x="46"/>
        <item m="1" x="91"/>
        <item x="48"/>
        <item x="18"/>
        <item m="1" x="104"/>
        <item x="45"/>
        <item m="1" x="108"/>
        <item x="36"/>
        <item m="1" x="179"/>
        <item m="1" x="114"/>
        <item m="1" x="94"/>
        <item m="1" x="97"/>
        <item x="23"/>
        <item x="21"/>
        <item x="6"/>
        <item x="2"/>
        <item x="75"/>
        <item m="1" x="180"/>
        <item m="1" x="113"/>
        <item m="1" x="150"/>
        <item m="1" x="92"/>
        <item x="20"/>
        <item m="1" x="125"/>
        <item x="3"/>
        <item x="53"/>
        <item x="47"/>
        <item x="33"/>
        <item m="1" x="152"/>
        <item m="1" x="82"/>
        <item m="1" x="84"/>
        <item x="65"/>
        <item x="7"/>
        <item x="54"/>
        <item m="1" x="93"/>
        <item m="1" x="88"/>
        <item m="1" x="165"/>
        <item m="1" x="106"/>
        <item x="78"/>
        <item m="1" x="112"/>
        <item x="0"/>
        <item m="1" x="121"/>
        <item m="1" x="156"/>
        <item m="1" x="155"/>
        <item x="49"/>
        <item m="1" x="138"/>
        <item x="28"/>
        <item x="64"/>
        <item x="31"/>
        <item m="1" x="128"/>
        <item m="1" x="154"/>
        <item x="13"/>
        <item x="77"/>
        <item m="1" x="102"/>
        <item m="1" x="187"/>
        <item x="26"/>
        <item x="11"/>
        <item x="44"/>
        <item x="56"/>
        <item m="1" x="192"/>
        <item m="1" x="184"/>
        <item m="1" x="123"/>
        <item m="1" x="178"/>
        <item m="1" x="89"/>
        <item m="1" x="135"/>
        <item x="61"/>
        <item m="1" x="167"/>
        <item x="32"/>
        <item m="1" x="83"/>
        <item m="1" x="85"/>
        <item m="1" x="86"/>
        <item m="1" x="90"/>
        <item x="1"/>
        <item x="4"/>
        <item x="5"/>
        <item x="8"/>
        <item x="9"/>
        <item x="10"/>
        <item m="1" x="95"/>
        <item m="1" x="98"/>
        <item m="1" x="99"/>
        <item m="1" x="101"/>
        <item m="1" x="103"/>
        <item m="1" x="105"/>
        <item x="14"/>
        <item x="15"/>
        <item m="1" x="107"/>
        <item x="17"/>
        <item x="19"/>
        <item m="1" x="110"/>
        <item m="1" x="111"/>
        <item x="22"/>
        <item m="1" x="115"/>
        <item m="1" x="116"/>
        <item m="1" x="117"/>
        <item m="1" x="118"/>
        <item m="1" x="119"/>
        <item x="25"/>
        <item x="27"/>
        <item m="1" x="120"/>
        <item x="29"/>
        <item x="30"/>
        <item m="1" x="122"/>
        <item m="1" x="124"/>
        <item x="34"/>
        <item x="35"/>
        <item m="1" x="127"/>
        <item m="1" x="129"/>
        <item m="1" x="130"/>
        <item x="37"/>
        <item m="1" x="131"/>
        <item m="1" x="132"/>
        <item m="1" x="133"/>
        <item x="39"/>
        <item m="1" x="134"/>
        <item m="1" x="136"/>
        <item m="1" x="140"/>
        <item m="1" x="141"/>
        <item m="1" x="142"/>
        <item m="1" x="143"/>
        <item x="41"/>
        <item x="42"/>
        <item x="43"/>
        <item m="1" x="147"/>
        <item m="1" x="148"/>
        <item m="1" x="149"/>
        <item m="1" x="151"/>
        <item m="1" x="153"/>
        <item x="50"/>
        <item m="1" x="157"/>
        <item m="1" x="158"/>
        <item x="51"/>
        <item m="1" x="159"/>
        <item m="1" x="160"/>
        <item m="1" x="161"/>
        <item m="1" x="162"/>
        <item x="57"/>
        <item m="1" x="163"/>
        <item x="58"/>
        <item x="59"/>
        <item m="1" x="164"/>
        <item x="60"/>
        <item x="62"/>
        <item m="1" x="166"/>
        <item x="63"/>
        <item m="1" x="168"/>
        <item m="1" x="169"/>
        <item m="1" x="170"/>
        <item m="1" x="171"/>
        <item x="66"/>
        <item x="67"/>
        <item x="68"/>
        <item m="1" x="172"/>
        <item m="1" x="173"/>
        <item m="1" x="174"/>
        <item m="1" x="175"/>
        <item m="1" x="176"/>
        <item m="1" x="177"/>
        <item x="70"/>
        <item x="71"/>
        <item x="72"/>
        <item x="73"/>
        <item m="1" x="181"/>
        <item m="1" x="182"/>
        <item m="1" x="183"/>
        <item x="74"/>
        <item m="1" x="185"/>
        <item m="1" x="186"/>
        <item m="1" x="188"/>
        <item x="76"/>
        <item m="1" x="189"/>
        <item m="1" x="190"/>
        <item x="79"/>
        <item x="80"/>
        <item m="1" x="19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7" outline="0" showAll="0"/>
    <pivotField axis="axisRow" compact="0" outline="0" showAll="0" sortType="descending" defaultSubtotal="0">
      <items count="456">
        <item x="54"/>
        <item m="1" x="429"/>
        <item m="1" x="402"/>
        <item m="1" x="446"/>
        <item m="1" x="250"/>
        <item m="1" x="340"/>
        <item x="59"/>
        <item m="1" x="249"/>
        <item m="1" x="322"/>
        <item m="1" x="399"/>
        <item m="1" x="233"/>
        <item m="1" x="273"/>
        <item m="1" x="274"/>
        <item m="1" x="313"/>
        <item m="1" x="239"/>
        <item x="134"/>
        <item m="1" x="350"/>
        <item m="1" x="211"/>
        <item m="1" x="304"/>
        <item m="1" x="403"/>
        <item m="1" x="216"/>
        <item m="1" x="364"/>
        <item x="165"/>
        <item m="1" x="251"/>
        <item m="1" x="287"/>
        <item m="1" x="334"/>
        <item x="114"/>
        <item x="96"/>
        <item m="1" x="380"/>
        <item m="1" x="424"/>
        <item m="1" x="367"/>
        <item m="1" x="236"/>
        <item x="142"/>
        <item x="129"/>
        <item m="1" x="378"/>
        <item m="1" x="327"/>
        <item m="1" x="452"/>
        <item m="1" x="421"/>
        <item m="1" x="418"/>
        <item x="151"/>
        <item x="141"/>
        <item x="140"/>
        <item m="1" x="223"/>
        <item m="1" x="447"/>
        <item x="160"/>
        <item x="50"/>
        <item x="183"/>
        <item x="182"/>
        <item m="1" x="226"/>
        <item m="1" x="412"/>
        <item x="119"/>
        <item m="1" x="305"/>
        <item m="1" x="343"/>
        <item m="1" x="299"/>
        <item m="1" x="371"/>
        <item m="1" x="290"/>
        <item m="1" x="194"/>
        <item m="1" x="253"/>
        <item m="1" x="297"/>
        <item m="1" x="218"/>
        <item m="1" x="374"/>
        <item m="1" x="289"/>
        <item m="1" x="436"/>
        <item m="1" x="269"/>
        <item x="86"/>
        <item x="170"/>
        <item m="1" x="276"/>
        <item m="1" x="357"/>
        <item m="1" x="363"/>
        <item m="1" x="353"/>
        <item m="1" x="389"/>
        <item m="1" x="333"/>
        <item x="17"/>
        <item x="62"/>
        <item m="1" x="352"/>
        <item m="1" x="328"/>
        <item m="1" x="302"/>
        <item x="16"/>
        <item x="55"/>
        <item m="1" x="205"/>
        <item m="1" x="199"/>
        <item m="1" x="204"/>
        <item m="1" x="382"/>
        <item m="1" x="195"/>
        <item x="38"/>
        <item x="128"/>
        <item x="103"/>
        <item x="45"/>
        <item m="1" x="435"/>
        <item m="1" x="438"/>
        <item m="1" x="368"/>
        <item m="1" x="314"/>
        <item m="1" x="376"/>
        <item m="1" x="413"/>
        <item x="27"/>
        <item m="1" x="344"/>
        <item m="1" x="405"/>
        <item m="1" x="386"/>
        <item m="1" x="263"/>
        <item m="1" x="235"/>
        <item x="84"/>
        <item m="1" x="451"/>
        <item x="167"/>
        <item m="1" x="398"/>
        <item x="42"/>
        <item x="6"/>
        <item x="98"/>
        <item x="35"/>
        <item m="1" x="448"/>
        <item m="1" x="426"/>
        <item m="1" x="443"/>
        <item m="1" x="406"/>
        <item x="33"/>
        <item x="163"/>
        <item x="94"/>
        <item x="124"/>
        <item x="21"/>
        <item m="1" x="294"/>
        <item m="1" x="282"/>
        <item x="175"/>
        <item x="19"/>
        <item x="153"/>
        <item x="139"/>
        <item x="63"/>
        <item x="9"/>
        <item m="1" x="225"/>
        <item m="1" x="215"/>
        <item x="117"/>
        <item m="1" x="445"/>
        <item x="147"/>
        <item x="148"/>
        <item x="149"/>
        <item x="73"/>
        <item m="1" x="262"/>
        <item x="181"/>
        <item m="1" x="285"/>
        <item m="1" x="286"/>
        <item m="1" x="384"/>
        <item m="1" x="428"/>
        <item m="1" x="359"/>
        <item m="1" x="375"/>
        <item x="122"/>
        <item m="1" x="377"/>
        <item m="1" x="189"/>
        <item x="5"/>
        <item x="104"/>
        <item x="105"/>
        <item x="95"/>
        <item m="1" x="198"/>
        <item m="1" x="400"/>
        <item m="1" x="323"/>
        <item x="97"/>
        <item x="121"/>
        <item x="161"/>
        <item m="1" x="379"/>
        <item m="1" x="440"/>
        <item m="1" x="317"/>
        <item m="1" x="191"/>
        <item m="1" x="385"/>
        <item m="1" x="192"/>
        <item x="72"/>
        <item x="145"/>
        <item m="1" x="222"/>
        <item x="29"/>
        <item m="1" x="339"/>
        <item m="1" x="427"/>
        <item x="85"/>
        <item x="11"/>
        <item m="1" x="280"/>
        <item x="4"/>
        <item x="88"/>
        <item x="87"/>
        <item m="1" x="337"/>
        <item x="150"/>
        <item m="1" x="396"/>
        <item m="1" x="331"/>
        <item m="1" x="268"/>
        <item m="1" x="411"/>
        <item m="1" x="321"/>
        <item m="1" x="264"/>
        <item m="1" x="221"/>
        <item m="1" x="325"/>
        <item m="1" x="258"/>
        <item m="1" x="257"/>
        <item m="1" x="326"/>
        <item x="174"/>
        <item m="1" x="439"/>
        <item m="1" x="316"/>
        <item m="1" x="409"/>
        <item m="1" x="431"/>
        <item m="1" x="315"/>
        <item m="1" x="391"/>
        <item m="1" x="252"/>
        <item m="1" x="416"/>
        <item m="1" x="395"/>
        <item m="1" x="234"/>
        <item m="1" x="209"/>
        <item m="1" x="291"/>
        <item m="1" x="407"/>
        <item m="1" x="284"/>
        <item x="60"/>
        <item m="1" x="345"/>
        <item m="1" x="441"/>
        <item m="1" x="272"/>
        <item m="1" x="245"/>
        <item x="173"/>
        <item x="10"/>
        <item x="107"/>
        <item m="1" x="423"/>
        <item m="1" x="261"/>
        <item m="1" x="338"/>
        <item x="43"/>
        <item m="1" x="267"/>
        <item m="1" x="193"/>
        <item m="1" x="349"/>
        <item m="1" x="283"/>
        <item x="110"/>
        <item m="1" x="227"/>
        <item x="135"/>
        <item m="1" x="432"/>
        <item m="1" x="241"/>
        <item x="144"/>
        <item m="1" x="348"/>
        <item m="1" x="361"/>
        <item m="1" x="362"/>
        <item x="14"/>
        <item x="65"/>
        <item x="49"/>
        <item x="80"/>
        <item x="100"/>
        <item m="1" x="356"/>
        <item x="51"/>
        <item m="1" x="354"/>
        <item x="61"/>
        <item m="1" x="240"/>
        <item m="1" x="319"/>
        <item m="1" x="271"/>
        <item m="1" x="270"/>
        <item x="81"/>
        <item m="1" x="442"/>
        <item x="57"/>
        <item x="171"/>
        <item m="1" x="306"/>
        <item x="179"/>
        <item x="89"/>
        <item m="1" x="288"/>
        <item m="1" x="369"/>
        <item m="1" x="201"/>
        <item m="1" x="342"/>
        <item m="1" x="417"/>
        <item m="1" x="355"/>
        <item m="1" x="281"/>
        <item m="1" x="358"/>
        <item m="1" x="450"/>
        <item m="1" x="330"/>
        <item x="154"/>
        <item x="106"/>
        <item m="1" x="370"/>
        <item m="1" x="410"/>
        <item m="1" x="394"/>
        <item x="185"/>
        <item x="70"/>
        <item x="71"/>
        <item x="52"/>
        <item x="68"/>
        <item x="127"/>
        <item x="23"/>
        <item x="125"/>
        <item x="126"/>
        <item x="25"/>
        <item x="74"/>
        <item x="22"/>
        <item x="152"/>
        <item x="1"/>
        <item x="26"/>
        <item x="164"/>
        <item x="146"/>
        <item x="69"/>
        <item x="102"/>
        <item x="24"/>
        <item m="1" x="393"/>
        <item m="1" x="200"/>
        <item m="1" x="237"/>
        <item m="1" x="388"/>
        <item x="116"/>
        <item m="1" x="408"/>
        <item x="177"/>
        <item m="1" x="437"/>
        <item x="3"/>
        <item x="109"/>
        <item m="1" x="444"/>
        <item m="1" x="420"/>
        <item x="120"/>
        <item m="1" x="248"/>
        <item m="1" x="430"/>
        <item m="1" x="210"/>
        <item x="115"/>
        <item x="56"/>
        <item m="1" x="212"/>
        <item m="1" x="213"/>
        <item m="1" x="278"/>
        <item m="1" x="372"/>
        <item x="108"/>
        <item x="168"/>
        <item x="41"/>
        <item x="8"/>
        <item x="13"/>
        <item x="172"/>
        <item x="155"/>
        <item m="1" x="208"/>
        <item m="1" x="422"/>
        <item x="133"/>
        <item m="1" x="295"/>
        <item m="1" x="392"/>
        <item m="1" x="214"/>
        <item m="1" x="332"/>
        <item m="1" x="324"/>
        <item m="1" x="455"/>
        <item m="1" x="229"/>
        <item m="1" x="207"/>
        <item x="176"/>
        <item m="1" x="433"/>
        <item m="1" x="454"/>
        <item m="1" x="329"/>
        <item m="1" x="453"/>
        <item x="169"/>
        <item x="15"/>
        <item m="1" x="238"/>
        <item m="1" x="197"/>
        <item m="1" x="310"/>
        <item x="36"/>
        <item x="83"/>
        <item m="1" x="219"/>
        <item m="1" x="220"/>
        <item m="1" x="318"/>
        <item m="1" x="196"/>
        <item m="1" x="404"/>
        <item x="32"/>
        <item m="1" x="217"/>
        <item m="1" x="351"/>
        <item m="1" x="401"/>
        <item m="1" x="381"/>
        <item x="180"/>
        <item m="1" x="360"/>
        <item m="1" x="190"/>
        <item x="113"/>
        <item m="1" x="419"/>
        <item m="1" x="320"/>
        <item m="1" x="301"/>
        <item m="1" x="254"/>
        <item m="1" x="255"/>
        <item x="118"/>
        <item x="93"/>
        <item m="1" x="383"/>
        <item m="1" x="309"/>
        <item m="1" x="260"/>
        <item m="1" x="434"/>
        <item m="1" x="347"/>
        <item m="1" x="228"/>
        <item x="159"/>
        <item x="158"/>
        <item x="66"/>
        <item m="1" x="390"/>
        <item m="1" x="292"/>
        <item x="44"/>
        <item x="90"/>
        <item x="0"/>
        <item x="64"/>
        <item x="47"/>
        <item x="48"/>
        <item x="143"/>
        <item x="40"/>
        <item m="1" x="312"/>
        <item m="1" x="188"/>
        <item m="1" x="311"/>
        <item m="1" x="415"/>
        <item m="1" x="259"/>
        <item m="1" x="307"/>
        <item m="1" x="230"/>
        <item m="1" x="387"/>
        <item x="77"/>
        <item x="28"/>
        <item m="1" x="303"/>
        <item x="166"/>
        <item m="1" x="346"/>
        <item x="186"/>
        <item x="157"/>
        <item x="178"/>
        <item m="1" x="397"/>
        <item m="1" x="298"/>
        <item m="1" x="244"/>
        <item m="1" x="414"/>
        <item m="1" x="275"/>
        <item m="1" x="206"/>
        <item m="1" x="366"/>
        <item m="1" x="246"/>
        <item m="1" x="365"/>
        <item x="78"/>
        <item x="2"/>
        <item x="37"/>
        <item x="112"/>
        <item x="12"/>
        <item m="1" x="308"/>
        <item m="1" x="265"/>
        <item m="1" x="231"/>
        <item m="1" x="203"/>
        <item m="1" x="243"/>
        <item m="1" x="266"/>
        <item m="1" x="242"/>
        <item m="1" x="202"/>
        <item m="1" x="425"/>
        <item x="111"/>
        <item x="7"/>
        <item x="39"/>
        <item x="137"/>
        <item x="136"/>
        <item x="138"/>
        <item x="46"/>
        <item x="130"/>
        <item x="30"/>
        <item x="34"/>
        <item x="67"/>
        <item x="99"/>
        <item x="82"/>
        <item x="53"/>
        <item m="1" x="232"/>
        <item x="31"/>
        <item x="91"/>
        <item m="1" x="293"/>
        <item x="162"/>
        <item x="101"/>
        <item x="20"/>
        <item m="1" x="373"/>
        <item x="76"/>
        <item x="75"/>
        <item x="79"/>
        <item x="184"/>
        <item m="1" x="300"/>
        <item x="156"/>
        <item m="1" x="224"/>
        <item m="1" x="296"/>
        <item m="1" x="335"/>
        <item m="1" x="341"/>
        <item x="92"/>
        <item m="1" x="336"/>
        <item m="1" x="247"/>
        <item x="187"/>
        <item m="1" x="256"/>
        <item m="1" x="277"/>
        <item x="131"/>
        <item x="132"/>
        <item x="58"/>
        <item x="123"/>
        <item m="1" x="279"/>
        <item x="18"/>
        <item m="1" x="449"/>
      </items>
    </pivotField>
    <pivotField compact="0" outline="0" showAll="0"/>
    <pivotField axis="axisCol" compact="0" outline="0" showAll="0">
      <items count="3">
        <item x="1"/>
        <item x="0"/>
        <item t="default"/>
      </items>
    </pivotField>
    <pivotField axis="axisPage" compact="0" outline="0" multipleItemSelectionAllowed="1" showAll="0">
      <items count="2"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0"/>
        <item m="1" x="2"/>
        <item m="1" x="3"/>
        <item m="1" x="4"/>
        <item x="1"/>
        <item m="1" x="5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4">
    <field x="7"/>
    <field x="5"/>
    <field x="4"/>
    <field x="27"/>
  </rowFields>
  <rowItems count="195">
    <i>
      <x/>
      <x v="13"/>
      <x v="13"/>
      <x/>
    </i>
    <i r="1">
      <x v="83"/>
      <x v="88"/>
      <x/>
    </i>
    <i r="1">
      <x v="90"/>
      <x v="98"/>
      <x/>
    </i>
    <i r="1">
      <x v="92"/>
      <x v="100"/>
      <x/>
    </i>
    <i r="1">
      <x v="106"/>
      <x v="115"/>
      <x/>
    </i>
    <i r="1">
      <x v="127"/>
      <x v="138"/>
      <x/>
    </i>
    <i r="1">
      <x v="160"/>
      <x v="182"/>
      <x/>
    </i>
    <i>
      <x v="6"/>
      <x v="138"/>
      <x v="151"/>
      <x/>
    </i>
    <i>
      <x v="15"/>
      <x v="42"/>
      <x v="42"/>
      <x/>
    </i>
    <i>
      <x v="22"/>
      <x v="187"/>
      <x v="218"/>
      <x/>
    </i>
    <i>
      <x v="26"/>
      <x v="156"/>
      <x v="191"/>
      <x/>
    </i>
    <i>
      <x v="27"/>
      <x v="156"/>
      <x v="175"/>
      <x/>
    </i>
    <i>
      <x v="32"/>
      <x v="85"/>
      <x v="92"/>
      <x/>
    </i>
    <i>
      <x v="33"/>
      <x v="176"/>
      <x v="204"/>
      <x/>
    </i>
    <i>
      <x v="39"/>
      <x v="183"/>
      <x v="212"/>
      <x/>
    </i>
    <i>
      <x v="40"/>
      <x v="66"/>
      <x v="67"/>
      <x/>
    </i>
    <i>
      <x v="41"/>
      <x v="66"/>
      <x v="67"/>
      <x/>
    </i>
    <i>
      <x v="44"/>
      <x v="122"/>
      <x v="132"/>
      <x/>
    </i>
    <i>
      <x v="45"/>
      <x v="122"/>
      <x v="132"/>
      <x/>
    </i>
    <i>
      <x v="46"/>
      <x v="40"/>
      <x v="40"/>
      <x/>
    </i>
    <i>
      <x v="47"/>
      <x v="40"/>
      <x v="40"/>
      <x/>
    </i>
    <i>
      <x v="50"/>
      <x v="167"/>
      <x v="194"/>
      <x/>
    </i>
    <i>
      <x v="64"/>
      <x v="42"/>
      <x v="42"/>
      <x/>
    </i>
    <i>
      <x v="65"/>
      <x v="42"/>
      <x v="42"/>
      <x/>
    </i>
    <i>
      <x v="72"/>
      <x v="103"/>
      <x v="112"/>
      <x/>
    </i>
    <i>
      <x v="73"/>
      <x v="140"/>
      <x v="154"/>
      <x/>
    </i>
    <i>
      <x v="77"/>
      <x v="102"/>
      <x v="111"/>
      <x/>
    </i>
    <i>
      <x v="78"/>
      <x v="102"/>
      <x v="142"/>
      <x/>
    </i>
    <i>
      <x v="84"/>
      <x v="118"/>
      <x v="128"/>
      <x/>
    </i>
    <i>
      <x v="85"/>
      <x v="40"/>
      <x v="40"/>
      <x/>
    </i>
    <i>
      <x v="86"/>
      <x v="40"/>
      <x v="40"/>
      <x/>
    </i>
    <i>
      <x v="87"/>
      <x v="85"/>
      <x v="92"/>
      <x/>
    </i>
    <i>
      <x v="94"/>
      <x v="40"/>
      <x v="40"/>
      <x/>
    </i>
    <i>
      <x v="100"/>
      <x v="146"/>
      <x v="162"/>
      <x/>
    </i>
    <i>
      <x v="102"/>
      <x v="116"/>
      <x v="221"/>
      <x/>
    </i>
    <i>
      <x v="104"/>
      <x v="93"/>
      <x v="101"/>
      <x/>
    </i>
    <i>
      <x v="105"/>
      <x v="92"/>
      <x v="100"/>
      <x/>
    </i>
    <i>
      <x v="106"/>
      <x v="116"/>
      <x v="177"/>
      <x/>
    </i>
    <i>
      <x v="107"/>
      <x v="116"/>
      <x v="126"/>
      <x/>
    </i>
    <i>
      <x v="112"/>
      <x v="115"/>
      <x v="125"/>
      <x/>
    </i>
    <i>
      <x v="113"/>
      <x v="40"/>
      <x v="40"/>
      <x/>
    </i>
    <i>
      <x v="114"/>
      <x v="11"/>
      <x v="11"/>
      <x/>
    </i>
    <i>
      <x v="115"/>
      <x v="106"/>
      <x v="115"/>
      <x/>
    </i>
    <i>
      <x v="116"/>
      <x v="106"/>
      <x v="115"/>
      <x/>
    </i>
    <i>
      <x v="119"/>
      <x v="85"/>
      <x v="92"/>
      <x/>
    </i>
    <i>
      <x v="120"/>
      <x v="105"/>
      <x v="114"/>
      <x/>
    </i>
    <i>
      <x v="121"/>
      <x v="50"/>
      <x v="51"/>
      <x/>
    </i>
    <i>
      <x v="122"/>
      <x v="50"/>
      <x v="51"/>
      <x/>
    </i>
    <i>
      <x v="123"/>
      <x v="13"/>
      <x v="13"/>
      <x/>
    </i>
    <i>
      <x v="124"/>
      <x v="93"/>
      <x v="101"/>
      <x/>
    </i>
    <i>
      <x v="127"/>
      <x v="154"/>
      <x v="193"/>
      <x/>
    </i>
    <i>
      <x v="129"/>
      <x v="40"/>
      <x v="40"/>
      <x/>
    </i>
    <i>
      <x v="130"/>
      <x v="40"/>
      <x v="40"/>
      <x/>
    </i>
    <i>
      <x v="131"/>
      <x v="40"/>
      <x v="40"/>
      <x/>
    </i>
    <i>
      <x v="132"/>
      <x v="40"/>
      <x v="40"/>
      <x/>
    </i>
    <i>
      <x v="134"/>
      <x v="190"/>
      <x v="226"/>
      <x/>
    </i>
    <i>
      <x v="141"/>
      <x v="169"/>
      <x v="197"/>
      <x/>
    </i>
    <i>
      <x v="144"/>
      <x v="91"/>
      <x v="99"/>
      <x/>
    </i>
    <i>
      <x v="145"/>
      <x v="159"/>
      <x v="180"/>
      <x/>
    </i>
    <i>
      <x v="146"/>
      <x v="159"/>
      <x v="181"/>
      <x/>
    </i>
    <i>
      <x v="147"/>
      <x v="154"/>
      <x v="173"/>
      <x/>
    </i>
    <i>
      <x v="151"/>
      <x v="157"/>
      <x v="176"/>
      <x/>
    </i>
    <i>
      <x v="152"/>
      <x v="157"/>
      <x v="176"/>
      <x/>
    </i>
    <i>
      <x v="153"/>
      <x v="157"/>
      <x v="176"/>
      <x/>
    </i>
    <i>
      <x v="160"/>
      <x v="40"/>
      <x v="40"/>
      <x/>
    </i>
    <i>
      <x v="161"/>
      <x v="40"/>
      <x v="40"/>
      <x/>
    </i>
    <i>
      <x v="163"/>
      <x v="109"/>
      <x v="118"/>
      <x/>
    </i>
    <i>
      <x v="166"/>
      <x v="149"/>
      <x v="165"/>
      <x/>
    </i>
    <i>
      <x v="167"/>
      <x v="95"/>
      <x v="103"/>
      <x/>
    </i>
    <i>
      <x v="169"/>
      <x v="42"/>
      <x v="42"/>
      <x/>
    </i>
    <i>
      <x v="170"/>
      <x v="16"/>
      <x v="16"/>
      <x/>
    </i>
    <i>
      <x v="171"/>
      <x v="16"/>
      <x v="16"/>
      <x/>
    </i>
    <i>
      <x v="173"/>
      <x v="179"/>
      <x v="208"/>
      <x v="4"/>
    </i>
    <i>
      <x v="185"/>
      <x v="85"/>
      <x v="92"/>
      <x/>
    </i>
    <i>
      <x v="200"/>
      <x v="139"/>
      <x v="152"/>
      <x/>
    </i>
    <i>
      <x v="205"/>
      <x v="119"/>
      <x v="129"/>
      <x/>
    </i>
    <i>
      <x v="206"/>
      <x v="94"/>
      <x v="102"/>
      <x/>
    </i>
    <i>
      <x v="207"/>
      <x v="94"/>
      <x v="183"/>
      <x/>
    </i>
    <i>
      <x v="211"/>
      <x v="119"/>
      <x v="129"/>
      <x/>
    </i>
    <i>
      <x v="216"/>
      <x v="127"/>
      <x v="138"/>
      <x/>
    </i>
    <i>
      <x v="218"/>
      <x v="127"/>
      <x v="138"/>
      <x/>
    </i>
    <i>
      <x v="221"/>
      <x v="178"/>
      <x v="207"/>
      <x/>
    </i>
    <i>
      <x v="225"/>
      <x v="11"/>
      <x v="11"/>
      <x/>
    </i>
    <i>
      <x v="226"/>
      <x v="11"/>
      <x v="11"/>
      <x/>
    </i>
    <i>
      <x v="227"/>
      <x v="11"/>
      <x v="11"/>
      <x/>
    </i>
    <i>
      <x v="228"/>
      <x v="123"/>
      <x v="160"/>
      <x/>
    </i>
    <i>
      <x v="229"/>
      <x v="123"/>
      <x v="179"/>
      <x/>
    </i>
    <i>
      <x v="231"/>
      <x v="123"/>
      <x v="133"/>
      <x/>
    </i>
    <i>
      <x v="233"/>
      <x v="123"/>
      <x v="153"/>
      <x/>
    </i>
    <i>
      <x v="238"/>
      <x v="31"/>
      <x v="31"/>
      <x/>
    </i>
    <i>
      <x v="240"/>
      <x v="31"/>
      <x v="31"/>
      <x/>
    </i>
    <i>
      <x v="241"/>
      <x v="16"/>
      <x v="16"/>
      <x/>
    </i>
    <i>
      <x v="243"/>
      <x v="43"/>
      <x v="225"/>
      <x/>
    </i>
    <i>
      <x v="244"/>
      <x v="43"/>
      <x v="166"/>
      <x/>
    </i>
    <i>
      <x v="255"/>
      <x v="45"/>
      <x v="44"/>
      <x/>
    </i>
    <i>
      <x v="256"/>
      <x v="44"/>
      <x v="43"/>
      <x/>
    </i>
    <i>
      <x v="260"/>
      <x v="160"/>
      <x v="182"/>
      <x/>
    </i>
    <i>
      <x v="261"/>
      <x v="40"/>
      <x v="40"/>
      <x/>
    </i>
    <i>
      <x v="262"/>
      <x v="40"/>
      <x v="40"/>
      <x/>
    </i>
    <i>
      <x v="263"/>
      <x v="40"/>
      <x v="40"/>
      <x/>
    </i>
    <i>
      <x v="264"/>
      <x v="40"/>
      <x v="40"/>
      <x/>
    </i>
    <i>
      <x v="265"/>
      <x v="40"/>
      <x v="40"/>
      <x/>
    </i>
    <i>
      <x v="266"/>
      <x v="40"/>
      <x v="40"/>
      <x/>
    </i>
    <i>
      <x v="267"/>
      <x v="40"/>
      <x v="40"/>
      <x/>
    </i>
    <i>
      <x v="268"/>
      <x v="40"/>
      <x v="40"/>
      <x/>
    </i>
    <i>
      <x v="269"/>
      <x v="40"/>
      <x v="40"/>
      <x/>
    </i>
    <i>
      <x v="270"/>
      <x v="40"/>
      <x v="40"/>
      <x/>
    </i>
    <i>
      <x v="271"/>
      <x v="40"/>
      <x v="40"/>
      <x/>
    </i>
    <i>
      <x v="272"/>
      <x v="90"/>
      <x v="98"/>
      <x/>
    </i>
    <i>
      <x v="273"/>
      <x v="90"/>
      <x v="98"/>
      <x/>
    </i>
    <i>
      <x v="274"/>
      <x v="40"/>
      <x v="40"/>
      <x/>
    </i>
    <i>
      <x v="275"/>
      <x v="40"/>
      <x v="40"/>
      <x/>
    </i>
    <i>
      <x v="276"/>
      <x v="40"/>
      <x v="40"/>
      <x/>
    </i>
    <i>
      <x v="277"/>
      <x v="40"/>
      <x v="40"/>
      <x/>
    </i>
    <i>
      <x v="278"/>
      <x v="40"/>
      <x v="40"/>
      <x/>
    </i>
    <i>
      <x v="279"/>
      <x v="40"/>
      <x v="40"/>
      <x/>
    </i>
    <i>
      <x v="284"/>
      <x v="154"/>
      <x v="193"/>
      <x/>
    </i>
    <i>
      <x v="286"/>
      <x v="154"/>
      <x v="193"/>
      <x/>
    </i>
    <i>
      <x v="288"/>
      <x v="42"/>
      <x v="42"/>
      <x/>
    </i>
    <i>
      <x v="289"/>
      <x v="162"/>
      <x v="185"/>
      <x/>
    </i>
    <i>
      <x v="292"/>
      <x v="168"/>
      <x v="196"/>
      <x/>
    </i>
    <i>
      <x v="296"/>
      <x v="51"/>
      <x v="52"/>
      <x/>
    </i>
    <i>
      <x v="297"/>
      <x v="131"/>
      <x v="143"/>
      <x/>
    </i>
    <i>
      <x v="302"/>
      <x v="4"/>
      <x v="4"/>
      <x/>
    </i>
    <i>
      <x v="303"/>
      <x v="70"/>
      <x v="72"/>
      <x v="4"/>
    </i>
    <i>
      <x v="304"/>
      <x v="50"/>
      <x v="51"/>
      <x/>
    </i>
    <i>
      <x v="305"/>
      <x v="50"/>
      <x v="51"/>
      <x/>
    </i>
    <i>
      <x v="306"/>
      <x v="11"/>
      <x v="11"/>
      <x/>
    </i>
    <i>
      <x v="307"/>
      <x v="178"/>
      <x v="224"/>
      <x/>
    </i>
    <i>
      <x v="308"/>
      <x v="177"/>
      <x v="216"/>
      <x/>
    </i>
    <i>
      <x v="311"/>
      <x v="177"/>
      <x v="205"/>
      <x/>
    </i>
    <i>
      <x v="320"/>
      <x v="9"/>
      <x v="9"/>
      <x/>
    </i>
    <i>
      <x v="325"/>
      <x v="56"/>
      <x v="57"/>
      <x/>
    </i>
    <i>
      <x v="326"/>
      <x v="69"/>
      <x v="71"/>
      <x/>
    </i>
    <i>
      <x v="330"/>
      <x v="64"/>
      <x v="65"/>
      <x/>
    </i>
    <i>
      <x v="331"/>
      <x v="62"/>
      <x v="63"/>
      <x/>
    </i>
    <i>
      <x v="337"/>
      <x v="7"/>
      <x v="7"/>
      <x/>
    </i>
    <i>
      <x v="342"/>
      <x v="83"/>
      <x v="88"/>
      <x/>
    </i>
    <i>
      <x v="345"/>
      <x v="49"/>
      <x v="50"/>
      <x/>
    </i>
    <i>
      <x v="351"/>
      <x v="76"/>
      <x v="79"/>
      <x/>
    </i>
    <i>
      <x v="352"/>
      <x v="76"/>
      <x v="79"/>
      <x/>
    </i>
    <i>
      <x v="359"/>
      <x v="75"/>
      <x v="77"/>
      <x/>
    </i>
    <i>
      <x v="360"/>
      <x v="75"/>
      <x v="77"/>
      <x/>
    </i>
    <i>
      <x v="361"/>
      <x v="75"/>
      <x v="77"/>
      <x/>
    </i>
    <i>
      <x v="364"/>
      <x v="66"/>
      <x v="67"/>
      <x/>
    </i>
    <i>
      <x v="365"/>
      <x v="58"/>
      <x v="169"/>
      <x/>
    </i>
    <i>
      <x v="366"/>
      <x v="58"/>
      <x v="97"/>
      <x/>
    </i>
    <i>
      <x v="367"/>
      <x v="11"/>
      <x v="11"/>
      <x/>
    </i>
    <i>
      <x v="368"/>
      <x v="11"/>
      <x v="11"/>
      <x/>
    </i>
    <i>
      <x v="369"/>
      <x v="11"/>
      <x v="11"/>
      <x/>
    </i>
    <i>
      <x v="370"/>
      <x v="11"/>
      <x v="11"/>
      <x/>
    </i>
    <i>
      <x v="371"/>
      <x v="33"/>
      <x v="33"/>
      <x/>
    </i>
    <i>
      <x v="380"/>
      <x v="32"/>
      <x v="32"/>
      <x/>
    </i>
    <i>
      <x v="381"/>
      <x v="32"/>
      <x v="32"/>
      <x/>
    </i>
    <i>
      <x v="383"/>
      <x v="32"/>
      <x v="32"/>
      <x/>
    </i>
    <i>
      <x v="385"/>
      <x v="32"/>
      <x v="32"/>
      <x/>
    </i>
    <i>
      <x v="386"/>
      <x v="35"/>
      <x v="35"/>
      <x/>
    </i>
    <i>
      <x v="387"/>
      <x v="13"/>
      <x v="13"/>
      <x/>
    </i>
    <i>
      <x v="397"/>
      <x v="44"/>
      <x v="43"/>
      <x/>
    </i>
    <i>
      <x v="398"/>
      <x v="34"/>
      <x v="34"/>
      <x/>
    </i>
    <i>
      <x v="399"/>
      <x v="34"/>
      <x v="34"/>
      <x/>
    </i>
    <i>
      <x v="400"/>
      <x v="65"/>
      <x v="66"/>
      <x/>
    </i>
    <i>
      <x v="401"/>
      <x v="74"/>
      <x v="76"/>
      <x/>
    </i>
    <i>
      <x v="411"/>
      <x v="33"/>
      <x v="33"/>
      <x/>
    </i>
    <i>
      <x v="412"/>
      <x v="33"/>
      <x v="33"/>
      <x/>
    </i>
    <i>
      <x v="413"/>
      <x v="33"/>
      <x v="33"/>
      <x/>
    </i>
    <i>
      <x v="414"/>
      <x v="33"/>
      <x v="33"/>
      <x/>
    </i>
    <i>
      <x v="415"/>
      <x v="33"/>
      <x v="33"/>
      <x/>
    </i>
    <i>
      <x v="416"/>
      <x v="33"/>
      <x v="33"/>
      <x/>
    </i>
    <i>
      <x v="417"/>
      <x v="45"/>
      <x v="44"/>
      <x/>
    </i>
    <i>
      <x v="418"/>
      <x v="31"/>
      <x v="31"/>
      <x/>
    </i>
    <i>
      <x v="419"/>
      <x v="31"/>
      <x v="31"/>
      <x/>
    </i>
    <i>
      <x v="420"/>
      <x v="73"/>
      <x v="75"/>
      <x/>
    </i>
    <i>
      <x v="421"/>
      <x v="24"/>
      <x v="24"/>
      <x/>
    </i>
    <i>
      <x v="422"/>
      <x v="24"/>
      <x v="24"/>
      <x/>
    </i>
    <i>
      <x v="423"/>
      <x v="7"/>
      <x v="7"/>
      <x/>
    </i>
    <i>
      <x v="424"/>
      <x v="26"/>
      <x v="26"/>
      <x/>
    </i>
    <i>
      <x v="426"/>
      <x v="7"/>
      <x v="7"/>
      <x/>
    </i>
    <i>
      <x v="427"/>
      <x v="51"/>
      <x v="52"/>
      <x/>
    </i>
    <i>
      <x v="429"/>
      <x v="22"/>
      <x v="22"/>
      <x/>
    </i>
    <i>
      <x v="430"/>
      <x v="22"/>
      <x v="22"/>
      <x/>
    </i>
    <i>
      <x v="431"/>
      <x v="22"/>
      <x v="22"/>
      <x/>
    </i>
    <i>
      <x v="433"/>
      <x v="19"/>
      <x v="19"/>
      <x/>
    </i>
    <i>
      <x v="434"/>
      <x v="19"/>
      <x v="19"/>
      <x/>
    </i>
    <i>
      <x v="435"/>
      <x v="21"/>
      <x v="21"/>
      <x/>
    </i>
    <i>
      <x v="436"/>
      <x v="191"/>
      <x v="227"/>
      <x/>
    </i>
    <i>
      <x v="438"/>
      <x v="9"/>
      <x v="9"/>
      <x/>
    </i>
    <i>
      <x v="443"/>
      <x v="9"/>
      <x v="9"/>
      <x/>
    </i>
    <i>
      <x v="446"/>
      <x v="14"/>
      <x v="14"/>
      <x/>
    </i>
    <i>
      <x v="449"/>
      <x v="7"/>
      <x v="7"/>
      <x/>
    </i>
    <i>
      <x v="450"/>
      <x v="7"/>
      <x v="7"/>
      <x/>
    </i>
    <i>
      <x v="451"/>
      <x v="4"/>
      <x v="4"/>
      <x/>
    </i>
    <i>
      <x v="452"/>
      <x v="6"/>
      <x v="6"/>
      <x/>
    </i>
    <i>
      <x v="454"/>
      <x v="1"/>
      <x v="1"/>
      <x/>
    </i>
    <i t="grand">
      <x/>
    </i>
  </rowItems>
  <colFields count="1">
    <field x="9"/>
  </colFields>
  <colItems count="3">
    <i>
      <x/>
    </i>
    <i>
      <x v="1"/>
    </i>
    <i t="grand">
      <x/>
    </i>
  </colItems>
  <pageFields count="1">
    <pageField fld="10" hier="-1"/>
  </pageFields>
  <dataFields count="1">
    <dataField name="Sum of Total Charges (in Entered Curr)" fld="28" baseField="0" baseItem="0" numFmtId="164"/>
  </dataFields>
  <formats count="4">
    <format dxfId="7">
      <pivotArea dataOnly="0" labelOnly="1" outline="0" fieldPosition="0">
        <references count="1">
          <reference field="9" count="0"/>
        </references>
      </pivotArea>
    </format>
    <format dxfId="6">
      <pivotArea dataOnly="0" labelOnly="1" grandCol="1" outline="0" fieldPosition="0"/>
    </format>
    <format dxfId="5">
      <pivotArea grandCol="1" outline="0" collapsedLevelsAreSubtotals="1" fieldPosition="0"/>
    </format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9"/>
  </sheetPr>
  <dimension ref="A1:DJ491"/>
  <sheetViews>
    <sheetView tabSelected="1" topLeftCell="G1" zoomScale="85" zoomScaleNormal="85" workbookViewId="0">
      <selection activeCell="K6" sqref="K6"/>
    </sheetView>
  </sheetViews>
  <sheetFormatPr defaultColWidth="9.1796875" defaultRowHeight="12" outlineLevelCol="3" x14ac:dyDescent="0.3"/>
  <cols>
    <col min="1" max="1" width="13.453125" style="3" bestFit="1" customWidth="1"/>
    <col min="2" max="2" width="11.1796875" style="3" customWidth="1"/>
    <col min="3" max="3" width="15.81640625" style="3" bestFit="1" customWidth="1"/>
    <col min="4" max="4" width="10.81640625" style="3" bestFit="1" customWidth="1"/>
    <col min="5" max="5" width="15.6328125" style="35" bestFit="1" customWidth="1"/>
    <col min="6" max="6" width="14.6328125" style="35" bestFit="1" customWidth="1"/>
    <col min="7" max="7" width="14.453125" style="35" bestFit="1" customWidth="1"/>
    <col min="8" max="8" width="19.1796875" style="35" hidden="1" customWidth="1"/>
    <col min="9" max="9" width="18.81640625" style="35" bestFit="1" customWidth="1"/>
    <col min="10" max="10" width="16.81640625" style="36" customWidth="1"/>
    <col min="11" max="11" width="18" style="35" customWidth="1"/>
    <col min="12" max="12" width="9.90625" style="3" bestFit="1" customWidth="1"/>
    <col min="13" max="13" width="10.90625" style="3" bestFit="1" customWidth="1" outlineLevel="1"/>
    <col min="14" max="14" width="17" style="3" bestFit="1" customWidth="1" outlineLevel="1"/>
    <col min="15" max="15" width="14.1796875" style="3" bestFit="1" customWidth="1" outlineLevel="1"/>
    <col min="16" max="18" width="12.453125" style="3" customWidth="1" outlineLevel="1"/>
    <col min="19" max="19" width="14.1796875" style="3" customWidth="1" outlineLevel="3"/>
    <col min="20" max="20" width="18.81640625" style="3" customWidth="1" outlineLevel="3"/>
    <col min="21" max="21" width="18.1796875" style="3" customWidth="1" outlineLevel="3"/>
    <col min="22" max="22" width="18.1796875" style="3" customWidth="1" outlineLevel="2"/>
    <col min="23" max="23" width="11.1796875" style="3" customWidth="1" outlineLevel="2"/>
    <col min="24" max="24" width="19" style="3" customWidth="1" outlineLevel="3"/>
    <col min="25" max="26" width="15.453125" style="3" customWidth="1" outlineLevel="3"/>
    <col min="27" max="27" width="15.453125" style="3" customWidth="1" outlineLevel="2"/>
    <col min="28" max="30" width="15.453125" style="3" customWidth="1" outlineLevel="3"/>
    <col min="31" max="31" width="22.453125" style="3" customWidth="1" outlineLevel="3"/>
    <col min="32" max="32" width="21.81640625" style="3" customWidth="1" outlineLevel="2"/>
    <col min="33" max="35" width="22.453125" style="3" customWidth="1" outlineLevel="3"/>
    <col min="36" max="36" width="23.1796875" style="3" customWidth="1" outlineLevel="3"/>
    <col min="37" max="37" width="19.54296875" style="3" customWidth="1" outlineLevel="2"/>
    <col min="38" max="38" width="18.81640625" style="3" customWidth="1" outlineLevel="3"/>
    <col min="39" max="41" width="19.54296875" style="3" customWidth="1" outlineLevel="3"/>
    <col min="42" max="54" width="16.81640625" style="3" customWidth="1" outlineLevel="1"/>
    <col min="55" max="55" width="17.1796875" style="3" customWidth="1" outlineLevel="3"/>
    <col min="56" max="56" width="16.54296875" style="3" customWidth="1" outlineLevel="3"/>
    <col min="57" max="57" width="17.81640625" style="3" customWidth="1" outlineLevel="3"/>
    <col min="58" max="59" width="17.1796875" style="3" customWidth="1" outlineLevel="2"/>
    <col min="60" max="60" width="23.453125" style="3" customWidth="1" outlineLevel="3"/>
    <col min="61" max="62" width="14.81640625" style="3" customWidth="1" outlineLevel="3"/>
    <col min="63" max="63" width="15.81640625" style="3" customWidth="1" outlineLevel="2"/>
    <col min="64" max="65" width="12.54296875" style="3" customWidth="1" outlineLevel="3"/>
    <col min="66" max="66" width="17" style="3" customWidth="1" outlineLevel="3"/>
    <col min="67" max="67" width="15.81640625" style="3" customWidth="1" outlineLevel="3"/>
    <col min="68" max="68" width="15.54296875" style="3" customWidth="1" outlineLevel="2"/>
    <col min="69" max="69" width="17.81640625" style="3" customWidth="1" outlineLevel="3"/>
    <col min="70" max="71" width="13.453125" style="3" customWidth="1" outlineLevel="3"/>
    <col min="72" max="72" width="19" style="3" customWidth="1" outlineLevel="3"/>
    <col min="73" max="73" width="10.6328125" style="3" bestFit="1" customWidth="1" outlineLevel="1"/>
    <col min="74" max="74" width="10.36328125" style="3" bestFit="1" customWidth="1" outlineLevel="1"/>
    <col min="75" max="75" width="11" style="3" bestFit="1" customWidth="1" outlineLevel="1"/>
    <col min="76" max="76" width="10.90625" style="3" bestFit="1" customWidth="1" outlineLevel="1"/>
    <col min="77" max="77" width="13.1796875" style="3" bestFit="1" customWidth="1" outlineLevel="1"/>
    <col min="78" max="78" width="19" style="3" bestFit="1" customWidth="1" outlineLevel="1"/>
    <col min="79" max="79" width="10.6328125" style="3" bestFit="1" customWidth="1" outlineLevel="1"/>
    <col min="80" max="80" width="10.36328125" style="3" bestFit="1" customWidth="1" outlineLevel="1"/>
    <col min="81" max="81" width="11" style="3" bestFit="1" customWidth="1" outlineLevel="1"/>
    <col min="82" max="82" width="10.90625" style="3" bestFit="1" customWidth="1" outlineLevel="1"/>
    <col min="83" max="83" width="13.1796875" style="3" bestFit="1" customWidth="1" outlineLevel="1"/>
    <col min="84" max="84" width="19" style="3" bestFit="1" customWidth="1" outlineLevel="1"/>
    <col min="85" max="85" width="10.6328125" style="3" bestFit="1" customWidth="1" outlineLevel="1"/>
    <col min="86" max="86" width="10.36328125" style="3" bestFit="1" customWidth="1" outlineLevel="1"/>
    <col min="87" max="87" width="11" style="3" bestFit="1" customWidth="1" outlineLevel="1"/>
    <col min="88" max="88" width="10.90625" style="3" bestFit="1" customWidth="1" outlineLevel="1"/>
    <col min="89" max="89" width="13.1796875" style="3" bestFit="1" customWidth="1" outlineLevel="1"/>
    <col min="90" max="90" width="19" style="3" bestFit="1" customWidth="1" outlineLevel="1"/>
    <col min="91" max="91" width="18.453125" style="3" customWidth="1" outlineLevel="1"/>
    <col min="92" max="92" width="17.54296875" style="3" customWidth="1" outlineLevel="1"/>
    <col min="93" max="95" width="18.453125" style="3" customWidth="1" outlineLevel="1"/>
    <col min="96" max="96" width="24.81640625" style="81" customWidth="1" outlineLevel="1"/>
    <col min="97" max="97" width="26" style="49" customWidth="1" outlineLevel="1"/>
    <col min="98" max="98" width="22.90625" style="3" bestFit="1" customWidth="1" outlineLevel="1"/>
    <col min="99" max="99" width="18.1796875" style="3" customWidth="1" outlineLevel="1"/>
    <col min="100" max="100" width="18.453125" style="3" customWidth="1" outlineLevel="1"/>
    <col min="101" max="101" width="26.81640625" style="23" customWidth="1" outlineLevel="1"/>
    <col min="102" max="102" width="23.453125" style="23" customWidth="1" outlineLevel="1"/>
    <col min="103" max="103" width="24.81640625" style="23" customWidth="1" outlineLevel="1"/>
    <col min="104" max="104" width="21.453125" style="23" customWidth="1" outlineLevel="1"/>
    <col min="105" max="105" width="26.54296875" style="23" bestFit="1" customWidth="1" outlineLevel="1"/>
    <col min="106" max="106" width="25.1796875" style="23" bestFit="1" customWidth="1" outlineLevel="1"/>
    <col min="107" max="107" width="25.81640625" style="23" customWidth="1" outlineLevel="1"/>
    <col min="108" max="108" width="55.1796875" style="34" customWidth="1" outlineLevel="1"/>
    <col min="109" max="109" width="25.81640625" style="3" customWidth="1" outlineLevel="1"/>
    <col min="110" max="110" width="16.81640625" style="3" customWidth="1" outlineLevel="1"/>
    <col min="111" max="111" width="11.90625" style="39" bestFit="1" customWidth="1"/>
    <col min="112" max="112" width="13.1796875" style="3" customWidth="1"/>
    <col min="113" max="113" width="4.54296875" style="3" bestFit="1" customWidth="1"/>
    <col min="114" max="114" width="9.453125" style="3" bestFit="1" customWidth="1"/>
    <col min="115" max="16384" width="9.1796875" style="3"/>
  </cols>
  <sheetData>
    <row r="1" spans="1:114" x14ac:dyDescent="0.3">
      <c r="K1" s="84" t="s">
        <v>1370</v>
      </c>
      <c r="CS1" s="83" t="s">
        <v>1369</v>
      </c>
    </row>
    <row r="2" spans="1:114" x14ac:dyDescent="0.3">
      <c r="K2" s="84"/>
      <c r="CS2" s="83"/>
    </row>
    <row r="3" spans="1:114" x14ac:dyDescent="0.3">
      <c r="K3" s="84"/>
      <c r="CS3" s="83"/>
    </row>
    <row r="4" spans="1:114" x14ac:dyDescent="0.3">
      <c r="K4" s="84"/>
      <c r="CS4" s="83"/>
    </row>
    <row r="5" spans="1:114" x14ac:dyDescent="0.3">
      <c r="A5" s="73"/>
      <c r="B5" s="73"/>
      <c r="C5" s="73"/>
      <c r="D5" s="73"/>
      <c r="E5" s="74"/>
      <c r="F5" s="74"/>
      <c r="G5" s="74"/>
      <c r="H5" s="74"/>
      <c r="I5" s="20"/>
      <c r="J5" s="21"/>
      <c r="K5" s="22"/>
      <c r="L5" s="75" t="s">
        <v>116</v>
      </c>
      <c r="M5" s="75"/>
      <c r="N5" s="75"/>
      <c r="O5" s="75"/>
      <c r="P5" s="75"/>
      <c r="Q5" s="51"/>
      <c r="R5" s="51"/>
      <c r="S5" s="76" t="s">
        <v>117</v>
      </c>
      <c r="T5" s="76"/>
      <c r="U5" s="76"/>
      <c r="V5" s="76"/>
      <c r="W5" s="76"/>
      <c r="X5" s="76"/>
      <c r="Y5" s="64" t="s">
        <v>118</v>
      </c>
      <c r="Z5" s="64"/>
      <c r="AA5" s="64"/>
      <c r="AB5" s="64"/>
      <c r="AC5" s="64"/>
      <c r="AD5" s="64"/>
      <c r="AE5" s="65" t="s">
        <v>119</v>
      </c>
      <c r="AF5" s="65"/>
      <c r="AG5" s="65"/>
      <c r="AH5" s="65"/>
      <c r="AI5" s="65"/>
      <c r="AJ5" s="65"/>
      <c r="AK5" s="66" t="s">
        <v>120</v>
      </c>
      <c r="AL5" s="66"/>
      <c r="AM5" s="66"/>
      <c r="AN5" s="66"/>
      <c r="AO5" s="66"/>
      <c r="AP5" s="66"/>
      <c r="AQ5" s="64" t="s">
        <v>292</v>
      </c>
      <c r="AR5" s="64"/>
      <c r="AS5" s="64"/>
      <c r="AT5" s="64"/>
      <c r="AU5" s="64"/>
      <c r="AV5" s="64"/>
      <c r="AW5" s="70" t="s">
        <v>299</v>
      </c>
      <c r="AX5" s="70"/>
      <c r="AY5" s="70"/>
      <c r="AZ5" s="70"/>
      <c r="BA5" s="70"/>
      <c r="BB5" s="70"/>
      <c r="BC5" s="72" t="s">
        <v>121</v>
      </c>
      <c r="BD5" s="72"/>
      <c r="BE5" s="72"/>
      <c r="BF5" s="72"/>
      <c r="BG5" s="72"/>
      <c r="BH5" s="72"/>
      <c r="BI5" s="64" t="s">
        <v>122</v>
      </c>
      <c r="BJ5" s="64"/>
      <c r="BK5" s="64"/>
      <c r="BL5" s="64"/>
      <c r="BM5" s="64"/>
      <c r="BN5" s="64"/>
      <c r="BO5" s="65" t="s">
        <v>123</v>
      </c>
      <c r="BP5" s="65"/>
      <c r="BQ5" s="65"/>
      <c r="BR5" s="65"/>
      <c r="BS5" s="65"/>
      <c r="BT5" s="65"/>
      <c r="BU5" s="66" t="s">
        <v>124</v>
      </c>
      <c r="BV5" s="66"/>
      <c r="BW5" s="66"/>
      <c r="BX5" s="66"/>
      <c r="BY5" s="66"/>
      <c r="BZ5" s="66"/>
      <c r="CA5" s="70" t="s">
        <v>306</v>
      </c>
      <c r="CB5" s="70"/>
      <c r="CC5" s="70"/>
      <c r="CD5" s="70"/>
      <c r="CE5" s="70"/>
      <c r="CF5" s="70"/>
      <c r="CG5" s="71" t="s">
        <v>307</v>
      </c>
      <c r="CH5" s="71"/>
      <c r="CI5" s="71"/>
      <c r="CJ5" s="71"/>
      <c r="CK5" s="71"/>
      <c r="CL5" s="71"/>
      <c r="CM5" s="68" t="s">
        <v>125</v>
      </c>
      <c r="CN5" s="69"/>
      <c r="CO5" s="69"/>
      <c r="CP5" s="69"/>
      <c r="CQ5" s="69"/>
      <c r="CR5" s="69"/>
      <c r="CS5" s="2" t="s">
        <v>26</v>
      </c>
      <c r="CW5" s="3"/>
      <c r="CX5" s="3"/>
      <c r="CZ5" s="3"/>
      <c r="DA5" s="3"/>
      <c r="DB5" s="3"/>
      <c r="DC5" s="3"/>
      <c r="DD5" s="4"/>
      <c r="DE5" s="4"/>
      <c r="DF5" s="67" t="s">
        <v>1367</v>
      </c>
      <c r="DG5" s="67"/>
    </row>
    <row r="6" spans="1:114" x14ac:dyDescent="0.3">
      <c r="A6" s="24" t="s">
        <v>6</v>
      </c>
      <c r="B6" s="24" t="s">
        <v>232</v>
      </c>
      <c r="C6" s="24" t="s">
        <v>3</v>
      </c>
      <c r="D6" s="24" t="s">
        <v>126</v>
      </c>
      <c r="E6" s="25" t="s">
        <v>608</v>
      </c>
      <c r="F6" s="25" t="s">
        <v>285</v>
      </c>
      <c r="G6" s="25" t="s">
        <v>260</v>
      </c>
      <c r="H6" s="25" t="s">
        <v>77</v>
      </c>
      <c r="I6" s="25" t="s">
        <v>75</v>
      </c>
      <c r="J6" s="26" t="s">
        <v>127</v>
      </c>
      <c r="K6" s="27" t="s">
        <v>128</v>
      </c>
      <c r="L6" s="28" t="s">
        <v>126</v>
      </c>
      <c r="M6" s="28" t="s">
        <v>129</v>
      </c>
      <c r="N6" s="28" t="s">
        <v>130</v>
      </c>
      <c r="O6" s="28" t="s">
        <v>131</v>
      </c>
      <c r="P6" s="28" t="s">
        <v>132</v>
      </c>
      <c r="Q6" s="28" t="s">
        <v>289</v>
      </c>
      <c r="R6" s="28" t="s">
        <v>290</v>
      </c>
      <c r="S6" s="29" t="s">
        <v>133</v>
      </c>
      <c r="T6" s="29" t="s">
        <v>134</v>
      </c>
      <c r="U6" s="29" t="s">
        <v>135</v>
      </c>
      <c r="V6" s="29" t="s">
        <v>136</v>
      </c>
      <c r="W6" s="29" t="s">
        <v>233</v>
      </c>
      <c r="X6" s="28" t="s">
        <v>137</v>
      </c>
      <c r="Y6" s="29" t="s">
        <v>138</v>
      </c>
      <c r="Z6" s="29" t="s">
        <v>139</v>
      </c>
      <c r="AA6" s="29" t="s">
        <v>140</v>
      </c>
      <c r="AB6" s="29" t="s">
        <v>141</v>
      </c>
      <c r="AC6" s="29" t="s">
        <v>234</v>
      </c>
      <c r="AD6" s="28" t="s">
        <v>142</v>
      </c>
      <c r="AE6" s="29" t="s">
        <v>143</v>
      </c>
      <c r="AF6" s="29" t="s">
        <v>144</v>
      </c>
      <c r="AG6" s="29" t="s">
        <v>145</v>
      </c>
      <c r="AH6" s="29" t="s">
        <v>146</v>
      </c>
      <c r="AI6" s="29" t="s">
        <v>235</v>
      </c>
      <c r="AJ6" s="28" t="s">
        <v>147</v>
      </c>
      <c r="AK6" s="29" t="s">
        <v>148</v>
      </c>
      <c r="AL6" s="29" t="s">
        <v>149</v>
      </c>
      <c r="AM6" s="29" t="s">
        <v>150</v>
      </c>
      <c r="AN6" s="29" t="s">
        <v>151</v>
      </c>
      <c r="AO6" s="29" t="s">
        <v>236</v>
      </c>
      <c r="AP6" s="28" t="s">
        <v>152</v>
      </c>
      <c r="AQ6" s="29" t="s">
        <v>293</v>
      </c>
      <c r="AR6" s="29" t="s">
        <v>294</v>
      </c>
      <c r="AS6" s="29" t="s">
        <v>295</v>
      </c>
      <c r="AT6" s="29" t="s">
        <v>296</v>
      </c>
      <c r="AU6" s="29" t="s">
        <v>297</v>
      </c>
      <c r="AV6" s="28" t="s">
        <v>298</v>
      </c>
      <c r="AW6" s="29" t="s">
        <v>300</v>
      </c>
      <c r="AX6" s="29" t="s">
        <v>301</v>
      </c>
      <c r="AY6" s="29" t="s">
        <v>302</v>
      </c>
      <c r="AZ6" s="29" t="s">
        <v>303</v>
      </c>
      <c r="BA6" s="29" t="s">
        <v>304</v>
      </c>
      <c r="BB6" s="28" t="s">
        <v>305</v>
      </c>
      <c r="BC6" s="29" t="s">
        <v>153</v>
      </c>
      <c r="BD6" s="29" t="s">
        <v>154</v>
      </c>
      <c r="BE6" s="29" t="s">
        <v>155</v>
      </c>
      <c r="BF6" s="29" t="s">
        <v>156</v>
      </c>
      <c r="BG6" s="29" t="s">
        <v>237</v>
      </c>
      <c r="BH6" s="28" t="s">
        <v>157</v>
      </c>
      <c r="BI6" s="30" t="s">
        <v>158</v>
      </c>
      <c r="BJ6" s="30" t="s">
        <v>159</v>
      </c>
      <c r="BK6" s="30" t="s">
        <v>160</v>
      </c>
      <c r="BL6" s="30" t="s">
        <v>161</v>
      </c>
      <c r="BM6" s="30" t="s">
        <v>238</v>
      </c>
      <c r="BN6" s="31" t="s">
        <v>162</v>
      </c>
      <c r="BO6" s="30" t="s">
        <v>158</v>
      </c>
      <c r="BP6" s="30" t="s">
        <v>159</v>
      </c>
      <c r="BQ6" s="30" t="s">
        <v>160</v>
      </c>
      <c r="BR6" s="30" t="s">
        <v>161</v>
      </c>
      <c r="BS6" s="30" t="s">
        <v>238</v>
      </c>
      <c r="BT6" s="31" t="s">
        <v>163</v>
      </c>
      <c r="BU6" s="30" t="s">
        <v>158</v>
      </c>
      <c r="BV6" s="30" t="s">
        <v>159</v>
      </c>
      <c r="BW6" s="30" t="s">
        <v>160</v>
      </c>
      <c r="BX6" s="30" t="s">
        <v>161</v>
      </c>
      <c r="BY6" s="30" t="s">
        <v>238</v>
      </c>
      <c r="BZ6" s="31" t="s">
        <v>164</v>
      </c>
      <c r="CA6" s="30" t="s">
        <v>158</v>
      </c>
      <c r="CB6" s="30" t="s">
        <v>159</v>
      </c>
      <c r="CC6" s="30" t="s">
        <v>160</v>
      </c>
      <c r="CD6" s="30" t="s">
        <v>161</v>
      </c>
      <c r="CE6" s="30" t="s">
        <v>238</v>
      </c>
      <c r="CF6" s="31" t="s">
        <v>308</v>
      </c>
      <c r="CG6" s="30" t="s">
        <v>158</v>
      </c>
      <c r="CH6" s="30" t="s">
        <v>159</v>
      </c>
      <c r="CI6" s="30" t="s">
        <v>160</v>
      </c>
      <c r="CJ6" s="30" t="s">
        <v>161</v>
      </c>
      <c r="CK6" s="30" t="s">
        <v>238</v>
      </c>
      <c r="CL6" s="31" t="s">
        <v>309</v>
      </c>
      <c r="CM6" s="30" t="s">
        <v>165</v>
      </c>
      <c r="CN6" s="30" t="s">
        <v>166</v>
      </c>
      <c r="CO6" s="30" t="s">
        <v>167</v>
      </c>
      <c r="CP6" s="30" t="s">
        <v>168</v>
      </c>
      <c r="CQ6" s="30" t="s">
        <v>239</v>
      </c>
      <c r="CR6" s="25" t="s">
        <v>169</v>
      </c>
      <c r="CS6" s="5" t="s">
        <v>170</v>
      </c>
      <c r="CT6" s="31" t="s">
        <v>171</v>
      </c>
      <c r="CU6" s="6" t="s">
        <v>172</v>
      </c>
      <c r="CV6" s="6" t="s">
        <v>173</v>
      </c>
      <c r="CW6" s="6" t="s">
        <v>174</v>
      </c>
      <c r="CX6" s="6" t="s">
        <v>175</v>
      </c>
      <c r="CY6" s="32" t="s">
        <v>176</v>
      </c>
      <c r="CZ6" s="6" t="s">
        <v>177</v>
      </c>
      <c r="DA6" s="6" t="s">
        <v>310</v>
      </c>
      <c r="DB6" s="6" t="s">
        <v>311</v>
      </c>
      <c r="DC6" s="6" t="s">
        <v>178</v>
      </c>
      <c r="DD6" s="6" t="s">
        <v>7</v>
      </c>
      <c r="DE6" s="7"/>
      <c r="DF6" s="52" t="s">
        <v>172</v>
      </c>
      <c r="DG6" s="53" t="s">
        <v>179</v>
      </c>
      <c r="DH6" s="7"/>
      <c r="DI6" s="7"/>
    </row>
    <row r="7" spans="1:114" ht="14.5" x14ac:dyDescent="0.35">
      <c r="A7" s="63">
        <v>40459084</v>
      </c>
      <c r="B7" s="3" t="s">
        <v>797</v>
      </c>
      <c r="C7" s="3">
        <v>269483701</v>
      </c>
      <c r="D7" s="3" t="s">
        <v>93</v>
      </c>
      <c r="G7" s="38">
        <v>911867.62</v>
      </c>
      <c r="J7" s="33">
        <f>VLOOKUP($B7,'IMS Commission List'!E:CE,79,0)/100</f>
        <v>0.15</v>
      </c>
      <c r="K7" s="79">
        <f t="shared" ref="K7:K38" si="0">SUM(E7:I7)</f>
        <v>911867.62</v>
      </c>
      <c r="L7" s="3" t="str">
        <f>VLOOKUP($B7,'IMS Commission List'!E:V,18,0)</f>
        <v>ARS</v>
      </c>
      <c r="M7" s="3">
        <v>1</v>
      </c>
      <c r="N7" s="3" t="str">
        <f>VLOOKUP($B7,'IMS Commission List'!E:T,16,0)</f>
        <v>MX</v>
      </c>
      <c r="O7" s="54">
        <f>VLOOKUP($B7,'IMS Commission List'!E:CF,80,0)</f>
        <v>4.9000000000000002E-2</v>
      </c>
      <c r="P7" s="54">
        <f>VLOOKUP($B7,'IMS Commission List'!E:CG,81,0)</f>
        <v>0.1575</v>
      </c>
      <c r="Q7" s="54">
        <f>VLOOKUP($B7,'IMS Commission List'!E:CP,90,0)</f>
        <v>0.03</v>
      </c>
      <c r="R7" s="54">
        <f>VLOOKUP($B7,'IMS Commission List'!E:CQ,91,0)</f>
        <v>0.04</v>
      </c>
      <c r="S7" s="47">
        <f t="shared" ref="S7:S38" si="1">$E7*$M7</f>
        <v>0</v>
      </c>
      <c r="T7" s="48">
        <f t="shared" ref="T7:T38" si="2">$F7*$M7</f>
        <v>0</v>
      </c>
      <c r="U7" s="48">
        <f t="shared" ref="U7:U38" si="3">$G7*$M7</f>
        <v>911867.62</v>
      </c>
      <c r="V7" s="48">
        <f t="shared" ref="V7:V38" si="4">$H7*$M7</f>
        <v>0</v>
      </c>
      <c r="W7" s="48">
        <f t="shared" ref="W7:W38" si="5">$I7*$M7</f>
        <v>0</v>
      </c>
      <c r="X7" s="49">
        <f t="shared" ref="X7:X38" si="6">$K7*$M7</f>
        <v>911867.62</v>
      </c>
      <c r="Y7" s="49">
        <f t="shared" ref="Y7:Y38" si="7">(S7*$O7)*(1-J7)</f>
        <v>0</v>
      </c>
      <c r="Z7" s="49">
        <f t="shared" ref="Z7:Z38" si="8">(T7*$O7)*(1-J7)</f>
        <v>0</v>
      </c>
      <c r="AA7" s="49">
        <f t="shared" ref="AA7:AA38" si="9">(U7*$O7)*(1-J7)</f>
        <v>37979.286373000003</v>
      </c>
      <c r="AB7" s="49">
        <f t="shared" ref="AB7:AB38" si="10">(V7*$O7)*(1-J7)</f>
        <v>0</v>
      </c>
      <c r="AC7" s="49">
        <f t="shared" ref="AC7:AC38" si="11">(W7*$O7)*(1-J7)</f>
        <v>0</v>
      </c>
      <c r="AD7" s="49">
        <f t="shared" ref="AD7:AD38" si="12">SUM(Y7:AC7)</f>
        <v>37979.286373000003</v>
      </c>
      <c r="AE7" s="49">
        <f t="shared" ref="AE7:AE38" si="13">S7*$J7</f>
        <v>0</v>
      </c>
      <c r="AF7" s="49">
        <f t="shared" ref="AF7:AF38" si="14">T7*$J7</f>
        <v>0</v>
      </c>
      <c r="AG7" s="49">
        <f t="shared" ref="AG7:AG38" si="15">U7*$J7</f>
        <v>136780.14299999998</v>
      </c>
      <c r="AH7" s="49">
        <f t="shared" ref="AH7:AH38" si="16">V7*$J7</f>
        <v>0</v>
      </c>
      <c r="AI7" s="49">
        <f t="shared" ref="AI7:AI38" si="17">W7*$J7</f>
        <v>0</v>
      </c>
      <c r="AJ7" s="49">
        <f t="shared" ref="AJ7:AJ38" si="18">SUM(AE7:AI7)</f>
        <v>136780.14299999998</v>
      </c>
      <c r="AK7" s="49">
        <f t="shared" ref="AK7:AK38" si="19">($P7*S7)*(1-$J7)</f>
        <v>0</v>
      </c>
      <c r="AL7" s="49">
        <f t="shared" ref="AL7:AL38" si="20">($P7*T7)*(1-$J7)</f>
        <v>0</v>
      </c>
      <c r="AM7" s="49">
        <f t="shared" ref="AM7:AM38" si="21">($P7*U7)*(1-$J7)</f>
        <v>122076.27762749999</v>
      </c>
      <c r="AN7" s="49">
        <f t="shared" ref="AN7:AN38" si="22">($P7*V7)*(1-$J7)</f>
        <v>0</v>
      </c>
      <c r="AO7" s="49">
        <f t="shared" ref="AO7:AO38" si="23">($P7*W7)*(1-$J7)</f>
        <v>0</v>
      </c>
      <c r="AP7" s="49">
        <f t="shared" ref="AP7:AP38" si="24">SUM(AK7:AO7)</f>
        <v>122076.27762749999</v>
      </c>
      <c r="AQ7" s="49">
        <f t="shared" ref="AQ7:AQ38" si="25">S7*$Q7</f>
        <v>0</v>
      </c>
      <c r="AR7" s="49">
        <f t="shared" ref="AR7:AR38" si="26">T7*$Q7</f>
        <v>0</v>
      </c>
      <c r="AS7" s="49">
        <f t="shared" ref="AS7:AS38" si="27">U7*$Q7</f>
        <v>27356.028599999998</v>
      </c>
      <c r="AT7" s="49">
        <f t="shared" ref="AT7:AT38" si="28">V7*$Q7</f>
        <v>0</v>
      </c>
      <c r="AU7" s="49">
        <f t="shared" ref="AU7:AU38" si="29">W7*$Q7</f>
        <v>0</v>
      </c>
      <c r="AV7" s="49">
        <f t="shared" ref="AV7:AV38" si="30">SUM(AQ7:AU7)</f>
        <v>27356.028599999998</v>
      </c>
      <c r="AW7" s="49">
        <f t="shared" ref="AW7:AW38" si="31">S7*$R7</f>
        <v>0</v>
      </c>
      <c r="AX7" s="49">
        <f t="shared" ref="AX7:AX38" si="32">T7*$R7</f>
        <v>0</v>
      </c>
      <c r="AY7" s="49">
        <f t="shared" ref="AY7:AY38" si="33">U7*$R7</f>
        <v>36474.7048</v>
      </c>
      <c r="AZ7" s="49">
        <f t="shared" ref="AZ7:AZ38" si="34">V7*$R7</f>
        <v>0</v>
      </c>
      <c r="BA7" s="49">
        <f t="shared" ref="BA7:BA38" si="35">W7*$R7</f>
        <v>0</v>
      </c>
      <c r="BB7" s="49">
        <f t="shared" ref="BB7:BB38" si="36">SUM(AW7:BA7)</f>
        <v>36474.7048</v>
      </c>
      <c r="BC7" s="49">
        <f t="shared" ref="BC7:BC38" si="37">$Y7+$AE7+$AK7+$AQ7+AW7</f>
        <v>0</v>
      </c>
      <c r="BD7" s="49">
        <f t="shared" ref="BD7:BD38" si="38">$Z7+$AF7+$AL7+AR7+AX7</f>
        <v>0</v>
      </c>
      <c r="BE7" s="49">
        <f t="shared" ref="BE7:BE38" si="39">$AA7+$AG7+$AM7+AS7+AY7</f>
        <v>360666.44040050003</v>
      </c>
      <c r="BF7" s="49">
        <f t="shared" ref="BF7:BF38" si="40">$AB7+$AH7+$AN7+AT7+AZ7</f>
        <v>0</v>
      </c>
      <c r="BG7" s="49">
        <f t="shared" ref="BG7:BG38" si="41">$AC7+$AI7+$AO7+AU7+BA7</f>
        <v>0</v>
      </c>
      <c r="BH7" s="49">
        <f t="shared" ref="BH7:BH38" si="42">SUM(BC7:BG7)</f>
        <v>360666.44040050003</v>
      </c>
      <c r="BI7" s="49">
        <f t="shared" ref="BI7:BI38" si="43">$Y7/$M7</f>
        <v>0</v>
      </c>
      <c r="BJ7" s="49">
        <f t="shared" ref="BJ7:BJ38" si="44">$Z7/$M7</f>
        <v>0</v>
      </c>
      <c r="BK7" s="49">
        <f t="shared" ref="BK7:BK38" si="45">$AA7/$M7</f>
        <v>37979.286373000003</v>
      </c>
      <c r="BL7" s="49">
        <f t="shared" ref="BL7:BL38" si="46">$AB7/$M7</f>
        <v>0</v>
      </c>
      <c r="BM7" s="49">
        <f t="shared" ref="BM7:BM38" si="47">$AC7/$M7</f>
        <v>0</v>
      </c>
      <c r="BN7" s="49">
        <f t="shared" ref="BN7:BN38" si="48">$AD7/$M7</f>
        <v>37979.286373000003</v>
      </c>
      <c r="BO7" s="49">
        <f t="shared" ref="BO7:BO38" si="49">$AE7/$M7</f>
        <v>0</v>
      </c>
      <c r="BP7" s="49">
        <f t="shared" ref="BP7:BP38" si="50">$AF7/$M7</f>
        <v>0</v>
      </c>
      <c r="BQ7" s="49">
        <f t="shared" ref="BQ7:BQ38" si="51">$AG7/$M7</f>
        <v>136780.14299999998</v>
      </c>
      <c r="BR7" s="49">
        <f t="shared" ref="BR7:BR38" si="52">$AH7/$M7</f>
        <v>0</v>
      </c>
      <c r="BS7" s="49">
        <f t="shared" ref="BS7:BS38" si="53">$AI7/$M7</f>
        <v>0</v>
      </c>
      <c r="BT7" s="49">
        <f t="shared" ref="BT7:BT38" si="54">$AJ7/$M7</f>
        <v>136780.14299999998</v>
      </c>
      <c r="BU7" s="49">
        <f t="shared" ref="BU7:BU38" si="55">$AK7/$M7</f>
        <v>0</v>
      </c>
      <c r="BV7" s="49">
        <f t="shared" ref="BV7:BV38" si="56">$AL7/$M7</f>
        <v>0</v>
      </c>
      <c r="BW7" s="49">
        <f t="shared" ref="BW7:BW38" si="57">$AM7/$M7</f>
        <v>122076.27762749999</v>
      </c>
      <c r="BX7" s="49">
        <f t="shared" ref="BX7:BX38" si="58">$AN7/$M7</f>
        <v>0</v>
      </c>
      <c r="BY7" s="49">
        <f t="shared" ref="BY7:BY38" si="59">$AO7/$M7</f>
        <v>0</v>
      </c>
      <c r="BZ7" s="49">
        <f t="shared" ref="BZ7:BZ38" si="60">$AP7/$M7</f>
        <v>122076.27762749999</v>
      </c>
      <c r="CA7" s="49">
        <f t="shared" ref="CA7:CA38" si="61">AQ7/$M7</f>
        <v>0</v>
      </c>
      <c r="CB7" s="49">
        <f t="shared" ref="CB7:CB38" si="62">AR7/$M7</f>
        <v>0</v>
      </c>
      <c r="CC7" s="49">
        <f t="shared" ref="CC7:CC38" si="63">AS7/$M7</f>
        <v>27356.028599999998</v>
      </c>
      <c r="CD7" s="49">
        <f t="shared" ref="CD7:CD38" si="64">AT7/$M7</f>
        <v>0</v>
      </c>
      <c r="CE7" s="49">
        <f t="shared" ref="CE7:CE38" si="65">AU7/$M7</f>
        <v>0</v>
      </c>
      <c r="CF7" s="49">
        <f t="shared" ref="CF7:CF38" si="66">AV7/$M7</f>
        <v>27356.028599999998</v>
      </c>
      <c r="CG7" s="49">
        <f t="shared" ref="CG7:CG38" si="67">AW7/$M7</f>
        <v>0</v>
      </c>
      <c r="CH7" s="49">
        <f t="shared" ref="CH7:CH38" si="68">AX7/$M7</f>
        <v>0</v>
      </c>
      <c r="CI7" s="49">
        <f t="shared" ref="CI7:CI38" si="69">AY7/$M7</f>
        <v>36474.7048</v>
      </c>
      <c r="CJ7" s="49">
        <f t="shared" ref="CJ7:CJ38" si="70">AZ7/$M7</f>
        <v>0</v>
      </c>
      <c r="CK7" s="49">
        <f t="shared" ref="CK7:CK38" si="71">BA7/$M7</f>
        <v>0</v>
      </c>
      <c r="CL7" s="49">
        <f t="shared" ref="CL7:CL38" si="72">BB7/$M7</f>
        <v>36474.7048</v>
      </c>
      <c r="CM7" s="49">
        <f t="shared" ref="CM7:CM38" si="73">$BC7/$M7</f>
        <v>0</v>
      </c>
      <c r="CN7" s="49">
        <f t="shared" ref="CN7:CN38" si="74">$BD7/$M7</f>
        <v>0</v>
      </c>
      <c r="CO7" s="49">
        <f t="shared" ref="CO7:CO38" si="75">$BE7/$M7</f>
        <v>360666.44040050003</v>
      </c>
      <c r="CP7" s="49">
        <f t="shared" ref="CP7:CP38" si="76">$BF7/$M7</f>
        <v>0</v>
      </c>
      <c r="CQ7" s="49">
        <f t="shared" ref="CQ7:CQ38" si="77">$BG7/$M7</f>
        <v>0</v>
      </c>
      <c r="CR7" s="81">
        <f t="shared" ref="CR7:CR38" si="78">SUM(CM7:CQ7)</f>
        <v>360666.44040050003</v>
      </c>
      <c r="CS7" s="80">
        <f t="shared" ref="CS7:CS38" si="79">K7-CR7</f>
        <v>551201.17959950003</v>
      </c>
      <c r="CT7" s="54"/>
      <c r="CU7" s="3" t="str">
        <f t="shared" ref="CU7:CU38" si="80">D7</f>
        <v>ARS</v>
      </c>
      <c r="CV7" s="3">
        <f>VLOOKUP(CU7,DF:DG,2,0)</f>
        <v>6.9185169999999997E-4</v>
      </c>
      <c r="CW7" s="23">
        <f t="shared" ref="CW7:CW38" si="81">K7*CV7</f>
        <v>630.87716307195399</v>
      </c>
      <c r="CX7" s="23">
        <f t="shared" ref="CX7:CX38" si="82">BN7*CV7</f>
        <v>26.276033841946884</v>
      </c>
      <c r="CY7" s="23">
        <f t="shared" ref="CY7:CY38" si="83">BT7*CV7</f>
        <v>94.63157446079309</v>
      </c>
      <c r="CZ7" s="23">
        <f t="shared" ref="CZ7:CZ38" si="84">BZ7*CV7</f>
        <v>84.458680206257839</v>
      </c>
      <c r="DA7" s="23">
        <f t="shared" ref="DA7:DA38" si="85">CF7*CV7</f>
        <v>18.926314892158619</v>
      </c>
      <c r="DB7" s="23">
        <f t="shared" ref="DB7:DB38" si="86">CL7*CV7</f>
        <v>25.235086522878159</v>
      </c>
      <c r="DC7" s="23">
        <f t="shared" ref="DC7:DC38" si="87">CS7*CV7</f>
        <v>381.34947314791941</v>
      </c>
      <c r="DD7" s="34" t="str">
        <f>VLOOKUP(A7,'Billing Report'!H:I,2,FALSE)</f>
        <v>BULL_LEMON_AR_INTERACCION_TW_ALL_BROAD_AO_NEW</v>
      </c>
      <c r="DE7" s="34"/>
      <c r="DF7" s="61" t="s">
        <v>366</v>
      </c>
      <c r="DG7" s="62">
        <v>0.27227702549999999</v>
      </c>
      <c r="DH7"/>
      <c r="DI7" s="41"/>
      <c r="DJ7" s="41"/>
    </row>
    <row r="8" spans="1:114" ht="14.5" x14ac:dyDescent="0.35">
      <c r="A8" s="63">
        <v>40931692</v>
      </c>
      <c r="B8" s="3" t="s">
        <v>562</v>
      </c>
      <c r="C8" s="3">
        <v>275149001</v>
      </c>
      <c r="D8" s="3" t="s">
        <v>93</v>
      </c>
      <c r="G8" s="38">
        <v>900539.44000000006</v>
      </c>
      <c r="J8" s="33">
        <f>VLOOKUP($B8,'IMS Commission List'!E:CE,79,0)/100</f>
        <v>0.15</v>
      </c>
      <c r="K8" s="79">
        <f t="shared" si="0"/>
        <v>900539.44000000006</v>
      </c>
      <c r="L8" s="3" t="str">
        <f>VLOOKUP($B8,'IMS Commission List'!E:V,18,0)</f>
        <v>ARS</v>
      </c>
      <c r="M8" s="3">
        <v>1</v>
      </c>
      <c r="N8" s="3" t="str">
        <f>VLOOKUP($B8,'IMS Commission List'!E:T,16,0)</f>
        <v>MX</v>
      </c>
      <c r="O8" s="54">
        <f>VLOOKUP($B8,'IMS Commission List'!E:CF,80,0)</f>
        <v>4.9000000000000002E-2</v>
      </c>
      <c r="P8" s="54">
        <f>VLOOKUP($B8,'IMS Commission List'!E:CG,81,0)</f>
        <v>0.1575</v>
      </c>
      <c r="Q8" s="54">
        <f>VLOOKUP($B8,'IMS Commission List'!E:CP,90,0)</f>
        <v>0.03</v>
      </c>
      <c r="R8" s="54">
        <f>VLOOKUP($B8,'IMS Commission List'!E:CQ,91,0)</f>
        <v>0.04</v>
      </c>
      <c r="S8" s="47">
        <f t="shared" si="1"/>
        <v>0</v>
      </c>
      <c r="T8" s="48">
        <f t="shared" si="2"/>
        <v>0</v>
      </c>
      <c r="U8" s="48">
        <f t="shared" si="3"/>
        <v>900539.44000000006</v>
      </c>
      <c r="V8" s="48">
        <f t="shared" si="4"/>
        <v>0</v>
      </c>
      <c r="W8" s="48">
        <f t="shared" si="5"/>
        <v>0</v>
      </c>
      <c r="X8" s="49">
        <f t="shared" si="6"/>
        <v>900539.44000000006</v>
      </c>
      <c r="Y8" s="49">
        <f t="shared" si="7"/>
        <v>0</v>
      </c>
      <c r="Z8" s="49">
        <f t="shared" si="8"/>
        <v>0</v>
      </c>
      <c r="AA8" s="49">
        <f t="shared" si="9"/>
        <v>37507.467676</v>
      </c>
      <c r="AB8" s="49">
        <f t="shared" si="10"/>
        <v>0</v>
      </c>
      <c r="AC8" s="49">
        <f t="shared" si="11"/>
        <v>0</v>
      </c>
      <c r="AD8" s="49">
        <f t="shared" si="12"/>
        <v>37507.467676</v>
      </c>
      <c r="AE8" s="49">
        <f t="shared" si="13"/>
        <v>0</v>
      </c>
      <c r="AF8" s="49">
        <f t="shared" si="14"/>
        <v>0</v>
      </c>
      <c r="AG8" s="49">
        <f t="shared" si="15"/>
        <v>135080.916</v>
      </c>
      <c r="AH8" s="49">
        <f t="shared" si="16"/>
        <v>0</v>
      </c>
      <c r="AI8" s="49">
        <f t="shared" si="17"/>
        <v>0</v>
      </c>
      <c r="AJ8" s="49">
        <f t="shared" si="18"/>
        <v>135080.916</v>
      </c>
      <c r="AK8" s="49">
        <f t="shared" si="19"/>
        <v>0</v>
      </c>
      <c r="AL8" s="49">
        <f t="shared" si="20"/>
        <v>0</v>
      </c>
      <c r="AM8" s="49">
        <f t="shared" si="21"/>
        <v>120559.71753000001</v>
      </c>
      <c r="AN8" s="49">
        <f t="shared" si="22"/>
        <v>0</v>
      </c>
      <c r="AO8" s="49">
        <f t="shared" si="23"/>
        <v>0</v>
      </c>
      <c r="AP8" s="49">
        <f t="shared" si="24"/>
        <v>120559.71753000001</v>
      </c>
      <c r="AQ8" s="49">
        <f t="shared" si="25"/>
        <v>0</v>
      </c>
      <c r="AR8" s="49">
        <f t="shared" si="26"/>
        <v>0</v>
      </c>
      <c r="AS8" s="49">
        <f t="shared" si="27"/>
        <v>27016.183199999999</v>
      </c>
      <c r="AT8" s="49">
        <f t="shared" si="28"/>
        <v>0</v>
      </c>
      <c r="AU8" s="49">
        <f t="shared" si="29"/>
        <v>0</v>
      </c>
      <c r="AV8" s="49">
        <f t="shared" si="30"/>
        <v>27016.183199999999</v>
      </c>
      <c r="AW8" s="49">
        <f t="shared" si="31"/>
        <v>0</v>
      </c>
      <c r="AX8" s="49">
        <f t="shared" si="32"/>
        <v>0</v>
      </c>
      <c r="AY8" s="49">
        <f t="shared" si="33"/>
        <v>36021.577600000004</v>
      </c>
      <c r="AZ8" s="49">
        <f t="shared" si="34"/>
        <v>0</v>
      </c>
      <c r="BA8" s="49">
        <f t="shared" si="35"/>
        <v>0</v>
      </c>
      <c r="BB8" s="49">
        <f t="shared" si="36"/>
        <v>36021.577600000004</v>
      </c>
      <c r="BC8" s="49">
        <f t="shared" si="37"/>
        <v>0</v>
      </c>
      <c r="BD8" s="49">
        <f t="shared" si="38"/>
        <v>0</v>
      </c>
      <c r="BE8" s="49">
        <f t="shared" si="39"/>
        <v>356185.86200600007</v>
      </c>
      <c r="BF8" s="49">
        <f t="shared" si="40"/>
        <v>0</v>
      </c>
      <c r="BG8" s="49">
        <f t="shared" si="41"/>
        <v>0</v>
      </c>
      <c r="BH8" s="49">
        <f t="shared" si="42"/>
        <v>356185.86200600007</v>
      </c>
      <c r="BI8" s="49">
        <f t="shared" si="43"/>
        <v>0</v>
      </c>
      <c r="BJ8" s="49">
        <f t="shared" si="44"/>
        <v>0</v>
      </c>
      <c r="BK8" s="49">
        <f t="shared" si="45"/>
        <v>37507.467676</v>
      </c>
      <c r="BL8" s="49">
        <f t="shared" si="46"/>
        <v>0</v>
      </c>
      <c r="BM8" s="49">
        <f t="shared" si="47"/>
        <v>0</v>
      </c>
      <c r="BN8" s="49">
        <f t="shared" si="48"/>
        <v>37507.467676</v>
      </c>
      <c r="BO8" s="49">
        <f t="shared" si="49"/>
        <v>0</v>
      </c>
      <c r="BP8" s="49">
        <f t="shared" si="50"/>
        <v>0</v>
      </c>
      <c r="BQ8" s="49">
        <f t="shared" si="51"/>
        <v>135080.916</v>
      </c>
      <c r="BR8" s="49">
        <f t="shared" si="52"/>
        <v>0</v>
      </c>
      <c r="BS8" s="49">
        <f t="shared" si="53"/>
        <v>0</v>
      </c>
      <c r="BT8" s="49">
        <f t="shared" si="54"/>
        <v>135080.916</v>
      </c>
      <c r="BU8" s="49">
        <f t="shared" si="55"/>
        <v>0</v>
      </c>
      <c r="BV8" s="49">
        <f t="shared" si="56"/>
        <v>0</v>
      </c>
      <c r="BW8" s="49">
        <f t="shared" si="57"/>
        <v>120559.71753000001</v>
      </c>
      <c r="BX8" s="49">
        <f t="shared" si="58"/>
        <v>0</v>
      </c>
      <c r="BY8" s="49">
        <f t="shared" si="59"/>
        <v>0</v>
      </c>
      <c r="BZ8" s="49">
        <f t="shared" si="60"/>
        <v>120559.71753000001</v>
      </c>
      <c r="CA8" s="49">
        <f t="shared" si="61"/>
        <v>0</v>
      </c>
      <c r="CB8" s="49">
        <f t="shared" si="62"/>
        <v>0</v>
      </c>
      <c r="CC8" s="49">
        <f t="shared" si="63"/>
        <v>27016.183199999999</v>
      </c>
      <c r="CD8" s="49">
        <f t="shared" si="64"/>
        <v>0</v>
      </c>
      <c r="CE8" s="49">
        <f t="shared" si="65"/>
        <v>0</v>
      </c>
      <c r="CF8" s="49">
        <f t="shared" si="66"/>
        <v>27016.183199999999</v>
      </c>
      <c r="CG8" s="49">
        <f t="shared" si="67"/>
        <v>0</v>
      </c>
      <c r="CH8" s="49">
        <f t="shared" si="68"/>
        <v>0</v>
      </c>
      <c r="CI8" s="49">
        <f t="shared" si="69"/>
        <v>36021.577600000004</v>
      </c>
      <c r="CJ8" s="49">
        <f t="shared" si="70"/>
        <v>0</v>
      </c>
      <c r="CK8" s="49">
        <f t="shared" si="71"/>
        <v>0</v>
      </c>
      <c r="CL8" s="49">
        <f t="shared" si="72"/>
        <v>36021.577600000004</v>
      </c>
      <c r="CM8" s="49">
        <f t="shared" si="73"/>
        <v>0</v>
      </c>
      <c r="CN8" s="49">
        <f t="shared" si="74"/>
        <v>0</v>
      </c>
      <c r="CO8" s="49">
        <f t="shared" si="75"/>
        <v>356185.86200600007</v>
      </c>
      <c r="CP8" s="49">
        <f t="shared" si="76"/>
        <v>0</v>
      </c>
      <c r="CQ8" s="49">
        <f t="shared" si="77"/>
        <v>0</v>
      </c>
      <c r="CR8" s="81">
        <f t="shared" si="78"/>
        <v>356185.86200600007</v>
      </c>
      <c r="CS8" s="80">
        <f t="shared" si="79"/>
        <v>544353.57799399993</v>
      </c>
      <c r="CT8" s="54"/>
      <c r="CU8" s="3" t="str">
        <f t="shared" si="80"/>
        <v>ARS</v>
      </c>
      <c r="CV8" s="3">
        <f>VLOOKUP(CU8,DF:DG,2,0)</f>
        <v>6.9185169999999997E-4</v>
      </c>
      <c r="CW8" s="23">
        <f t="shared" si="81"/>
        <v>623.03974248104805</v>
      </c>
      <c r="CX8" s="23">
        <f t="shared" si="82"/>
        <v>25.949605274335649</v>
      </c>
      <c r="CY8" s="23">
        <f t="shared" si="83"/>
        <v>93.455961372157191</v>
      </c>
      <c r="CZ8" s="23">
        <f t="shared" si="84"/>
        <v>83.409445524650309</v>
      </c>
      <c r="DA8" s="23">
        <f t="shared" si="85"/>
        <v>18.69119227443144</v>
      </c>
      <c r="DB8" s="23">
        <f t="shared" si="86"/>
        <v>24.92158969924192</v>
      </c>
      <c r="DC8" s="23">
        <f t="shared" si="87"/>
        <v>376.61194833623142</v>
      </c>
      <c r="DD8" s="34" t="str">
        <f>VLOOKUP(A8,'Billing Report'!H:I,2,FALSE)</f>
        <v>OT467   Vuelta al cole - Alcance - TWITTER</v>
      </c>
      <c r="DE8" s="34"/>
      <c r="DF8" s="61" t="s">
        <v>365</v>
      </c>
      <c r="DG8" s="62">
        <v>1.23296459E-2</v>
      </c>
      <c r="DH8"/>
      <c r="DI8" s="41"/>
      <c r="DJ8" s="41"/>
    </row>
    <row r="9" spans="1:114" ht="14.5" x14ac:dyDescent="0.35">
      <c r="A9" s="63">
        <v>40888664</v>
      </c>
      <c r="B9" s="3" t="s">
        <v>562</v>
      </c>
      <c r="C9" s="3">
        <v>275149001</v>
      </c>
      <c r="D9" s="3" t="s">
        <v>93</v>
      </c>
      <c r="G9" s="38">
        <v>162996.65000000002</v>
      </c>
      <c r="J9" s="33">
        <f>VLOOKUP($B9,'IMS Commission List'!E:CE,79,0)/100</f>
        <v>0.15</v>
      </c>
      <c r="K9" s="79">
        <f t="shared" si="0"/>
        <v>162996.65000000002</v>
      </c>
      <c r="L9" s="3" t="str">
        <f>VLOOKUP($B9,'IMS Commission List'!E:V,18,0)</f>
        <v>ARS</v>
      </c>
      <c r="M9" s="3">
        <v>1</v>
      </c>
      <c r="N9" s="3" t="str">
        <f>VLOOKUP($B9,'IMS Commission List'!E:T,16,0)</f>
        <v>MX</v>
      </c>
      <c r="O9" s="54">
        <f>VLOOKUP($B9,'IMS Commission List'!E:CF,80,0)</f>
        <v>4.9000000000000002E-2</v>
      </c>
      <c r="P9" s="54">
        <f>VLOOKUP($B9,'IMS Commission List'!E:CG,81,0)</f>
        <v>0.1575</v>
      </c>
      <c r="Q9" s="54">
        <f>VLOOKUP($B9,'IMS Commission List'!E:CP,90,0)</f>
        <v>0.03</v>
      </c>
      <c r="R9" s="54">
        <f>VLOOKUP($B9,'IMS Commission List'!E:CQ,91,0)</f>
        <v>0.04</v>
      </c>
      <c r="S9" s="47">
        <f t="shared" si="1"/>
        <v>0</v>
      </c>
      <c r="T9" s="48">
        <f t="shared" si="2"/>
        <v>0</v>
      </c>
      <c r="U9" s="48">
        <f t="shared" si="3"/>
        <v>162996.65000000002</v>
      </c>
      <c r="V9" s="48">
        <f t="shared" si="4"/>
        <v>0</v>
      </c>
      <c r="W9" s="48">
        <f t="shared" si="5"/>
        <v>0</v>
      </c>
      <c r="X9" s="49">
        <f t="shared" si="6"/>
        <v>162996.65000000002</v>
      </c>
      <c r="Y9" s="49">
        <f t="shared" si="7"/>
        <v>0</v>
      </c>
      <c r="Z9" s="49">
        <f t="shared" si="8"/>
        <v>0</v>
      </c>
      <c r="AA9" s="49">
        <f t="shared" si="9"/>
        <v>6788.8104725000012</v>
      </c>
      <c r="AB9" s="49">
        <f t="shared" si="10"/>
        <v>0</v>
      </c>
      <c r="AC9" s="49">
        <f t="shared" si="11"/>
        <v>0</v>
      </c>
      <c r="AD9" s="49">
        <f t="shared" si="12"/>
        <v>6788.8104725000012</v>
      </c>
      <c r="AE9" s="49">
        <f t="shared" si="13"/>
        <v>0</v>
      </c>
      <c r="AF9" s="49">
        <f t="shared" si="14"/>
        <v>0</v>
      </c>
      <c r="AG9" s="49">
        <f t="shared" si="15"/>
        <v>24449.497500000001</v>
      </c>
      <c r="AH9" s="49">
        <f t="shared" si="16"/>
        <v>0</v>
      </c>
      <c r="AI9" s="49">
        <f t="shared" si="17"/>
        <v>0</v>
      </c>
      <c r="AJ9" s="49">
        <f t="shared" si="18"/>
        <v>24449.497500000001</v>
      </c>
      <c r="AK9" s="49">
        <f t="shared" si="19"/>
        <v>0</v>
      </c>
      <c r="AL9" s="49">
        <f t="shared" si="20"/>
        <v>0</v>
      </c>
      <c r="AM9" s="49">
        <f t="shared" si="21"/>
        <v>21821.176518750002</v>
      </c>
      <c r="AN9" s="49">
        <f t="shared" si="22"/>
        <v>0</v>
      </c>
      <c r="AO9" s="49">
        <f t="shared" si="23"/>
        <v>0</v>
      </c>
      <c r="AP9" s="49">
        <f t="shared" si="24"/>
        <v>21821.176518750002</v>
      </c>
      <c r="AQ9" s="49">
        <f t="shared" si="25"/>
        <v>0</v>
      </c>
      <c r="AR9" s="49">
        <f t="shared" si="26"/>
        <v>0</v>
      </c>
      <c r="AS9" s="49">
        <f t="shared" si="27"/>
        <v>4889.8995000000004</v>
      </c>
      <c r="AT9" s="49">
        <f t="shared" si="28"/>
        <v>0</v>
      </c>
      <c r="AU9" s="49">
        <f t="shared" si="29"/>
        <v>0</v>
      </c>
      <c r="AV9" s="49">
        <f t="shared" si="30"/>
        <v>4889.8995000000004</v>
      </c>
      <c r="AW9" s="49">
        <f t="shared" si="31"/>
        <v>0</v>
      </c>
      <c r="AX9" s="49">
        <f t="shared" si="32"/>
        <v>0</v>
      </c>
      <c r="AY9" s="49">
        <f t="shared" si="33"/>
        <v>6519.8660000000009</v>
      </c>
      <c r="AZ9" s="49">
        <f t="shared" si="34"/>
        <v>0</v>
      </c>
      <c r="BA9" s="49">
        <f t="shared" si="35"/>
        <v>0</v>
      </c>
      <c r="BB9" s="49">
        <f t="shared" si="36"/>
        <v>6519.8660000000009</v>
      </c>
      <c r="BC9" s="49">
        <f t="shared" si="37"/>
        <v>0</v>
      </c>
      <c r="BD9" s="49">
        <f t="shared" si="38"/>
        <v>0</v>
      </c>
      <c r="BE9" s="49">
        <f t="shared" si="39"/>
        <v>64469.249991250006</v>
      </c>
      <c r="BF9" s="49">
        <f t="shared" si="40"/>
        <v>0</v>
      </c>
      <c r="BG9" s="49">
        <f t="shared" si="41"/>
        <v>0</v>
      </c>
      <c r="BH9" s="49">
        <f t="shared" si="42"/>
        <v>64469.249991250006</v>
      </c>
      <c r="BI9" s="49">
        <f t="shared" si="43"/>
        <v>0</v>
      </c>
      <c r="BJ9" s="49">
        <f t="shared" si="44"/>
        <v>0</v>
      </c>
      <c r="BK9" s="49">
        <f t="shared" si="45"/>
        <v>6788.8104725000012</v>
      </c>
      <c r="BL9" s="49">
        <f t="shared" si="46"/>
        <v>0</v>
      </c>
      <c r="BM9" s="49">
        <f t="shared" si="47"/>
        <v>0</v>
      </c>
      <c r="BN9" s="49">
        <f t="shared" si="48"/>
        <v>6788.8104725000012</v>
      </c>
      <c r="BO9" s="49">
        <f t="shared" si="49"/>
        <v>0</v>
      </c>
      <c r="BP9" s="49">
        <f t="shared" si="50"/>
        <v>0</v>
      </c>
      <c r="BQ9" s="49">
        <f t="shared" si="51"/>
        <v>24449.497500000001</v>
      </c>
      <c r="BR9" s="49">
        <f t="shared" si="52"/>
        <v>0</v>
      </c>
      <c r="BS9" s="49">
        <f t="shared" si="53"/>
        <v>0</v>
      </c>
      <c r="BT9" s="49">
        <f t="shared" si="54"/>
        <v>24449.497500000001</v>
      </c>
      <c r="BU9" s="49">
        <f t="shared" si="55"/>
        <v>0</v>
      </c>
      <c r="BV9" s="49">
        <f t="shared" si="56"/>
        <v>0</v>
      </c>
      <c r="BW9" s="49">
        <f t="shared" si="57"/>
        <v>21821.176518750002</v>
      </c>
      <c r="BX9" s="49">
        <f t="shared" si="58"/>
        <v>0</v>
      </c>
      <c r="BY9" s="49">
        <f t="shared" si="59"/>
        <v>0</v>
      </c>
      <c r="BZ9" s="49">
        <f t="shared" si="60"/>
        <v>21821.176518750002</v>
      </c>
      <c r="CA9" s="49">
        <f t="shared" si="61"/>
        <v>0</v>
      </c>
      <c r="CB9" s="49">
        <f t="shared" si="62"/>
        <v>0</v>
      </c>
      <c r="CC9" s="49">
        <f t="shared" si="63"/>
        <v>4889.8995000000004</v>
      </c>
      <c r="CD9" s="49">
        <f t="shared" si="64"/>
        <v>0</v>
      </c>
      <c r="CE9" s="49">
        <f t="shared" si="65"/>
        <v>0</v>
      </c>
      <c r="CF9" s="49">
        <f t="shared" si="66"/>
        <v>4889.8995000000004</v>
      </c>
      <c r="CG9" s="49">
        <f t="shared" si="67"/>
        <v>0</v>
      </c>
      <c r="CH9" s="49">
        <f t="shared" si="68"/>
        <v>0</v>
      </c>
      <c r="CI9" s="49">
        <f t="shared" si="69"/>
        <v>6519.8660000000009</v>
      </c>
      <c r="CJ9" s="49">
        <f t="shared" si="70"/>
        <v>0</v>
      </c>
      <c r="CK9" s="49">
        <f t="shared" si="71"/>
        <v>0</v>
      </c>
      <c r="CL9" s="49">
        <f t="shared" si="72"/>
        <v>6519.8660000000009</v>
      </c>
      <c r="CM9" s="49">
        <f t="shared" si="73"/>
        <v>0</v>
      </c>
      <c r="CN9" s="49">
        <f t="shared" si="74"/>
        <v>0</v>
      </c>
      <c r="CO9" s="49">
        <f t="shared" si="75"/>
        <v>64469.249991250006</v>
      </c>
      <c r="CP9" s="49">
        <f t="shared" si="76"/>
        <v>0</v>
      </c>
      <c r="CQ9" s="49">
        <f t="shared" si="77"/>
        <v>0</v>
      </c>
      <c r="CR9" s="81">
        <f t="shared" si="78"/>
        <v>64469.249991250006</v>
      </c>
      <c r="CS9" s="80">
        <f t="shared" si="79"/>
        <v>98527.400008750017</v>
      </c>
      <c r="CT9" s="54"/>
      <c r="CU9" s="3" t="str">
        <f t="shared" si="80"/>
        <v>ARS</v>
      </c>
      <c r="CV9" s="3">
        <f>VLOOKUP(CU9,DF:DG,2,0)</f>
        <v>6.9185169999999997E-4</v>
      </c>
      <c r="CW9" s="23">
        <f t="shared" si="81"/>
        <v>112.76950939680501</v>
      </c>
      <c r="CX9" s="23">
        <f t="shared" si="82"/>
        <v>4.6968500663769293</v>
      </c>
      <c r="CY9" s="23">
        <f t="shared" si="83"/>
        <v>16.915426409520752</v>
      </c>
      <c r="CZ9" s="23">
        <f t="shared" si="84"/>
        <v>15.097018070497271</v>
      </c>
      <c r="DA9" s="23">
        <f t="shared" si="85"/>
        <v>3.3830852819041501</v>
      </c>
      <c r="DB9" s="23">
        <f t="shared" si="86"/>
        <v>4.5107803758722005</v>
      </c>
      <c r="DC9" s="23">
        <f t="shared" si="87"/>
        <v>68.166349192633717</v>
      </c>
      <c r="DD9" s="34" t="str">
        <f>VLOOKUP(A9,'Billing Report'!H:I,2,FALSE)</f>
        <v>OT470   Inversiones Feb26 - Tráfico - TWITTER</v>
      </c>
      <c r="DE9" s="34"/>
      <c r="DF9" s="61" t="s">
        <v>93</v>
      </c>
      <c r="DG9" s="62">
        <v>6.9185169999999997E-4</v>
      </c>
      <c r="DH9"/>
      <c r="DI9" s="41"/>
      <c r="DJ9" s="41"/>
    </row>
    <row r="10" spans="1:114" ht="14.5" x14ac:dyDescent="0.35">
      <c r="A10" s="63">
        <v>40888662</v>
      </c>
      <c r="B10" s="3" t="s">
        <v>562</v>
      </c>
      <c r="C10" s="3">
        <v>275149001</v>
      </c>
      <c r="D10" s="3" t="s">
        <v>93</v>
      </c>
      <c r="G10" s="38">
        <v>102565.52</v>
      </c>
      <c r="J10" s="33">
        <f>VLOOKUP($B10,'IMS Commission List'!E:CE,79,0)/100</f>
        <v>0.15</v>
      </c>
      <c r="K10" s="79">
        <f t="shared" si="0"/>
        <v>102565.52</v>
      </c>
      <c r="L10" s="3" t="str">
        <f>VLOOKUP($B10,'IMS Commission List'!E:V,18,0)</f>
        <v>ARS</v>
      </c>
      <c r="M10" s="3">
        <v>1</v>
      </c>
      <c r="N10" s="3" t="str">
        <f>VLOOKUP($B10,'IMS Commission List'!E:T,16,0)</f>
        <v>MX</v>
      </c>
      <c r="O10" s="54">
        <f>VLOOKUP($B10,'IMS Commission List'!E:CF,80,0)</f>
        <v>4.9000000000000002E-2</v>
      </c>
      <c r="P10" s="54">
        <f>VLOOKUP($B10,'IMS Commission List'!E:CG,81,0)</f>
        <v>0.1575</v>
      </c>
      <c r="Q10" s="54">
        <f>VLOOKUP($B10,'IMS Commission List'!E:CP,90,0)</f>
        <v>0.03</v>
      </c>
      <c r="R10" s="54">
        <f>VLOOKUP($B10,'IMS Commission List'!E:CQ,91,0)</f>
        <v>0.04</v>
      </c>
      <c r="S10" s="47">
        <f t="shared" si="1"/>
        <v>0</v>
      </c>
      <c r="T10" s="48">
        <f t="shared" si="2"/>
        <v>0</v>
      </c>
      <c r="U10" s="48">
        <f t="shared" si="3"/>
        <v>102565.52</v>
      </c>
      <c r="V10" s="48">
        <f t="shared" si="4"/>
        <v>0</v>
      </c>
      <c r="W10" s="48">
        <f t="shared" si="5"/>
        <v>0</v>
      </c>
      <c r="X10" s="49">
        <f t="shared" si="6"/>
        <v>102565.52</v>
      </c>
      <c r="Y10" s="49">
        <f t="shared" si="7"/>
        <v>0</v>
      </c>
      <c r="Z10" s="49">
        <f t="shared" si="8"/>
        <v>0</v>
      </c>
      <c r="AA10" s="49">
        <f t="shared" si="9"/>
        <v>4271.853908</v>
      </c>
      <c r="AB10" s="49">
        <f t="shared" si="10"/>
        <v>0</v>
      </c>
      <c r="AC10" s="49">
        <f t="shared" si="11"/>
        <v>0</v>
      </c>
      <c r="AD10" s="49">
        <f t="shared" si="12"/>
        <v>4271.853908</v>
      </c>
      <c r="AE10" s="49">
        <f t="shared" si="13"/>
        <v>0</v>
      </c>
      <c r="AF10" s="49">
        <f t="shared" si="14"/>
        <v>0</v>
      </c>
      <c r="AG10" s="49">
        <f t="shared" si="15"/>
        <v>15384.828</v>
      </c>
      <c r="AH10" s="49">
        <f t="shared" si="16"/>
        <v>0</v>
      </c>
      <c r="AI10" s="49">
        <f t="shared" si="17"/>
        <v>0</v>
      </c>
      <c r="AJ10" s="49">
        <f t="shared" si="18"/>
        <v>15384.828</v>
      </c>
      <c r="AK10" s="49">
        <f t="shared" si="19"/>
        <v>0</v>
      </c>
      <c r="AL10" s="49">
        <f t="shared" si="20"/>
        <v>0</v>
      </c>
      <c r="AM10" s="49">
        <f t="shared" si="21"/>
        <v>13730.958989999999</v>
      </c>
      <c r="AN10" s="49">
        <f t="shared" si="22"/>
        <v>0</v>
      </c>
      <c r="AO10" s="49">
        <f t="shared" si="23"/>
        <v>0</v>
      </c>
      <c r="AP10" s="49">
        <f t="shared" si="24"/>
        <v>13730.958989999999</v>
      </c>
      <c r="AQ10" s="49">
        <f t="shared" si="25"/>
        <v>0</v>
      </c>
      <c r="AR10" s="49">
        <f t="shared" si="26"/>
        <v>0</v>
      </c>
      <c r="AS10" s="49">
        <f t="shared" si="27"/>
        <v>3076.9656</v>
      </c>
      <c r="AT10" s="49">
        <f t="shared" si="28"/>
        <v>0</v>
      </c>
      <c r="AU10" s="49">
        <f t="shared" si="29"/>
        <v>0</v>
      </c>
      <c r="AV10" s="49">
        <f t="shared" si="30"/>
        <v>3076.9656</v>
      </c>
      <c r="AW10" s="49">
        <f t="shared" si="31"/>
        <v>0</v>
      </c>
      <c r="AX10" s="49">
        <f t="shared" si="32"/>
        <v>0</v>
      </c>
      <c r="AY10" s="49">
        <f t="shared" si="33"/>
        <v>4102.6208000000006</v>
      </c>
      <c r="AZ10" s="49">
        <f t="shared" si="34"/>
        <v>0</v>
      </c>
      <c r="BA10" s="49">
        <f t="shared" si="35"/>
        <v>0</v>
      </c>
      <c r="BB10" s="49">
        <f t="shared" si="36"/>
        <v>4102.6208000000006</v>
      </c>
      <c r="BC10" s="49">
        <f t="shared" si="37"/>
        <v>0</v>
      </c>
      <c r="BD10" s="49">
        <f t="shared" si="38"/>
        <v>0</v>
      </c>
      <c r="BE10" s="49">
        <f t="shared" si="39"/>
        <v>40567.227297999998</v>
      </c>
      <c r="BF10" s="49">
        <f t="shared" si="40"/>
        <v>0</v>
      </c>
      <c r="BG10" s="49">
        <f t="shared" si="41"/>
        <v>0</v>
      </c>
      <c r="BH10" s="49">
        <f t="shared" si="42"/>
        <v>40567.227297999998</v>
      </c>
      <c r="BI10" s="49">
        <f t="shared" si="43"/>
        <v>0</v>
      </c>
      <c r="BJ10" s="49">
        <f t="shared" si="44"/>
        <v>0</v>
      </c>
      <c r="BK10" s="49">
        <f t="shared" si="45"/>
        <v>4271.853908</v>
      </c>
      <c r="BL10" s="49">
        <f t="shared" si="46"/>
        <v>0</v>
      </c>
      <c r="BM10" s="49">
        <f t="shared" si="47"/>
        <v>0</v>
      </c>
      <c r="BN10" s="49">
        <f t="shared" si="48"/>
        <v>4271.853908</v>
      </c>
      <c r="BO10" s="49">
        <f t="shared" si="49"/>
        <v>0</v>
      </c>
      <c r="BP10" s="49">
        <f t="shared" si="50"/>
        <v>0</v>
      </c>
      <c r="BQ10" s="49">
        <f t="shared" si="51"/>
        <v>15384.828</v>
      </c>
      <c r="BR10" s="49">
        <f t="shared" si="52"/>
        <v>0</v>
      </c>
      <c r="BS10" s="49">
        <f t="shared" si="53"/>
        <v>0</v>
      </c>
      <c r="BT10" s="49">
        <f t="shared" si="54"/>
        <v>15384.828</v>
      </c>
      <c r="BU10" s="49">
        <f t="shared" si="55"/>
        <v>0</v>
      </c>
      <c r="BV10" s="49">
        <f t="shared" si="56"/>
        <v>0</v>
      </c>
      <c r="BW10" s="49">
        <f t="shared" si="57"/>
        <v>13730.958989999999</v>
      </c>
      <c r="BX10" s="49">
        <f t="shared" si="58"/>
        <v>0</v>
      </c>
      <c r="BY10" s="49">
        <f t="shared" si="59"/>
        <v>0</v>
      </c>
      <c r="BZ10" s="49">
        <f t="shared" si="60"/>
        <v>13730.958989999999</v>
      </c>
      <c r="CA10" s="49">
        <f t="shared" si="61"/>
        <v>0</v>
      </c>
      <c r="CB10" s="49">
        <f t="shared" si="62"/>
        <v>0</v>
      </c>
      <c r="CC10" s="49">
        <f t="shared" si="63"/>
        <v>3076.9656</v>
      </c>
      <c r="CD10" s="49">
        <f t="shared" si="64"/>
        <v>0</v>
      </c>
      <c r="CE10" s="49">
        <f t="shared" si="65"/>
        <v>0</v>
      </c>
      <c r="CF10" s="49">
        <f t="shared" si="66"/>
        <v>3076.9656</v>
      </c>
      <c r="CG10" s="49">
        <f t="shared" si="67"/>
        <v>0</v>
      </c>
      <c r="CH10" s="49">
        <f t="shared" si="68"/>
        <v>0</v>
      </c>
      <c r="CI10" s="49">
        <f t="shared" si="69"/>
        <v>4102.6208000000006</v>
      </c>
      <c r="CJ10" s="49">
        <f t="shared" si="70"/>
        <v>0</v>
      </c>
      <c r="CK10" s="49">
        <f t="shared" si="71"/>
        <v>0</v>
      </c>
      <c r="CL10" s="49">
        <f t="shared" si="72"/>
        <v>4102.6208000000006</v>
      </c>
      <c r="CM10" s="49">
        <f t="shared" si="73"/>
        <v>0</v>
      </c>
      <c r="CN10" s="49">
        <f t="shared" si="74"/>
        <v>0</v>
      </c>
      <c r="CO10" s="49">
        <f t="shared" si="75"/>
        <v>40567.227297999998</v>
      </c>
      <c r="CP10" s="49">
        <f t="shared" si="76"/>
        <v>0</v>
      </c>
      <c r="CQ10" s="49">
        <f t="shared" si="77"/>
        <v>0</v>
      </c>
      <c r="CR10" s="81">
        <f t="shared" si="78"/>
        <v>40567.227297999998</v>
      </c>
      <c r="CS10" s="80">
        <f t="shared" si="79"/>
        <v>61998.292702000006</v>
      </c>
      <c r="CT10" s="54"/>
      <c r="CU10" s="3" t="str">
        <f t="shared" si="80"/>
        <v>ARS</v>
      </c>
      <c r="CV10" s="3">
        <f>VLOOKUP(CU10,DF:DG,2,0)</f>
        <v>6.9185169999999997E-4</v>
      </c>
      <c r="CW10" s="23">
        <f t="shared" si="81"/>
        <v>70.960129373384007</v>
      </c>
      <c r="CX10" s="23">
        <f t="shared" si="82"/>
        <v>2.9554893884014435</v>
      </c>
      <c r="CY10" s="23">
        <f t="shared" si="83"/>
        <v>10.644019406007599</v>
      </c>
      <c r="CZ10" s="23">
        <f t="shared" si="84"/>
        <v>9.4997873198617828</v>
      </c>
      <c r="DA10" s="23">
        <f t="shared" si="85"/>
        <v>2.1288038812015198</v>
      </c>
      <c r="DB10" s="23">
        <f t="shared" si="86"/>
        <v>2.8384051749353603</v>
      </c>
      <c r="DC10" s="23">
        <f t="shared" si="87"/>
        <v>42.893624202976298</v>
      </c>
      <c r="DD10" s="34" t="str">
        <f>VLOOKUP(A10,'Billing Report'!H:I,2,FALSE)</f>
        <v>OT470   Inversiones Feb26 - Alcance - TWITTER</v>
      </c>
      <c r="DE10" s="34"/>
      <c r="DF10" s="61" t="s">
        <v>364</v>
      </c>
      <c r="DG10" s="62">
        <v>0.69938873420000003</v>
      </c>
      <c r="DH10"/>
      <c r="DI10" s="41"/>
      <c r="DJ10" s="41"/>
    </row>
    <row r="11" spans="1:114" ht="14.5" x14ac:dyDescent="0.35">
      <c r="A11" s="63">
        <v>40888605</v>
      </c>
      <c r="B11" s="3" t="s">
        <v>562</v>
      </c>
      <c r="C11" s="3">
        <v>275149001</v>
      </c>
      <c r="D11" s="3" t="s">
        <v>93</v>
      </c>
      <c r="G11" s="38">
        <v>413581.86</v>
      </c>
      <c r="J11" s="33">
        <f>VLOOKUP($B11,'IMS Commission List'!E:CE,79,0)/100</f>
        <v>0.15</v>
      </c>
      <c r="K11" s="79">
        <f t="shared" si="0"/>
        <v>413581.86</v>
      </c>
      <c r="L11" s="3" t="str">
        <f>VLOOKUP($B11,'IMS Commission List'!E:V,18,0)</f>
        <v>ARS</v>
      </c>
      <c r="M11" s="3">
        <v>1</v>
      </c>
      <c r="N11" s="3" t="str">
        <f>VLOOKUP($B11,'IMS Commission List'!E:T,16,0)</f>
        <v>MX</v>
      </c>
      <c r="O11" s="54">
        <f>VLOOKUP($B11,'IMS Commission List'!E:CF,80,0)</f>
        <v>4.9000000000000002E-2</v>
      </c>
      <c r="P11" s="54">
        <f>VLOOKUP($B11,'IMS Commission List'!E:CG,81,0)</f>
        <v>0.1575</v>
      </c>
      <c r="Q11" s="54">
        <f>VLOOKUP($B11,'IMS Commission List'!E:CP,90,0)</f>
        <v>0.03</v>
      </c>
      <c r="R11" s="54">
        <f>VLOOKUP($B11,'IMS Commission List'!E:CQ,91,0)</f>
        <v>0.04</v>
      </c>
      <c r="S11" s="47">
        <f t="shared" si="1"/>
        <v>0</v>
      </c>
      <c r="T11" s="48">
        <f t="shared" si="2"/>
        <v>0</v>
      </c>
      <c r="U11" s="48">
        <f t="shared" si="3"/>
        <v>413581.86</v>
      </c>
      <c r="V11" s="48">
        <f t="shared" si="4"/>
        <v>0</v>
      </c>
      <c r="W11" s="48">
        <f t="shared" si="5"/>
        <v>0</v>
      </c>
      <c r="X11" s="49">
        <f t="shared" si="6"/>
        <v>413581.86</v>
      </c>
      <c r="Y11" s="49">
        <f t="shared" si="7"/>
        <v>0</v>
      </c>
      <c r="Z11" s="49">
        <f t="shared" si="8"/>
        <v>0</v>
      </c>
      <c r="AA11" s="49">
        <f t="shared" si="9"/>
        <v>17225.684469</v>
      </c>
      <c r="AB11" s="49">
        <f t="shared" si="10"/>
        <v>0</v>
      </c>
      <c r="AC11" s="49">
        <f t="shared" si="11"/>
        <v>0</v>
      </c>
      <c r="AD11" s="49">
        <f t="shared" si="12"/>
        <v>17225.684469</v>
      </c>
      <c r="AE11" s="49">
        <f t="shared" si="13"/>
        <v>0</v>
      </c>
      <c r="AF11" s="49">
        <f t="shared" si="14"/>
        <v>0</v>
      </c>
      <c r="AG11" s="49">
        <f t="shared" si="15"/>
        <v>62037.278999999995</v>
      </c>
      <c r="AH11" s="49">
        <f t="shared" si="16"/>
        <v>0</v>
      </c>
      <c r="AI11" s="49">
        <f t="shared" si="17"/>
        <v>0</v>
      </c>
      <c r="AJ11" s="49">
        <f t="shared" si="18"/>
        <v>62037.278999999995</v>
      </c>
      <c r="AK11" s="49">
        <f t="shared" si="19"/>
        <v>0</v>
      </c>
      <c r="AL11" s="49">
        <f t="shared" si="20"/>
        <v>0</v>
      </c>
      <c r="AM11" s="49">
        <f t="shared" si="21"/>
        <v>55368.271507500001</v>
      </c>
      <c r="AN11" s="49">
        <f t="shared" si="22"/>
        <v>0</v>
      </c>
      <c r="AO11" s="49">
        <f t="shared" si="23"/>
        <v>0</v>
      </c>
      <c r="AP11" s="49">
        <f t="shared" si="24"/>
        <v>55368.271507500001</v>
      </c>
      <c r="AQ11" s="49">
        <f t="shared" si="25"/>
        <v>0</v>
      </c>
      <c r="AR11" s="49">
        <f t="shared" si="26"/>
        <v>0</v>
      </c>
      <c r="AS11" s="49">
        <f t="shared" si="27"/>
        <v>12407.4558</v>
      </c>
      <c r="AT11" s="49">
        <f t="shared" si="28"/>
        <v>0</v>
      </c>
      <c r="AU11" s="49">
        <f t="shared" si="29"/>
        <v>0</v>
      </c>
      <c r="AV11" s="49">
        <f t="shared" si="30"/>
        <v>12407.4558</v>
      </c>
      <c r="AW11" s="49">
        <f t="shared" si="31"/>
        <v>0</v>
      </c>
      <c r="AX11" s="49">
        <f t="shared" si="32"/>
        <v>0</v>
      </c>
      <c r="AY11" s="49">
        <f t="shared" si="33"/>
        <v>16543.274399999998</v>
      </c>
      <c r="AZ11" s="49">
        <f t="shared" si="34"/>
        <v>0</v>
      </c>
      <c r="BA11" s="49">
        <f t="shared" si="35"/>
        <v>0</v>
      </c>
      <c r="BB11" s="49">
        <f t="shared" si="36"/>
        <v>16543.274399999998</v>
      </c>
      <c r="BC11" s="49">
        <f t="shared" si="37"/>
        <v>0</v>
      </c>
      <c r="BD11" s="49">
        <f t="shared" si="38"/>
        <v>0</v>
      </c>
      <c r="BE11" s="49">
        <f t="shared" si="39"/>
        <v>163581.96517649997</v>
      </c>
      <c r="BF11" s="49">
        <f t="shared" si="40"/>
        <v>0</v>
      </c>
      <c r="BG11" s="49">
        <f t="shared" si="41"/>
        <v>0</v>
      </c>
      <c r="BH11" s="49">
        <f t="shared" si="42"/>
        <v>163581.96517649997</v>
      </c>
      <c r="BI11" s="49">
        <f t="shared" si="43"/>
        <v>0</v>
      </c>
      <c r="BJ11" s="49">
        <f t="shared" si="44"/>
        <v>0</v>
      </c>
      <c r="BK11" s="49">
        <f t="shared" si="45"/>
        <v>17225.684469</v>
      </c>
      <c r="BL11" s="49">
        <f t="shared" si="46"/>
        <v>0</v>
      </c>
      <c r="BM11" s="49">
        <f t="shared" si="47"/>
        <v>0</v>
      </c>
      <c r="BN11" s="49">
        <f t="shared" si="48"/>
        <v>17225.684469</v>
      </c>
      <c r="BO11" s="49">
        <f t="shared" si="49"/>
        <v>0</v>
      </c>
      <c r="BP11" s="49">
        <f t="shared" si="50"/>
        <v>0</v>
      </c>
      <c r="BQ11" s="49">
        <f t="shared" si="51"/>
        <v>62037.278999999995</v>
      </c>
      <c r="BR11" s="49">
        <f t="shared" si="52"/>
        <v>0</v>
      </c>
      <c r="BS11" s="49">
        <f t="shared" si="53"/>
        <v>0</v>
      </c>
      <c r="BT11" s="49">
        <f t="shared" si="54"/>
        <v>62037.278999999995</v>
      </c>
      <c r="BU11" s="49">
        <f t="shared" si="55"/>
        <v>0</v>
      </c>
      <c r="BV11" s="49">
        <f t="shared" si="56"/>
        <v>0</v>
      </c>
      <c r="BW11" s="49">
        <f t="shared" si="57"/>
        <v>55368.271507500001</v>
      </c>
      <c r="BX11" s="49">
        <f t="shared" si="58"/>
        <v>0</v>
      </c>
      <c r="BY11" s="49">
        <f t="shared" si="59"/>
        <v>0</v>
      </c>
      <c r="BZ11" s="49">
        <f t="shared" si="60"/>
        <v>55368.271507500001</v>
      </c>
      <c r="CA11" s="49">
        <f t="shared" si="61"/>
        <v>0</v>
      </c>
      <c r="CB11" s="49">
        <f t="shared" si="62"/>
        <v>0</v>
      </c>
      <c r="CC11" s="49">
        <f t="shared" si="63"/>
        <v>12407.4558</v>
      </c>
      <c r="CD11" s="49">
        <f t="shared" si="64"/>
        <v>0</v>
      </c>
      <c r="CE11" s="49">
        <f t="shared" si="65"/>
        <v>0</v>
      </c>
      <c r="CF11" s="49">
        <f t="shared" si="66"/>
        <v>12407.4558</v>
      </c>
      <c r="CG11" s="49">
        <f t="shared" si="67"/>
        <v>0</v>
      </c>
      <c r="CH11" s="49">
        <f t="shared" si="68"/>
        <v>0</v>
      </c>
      <c r="CI11" s="49">
        <f t="shared" si="69"/>
        <v>16543.274399999998</v>
      </c>
      <c r="CJ11" s="49">
        <f t="shared" si="70"/>
        <v>0</v>
      </c>
      <c r="CK11" s="49">
        <f t="shared" si="71"/>
        <v>0</v>
      </c>
      <c r="CL11" s="49">
        <f t="shared" si="72"/>
        <v>16543.274399999998</v>
      </c>
      <c r="CM11" s="49">
        <f t="shared" si="73"/>
        <v>0</v>
      </c>
      <c r="CN11" s="49">
        <f t="shared" si="74"/>
        <v>0</v>
      </c>
      <c r="CO11" s="49">
        <f t="shared" si="75"/>
        <v>163581.96517649997</v>
      </c>
      <c r="CP11" s="49">
        <f t="shared" si="76"/>
        <v>0</v>
      </c>
      <c r="CQ11" s="49">
        <f t="shared" si="77"/>
        <v>0</v>
      </c>
      <c r="CR11" s="81">
        <f t="shared" si="78"/>
        <v>163581.96517649997</v>
      </c>
      <c r="CS11" s="80">
        <f t="shared" si="79"/>
        <v>249999.89482350001</v>
      </c>
      <c r="CT11" s="54"/>
      <c r="CU11" s="3" t="str">
        <f t="shared" si="80"/>
        <v>ARS</v>
      </c>
      <c r="CV11" s="3">
        <f>VLOOKUP(CU11,DF:DG,2,0)</f>
        <v>6.9185169999999997E-4</v>
      </c>
      <c r="CW11" s="23">
        <f t="shared" si="81"/>
        <v>286.13731293016195</v>
      </c>
      <c r="CX11" s="23">
        <f t="shared" si="82"/>
        <v>11.917619083541247</v>
      </c>
      <c r="CY11" s="23">
        <f t="shared" si="83"/>
        <v>42.920596939524295</v>
      </c>
      <c r="CZ11" s="23">
        <f t="shared" si="84"/>
        <v>38.306632768525439</v>
      </c>
      <c r="DA11" s="23">
        <f t="shared" si="85"/>
        <v>8.5841193879048596</v>
      </c>
      <c r="DB11" s="23">
        <f t="shared" si="86"/>
        <v>11.445492517206478</v>
      </c>
      <c r="DC11" s="23">
        <f t="shared" si="87"/>
        <v>172.96285223345967</v>
      </c>
      <c r="DD11" s="34" t="str">
        <f>VLOOKUP(A11,'Billing Report'!H:I,2,FALSE)</f>
        <v>OT473   Ciberdelito Feb26 - Alcance - TWITTER</v>
      </c>
      <c r="DE11" s="34"/>
      <c r="DF11" s="61" t="s">
        <v>363</v>
      </c>
      <c r="DG11" s="62">
        <v>0.60864087450000004</v>
      </c>
      <c r="DH11"/>
      <c r="DI11" s="41"/>
      <c r="DJ11" s="41"/>
    </row>
    <row r="12" spans="1:114" ht="14.5" x14ac:dyDescent="0.35">
      <c r="A12" s="63">
        <v>40855406</v>
      </c>
      <c r="B12" s="3" t="s">
        <v>562</v>
      </c>
      <c r="C12" s="3">
        <v>275149001</v>
      </c>
      <c r="D12" s="3" t="s">
        <v>93</v>
      </c>
      <c r="G12" s="38">
        <v>1389582.6500000001</v>
      </c>
      <c r="J12" s="33">
        <f>VLOOKUP($B12,'IMS Commission List'!E:CE,79,0)/100</f>
        <v>0.15</v>
      </c>
      <c r="K12" s="79">
        <f t="shared" si="0"/>
        <v>1389582.6500000001</v>
      </c>
      <c r="L12" s="3" t="str">
        <f>VLOOKUP($B12,'IMS Commission List'!E:V,18,0)</f>
        <v>ARS</v>
      </c>
      <c r="M12" s="3">
        <v>1</v>
      </c>
      <c r="N12" s="3" t="str">
        <f>VLOOKUP($B12,'IMS Commission List'!E:T,16,0)</f>
        <v>MX</v>
      </c>
      <c r="O12" s="54">
        <f>VLOOKUP($B12,'IMS Commission List'!E:CF,80,0)</f>
        <v>4.9000000000000002E-2</v>
      </c>
      <c r="P12" s="54">
        <f>VLOOKUP($B12,'IMS Commission List'!E:CG,81,0)</f>
        <v>0.1575</v>
      </c>
      <c r="Q12" s="54">
        <f>VLOOKUP($B12,'IMS Commission List'!E:CP,90,0)</f>
        <v>0.03</v>
      </c>
      <c r="R12" s="54">
        <f>VLOOKUP($B12,'IMS Commission List'!E:CQ,91,0)</f>
        <v>0.04</v>
      </c>
      <c r="S12" s="47">
        <f t="shared" si="1"/>
        <v>0</v>
      </c>
      <c r="T12" s="48">
        <f t="shared" si="2"/>
        <v>0</v>
      </c>
      <c r="U12" s="48">
        <f t="shared" si="3"/>
        <v>1389582.6500000001</v>
      </c>
      <c r="V12" s="48">
        <f t="shared" si="4"/>
        <v>0</v>
      </c>
      <c r="W12" s="48">
        <f t="shared" si="5"/>
        <v>0</v>
      </c>
      <c r="X12" s="49">
        <f t="shared" si="6"/>
        <v>1389582.6500000001</v>
      </c>
      <c r="Y12" s="49">
        <f t="shared" si="7"/>
        <v>0</v>
      </c>
      <c r="Z12" s="49">
        <f t="shared" si="8"/>
        <v>0</v>
      </c>
      <c r="AA12" s="49">
        <f t="shared" si="9"/>
        <v>57876.117372500004</v>
      </c>
      <c r="AB12" s="49">
        <f t="shared" si="10"/>
        <v>0</v>
      </c>
      <c r="AC12" s="49">
        <f t="shared" si="11"/>
        <v>0</v>
      </c>
      <c r="AD12" s="49">
        <f t="shared" si="12"/>
        <v>57876.117372500004</v>
      </c>
      <c r="AE12" s="49">
        <f t="shared" si="13"/>
        <v>0</v>
      </c>
      <c r="AF12" s="49">
        <f t="shared" si="14"/>
        <v>0</v>
      </c>
      <c r="AG12" s="49">
        <f t="shared" si="15"/>
        <v>208437.39750000002</v>
      </c>
      <c r="AH12" s="49">
        <f t="shared" si="16"/>
        <v>0</v>
      </c>
      <c r="AI12" s="49">
        <f t="shared" si="17"/>
        <v>0</v>
      </c>
      <c r="AJ12" s="49">
        <f t="shared" si="18"/>
        <v>208437.39750000002</v>
      </c>
      <c r="AK12" s="49">
        <f t="shared" si="19"/>
        <v>0</v>
      </c>
      <c r="AL12" s="49">
        <f t="shared" si="20"/>
        <v>0</v>
      </c>
      <c r="AM12" s="49">
        <f t="shared" si="21"/>
        <v>186030.37726875002</v>
      </c>
      <c r="AN12" s="49">
        <f t="shared" si="22"/>
        <v>0</v>
      </c>
      <c r="AO12" s="49">
        <f t="shared" si="23"/>
        <v>0</v>
      </c>
      <c r="AP12" s="49">
        <f t="shared" si="24"/>
        <v>186030.37726875002</v>
      </c>
      <c r="AQ12" s="49">
        <f t="shared" si="25"/>
        <v>0</v>
      </c>
      <c r="AR12" s="49">
        <f t="shared" si="26"/>
        <v>0</v>
      </c>
      <c r="AS12" s="49">
        <f t="shared" si="27"/>
        <v>41687.479500000001</v>
      </c>
      <c r="AT12" s="49">
        <f t="shared" si="28"/>
        <v>0</v>
      </c>
      <c r="AU12" s="49">
        <f t="shared" si="29"/>
        <v>0</v>
      </c>
      <c r="AV12" s="49">
        <f t="shared" si="30"/>
        <v>41687.479500000001</v>
      </c>
      <c r="AW12" s="49">
        <f t="shared" si="31"/>
        <v>0</v>
      </c>
      <c r="AX12" s="49">
        <f t="shared" si="32"/>
        <v>0</v>
      </c>
      <c r="AY12" s="49">
        <f t="shared" si="33"/>
        <v>55583.306000000004</v>
      </c>
      <c r="AZ12" s="49">
        <f t="shared" si="34"/>
        <v>0</v>
      </c>
      <c r="BA12" s="49">
        <f t="shared" si="35"/>
        <v>0</v>
      </c>
      <c r="BB12" s="49">
        <f t="shared" si="36"/>
        <v>55583.306000000004</v>
      </c>
      <c r="BC12" s="49">
        <f t="shared" si="37"/>
        <v>0</v>
      </c>
      <c r="BD12" s="49">
        <f t="shared" si="38"/>
        <v>0</v>
      </c>
      <c r="BE12" s="49">
        <f t="shared" si="39"/>
        <v>549614.67764125008</v>
      </c>
      <c r="BF12" s="49">
        <f t="shared" si="40"/>
        <v>0</v>
      </c>
      <c r="BG12" s="49">
        <f t="shared" si="41"/>
        <v>0</v>
      </c>
      <c r="BH12" s="49">
        <f t="shared" si="42"/>
        <v>549614.67764125008</v>
      </c>
      <c r="BI12" s="49">
        <f t="shared" si="43"/>
        <v>0</v>
      </c>
      <c r="BJ12" s="49">
        <f t="shared" si="44"/>
        <v>0</v>
      </c>
      <c r="BK12" s="49">
        <f t="shared" si="45"/>
        <v>57876.117372500004</v>
      </c>
      <c r="BL12" s="49">
        <f t="shared" si="46"/>
        <v>0</v>
      </c>
      <c r="BM12" s="49">
        <f t="shared" si="47"/>
        <v>0</v>
      </c>
      <c r="BN12" s="49">
        <f t="shared" si="48"/>
        <v>57876.117372500004</v>
      </c>
      <c r="BO12" s="49">
        <f t="shared" si="49"/>
        <v>0</v>
      </c>
      <c r="BP12" s="49">
        <f t="shared" si="50"/>
        <v>0</v>
      </c>
      <c r="BQ12" s="49">
        <f t="shared" si="51"/>
        <v>208437.39750000002</v>
      </c>
      <c r="BR12" s="49">
        <f t="shared" si="52"/>
        <v>0</v>
      </c>
      <c r="BS12" s="49">
        <f t="shared" si="53"/>
        <v>0</v>
      </c>
      <c r="BT12" s="49">
        <f t="shared" si="54"/>
        <v>208437.39750000002</v>
      </c>
      <c r="BU12" s="49">
        <f t="shared" si="55"/>
        <v>0</v>
      </c>
      <c r="BV12" s="49">
        <f t="shared" si="56"/>
        <v>0</v>
      </c>
      <c r="BW12" s="49">
        <f t="shared" si="57"/>
        <v>186030.37726875002</v>
      </c>
      <c r="BX12" s="49">
        <f t="shared" si="58"/>
        <v>0</v>
      </c>
      <c r="BY12" s="49">
        <f t="shared" si="59"/>
        <v>0</v>
      </c>
      <c r="BZ12" s="49">
        <f t="shared" si="60"/>
        <v>186030.37726875002</v>
      </c>
      <c r="CA12" s="49">
        <f t="shared" si="61"/>
        <v>0</v>
      </c>
      <c r="CB12" s="49">
        <f t="shared" si="62"/>
        <v>0</v>
      </c>
      <c r="CC12" s="49">
        <f t="shared" si="63"/>
        <v>41687.479500000001</v>
      </c>
      <c r="CD12" s="49">
        <f t="shared" si="64"/>
        <v>0</v>
      </c>
      <c r="CE12" s="49">
        <f t="shared" si="65"/>
        <v>0</v>
      </c>
      <c r="CF12" s="49">
        <f t="shared" si="66"/>
        <v>41687.479500000001</v>
      </c>
      <c r="CG12" s="49">
        <f t="shared" si="67"/>
        <v>0</v>
      </c>
      <c r="CH12" s="49">
        <f t="shared" si="68"/>
        <v>0</v>
      </c>
      <c r="CI12" s="49">
        <f t="shared" si="69"/>
        <v>55583.306000000004</v>
      </c>
      <c r="CJ12" s="49">
        <f t="shared" si="70"/>
        <v>0</v>
      </c>
      <c r="CK12" s="49">
        <f t="shared" si="71"/>
        <v>0</v>
      </c>
      <c r="CL12" s="49">
        <f t="shared" si="72"/>
        <v>55583.306000000004</v>
      </c>
      <c r="CM12" s="49">
        <f t="shared" si="73"/>
        <v>0</v>
      </c>
      <c r="CN12" s="49">
        <f t="shared" si="74"/>
        <v>0</v>
      </c>
      <c r="CO12" s="49">
        <f t="shared" si="75"/>
        <v>549614.67764125008</v>
      </c>
      <c r="CP12" s="49">
        <f t="shared" si="76"/>
        <v>0</v>
      </c>
      <c r="CQ12" s="49">
        <f t="shared" si="77"/>
        <v>0</v>
      </c>
      <c r="CR12" s="81">
        <f t="shared" si="78"/>
        <v>549614.67764125008</v>
      </c>
      <c r="CS12" s="80">
        <f t="shared" si="79"/>
        <v>839967.97235875006</v>
      </c>
      <c r="CT12" s="54"/>
      <c r="CU12" s="3" t="str">
        <f t="shared" si="80"/>
        <v>ARS</v>
      </c>
      <c r="CV12" s="3">
        <f>VLOOKUP(CU12,DF:DG,2,0)</f>
        <v>6.9185169999999997E-4</v>
      </c>
      <c r="CW12" s="23">
        <f t="shared" si="81"/>
        <v>961.3851186930051</v>
      </c>
      <c r="CX12" s="23">
        <f t="shared" si="82"/>
        <v>40.04169019356366</v>
      </c>
      <c r="CY12" s="23">
        <f t="shared" si="83"/>
        <v>144.20776780395076</v>
      </c>
      <c r="CZ12" s="23">
        <f t="shared" si="84"/>
        <v>128.70543276502605</v>
      </c>
      <c r="DA12" s="23">
        <f t="shared" si="85"/>
        <v>28.84155356079015</v>
      </c>
      <c r="DB12" s="23">
        <f t="shared" si="86"/>
        <v>38.455404747720202</v>
      </c>
      <c r="DC12" s="23">
        <f t="shared" si="87"/>
        <v>581.13326962195424</v>
      </c>
      <c r="DD12" s="34" t="str">
        <f>VLOOKUP(A12,'Billing Report'!H:I,2,FALSE)</f>
        <v>OT466   Rentas - Alcance - Twitter</v>
      </c>
      <c r="DE12" s="34"/>
      <c r="DF12" s="61" t="s">
        <v>362</v>
      </c>
      <c r="DG12" s="62">
        <v>0.60864087450000004</v>
      </c>
      <c r="DH12"/>
      <c r="DI12" s="41"/>
      <c r="DJ12" s="41"/>
    </row>
    <row r="13" spans="1:114" ht="14.5" x14ac:dyDescent="0.35">
      <c r="A13" s="63">
        <v>40789966</v>
      </c>
      <c r="B13" s="3" t="s">
        <v>562</v>
      </c>
      <c r="C13" s="3">
        <v>275149001</v>
      </c>
      <c r="D13" s="3" t="s">
        <v>93</v>
      </c>
      <c r="G13" s="38">
        <v>443772.08</v>
      </c>
      <c r="J13" s="33">
        <f>VLOOKUP($B13,'IMS Commission List'!E:CE,79,0)/100</f>
        <v>0.15</v>
      </c>
      <c r="K13" s="79">
        <f t="shared" si="0"/>
        <v>443772.08</v>
      </c>
      <c r="L13" s="3" t="str">
        <f>VLOOKUP($B13,'IMS Commission List'!E:V,18,0)</f>
        <v>ARS</v>
      </c>
      <c r="M13" s="3">
        <v>1</v>
      </c>
      <c r="N13" s="3" t="str">
        <f>VLOOKUP($B13,'IMS Commission List'!E:T,16,0)</f>
        <v>MX</v>
      </c>
      <c r="O13" s="54">
        <f>VLOOKUP($B13,'IMS Commission List'!E:CF,80,0)</f>
        <v>4.9000000000000002E-2</v>
      </c>
      <c r="P13" s="54">
        <f>VLOOKUP($B13,'IMS Commission List'!E:CG,81,0)</f>
        <v>0.1575</v>
      </c>
      <c r="Q13" s="54">
        <f>VLOOKUP($B13,'IMS Commission List'!E:CP,90,0)</f>
        <v>0.03</v>
      </c>
      <c r="R13" s="54">
        <f>VLOOKUP($B13,'IMS Commission List'!E:CQ,91,0)</f>
        <v>0.04</v>
      </c>
      <c r="S13" s="47">
        <f t="shared" si="1"/>
        <v>0</v>
      </c>
      <c r="T13" s="48">
        <f t="shared" si="2"/>
        <v>0</v>
      </c>
      <c r="U13" s="48">
        <f t="shared" si="3"/>
        <v>443772.08</v>
      </c>
      <c r="V13" s="48">
        <f t="shared" si="4"/>
        <v>0</v>
      </c>
      <c r="W13" s="48">
        <f t="shared" si="5"/>
        <v>0</v>
      </c>
      <c r="X13" s="49">
        <f t="shared" si="6"/>
        <v>443772.08</v>
      </c>
      <c r="Y13" s="49">
        <f t="shared" si="7"/>
        <v>0</v>
      </c>
      <c r="Z13" s="49">
        <f t="shared" si="8"/>
        <v>0</v>
      </c>
      <c r="AA13" s="49">
        <f t="shared" si="9"/>
        <v>18483.107132000001</v>
      </c>
      <c r="AB13" s="49">
        <f t="shared" si="10"/>
        <v>0</v>
      </c>
      <c r="AC13" s="49">
        <f t="shared" si="11"/>
        <v>0</v>
      </c>
      <c r="AD13" s="49">
        <f t="shared" si="12"/>
        <v>18483.107132000001</v>
      </c>
      <c r="AE13" s="49">
        <f t="shared" si="13"/>
        <v>0</v>
      </c>
      <c r="AF13" s="49">
        <f t="shared" si="14"/>
        <v>0</v>
      </c>
      <c r="AG13" s="49">
        <f t="shared" si="15"/>
        <v>66565.812000000005</v>
      </c>
      <c r="AH13" s="49">
        <f t="shared" si="16"/>
        <v>0</v>
      </c>
      <c r="AI13" s="49">
        <f t="shared" si="17"/>
        <v>0</v>
      </c>
      <c r="AJ13" s="49">
        <f t="shared" si="18"/>
        <v>66565.812000000005</v>
      </c>
      <c r="AK13" s="49">
        <f t="shared" si="19"/>
        <v>0</v>
      </c>
      <c r="AL13" s="49">
        <f t="shared" si="20"/>
        <v>0</v>
      </c>
      <c r="AM13" s="49">
        <f t="shared" si="21"/>
        <v>59409.987209999999</v>
      </c>
      <c r="AN13" s="49">
        <f t="shared" si="22"/>
        <v>0</v>
      </c>
      <c r="AO13" s="49">
        <f t="shared" si="23"/>
        <v>0</v>
      </c>
      <c r="AP13" s="49">
        <f t="shared" si="24"/>
        <v>59409.987209999999</v>
      </c>
      <c r="AQ13" s="49">
        <f t="shared" si="25"/>
        <v>0</v>
      </c>
      <c r="AR13" s="49">
        <f t="shared" si="26"/>
        <v>0</v>
      </c>
      <c r="AS13" s="49">
        <f t="shared" si="27"/>
        <v>13313.162399999999</v>
      </c>
      <c r="AT13" s="49">
        <f t="shared" si="28"/>
        <v>0</v>
      </c>
      <c r="AU13" s="49">
        <f t="shared" si="29"/>
        <v>0</v>
      </c>
      <c r="AV13" s="49">
        <f t="shared" si="30"/>
        <v>13313.162399999999</v>
      </c>
      <c r="AW13" s="49">
        <f t="shared" si="31"/>
        <v>0</v>
      </c>
      <c r="AX13" s="49">
        <f t="shared" si="32"/>
        <v>0</v>
      </c>
      <c r="AY13" s="49">
        <f t="shared" si="33"/>
        <v>17750.8832</v>
      </c>
      <c r="AZ13" s="49">
        <f t="shared" si="34"/>
        <v>0</v>
      </c>
      <c r="BA13" s="49">
        <f t="shared" si="35"/>
        <v>0</v>
      </c>
      <c r="BB13" s="49">
        <f t="shared" si="36"/>
        <v>17750.8832</v>
      </c>
      <c r="BC13" s="49">
        <f t="shared" si="37"/>
        <v>0</v>
      </c>
      <c r="BD13" s="49">
        <f t="shared" si="38"/>
        <v>0</v>
      </c>
      <c r="BE13" s="49">
        <f t="shared" si="39"/>
        <v>175522.95194200001</v>
      </c>
      <c r="BF13" s="49">
        <f t="shared" si="40"/>
        <v>0</v>
      </c>
      <c r="BG13" s="49">
        <f t="shared" si="41"/>
        <v>0</v>
      </c>
      <c r="BH13" s="49">
        <f t="shared" si="42"/>
        <v>175522.95194200001</v>
      </c>
      <c r="BI13" s="49">
        <f t="shared" si="43"/>
        <v>0</v>
      </c>
      <c r="BJ13" s="49">
        <f t="shared" si="44"/>
        <v>0</v>
      </c>
      <c r="BK13" s="49">
        <f t="shared" si="45"/>
        <v>18483.107132000001</v>
      </c>
      <c r="BL13" s="49">
        <f t="shared" si="46"/>
        <v>0</v>
      </c>
      <c r="BM13" s="49">
        <f t="shared" si="47"/>
        <v>0</v>
      </c>
      <c r="BN13" s="49">
        <f t="shared" si="48"/>
        <v>18483.107132000001</v>
      </c>
      <c r="BO13" s="49">
        <f t="shared" si="49"/>
        <v>0</v>
      </c>
      <c r="BP13" s="49">
        <f t="shared" si="50"/>
        <v>0</v>
      </c>
      <c r="BQ13" s="49">
        <f t="shared" si="51"/>
        <v>66565.812000000005</v>
      </c>
      <c r="BR13" s="49">
        <f t="shared" si="52"/>
        <v>0</v>
      </c>
      <c r="BS13" s="49">
        <f t="shared" si="53"/>
        <v>0</v>
      </c>
      <c r="BT13" s="49">
        <f t="shared" si="54"/>
        <v>66565.812000000005</v>
      </c>
      <c r="BU13" s="49">
        <f t="shared" si="55"/>
        <v>0</v>
      </c>
      <c r="BV13" s="49">
        <f t="shared" si="56"/>
        <v>0</v>
      </c>
      <c r="BW13" s="49">
        <f t="shared" si="57"/>
        <v>59409.987209999999</v>
      </c>
      <c r="BX13" s="49">
        <f t="shared" si="58"/>
        <v>0</v>
      </c>
      <c r="BY13" s="49">
        <f t="shared" si="59"/>
        <v>0</v>
      </c>
      <c r="BZ13" s="49">
        <f t="shared" si="60"/>
        <v>59409.987209999999</v>
      </c>
      <c r="CA13" s="49">
        <f t="shared" si="61"/>
        <v>0</v>
      </c>
      <c r="CB13" s="49">
        <f t="shared" si="62"/>
        <v>0</v>
      </c>
      <c r="CC13" s="49">
        <f t="shared" si="63"/>
        <v>13313.162399999999</v>
      </c>
      <c r="CD13" s="49">
        <f t="shared" si="64"/>
        <v>0</v>
      </c>
      <c r="CE13" s="49">
        <f t="shared" si="65"/>
        <v>0</v>
      </c>
      <c r="CF13" s="49">
        <f t="shared" si="66"/>
        <v>13313.162399999999</v>
      </c>
      <c r="CG13" s="49">
        <f t="shared" si="67"/>
        <v>0</v>
      </c>
      <c r="CH13" s="49">
        <f t="shared" si="68"/>
        <v>0</v>
      </c>
      <c r="CI13" s="49">
        <f t="shared" si="69"/>
        <v>17750.8832</v>
      </c>
      <c r="CJ13" s="49">
        <f t="shared" si="70"/>
        <v>0</v>
      </c>
      <c r="CK13" s="49">
        <f t="shared" si="71"/>
        <v>0</v>
      </c>
      <c r="CL13" s="49">
        <f t="shared" si="72"/>
        <v>17750.8832</v>
      </c>
      <c r="CM13" s="49">
        <f t="shared" si="73"/>
        <v>0</v>
      </c>
      <c r="CN13" s="49">
        <f t="shared" si="74"/>
        <v>0</v>
      </c>
      <c r="CO13" s="49">
        <f t="shared" si="75"/>
        <v>175522.95194200001</v>
      </c>
      <c r="CP13" s="49">
        <f t="shared" si="76"/>
        <v>0</v>
      </c>
      <c r="CQ13" s="49">
        <f t="shared" si="77"/>
        <v>0</v>
      </c>
      <c r="CR13" s="81">
        <f t="shared" si="78"/>
        <v>175522.95194200001</v>
      </c>
      <c r="CS13" s="80">
        <f t="shared" si="79"/>
        <v>268249.128058</v>
      </c>
      <c r="CT13" s="54"/>
      <c r="CU13" s="3" t="str">
        <f t="shared" si="80"/>
        <v>ARS</v>
      </c>
      <c r="CV13" s="3">
        <f>VLOOKUP(CU13,DF:DG,2,0)</f>
        <v>6.9185169999999997E-4</v>
      </c>
      <c r="CW13" s="23">
        <f t="shared" si="81"/>
        <v>307.02446796053601</v>
      </c>
      <c r="CX13" s="23">
        <f t="shared" si="82"/>
        <v>12.787569090556325</v>
      </c>
      <c r="CY13" s="23">
        <f t="shared" si="83"/>
        <v>46.053670194080404</v>
      </c>
      <c r="CZ13" s="23">
        <f t="shared" si="84"/>
        <v>41.102900648216753</v>
      </c>
      <c r="DA13" s="23">
        <f t="shared" si="85"/>
        <v>9.2107340388160797</v>
      </c>
      <c r="DB13" s="23">
        <f t="shared" si="86"/>
        <v>12.280978718421439</v>
      </c>
      <c r="DC13" s="23">
        <f t="shared" si="87"/>
        <v>185.58861527044499</v>
      </c>
      <c r="DD13" s="34" t="str">
        <f>VLOOKUP(A13,'Billing Report'!H:I,2,FALSE)</f>
        <v>OT429-V3   Cordobesa Verano - Alcance - Twitter -  Capsulas de Video (MALEVO)</v>
      </c>
      <c r="DE13" s="34"/>
      <c r="DF13" s="61" t="s">
        <v>361</v>
      </c>
      <c r="DG13" s="62">
        <v>2.6525902544000002</v>
      </c>
      <c r="DH13"/>
      <c r="DI13" s="41"/>
      <c r="DJ13" s="41"/>
    </row>
    <row r="14" spans="1:114" ht="14.5" x14ac:dyDescent="0.35">
      <c r="A14" s="63">
        <v>40789854</v>
      </c>
      <c r="B14" s="3" t="s">
        <v>562</v>
      </c>
      <c r="C14" s="3">
        <v>275149001</v>
      </c>
      <c r="D14" s="3" t="s">
        <v>93</v>
      </c>
      <c r="G14" s="38">
        <v>61583.810000000005</v>
      </c>
      <c r="J14" s="33">
        <f>VLOOKUP($B14,'IMS Commission List'!E:CE,79,0)/100</f>
        <v>0.15</v>
      </c>
      <c r="K14" s="79">
        <f t="shared" si="0"/>
        <v>61583.810000000005</v>
      </c>
      <c r="L14" s="3" t="str">
        <f>VLOOKUP($B14,'IMS Commission List'!E:V,18,0)</f>
        <v>ARS</v>
      </c>
      <c r="M14" s="3">
        <v>1</v>
      </c>
      <c r="N14" s="3" t="str">
        <f>VLOOKUP($B14,'IMS Commission List'!E:T,16,0)</f>
        <v>MX</v>
      </c>
      <c r="O14" s="54">
        <f>VLOOKUP($B14,'IMS Commission List'!E:CF,80,0)</f>
        <v>4.9000000000000002E-2</v>
      </c>
      <c r="P14" s="54">
        <f>VLOOKUP($B14,'IMS Commission List'!E:CG,81,0)</f>
        <v>0.1575</v>
      </c>
      <c r="Q14" s="54">
        <f>VLOOKUP($B14,'IMS Commission List'!E:CP,90,0)</f>
        <v>0.03</v>
      </c>
      <c r="R14" s="54">
        <f>VLOOKUP($B14,'IMS Commission List'!E:CQ,91,0)</f>
        <v>0.04</v>
      </c>
      <c r="S14" s="47">
        <f t="shared" si="1"/>
        <v>0</v>
      </c>
      <c r="T14" s="48">
        <f t="shared" si="2"/>
        <v>0</v>
      </c>
      <c r="U14" s="48">
        <f t="shared" si="3"/>
        <v>61583.810000000005</v>
      </c>
      <c r="V14" s="48">
        <f t="shared" si="4"/>
        <v>0</v>
      </c>
      <c r="W14" s="48">
        <f t="shared" si="5"/>
        <v>0</v>
      </c>
      <c r="X14" s="49">
        <f t="shared" si="6"/>
        <v>61583.810000000005</v>
      </c>
      <c r="Y14" s="49">
        <f t="shared" si="7"/>
        <v>0</v>
      </c>
      <c r="Z14" s="49">
        <f t="shared" si="8"/>
        <v>0</v>
      </c>
      <c r="AA14" s="49">
        <f t="shared" si="9"/>
        <v>2564.9656865000002</v>
      </c>
      <c r="AB14" s="49">
        <f t="shared" si="10"/>
        <v>0</v>
      </c>
      <c r="AC14" s="49">
        <f t="shared" si="11"/>
        <v>0</v>
      </c>
      <c r="AD14" s="49">
        <f t="shared" si="12"/>
        <v>2564.9656865000002</v>
      </c>
      <c r="AE14" s="49">
        <f t="shared" si="13"/>
        <v>0</v>
      </c>
      <c r="AF14" s="49">
        <f t="shared" si="14"/>
        <v>0</v>
      </c>
      <c r="AG14" s="49">
        <f t="shared" si="15"/>
        <v>9237.5715</v>
      </c>
      <c r="AH14" s="49">
        <f t="shared" si="16"/>
        <v>0</v>
      </c>
      <c r="AI14" s="49">
        <f t="shared" si="17"/>
        <v>0</v>
      </c>
      <c r="AJ14" s="49">
        <f t="shared" si="18"/>
        <v>9237.5715</v>
      </c>
      <c r="AK14" s="49">
        <f t="shared" si="19"/>
        <v>0</v>
      </c>
      <c r="AL14" s="49">
        <f t="shared" si="20"/>
        <v>0</v>
      </c>
      <c r="AM14" s="49">
        <f t="shared" si="21"/>
        <v>8244.5325637500009</v>
      </c>
      <c r="AN14" s="49">
        <f t="shared" si="22"/>
        <v>0</v>
      </c>
      <c r="AO14" s="49">
        <f t="shared" si="23"/>
        <v>0</v>
      </c>
      <c r="AP14" s="49">
        <f t="shared" si="24"/>
        <v>8244.5325637500009</v>
      </c>
      <c r="AQ14" s="49">
        <f t="shared" si="25"/>
        <v>0</v>
      </c>
      <c r="AR14" s="49">
        <f t="shared" si="26"/>
        <v>0</v>
      </c>
      <c r="AS14" s="49">
        <f t="shared" si="27"/>
        <v>1847.5143</v>
      </c>
      <c r="AT14" s="49">
        <f t="shared" si="28"/>
        <v>0</v>
      </c>
      <c r="AU14" s="49">
        <f t="shared" si="29"/>
        <v>0</v>
      </c>
      <c r="AV14" s="49">
        <f t="shared" si="30"/>
        <v>1847.5143</v>
      </c>
      <c r="AW14" s="49">
        <f t="shared" si="31"/>
        <v>0</v>
      </c>
      <c r="AX14" s="49">
        <f t="shared" si="32"/>
        <v>0</v>
      </c>
      <c r="AY14" s="49">
        <f t="shared" si="33"/>
        <v>2463.3524000000002</v>
      </c>
      <c r="AZ14" s="49">
        <f t="shared" si="34"/>
        <v>0</v>
      </c>
      <c r="BA14" s="49">
        <f t="shared" si="35"/>
        <v>0</v>
      </c>
      <c r="BB14" s="49">
        <f t="shared" si="36"/>
        <v>2463.3524000000002</v>
      </c>
      <c r="BC14" s="49">
        <f t="shared" si="37"/>
        <v>0</v>
      </c>
      <c r="BD14" s="49">
        <f t="shared" si="38"/>
        <v>0</v>
      </c>
      <c r="BE14" s="49">
        <f t="shared" si="39"/>
        <v>24357.936450249999</v>
      </c>
      <c r="BF14" s="49">
        <f t="shared" si="40"/>
        <v>0</v>
      </c>
      <c r="BG14" s="49">
        <f t="shared" si="41"/>
        <v>0</v>
      </c>
      <c r="BH14" s="49">
        <f t="shared" si="42"/>
        <v>24357.936450249999</v>
      </c>
      <c r="BI14" s="49">
        <f t="shared" si="43"/>
        <v>0</v>
      </c>
      <c r="BJ14" s="49">
        <f t="shared" si="44"/>
        <v>0</v>
      </c>
      <c r="BK14" s="49">
        <f t="shared" si="45"/>
        <v>2564.9656865000002</v>
      </c>
      <c r="BL14" s="49">
        <f t="shared" si="46"/>
        <v>0</v>
      </c>
      <c r="BM14" s="49">
        <f t="shared" si="47"/>
        <v>0</v>
      </c>
      <c r="BN14" s="49">
        <f t="shared" si="48"/>
        <v>2564.9656865000002</v>
      </c>
      <c r="BO14" s="49">
        <f t="shared" si="49"/>
        <v>0</v>
      </c>
      <c r="BP14" s="49">
        <f t="shared" si="50"/>
        <v>0</v>
      </c>
      <c r="BQ14" s="49">
        <f t="shared" si="51"/>
        <v>9237.5715</v>
      </c>
      <c r="BR14" s="49">
        <f t="shared" si="52"/>
        <v>0</v>
      </c>
      <c r="BS14" s="49">
        <f t="shared" si="53"/>
        <v>0</v>
      </c>
      <c r="BT14" s="49">
        <f t="shared" si="54"/>
        <v>9237.5715</v>
      </c>
      <c r="BU14" s="49">
        <f t="shared" si="55"/>
        <v>0</v>
      </c>
      <c r="BV14" s="49">
        <f t="shared" si="56"/>
        <v>0</v>
      </c>
      <c r="BW14" s="49">
        <f t="shared" si="57"/>
        <v>8244.5325637500009</v>
      </c>
      <c r="BX14" s="49">
        <f t="shared" si="58"/>
        <v>0</v>
      </c>
      <c r="BY14" s="49">
        <f t="shared" si="59"/>
        <v>0</v>
      </c>
      <c r="BZ14" s="49">
        <f t="shared" si="60"/>
        <v>8244.5325637500009</v>
      </c>
      <c r="CA14" s="49">
        <f t="shared" si="61"/>
        <v>0</v>
      </c>
      <c r="CB14" s="49">
        <f t="shared" si="62"/>
        <v>0</v>
      </c>
      <c r="CC14" s="49">
        <f t="shared" si="63"/>
        <v>1847.5143</v>
      </c>
      <c r="CD14" s="49">
        <f t="shared" si="64"/>
        <v>0</v>
      </c>
      <c r="CE14" s="49">
        <f t="shared" si="65"/>
        <v>0</v>
      </c>
      <c r="CF14" s="49">
        <f t="shared" si="66"/>
        <v>1847.5143</v>
      </c>
      <c r="CG14" s="49">
        <f t="shared" si="67"/>
        <v>0</v>
      </c>
      <c r="CH14" s="49">
        <f t="shared" si="68"/>
        <v>0</v>
      </c>
      <c r="CI14" s="49">
        <f t="shared" si="69"/>
        <v>2463.3524000000002</v>
      </c>
      <c r="CJ14" s="49">
        <f t="shared" si="70"/>
        <v>0</v>
      </c>
      <c r="CK14" s="49">
        <f t="shared" si="71"/>
        <v>0</v>
      </c>
      <c r="CL14" s="49">
        <f t="shared" si="72"/>
        <v>2463.3524000000002</v>
      </c>
      <c r="CM14" s="49">
        <f t="shared" si="73"/>
        <v>0</v>
      </c>
      <c r="CN14" s="49">
        <f t="shared" si="74"/>
        <v>0</v>
      </c>
      <c r="CO14" s="49">
        <f t="shared" si="75"/>
        <v>24357.936450249999</v>
      </c>
      <c r="CP14" s="49">
        <f t="shared" si="76"/>
        <v>0</v>
      </c>
      <c r="CQ14" s="49">
        <f t="shared" si="77"/>
        <v>0</v>
      </c>
      <c r="CR14" s="81">
        <f t="shared" si="78"/>
        <v>24357.936450249999</v>
      </c>
      <c r="CS14" s="80">
        <f t="shared" si="79"/>
        <v>37225.873549750002</v>
      </c>
      <c r="CT14" s="54"/>
      <c r="CU14" s="3" t="str">
        <f t="shared" si="80"/>
        <v>ARS</v>
      </c>
      <c r="CV14" s="3">
        <f>VLOOKUP(CU14,DF:DG,2,0)</f>
        <v>6.9185169999999997E-4</v>
      </c>
      <c r="CW14" s="23">
        <f t="shared" si="81"/>
        <v>42.606863640977004</v>
      </c>
      <c r="CX14" s="23">
        <f t="shared" si="82"/>
        <v>1.7745758706466921</v>
      </c>
      <c r="CY14" s="23">
        <f t="shared" si="83"/>
        <v>6.3910295461465498</v>
      </c>
      <c r="CZ14" s="23">
        <f t="shared" si="84"/>
        <v>5.7039938699357959</v>
      </c>
      <c r="DA14" s="23">
        <f t="shared" si="85"/>
        <v>1.2782059092293099</v>
      </c>
      <c r="DB14" s="23">
        <f t="shared" si="86"/>
        <v>1.70427454563908</v>
      </c>
      <c r="DC14" s="23">
        <f t="shared" si="87"/>
        <v>25.754783899379571</v>
      </c>
      <c r="DD14" s="34" t="str">
        <f>VLOOKUP(A14,'Billing Report'!H:I,2,FALSE)</f>
        <v>OT429-V3   Cordobesa Verano - Alcance - Twitter - PROMO PEAJE</v>
      </c>
      <c r="DE14" s="34"/>
      <c r="DF14" s="61" t="s">
        <v>80</v>
      </c>
      <c r="DG14" s="62">
        <v>0.1916639594</v>
      </c>
      <c r="DH14"/>
      <c r="DI14" s="41"/>
      <c r="DJ14" s="41"/>
    </row>
    <row r="15" spans="1:114" ht="14.5" x14ac:dyDescent="0.35">
      <c r="A15" s="63">
        <v>40789845</v>
      </c>
      <c r="B15" s="3" t="s">
        <v>562</v>
      </c>
      <c r="C15" s="3">
        <v>275149001</v>
      </c>
      <c r="D15" s="3" t="s">
        <v>93</v>
      </c>
      <c r="G15" s="38">
        <v>319263.44</v>
      </c>
      <c r="J15" s="33">
        <f>VLOOKUP($B15,'IMS Commission List'!E:CE,79,0)/100</f>
        <v>0.15</v>
      </c>
      <c r="K15" s="79">
        <f t="shared" si="0"/>
        <v>319263.44</v>
      </c>
      <c r="L15" s="3" t="str">
        <f>VLOOKUP($B15,'IMS Commission List'!E:V,18,0)</f>
        <v>ARS</v>
      </c>
      <c r="M15" s="3">
        <v>1</v>
      </c>
      <c r="N15" s="3" t="str">
        <f>VLOOKUP($B15,'IMS Commission List'!E:T,16,0)</f>
        <v>MX</v>
      </c>
      <c r="O15" s="54">
        <f>VLOOKUP($B15,'IMS Commission List'!E:CF,80,0)</f>
        <v>4.9000000000000002E-2</v>
      </c>
      <c r="P15" s="54">
        <f>VLOOKUP($B15,'IMS Commission List'!E:CG,81,0)</f>
        <v>0.1575</v>
      </c>
      <c r="Q15" s="54">
        <f>VLOOKUP($B15,'IMS Commission List'!E:CP,90,0)</f>
        <v>0.03</v>
      </c>
      <c r="R15" s="54">
        <f>VLOOKUP($B15,'IMS Commission List'!E:CQ,91,0)</f>
        <v>0.04</v>
      </c>
      <c r="S15" s="47">
        <f t="shared" si="1"/>
        <v>0</v>
      </c>
      <c r="T15" s="48">
        <f t="shared" si="2"/>
        <v>0</v>
      </c>
      <c r="U15" s="48">
        <f t="shared" si="3"/>
        <v>319263.44</v>
      </c>
      <c r="V15" s="48">
        <f t="shared" si="4"/>
        <v>0</v>
      </c>
      <c r="W15" s="48">
        <f t="shared" si="5"/>
        <v>0</v>
      </c>
      <c r="X15" s="49">
        <f t="shared" si="6"/>
        <v>319263.44</v>
      </c>
      <c r="Y15" s="49">
        <f t="shared" si="7"/>
        <v>0</v>
      </c>
      <c r="Z15" s="49">
        <f t="shared" si="8"/>
        <v>0</v>
      </c>
      <c r="AA15" s="49">
        <f t="shared" si="9"/>
        <v>13297.322275999999</v>
      </c>
      <c r="AB15" s="49">
        <f t="shared" si="10"/>
        <v>0</v>
      </c>
      <c r="AC15" s="49">
        <f t="shared" si="11"/>
        <v>0</v>
      </c>
      <c r="AD15" s="49">
        <f t="shared" si="12"/>
        <v>13297.322275999999</v>
      </c>
      <c r="AE15" s="49">
        <f t="shared" si="13"/>
        <v>0</v>
      </c>
      <c r="AF15" s="49">
        <f t="shared" si="14"/>
        <v>0</v>
      </c>
      <c r="AG15" s="49">
        <f t="shared" si="15"/>
        <v>47889.515999999996</v>
      </c>
      <c r="AH15" s="49">
        <f t="shared" si="16"/>
        <v>0</v>
      </c>
      <c r="AI15" s="49">
        <f t="shared" si="17"/>
        <v>0</v>
      </c>
      <c r="AJ15" s="49">
        <f t="shared" si="18"/>
        <v>47889.515999999996</v>
      </c>
      <c r="AK15" s="49">
        <f t="shared" si="19"/>
        <v>0</v>
      </c>
      <c r="AL15" s="49">
        <f t="shared" si="20"/>
        <v>0</v>
      </c>
      <c r="AM15" s="49">
        <f t="shared" si="21"/>
        <v>42741.393029999999</v>
      </c>
      <c r="AN15" s="49">
        <f t="shared" si="22"/>
        <v>0</v>
      </c>
      <c r="AO15" s="49">
        <f t="shared" si="23"/>
        <v>0</v>
      </c>
      <c r="AP15" s="49">
        <f t="shared" si="24"/>
        <v>42741.393029999999</v>
      </c>
      <c r="AQ15" s="49">
        <f t="shared" si="25"/>
        <v>0</v>
      </c>
      <c r="AR15" s="49">
        <f t="shared" si="26"/>
        <v>0</v>
      </c>
      <c r="AS15" s="49">
        <f t="shared" si="27"/>
        <v>9577.9031999999988</v>
      </c>
      <c r="AT15" s="49">
        <f t="shared" si="28"/>
        <v>0</v>
      </c>
      <c r="AU15" s="49">
        <f t="shared" si="29"/>
        <v>0</v>
      </c>
      <c r="AV15" s="49">
        <f t="shared" si="30"/>
        <v>9577.9031999999988</v>
      </c>
      <c r="AW15" s="49">
        <f t="shared" si="31"/>
        <v>0</v>
      </c>
      <c r="AX15" s="49">
        <f t="shared" si="32"/>
        <v>0</v>
      </c>
      <c r="AY15" s="49">
        <f t="shared" si="33"/>
        <v>12770.5376</v>
      </c>
      <c r="AZ15" s="49">
        <f t="shared" si="34"/>
        <v>0</v>
      </c>
      <c r="BA15" s="49">
        <f t="shared" si="35"/>
        <v>0</v>
      </c>
      <c r="BB15" s="49">
        <f t="shared" si="36"/>
        <v>12770.5376</v>
      </c>
      <c r="BC15" s="49">
        <f t="shared" si="37"/>
        <v>0</v>
      </c>
      <c r="BD15" s="49">
        <f t="shared" si="38"/>
        <v>0</v>
      </c>
      <c r="BE15" s="49">
        <f t="shared" si="39"/>
        <v>126276.672106</v>
      </c>
      <c r="BF15" s="49">
        <f t="shared" si="40"/>
        <v>0</v>
      </c>
      <c r="BG15" s="49">
        <f t="shared" si="41"/>
        <v>0</v>
      </c>
      <c r="BH15" s="49">
        <f t="shared" si="42"/>
        <v>126276.672106</v>
      </c>
      <c r="BI15" s="49">
        <f t="shared" si="43"/>
        <v>0</v>
      </c>
      <c r="BJ15" s="49">
        <f t="shared" si="44"/>
        <v>0</v>
      </c>
      <c r="BK15" s="49">
        <f t="shared" si="45"/>
        <v>13297.322275999999</v>
      </c>
      <c r="BL15" s="49">
        <f t="shared" si="46"/>
        <v>0</v>
      </c>
      <c r="BM15" s="49">
        <f t="shared" si="47"/>
        <v>0</v>
      </c>
      <c r="BN15" s="49">
        <f t="shared" si="48"/>
        <v>13297.322275999999</v>
      </c>
      <c r="BO15" s="49">
        <f t="shared" si="49"/>
        <v>0</v>
      </c>
      <c r="BP15" s="49">
        <f t="shared" si="50"/>
        <v>0</v>
      </c>
      <c r="BQ15" s="49">
        <f t="shared" si="51"/>
        <v>47889.515999999996</v>
      </c>
      <c r="BR15" s="49">
        <f t="shared" si="52"/>
        <v>0</v>
      </c>
      <c r="BS15" s="49">
        <f t="shared" si="53"/>
        <v>0</v>
      </c>
      <c r="BT15" s="49">
        <f t="shared" si="54"/>
        <v>47889.515999999996</v>
      </c>
      <c r="BU15" s="49">
        <f t="shared" si="55"/>
        <v>0</v>
      </c>
      <c r="BV15" s="49">
        <f t="shared" si="56"/>
        <v>0</v>
      </c>
      <c r="BW15" s="49">
        <f t="shared" si="57"/>
        <v>42741.393029999999</v>
      </c>
      <c r="BX15" s="49">
        <f t="shared" si="58"/>
        <v>0</v>
      </c>
      <c r="BY15" s="49">
        <f t="shared" si="59"/>
        <v>0</v>
      </c>
      <c r="BZ15" s="49">
        <f t="shared" si="60"/>
        <v>42741.393029999999</v>
      </c>
      <c r="CA15" s="49">
        <f t="shared" si="61"/>
        <v>0</v>
      </c>
      <c r="CB15" s="49">
        <f t="shared" si="62"/>
        <v>0</v>
      </c>
      <c r="CC15" s="49">
        <f t="shared" si="63"/>
        <v>9577.9031999999988</v>
      </c>
      <c r="CD15" s="49">
        <f t="shared" si="64"/>
        <v>0</v>
      </c>
      <c r="CE15" s="49">
        <f t="shared" si="65"/>
        <v>0</v>
      </c>
      <c r="CF15" s="49">
        <f t="shared" si="66"/>
        <v>9577.9031999999988</v>
      </c>
      <c r="CG15" s="49">
        <f t="shared" si="67"/>
        <v>0</v>
      </c>
      <c r="CH15" s="49">
        <f t="shared" si="68"/>
        <v>0</v>
      </c>
      <c r="CI15" s="49">
        <f t="shared" si="69"/>
        <v>12770.5376</v>
      </c>
      <c r="CJ15" s="49">
        <f t="shared" si="70"/>
        <v>0</v>
      </c>
      <c r="CK15" s="49">
        <f t="shared" si="71"/>
        <v>0</v>
      </c>
      <c r="CL15" s="49">
        <f t="shared" si="72"/>
        <v>12770.5376</v>
      </c>
      <c r="CM15" s="49">
        <f t="shared" si="73"/>
        <v>0</v>
      </c>
      <c r="CN15" s="49">
        <f t="shared" si="74"/>
        <v>0</v>
      </c>
      <c r="CO15" s="49">
        <f t="shared" si="75"/>
        <v>126276.672106</v>
      </c>
      <c r="CP15" s="49">
        <f t="shared" si="76"/>
        <v>0</v>
      </c>
      <c r="CQ15" s="49">
        <f t="shared" si="77"/>
        <v>0</v>
      </c>
      <c r="CR15" s="81">
        <f t="shared" si="78"/>
        <v>126276.672106</v>
      </c>
      <c r="CS15" s="80">
        <f t="shared" si="79"/>
        <v>192986.76789399999</v>
      </c>
      <c r="CT15" s="54"/>
      <c r="CU15" s="3" t="str">
        <f t="shared" si="80"/>
        <v>ARS</v>
      </c>
      <c r="CV15" s="3">
        <f>VLOOKUP(CU15,DF:DG,2,0)</f>
        <v>6.9185169999999997E-4</v>
      </c>
      <c r="CW15" s="23">
        <f t="shared" si="81"/>
        <v>220.88295371184799</v>
      </c>
      <c r="CX15" s="23">
        <f t="shared" si="82"/>
        <v>9.1997750220984678</v>
      </c>
      <c r="CY15" s="23">
        <f t="shared" si="83"/>
        <v>33.132443056777198</v>
      </c>
      <c r="CZ15" s="23">
        <f t="shared" si="84"/>
        <v>29.57070542817365</v>
      </c>
      <c r="DA15" s="23">
        <f t="shared" si="85"/>
        <v>6.6264886113554393</v>
      </c>
      <c r="DB15" s="23">
        <f t="shared" si="86"/>
        <v>8.8353181484739185</v>
      </c>
      <c r="DC15" s="23">
        <f t="shared" si="87"/>
        <v>133.51822344496929</v>
      </c>
      <c r="DD15" s="34" t="str">
        <f>VLOOKUP(A15,'Billing Report'!H:I,2,FALSE)</f>
        <v>OT429-V3   Cordobesa Verano - Alcance - Twitter -   PROMO Festivales y Espectáculos</v>
      </c>
      <c r="DE15" s="34"/>
      <c r="DF15" s="61" t="s">
        <v>368</v>
      </c>
      <c r="DG15" s="62">
        <v>3.5183199999999999E-5</v>
      </c>
      <c r="DH15"/>
      <c r="DI15" s="41"/>
      <c r="DJ15" s="41"/>
    </row>
    <row r="16" spans="1:114" ht="14.5" x14ac:dyDescent="0.35">
      <c r="A16" s="63">
        <v>40789826</v>
      </c>
      <c r="B16" s="3" t="s">
        <v>562</v>
      </c>
      <c r="C16" s="3">
        <v>275149001</v>
      </c>
      <c r="D16" s="3" t="s">
        <v>93</v>
      </c>
      <c r="G16" s="38">
        <v>61670.34</v>
      </c>
      <c r="J16" s="33">
        <f>VLOOKUP($B16,'IMS Commission List'!E:CE,79,0)/100</f>
        <v>0.15</v>
      </c>
      <c r="K16" s="79">
        <f t="shared" si="0"/>
        <v>61670.34</v>
      </c>
      <c r="L16" s="3" t="str">
        <f>VLOOKUP($B16,'IMS Commission List'!E:V,18,0)</f>
        <v>ARS</v>
      </c>
      <c r="M16" s="3">
        <v>1</v>
      </c>
      <c r="N16" s="3" t="str">
        <f>VLOOKUP($B16,'IMS Commission List'!E:T,16,0)</f>
        <v>MX</v>
      </c>
      <c r="O16" s="54">
        <f>VLOOKUP($B16,'IMS Commission List'!E:CF,80,0)</f>
        <v>4.9000000000000002E-2</v>
      </c>
      <c r="P16" s="54">
        <f>VLOOKUP($B16,'IMS Commission List'!E:CG,81,0)</f>
        <v>0.1575</v>
      </c>
      <c r="Q16" s="54">
        <f>VLOOKUP($B16,'IMS Commission List'!E:CP,90,0)</f>
        <v>0.03</v>
      </c>
      <c r="R16" s="54">
        <f>VLOOKUP($B16,'IMS Commission List'!E:CQ,91,0)</f>
        <v>0.04</v>
      </c>
      <c r="S16" s="47">
        <f t="shared" si="1"/>
        <v>0</v>
      </c>
      <c r="T16" s="48">
        <f t="shared" si="2"/>
        <v>0</v>
      </c>
      <c r="U16" s="48">
        <f t="shared" si="3"/>
        <v>61670.34</v>
      </c>
      <c r="V16" s="48">
        <f t="shared" si="4"/>
        <v>0</v>
      </c>
      <c r="W16" s="48">
        <f t="shared" si="5"/>
        <v>0</v>
      </c>
      <c r="X16" s="49">
        <f t="shared" si="6"/>
        <v>61670.34</v>
      </c>
      <c r="Y16" s="49">
        <f t="shared" si="7"/>
        <v>0</v>
      </c>
      <c r="Z16" s="49">
        <f t="shared" si="8"/>
        <v>0</v>
      </c>
      <c r="AA16" s="49">
        <f t="shared" si="9"/>
        <v>2568.569661</v>
      </c>
      <c r="AB16" s="49">
        <f t="shared" si="10"/>
        <v>0</v>
      </c>
      <c r="AC16" s="49">
        <f t="shared" si="11"/>
        <v>0</v>
      </c>
      <c r="AD16" s="49">
        <f t="shared" si="12"/>
        <v>2568.569661</v>
      </c>
      <c r="AE16" s="49">
        <f t="shared" si="13"/>
        <v>0</v>
      </c>
      <c r="AF16" s="49">
        <f t="shared" si="14"/>
        <v>0</v>
      </c>
      <c r="AG16" s="49">
        <f t="shared" si="15"/>
        <v>9250.5509999999995</v>
      </c>
      <c r="AH16" s="49">
        <f t="shared" si="16"/>
        <v>0</v>
      </c>
      <c r="AI16" s="49">
        <f t="shared" si="17"/>
        <v>0</v>
      </c>
      <c r="AJ16" s="49">
        <f t="shared" si="18"/>
        <v>9250.5509999999995</v>
      </c>
      <c r="AK16" s="49">
        <f t="shared" si="19"/>
        <v>0</v>
      </c>
      <c r="AL16" s="49">
        <f t="shared" si="20"/>
        <v>0</v>
      </c>
      <c r="AM16" s="49">
        <f t="shared" si="21"/>
        <v>8256.1167674999997</v>
      </c>
      <c r="AN16" s="49">
        <f t="shared" si="22"/>
        <v>0</v>
      </c>
      <c r="AO16" s="49">
        <f t="shared" si="23"/>
        <v>0</v>
      </c>
      <c r="AP16" s="49">
        <f t="shared" si="24"/>
        <v>8256.1167674999997</v>
      </c>
      <c r="AQ16" s="49">
        <f t="shared" si="25"/>
        <v>0</v>
      </c>
      <c r="AR16" s="49">
        <f t="shared" si="26"/>
        <v>0</v>
      </c>
      <c r="AS16" s="49">
        <f t="shared" si="27"/>
        <v>1850.1101999999998</v>
      </c>
      <c r="AT16" s="49">
        <f t="shared" si="28"/>
        <v>0</v>
      </c>
      <c r="AU16" s="49">
        <f t="shared" si="29"/>
        <v>0</v>
      </c>
      <c r="AV16" s="49">
        <f t="shared" si="30"/>
        <v>1850.1101999999998</v>
      </c>
      <c r="AW16" s="49">
        <f t="shared" si="31"/>
        <v>0</v>
      </c>
      <c r="AX16" s="49">
        <f t="shared" si="32"/>
        <v>0</v>
      </c>
      <c r="AY16" s="49">
        <f t="shared" si="33"/>
        <v>2466.8136</v>
      </c>
      <c r="AZ16" s="49">
        <f t="shared" si="34"/>
        <v>0</v>
      </c>
      <c r="BA16" s="49">
        <f t="shared" si="35"/>
        <v>0</v>
      </c>
      <c r="BB16" s="49">
        <f t="shared" si="36"/>
        <v>2466.8136</v>
      </c>
      <c r="BC16" s="49">
        <f t="shared" si="37"/>
        <v>0</v>
      </c>
      <c r="BD16" s="49">
        <f t="shared" si="38"/>
        <v>0</v>
      </c>
      <c r="BE16" s="49">
        <f t="shared" si="39"/>
        <v>24392.161228499997</v>
      </c>
      <c r="BF16" s="49">
        <f t="shared" si="40"/>
        <v>0</v>
      </c>
      <c r="BG16" s="49">
        <f t="shared" si="41"/>
        <v>0</v>
      </c>
      <c r="BH16" s="49">
        <f t="shared" si="42"/>
        <v>24392.161228499997</v>
      </c>
      <c r="BI16" s="49">
        <f t="shared" si="43"/>
        <v>0</v>
      </c>
      <c r="BJ16" s="49">
        <f t="shared" si="44"/>
        <v>0</v>
      </c>
      <c r="BK16" s="49">
        <f t="shared" si="45"/>
        <v>2568.569661</v>
      </c>
      <c r="BL16" s="49">
        <f t="shared" si="46"/>
        <v>0</v>
      </c>
      <c r="BM16" s="49">
        <f t="shared" si="47"/>
        <v>0</v>
      </c>
      <c r="BN16" s="49">
        <f t="shared" si="48"/>
        <v>2568.569661</v>
      </c>
      <c r="BO16" s="49">
        <f t="shared" si="49"/>
        <v>0</v>
      </c>
      <c r="BP16" s="49">
        <f t="shared" si="50"/>
        <v>0</v>
      </c>
      <c r="BQ16" s="49">
        <f t="shared" si="51"/>
        <v>9250.5509999999995</v>
      </c>
      <c r="BR16" s="49">
        <f t="shared" si="52"/>
        <v>0</v>
      </c>
      <c r="BS16" s="49">
        <f t="shared" si="53"/>
        <v>0</v>
      </c>
      <c r="BT16" s="49">
        <f t="shared" si="54"/>
        <v>9250.5509999999995</v>
      </c>
      <c r="BU16" s="49">
        <f t="shared" si="55"/>
        <v>0</v>
      </c>
      <c r="BV16" s="49">
        <f t="shared" si="56"/>
        <v>0</v>
      </c>
      <c r="BW16" s="49">
        <f t="shared" si="57"/>
        <v>8256.1167674999997</v>
      </c>
      <c r="BX16" s="49">
        <f t="shared" si="58"/>
        <v>0</v>
      </c>
      <c r="BY16" s="49">
        <f t="shared" si="59"/>
        <v>0</v>
      </c>
      <c r="BZ16" s="49">
        <f t="shared" si="60"/>
        <v>8256.1167674999997</v>
      </c>
      <c r="CA16" s="49">
        <f t="shared" si="61"/>
        <v>0</v>
      </c>
      <c r="CB16" s="49">
        <f t="shared" si="62"/>
        <v>0</v>
      </c>
      <c r="CC16" s="49">
        <f t="shared" si="63"/>
        <v>1850.1101999999998</v>
      </c>
      <c r="CD16" s="49">
        <f t="shared" si="64"/>
        <v>0</v>
      </c>
      <c r="CE16" s="49">
        <f t="shared" si="65"/>
        <v>0</v>
      </c>
      <c r="CF16" s="49">
        <f t="shared" si="66"/>
        <v>1850.1101999999998</v>
      </c>
      <c r="CG16" s="49">
        <f t="shared" si="67"/>
        <v>0</v>
      </c>
      <c r="CH16" s="49">
        <f t="shared" si="68"/>
        <v>0</v>
      </c>
      <c r="CI16" s="49">
        <f t="shared" si="69"/>
        <v>2466.8136</v>
      </c>
      <c r="CJ16" s="49">
        <f t="shared" si="70"/>
        <v>0</v>
      </c>
      <c r="CK16" s="49">
        <f t="shared" si="71"/>
        <v>0</v>
      </c>
      <c r="CL16" s="49">
        <f t="shared" si="72"/>
        <v>2466.8136</v>
      </c>
      <c r="CM16" s="49">
        <f t="shared" si="73"/>
        <v>0</v>
      </c>
      <c r="CN16" s="49">
        <f t="shared" si="74"/>
        <v>0</v>
      </c>
      <c r="CO16" s="49">
        <f t="shared" si="75"/>
        <v>24392.161228499997</v>
      </c>
      <c r="CP16" s="49">
        <f t="shared" si="76"/>
        <v>0</v>
      </c>
      <c r="CQ16" s="49">
        <f t="shared" si="77"/>
        <v>0</v>
      </c>
      <c r="CR16" s="81">
        <f t="shared" si="78"/>
        <v>24392.161228499997</v>
      </c>
      <c r="CS16" s="80">
        <f t="shared" si="79"/>
        <v>37278.178771499995</v>
      </c>
      <c r="CT16" s="54"/>
      <c r="CU16" s="3" t="str">
        <f t="shared" si="80"/>
        <v>ARS</v>
      </c>
      <c r="CV16" s="3">
        <f>VLOOKUP(CU16,DF:DG,2,0)</f>
        <v>6.9185169999999997E-4</v>
      </c>
      <c r="CW16" s="23">
        <f t="shared" si="81"/>
        <v>42.666729568577999</v>
      </c>
      <c r="CX16" s="23">
        <f t="shared" si="82"/>
        <v>1.7770692865312736</v>
      </c>
      <c r="CY16" s="23">
        <f t="shared" si="83"/>
        <v>6.400009435286699</v>
      </c>
      <c r="CZ16" s="23">
        <f t="shared" si="84"/>
        <v>5.7120084209933797</v>
      </c>
      <c r="DA16" s="23">
        <f t="shared" si="85"/>
        <v>1.2800018870573397</v>
      </c>
      <c r="DB16" s="23">
        <f t="shared" si="86"/>
        <v>1.70666918274312</v>
      </c>
      <c r="DC16" s="23">
        <f t="shared" si="87"/>
        <v>25.790971355966182</v>
      </c>
      <c r="DD16" s="34" t="str">
        <f>VLOOKUP(A16,'Billing Report'!H:I,2,FALSE)</f>
        <v>OT429-V3   Cordobesa Verano - Alcance - Twitter -   PROMO SUPERMERCADO</v>
      </c>
      <c r="DE16" s="34"/>
      <c r="DF16" s="61" t="s">
        <v>360</v>
      </c>
      <c r="DG16" s="62">
        <v>0.73817353720000001</v>
      </c>
      <c r="DH16"/>
      <c r="DI16" s="41"/>
      <c r="DJ16" s="41"/>
    </row>
    <row r="17" spans="1:114" ht="14.5" x14ac:dyDescent="0.35">
      <c r="A17" s="63">
        <v>37183205</v>
      </c>
      <c r="B17" s="3" t="s">
        <v>475</v>
      </c>
      <c r="C17" s="3">
        <v>276783201</v>
      </c>
      <c r="D17" s="3" t="s">
        <v>93</v>
      </c>
      <c r="G17" s="38">
        <v>3113913.08</v>
      </c>
      <c r="J17" s="33">
        <f>VLOOKUP($B17,'IMS Commission List'!E:CE,79,0)/100</f>
        <v>0.15</v>
      </c>
      <c r="K17" s="79">
        <f t="shared" si="0"/>
        <v>3113913.08</v>
      </c>
      <c r="L17" s="3" t="str">
        <f>VLOOKUP($B17,'IMS Commission List'!E:V,18,0)</f>
        <v>ARS</v>
      </c>
      <c r="M17" s="3">
        <v>1</v>
      </c>
      <c r="N17" s="3" t="str">
        <f>VLOOKUP($B17,'IMS Commission List'!E:T,16,0)</f>
        <v>MX</v>
      </c>
      <c r="O17" s="54">
        <f>VLOOKUP($B17,'IMS Commission List'!E:CF,80,0)</f>
        <v>4.9000000000000002E-2</v>
      </c>
      <c r="P17" s="54">
        <f>VLOOKUP($B17,'IMS Commission List'!E:CG,81,0)</f>
        <v>0.1575</v>
      </c>
      <c r="Q17" s="54">
        <f>VLOOKUP($B17,'IMS Commission List'!E:CP,90,0)</f>
        <v>0.03</v>
      </c>
      <c r="R17" s="54">
        <f>VLOOKUP($B17,'IMS Commission List'!E:CQ,91,0)</f>
        <v>0.04</v>
      </c>
      <c r="S17" s="47">
        <f t="shared" si="1"/>
        <v>0</v>
      </c>
      <c r="T17" s="48">
        <f t="shared" si="2"/>
        <v>0</v>
      </c>
      <c r="U17" s="48">
        <f t="shared" si="3"/>
        <v>3113913.08</v>
      </c>
      <c r="V17" s="48">
        <f t="shared" si="4"/>
        <v>0</v>
      </c>
      <c r="W17" s="48">
        <f t="shared" si="5"/>
        <v>0</v>
      </c>
      <c r="X17" s="49">
        <f t="shared" si="6"/>
        <v>3113913.08</v>
      </c>
      <c r="Y17" s="49">
        <f t="shared" si="7"/>
        <v>0</v>
      </c>
      <c r="Z17" s="49">
        <f t="shared" si="8"/>
        <v>0</v>
      </c>
      <c r="AA17" s="49">
        <f t="shared" si="9"/>
        <v>129694.47978200001</v>
      </c>
      <c r="AB17" s="49">
        <f t="shared" si="10"/>
        <v>0</v>
      </c>
      <c r="AC17" s="49">
        <f t="shared" si="11"/>
        <v>0</v>
      </c>
      <c r="AD17" s="49">
        <f t="shared" si="12"/>
        <v>129694.47978200001</v>
      </c>
      <c r="AE17" s="49">
        <f t="shared" si="13"/>
        <v>0</v>
      </c>
      <c r="AF17" s="49">
        <f t="shared" si="14"/>
        <v>0</v>
      </c>
      <c r="AG17" s="49">
        <f t="shared" si="15"/>
        <v>467086.962</v>
      </c>
      <c r="AH17" s="49">
        <f t="shared" si="16"/>
        <v>0</v>
      </c>
      <c r="AI17" s="49">
        <f t="shared" si="17"/>
        <v>0</v>
      </c>
      <c r="AJ17" s="49">
        <f t="shared" si="18"/>
        <v>467086.962</v>
      </c>
      <c r="AK17" s="49">
        <f t="shared" si="19"/>
        <v>0</v>
      </c>
      <c r="AL17" s="49">
        <f t="shared" si="20"/>
        <v>0</v>
      </c>
      <c r="AM17" s="49">
        <f t="shared" si="21"/>
        <v>416875.11358499998</v>
      </c>
      <c r="AN17" s="49">
        <f t="shared" si="22"/>
        <v>0</v>
      </c>
      <c r="AO17" s="49">
        <f t="shared" si="23"/>
        <v>0</v>
      </c>
      <c r="AP17" s="49">
        <f t="shared" si="24"/>
        <v>416875.11358499998</v>
      </c>
      <c r="AQ17" s="49">
        <f t="shared" si="25"/>
        <v>0</v>
      </c>
      <c r="AR17" s="49">
        <f t="shared" si="26"/>
        <v>0</v>
      </c>
      <c r="AS17" s="49">
        <f t="shared" si="27"/>
        <v>93417.392399999997</v>
      </c>
      <c r="AT17" s="49">
        <f t="shared" si="28"/>
        <v>0</v>
      </c>
      <c r="AU17" s="49">
        <f t="shared" si="29"/>
        <v>0</v>
      </c>
      <c r="AV17" s="49">
        <f t="shared" si="30"/>
        <v>93417.392399999997</v>
      </c>
      <c r="AW17" s="49">
        <f t="shared" si="31"/>
        <v>0</v>
      </c>
      <c r="AX17" s="49">
        <f t="shared" si="32"/>
        <v>0</v>
      </c>
      <c r="AY17" s="49">
        <f t="shared" si="33"/>
        <v>124556.52320000001</v>
      </c>
      <c r="AZ17" s="49">
        <f t="shared" si="34"/>
        <v>0</v>
      </c>
      <c r="BA17" s="49">
        <f t="shared" si="35"/>
        <v>0</v>
      </c>
      <c r="BB17" s="49">
        <f t="shared" si="36"/>
        <v>124556.52320000001</v>
      </c>
      <c r="BC17" s="49">
        <f t="shared" si="37"/>
        <v>0</v>
      </c>
      <c r="BD17" s="49">
        <f t="shared" si="38"/>
        <v>0</v>
      </c>
      <c r="BE17" s="49">
        <f t="shared" si="39"/>
        <v>1231630.4709669999</v>
      </c>
      <c r="BF17" s="49">
        <f t="shared" si="40"/>
        <v>0</v>
      </c>
      <c r="BG17" s="49">
        <f t="shared" si="41"/>
        <v>0</v>
      </c>
      <c r="BH17" s="49">
        <f t="shared" si="42"/>
        <v>1231630.4709669999</v>
      </c>
      <c r="BI17" s="49">
        <f t="shared" si="43"/>
        <v>0</v>
      </c>
      <c r="BJ17" s="49">
        <f t="shared" si="44"/>
        <v>0</v>
      </c>
      <c r="BK17" s="49">
        <f t="shared" si="45"/>
        <v>129694.47978200001</v>
      </c>
      <c r="BL17" s="49">
        <f t="shared" si="46"/>
        <v>0</v>
      </c>
      <c r="BM17" s="49">
        <f t="shared" si="47"/>
        <v>0</v>
      </c>
      <c r="BN17" s="49">
        <f t="shared" si="48"/>
        <v>129694.47978200001</v>
      </c>
      <c r="BO17" s="49">
        <f t="shared" si="49"/>
        <v>0</v>
      </c>
      <c r="BP17" s="49">
        <f t="shared" si="50"/>
        <v>0</v>
      </c>
      <c r="BQ17" s="49">
        <f t="shared" si="51"/>
        <v>467086.962</v>
      </c>
      <c r="BR17" s="49">
        <f t="shared" si="52"/>
        <v>0</v>
      </c>
      <c r="BS17" s="49">
        <f t="shared" si="53"/>
        <v>0</v>
      </c>
      <c r="BT17" s="49">
        <f t="shared" si="54"/>
        <v>467086.962</v>
      </c>
      <c r="BU17" s="49">
        <f t="shared" si="55"/>
        <v>0</v>
      </c>
      <c r="BV17" s="49">
        <f t="shared" si="56"/>
        <v>0</v>
      </c>
      <c r="BW17" s="49">
        <f t="shared" si="57"/>
        <v>416875.11358499998</v>
      </c>
      <c r="BX17" s="49">
        <f t="shared" si="58"/>
        <v>0</v>
      </c>
      <c r="BY17" s="49">
        <f t="shared" si="59"/>
        <v>0</v>
      </c>
      <c r="BZ17" s="49">
        <f t="shared" si="60"/>
        <v>416875.11358499998</v>
      </c>
      <c r="CA17" s="49">
        <f t="shared" si="61"/>
        <v>0</v>
      </c>
      <c r="CB17" s="49">
        <f t="shared" si="62"/>
        <v>0</v>
      </c>
      <c r="CC17" s="49">
        <f t="shared" si="63"/>
        <v>93417.392399999997</v>
      </c>
      <c r="CD17" s="49">
        <f t="shared" si="64"/>
        <v>0</v>
      </c>
      <c r="CE17" s="49">
        <f t="shared" si="65"/>
        <v>0</v>
      </c>
      <c r="CF17" s="49">
        <f t="shared" si="66"/>
        <v>93417.392399999997</v>
      </c>
      <c r="CG17" s="49">
        <f t="shared" si="67"/>
        <v>0</v>
      </c>
      <c r="CH17" s="49">
        <f t="shared" si="68"/>
        <v>0</v>
      </c>
      <c r="CI17" s="49">
        <f t="shared" si="69"/>
        <v>124556.52320000001</v>
      </c>
      <c r="CJ17" s="49">
        <f t="shared" si="70"/>
        <v>0</v>
      </c>
      <c r="CK17" s="49">
        <f t="shared" si="71"/>
        <v>0</v>
      </c>
      <c r="CL17" s="49">
        <f t="shared" si="72"/>
        <v>124556.52320000001</v>
      </c>
      <c r="CM17" s="49">
        <f t="shared" si="73"/>
        <v>0</v>
      </c>
      <c r="CN17" s="49">
        <f t="shared" si="74"/>
        <v>0</v>
      </c>
      <c r="CO17" s="49">
        <f t="shared" si="75"/>
        <v>1231630.4709669999</v>
      </c>
      <c r="CP17" s="49">
        <f t="shared" si="76"/>
        <v>0</v>
      </c>
      <c r="CQ17" s="49">
        <f t="shared" si="77"/>
        <v>0</v>
      </c>
      <c r="CR17" s="81">
        <f t="shared" si="78"/>
        <v>1231630.4709669999</v>
      </c>
      <c r="CS17" s="80">
        <f t="shared" si="79"/>
        <v>1882282.6090330002</v>
      </c>
      <c r="CT17" s="54"/>
      <c r="CU17" s="3" t="str">
        <f t="shared" si="80"/>
        <v>ARS</v>
      </c>
      <c r="CV17" s="3">
        <f>VLOOKUP(CU17,DF:DG,2,0)</f>
        <v>6.9185169999999997E-4</v>
      </c>
      <c r="CW17" s="23">
        <f t="shared" si="81"/>
        <v>2154.366058050236</v>
      </c>
      <c r="CX17" s="23">
        <f t="shared" si="82"/>
        <v>89.729346317792334</v>
      </c>
      <c r="CY17" s="23">
        <f t="shared" si="83"/>
        <v>323.15490870753541</v>
      </c>
      <c r="CZ17" s="23">
        <f t="shared" si="84"/>
        <v>288.41575602147532</v>
      </c>
      <c r="DA17" s="23">
        <f t="shared" si="85"/>
        <v>64.630981741507071</v>
      </c>
      <c r="DB17" s="23">
        <f t="shared" si="86"/>
        <v>86.174642322009447</v>
      </c>
      <c r="DC17" s="23">
        <f t="shared" si="87"/>
        <v>1302.2604229399165</v>
      </c>
      <c r="DD17" s="34" t="str">
        <f>VLOOKUP(A17,'Billing Report'!H:I,2,FALSE)</f>
        <v>Banco Galicia 6 y 12 cuotas</v>
      </c>
      <c r="DE17" s="34"/>
      <c r="DF17" s="61" t="s">
        <v>359</v>
      </c>
      <c r="DG17" s="62">
        <v>1.2994522809</v>
      </c>
      <c r="DH17"/>
      <c r="DI17" s="41"/>
      <c r="DJ17" s="41"/>
    </row>
    <row r="18" spans="1:114" ht="14.5" x14ac:dyDescent="0.35">
      <c r="A18" s="63">
        <v>40860429</v>
      </c>
      <c r="B18" s="3" t="s">
        <v>511</v>
      </c>
      <c r="C18" s="3">
        <v>283446001</v>
      </c>
      <c r="D18" s="3" t="s">
        <v>93</v>
      </c>
      <c r="G18" s="38">
        <v>1208044.6299999999</v>
      </c>
      <c r="J18" s="33">
        <f>VLOOKUP($B18,'IMS Commission List'!E:CE,79,0)/100</f>
        <v>0.15</v>
      </c>
      <c r="K18" s="79">
        <f t="shared" si="0"/>
        <v>1208044.6299999999</v>
      </c>
      <c r="L18" s="3" t="str">
        <f>VLOOKUP($B18,'IMS Commission List'!E:V,18,0)</f>
        <v>ARS</v>
      </c>
      <c r="M18" s="3">
        <v>1</v>
      </c>
      <c r="N18" s="3" t="str">
        <f>VLOOKUP($B18,'IMS Commission List'!E:T,16,0)</f>
        <v>MX</v>
      </c>
      <c r="O18" s="54">
        <f>VLOOKUP($B18,'IMS Commission List'!E:CF,80,0)</f>
        <v>4.9000000000000002E-2</v>
      </c>
      <c r="P18" s="54">
        <f>VLOOKUP($B18,'IMS Commission List'!E:CG,81,0)</f>
        <v>0.1575</v>
      </c>
      <c r="Q18" s="54">
        <f>VLOOKUP($B18,'IMS Commission List'!E:CP,90,0)</f>
        <v>0.03</v>
      </c>
      <c r="R18" s="54">
        <f>VLOOKUP($B18,'IMS Commission List'!E:CQ,91,0)</f>
        <v>0.04</v>
      </c>
      <c r="S18" s="47">
        <f t="shared" si="1"/>
        <v>0</v>
      </c>
      <c r="T18" s="48">
        <f t="shared" si="2"/>
        <v>0</v>
      </c>
      <c r="U18" s="48">
        <f t="shared" si="3"/>
        <v>1208044.6299999999</v>
      </c>
      <c r="V18" s="48">
        <f t="shared" si="4"/>
        <v>0</v>
      </c>
      <c r="W18" s="48">
        <f t="shared" si="5"/>
        <v>0</v>
      </c>
      <c r="X18" s="49">
        <f t="shared" si="6"/>
        <v>1208044.6299999999</v>
      </c>
      <c r="Y18" s="49">
        <f t="shared" si="7"/>
        <v>0</v>
      </c>
      <c r="Z18" s="49">
        <f t="shared" si="8"/>
        <v>0</v>
      </c>
      <c r="AA18" s="49">
        <f t="shared" si="9"/>
        <v>50315.058839499994</v>
      </c>
      <c r="AB18" s="49">
        <f t="shared" si="10"/>
        <v>0</v>
      </c>
      <c r="AC18" s="49">
        <f t="shared" si="11"/>
        <v>0</v>
      </c>
      <c r="AD18" s="49">
        <f t="shared" si="12"/>
        <v>50315.058839499994</v>
      </c>
      <c r="AE18" s="49">
        <f t="shared" si="13"/>
        <v>0</v>
      </c>
      <c r="AF18" s="49">
        <f t="shared" si="14"/>
        <v>0</v>
      </c>
      <c r="AG18" s="49">
        <f t="shared" si="15"/>
        <v>181206.69449999998</v>
      </c>
      <c r="AH18" s="49">
        <f t="shared" si="16"/>
        <v>0</v>
      </c>
      <c r="AI18" s="49">
        <f t="shared" si="17"/>
        <v>0</v>
      </c>
      <c r="AJ18" s="49">
        <f t="shared" si="18"/>
        <v>181206.69449999998</v>
      </c>
      <c r="AK18" s="49">
        <f t="shared" si="19"/>
        <v>0</v>
      </c>
      <c r="AL18" s="49">
        <f t="shared" si="20"/>
        <v>0</v>
      </c>
      <c r="AM18" s="49">
        <f t="shared" si="21"/>
        <v>161726.97484124999</v>
      </c>
      <c r="AN18" s="49">
        <f t="shared" si="22"/>
        <v>0</v>
      </c>
      <c r="AO18" s="49">
        <f t="shared" si="23"/>
        <v>0</v>
      </c>
      <c r="AP18" s="49">
        <f t="shared" si="24"/>
        <v>161726.97484124999</v>
      </c>
      <c r="AQ18" s="49">
        <f t="shared" si="25"/>
        <v>0</v>
      </c>
      <c r="AR18" s="49">
        <f t="shared" si="26"/>
        <v>0</v>
      </c>
      <c r="AS18" s="49">
        <f t="shared" si="27"/>
        <v>36241.338899999995</v>
      </c>
      <c r="AT18" s="49">
        <f t="shared" si="28"/>
        <v>0</v>
      </c>
      <c r="AU18" s="49">
        <f t="shared" si="29"/>
        <v>0</v>
      </c>
      <c r="AV18" s="49">
        <f t="shared" si="30"/>
        <v>36241.338899999995</v>
      </c>
      <c r="AW18" s="49">
        <f t="shared" si="31"/>
        <v>0</v>
      </c>
      <c r="AX18" s="49">
        <f t="shared" si="32"/>
        <v>0</v>
      </c>
      <c r="AY18" s="49">
        <f t="shared" si="33"/>
        <v>48321.785199999998</v>
      </c>
      <c r="AZ18" s="49">
        <f t="shared" si="34"/>
        <v>0</v>
      </c>
      <c r="BA18" s="49">
        <f t="shared" si="35"/>
        <v>0</v>
      </c>
      <c r="BB18" s="49">
        <f t="shared" si="36"/>
        <v>48321.785199999998</v>
      </c>
      <c r="BC18" s="49">
        <f t="shared" si="37"/>
        <v>0</v>
      </c>
      <c r="BD18" s="49">
        <f t="shared" si="38"/>
        <v>0</v>
      </c>
      <c r="BE18" s="49">
        <f t="shared" si="39"/>
        <v>477811.85228074994</v>
      </c>
      <c r="BF18" s="49">
        <f t="shared" si="40"/>
        <v>0</v>
      </c>
      <c r="BG18" s="49">
        <f t="shared" si="41"/>
        <v>0</v>
      </c>
      <c r="BH18" s="49">
        <f t="shared" si="42"/>
        <v>477811.85228074994</v>
      </c>
      <c r="BI18" s="49">
        <f t="shared" si="43"/>
        <v>0</v>
      </c>
      <c r="BJ18" s="49">
        <f t="shared" si="44"/>
        <v>0</v>
      </c>
      <c r="BK18" s="49">
        <f t="shared" si="45"/>
        <v>50315.058839499994</v>
      </c>
      <c r="BL18" s="49">
        <f t="shared" si="46"/>
        <v>0</v>
      </c>
      <c r="BM18" s="49">
        <f t="shared" si="47"/>
        <v>0</v>
      </c>
      <c r="BN18" s="49">
        <f t="shared" si="48"/>
        <v>50315.058839499994</v>
      </c>
      <c r="BO18" s="49">
        <f t="shared" si="49"/>
        <v>0</v>
      </c>
      <c r="BP18" s="49">
        <f t="shared" si="50"/>
        <v>0</v>
      </c>
      <c r="BQ18" s="49">
        <f t="shared" si="51"/>
        <v>181206.69449999998</v>
      </c>
      <c r="BR18" s="49">
        <f t="shared" si="52"/>
        <v>0</v>
      </c>
      <c r="BS18" s="49">
        <f t="shared" si="53"/>
        <v>0</v>
      </c>
      <c r="BT18" s="49">
        <f t="shared" si="54"/>
        <v>181206.69449999998</v>
      </c>
      <c r="BU18" s="49">
        <f t="shared" si="55"/>
        <v>0</v>
      </c>
      <c r="BV18" s="49">
        <f t="shared" si="56"/>
        <v>0</v>
      </c>
      <c r="BW18" s="49">
        <f t="shared" si="57"/>
        <v>161726.97484124999</v>
      </c>
      <c r="BX18" s="49">
        <f t="shared" si="58"/>
        <v>0</v>
      </c>
      <c r="BY18" s="49">
        <f t="shared" si="59"/>
        <v>0</v>
      </c>
      <c r="BZ18" s="49">
        <f t="shared" si="60"/>
        <v>161726.97484124999</v>
      </c>
      <c r="CA18" s="49">
        <f t="shared" si="61"/>
        <v>0</v>
      </c>
      <c r="CB18" s="49">
        <f t="shared" si="62"/>
        <v>0</v>
      </c>
      <c r="CC18" s="49">
        <f t="shared" si="63"/>
        <v>36241.338899999995</v>
      </c>
      <c r="CD18" s="49">
        <f t="shared" si="64"/>
        <v>0</v>
      </c>
      <c r="CE18" s="49">
        <f t="shared" si="65"/>
        <v>0</v>
      </c>
      <c r="CF18" s="49">
        <f t="shared" si="66"/>
        <v>36241.338899999995</v>
      </c>
      <c r="CG18" s="49">
        <f t="shared" si="67"/>
        <v>0</v>
      </c>
      <c r="CH18" s="49">
        <f t="shared" si="68"/>
        <v>0</v>
      </c>
      <c r="CI18" s="49">
        <f t="shared" si="69"/>
        <v>48321.785199999998</v>
      </c>
      <c r="CJ18" s="49">
        <f t="shared" si="70"/>
        <v>0</v>
      </c>
      <c r="CK18" s="49">
        <f t="shared" si="71"/>
        <v>0</v>
      </c>
      <c r="CL18" s="49">
        <f t="shared" si="72"/>
        <v>48321.785199999998</v>
      </c>
      <c r="CM18" s="49">
        <f t="shared" si="73"/>
        <v>0</v>
      </c>
      <c r="CN18" s="49">
        <f t="shared" si="74"/>
        <v>0</v>
      </c>
      <c r="CO18" s="49">
        <f t="shared" si="75"/>
        <v>477811.85228074994</v>
      </c>
      <c r="CP18" s="49">
        <f t="shared" si="76"/>
        <v>0</v>
      </c>
      <c r="CQ18" s="49">
        <f t="shared" si="77"/>
        <v>0</v>
      </c>
      <c r="CR18" s="81">
        <f t="shared" si="78"/>
        <v>477811.85228074994</v>
      </c>
      <c r="CS18" s="80">
        <f t="shared" si="79"/>
        <v>730232.77771924995</v>
      </c>
      <c r="CT18" s="54"/>
      <c r="CU18" s="3" t="str">
        <f t="shared" si="80"/>
        <v>ARS</v>
      </c>
      <c r="CV18" s="3">
        <f>VLOOKUP(CU18,DF:DG,2,0)</f>
        <v>6.9185169999999997E-4</v>
      </c>
      <c r="CW18" s="23">
        <f t="shared" si="81"/>
        <v>835.78773094137091</v>
      </c>
      <c r="CX18" s="23">
        <f t="shared" si="82"/>
        <v>34.810558993708099</v>
      </c>
      <c r="CY18" s="23">
        <f t="shared" si="83"/>
        <v>125.36815964120564</v>
      </c>
      <c r="CZ18" s="23">
        <f t="shared" si="84"/>
        <v>111.89108247977603</v>
      </c>
      <c r="DA18" s="23">
        <f t="shared" si="85"/>
        <v>25.073631928241124</v>
      </c>
      <c r="DB18" s="23">
        <f t="shared" si="86"/>
        <v>33.431509237654836</v>
      </c>
      <c r="DC18" s="23">
        <f t="shared" si="87"/>
        <v>505.21278866078518</v>
      </c>
      <c r="DD18" s="34" t="str">
        <f>VLOOKUP(A18,'Billing Report'!H:I,2,FALSE)</f>
        <v>BULL_FLYBONDI_AR_TWITTER_TRAF_ALWAYSON_PRUEBA</v>
      </c>
      <c r="DE18" s="34"/>
      <c r="DF18" s="61" t="s">
        <v>96</v>
      </c>
      <c r="DG18" s="62">
        <v>1.1587177000000001E-3</v>
      </c>
      <c r="DH18"/>
      <c r="DI18" s="41"/>
      <c r="DJ18" s="41"/>
    </row>
    <row r="19" spans="1:114" ht="14.5" x14ac:dyDescent="0.35">
      <c r="A19" s="63">
        <v>37878086</v>
      </c>
      <c r="B19" s="3" t="s">
        <v>511</v>
      </c>
      <c r="C19" s="3">
        <v>283446001</v>
      </c>
      <c r="D19" s="3" t="s">
        <v>93</v>
      </c>
      <c r="G19" s="38">
        <v>1479796.83</v>
      </c>
      <c r="J19" s="33">
        <f>VLOOKUP($B19,'IMS Commission List'!E:CE,79,0)/100</f>
        <v>0.15</v>
      </c>
      <c r="K19" s="79">
        <f t="shared" si="0"/>
        <v>1479796.83</v>
      </c>
      <c r="L19" s="3" t="str">
        <f>VLOOKUP($B19,'IMS Commission List'!E:V,18,0)</f>
        <v>ARS</v>
      </c>
      <c r="M19" s="3">
        <v>1</v>
      </c>
      <c r="N19" s="3" t="str">
        <f>VLOOKUP($B19,'IMS Commission List'!E:T,16,0)</f>
        <v>MX</v>
      </c>
      <c r="O19" s="54">
        <f>VLOOKUP($B19,'IMS Commission List'!E:CF,80,0)</f>
        <v>4.9000000000000002E-2</v>
      </c>
      <c r="P19" s="54">
        <f>VLOOKUP($B19,'IMS Commission List'!E:CG,81,0)</f>
        <v>0.1575</v>
      </c>
      <c r="Q19" s="54">
        <f>VLOOKUP($B19,'IMS Commission List'!E:CP,90,0)</f>
        <v>0.03</v>
      </c>
      <c r="R19" s="54">
        <f>VLOOKUP($B19,'IMS Commission List'!E:CQ,91,0)</f>
        <v>0.04</v>
      </c>
      <c r="S19" s="47">
        <f t="shared" si="1"/>
        <v>0</v>
      </c>
      <c r="T19" s="48">
        <f t="shared" si="2"/>
        <v>0</v>
      </c>
      <c r="U19" s="48">
        <f t="shared" si="3"/>
        <v>1479796.83</v>
      </c>
      <c r="V19" s="48">
        <f t="shared" si="4"/>
        <v>0</v>
      </c>
      <c r="W19" s="48">
        <f t="shared" si="5"/>
        <v>0</v>
      </c>
      <c r="X19" s="49">
        <f t="shared" si="6"/>
        <v>1479796.83</v>
      </c>
      <c r="Y19" s="49">
        <f t="shared" si="7"/>
        <v>0</v>
      </c>
      <c r="Z19" s="49">
        <f t="shared" si="8"/>
        <v>0</v>
      </c>
      <c r="AA19" s="49">
        <f t="shared" si="9"/>
        <v>61633.537969500001</v>
      </c>
      <c r="AB19" s="49">
        <f t="shared" si="10"/>
        <v>0</v>
      </c>
      <c r="AC19" s="49">
        <f t="shared" si="11"/>
        <v>0</v>
      </c>
      <c r="AD19" s="49">
        <f t="shared" si="12"/>
        <v>61633.537969500001</v>
      </c>
      <c r="AE19" s="49">
        <f t="shared" si="13"/>
        <v>0</v>
      </c>
      <c r="AF19" s="49">
        <f t="shared" si="14"/>
        <v>0</v>
      </c>
      <c r="AG19" s="49">
        <f t="shared" si="15"/>
        <v>221969.5245</v>
      </c>
      <c r="AH19" s="49">
        <f t="shared" si="16"/>
        <v>0</v>
      </c>
      <c r="AI19" s="49">
        <f t="shared" si="17"/>
        <v>0</v>
      </c>
      <c r="AJ19" s="49">
        <f t="shared" si="18"/>
        <v>221969.5245</v>
      </c>
      <c r="AK19" s="49">
        <f t="shared" si="19"/>
        <v>0</v>
      </c>
      <c r="AL19" s="49">
        <f t="shared" si="20"/>
        <v>0</v>
      </c>
      <c r="AM19" s="49">
        <f t="shared" si="21"/>
        <v>198107.80061625002</v>
      </c>
      <c r="AN19" s="49">
        <f t="shared" si="22"/>
        <v>0</v>
      </c>
      <c r="AO19" s="49">
        <f t="shared" si="23"/>
        <v>0</v>
      </c>
      <c r="AP19" s="49">
        <f t="shared" si="24"/>
        <v>198107.80061625002</v>
      </c>
      <c r="AQ19" s="49">
        <f t="shared" si="25"/>
        <v>0</v>
      </c>
      <c r="AR19" s="49">
        <f t="shared" si="26"/>
        <v>0</v>
      </c>
      <c r="AS19" s="49">
        <f t="shared" si="27"/>
        <v>44393.904900000001</v>
      </c>
      <c r="AT19" s="49">
        <f t="shared" si="28"/>
        <v>0</v>
      </c>
      <c r="AU19" s="49">
        <f t="shared" si="29"/>
        <v>0</v>
      </c>
      <c r="AV19" s="49">
        <f t="shared" si="30"/>
        <v>44393.904900000001</v>
      </c>
      <c r="AW19" s="49">
        <f t="shared" si="31"/>
        <v>0</v>
      </c>
      <c r="AX19" s="49">
        <f t="shared" si="32"/>
        <v>0</v>
      </c>
      <c r="AY19" s="49">
        <f t="shared" si="33"/>
        <v>59191.873200000002</v>
      </c>
      <c r="AZ19" s="49">
        <f t="shared" si="34"/>
        <v>0</v>
      </c>
      <c r="BA19" s="49">
        <f t="shared" si="35"/>
        <v>0</v>
      </c>
      <c r="BB19" s="49">
        <f t="shared" si="36"/>
        <v>59191.873200000002</v>
      </c>
      <c r="BC19" s="49">
        <f t="shared" si="37"/>
        <v>0</v>
      </c>
      <c r="BD19" s="49">
        <f t="shared" si="38"/>
        <v>0</v>
      </c>
      <c r="BE19" s="49">
        <f t="shared" si="39"/>
        <v>585296.64118575002</v>
      </c>
      <c r="BF19" s="49">
        <f t="shared" si="40"/>
        <v>0</v>
      </c>
      <c r="BG19" s="49">
        <f t="shared" si="41"/>
        <v>0</v>
      </c>
      <c r="BH19" s="49">
        <f t="shared" si="42"/>
        <v>585296.64118575002</v>
      </c>
      <c r="BI19" s="49">
        <f t="shared" si="43"/>
        <v>0</v>
      </c>
      <c r="BJ19" s="49">
        <f t="shared" si="44"/>
        <v>0</v>
      </c>
      <c r="BK19" s="49">
        <f t="shared" si="45"/>
        <v>61633.537969500001</v>
      </c>
      <c r="BL19" s="49">
        <f t="shared" si="46"/>
        <v>0</v>
      </c>
      <c r="BM19" s="49">
        <f t="shared" si="47"/>
        <v>0</v>
      </c>
      <c r="BN19" s="49">
        <f t="shared" si="48"/>
        <v>61633.537969500001</v>
      </c>
      <c r="BO19" s="49">
        <f t="shared" si="49"/>
        <v>0</v>
      </c>
      <c r="BP19" s="49">
        <f t="shared" si="50"/>
        <v>0</v>
      </c>
      <c r="BQ19" s="49">
        <f t="shared" si="51"/>
        <v>221969.5245</v>
      </c>
      <c r="BR19" s="49">
        <f t="shared" si="52"/>
        <v>0</v>
      </c>
      <c r="BS19" s="49">
        <f t="shared" si="53"/>
        <v>0</v>
      </c>
      <c r="BT19" s="49">
        <f t="shared" si="54"/>
        <v>221969.5245</v>
      </c>
      <c r="BU19" s="49">
        <f t="shared" si="55"/>
        <v>0</v>
      </c>
      <c r="BV19" s="49">
        <f t="shared" si="56"/>
        <v>0</v>
      </c>
      <c r="BW19" s="49">
        <f t="shared" si="57"/>
        <v>198107.80061625002</v>
      </c>
      <c r="BX19" s="49">
        <f t="shared" si="58"/>
        <v>0</v>
      </c>
      <c r="BY19" s="49">
        <f t="shared" si="59"/>
        <v>0</v>
      </c>
      <c r="BZ19" s="49">
        <f t="shared" si="60"/>
        <v>198107.80061625002</v>
      </c>
      <c r="CA19" s="49">
        <f t="shared" si="61"/>
        <v>0</v>
      </c>
      <c r="CB19" s="49">
        <f t="shared" si="62"/>
        <v>0</v>
      </c>
      <c r="CC19" s="49">
        <f t="shared" si="63"/>
        <v>44393.904900000001</v>
      </c>
      <c r="CD19" s="49">
        <f t="shared" si="64"/>
        <v>0</v>
      </c>
      <c r="CE19" s="49">
        <f t="shared" si="65"/>
        <v>0</v>
      </c>
      <c r="CF19" s="49">
        <f t="shared" si="66"/>
        <v>44393.904900000001</v>
      </c>
      <c r="CG19" s="49">
        <f t="shared" si="67"/>
        <v>0</v>
      </c>
      <c r="CH19" s="49">
        <f t="shared" si="68"/>
        <v>0</v>
      </c>
      <c r="CI19" s="49">
        <f t="shared" si="69"/>
        <v>59191.873200000002</v>
      </c>
      <c r="CJ19" s="49">
        <f t="shared" si="70"/>
        <v>0</v>
      </c>
      <c r="CK19" s="49">
        <f t="shared" si="71"/>
        <v>0</v>
      </c>
      <c r="CL19" s="49">
        <f t="shared" si="72"/>
        <v>59191.873200000002</v>
      </c>
      <c r="CM19" s="49">
        <f t="shared" si="73"/>
        <v>0</v>
      </c>
      <c r="CN19" s="49">
        <f t="shared" si="74"/>
        <v>0</v>
      </c>
      <c r="CO19" s="49">
        <f t="shared" si="75"/>
        <v>585296.64118575002</v>
      </c>
      <c r="CP19" s="49">
        <f t="shared" si="76"/>
        <v>0</v>
      </c>
      <c r="CQ19" s="49">
        <f t="shared" si="77"/>
        <v>0</v>
      </c>
      <c r="CR19" s="81">
        <f t="shared" si="78"/>
        <v>585296.64118575002</v>
      </c>
      <c r="CS19" s="80">
        <f t="shared" si="79"/>
        <v>894500.18881425005</v>
      </c>
      <c r="CT19" s="54"/>
      <c r="CU19" s="3" t="str">
        <f t="shared" si="80"/>
        <v>ARS</v>
      </c>
      <c r="CV19" s="3">
        <f>VLOOKUP(CU19,DF:DG,2,0)</f>
        <v>6.9185169999999997E-4</v>
      </c>
      <c r="CW19" s="23">
        <f t="shared" si="81"/>
        <v>1023.799952490111</v>
      </c>
      <c r="CX19" s="23">
        <f t="shared" si="82"/>
        <v>42.641268021213122</v>
      </c>
      <c r="CY19" s="23">
        <f t="shared" si="83"/>
        <v>153.56999287351664</v>
      </c>
      <c r="CZ19" s="23">
        <f t="shared" si="84"/>
        <v>137.06121863961363</v>
      </c>
      <c r="DA19" s="23">
        <f t="shared" si="85"/>
        <v>30.713998574703329</v>
      </c>
      <c r="DB19" s="23">
        <f t="shared" si="86"/>
        <v>40.951998099604438</v>
      </c>
      <c r="DC19" s="23">
        <f t="shared" si="87"/>
        <v>618.86147628145989</v>
      </c>
      <c r="DD19" s="34" t="str">
        <f>VLOOKUP(A19,'Billing Report'!H:I,2,FALSE)</f>
        <v>BULL_FLYBONDI_AR_TWITTER_TRAF_ALWAYSON</v>
      </c>
      <c r="DE19" s="34"/>
      <c r="DF19" s="61" t="s">
        <v>358</v>
      </c>
      <c r="DG19" s="62">
        <v>0.1438699876</v>
      </c>
      <c r="DH19"/>
      <c r="DI19" s="41"/>
      <c r="DJ19" s="41"/>
    </row>
    <row r="20" spans="1:114" ht="14.5" x14ac:dyDescent="0.35">
      <c r="A20" s="63">
        <v>40930203</v>
      </c>
      <c r="B20" s="3" t="s">
        <v>653</v>
      </c>
      <c r="C20" s="3">
        <v>288709901</v>
      </c>
      <c r="D20" s="3" t="s">
        <v>93</v>
      </c>
      <c r="G20" s="38">
        <v>180916.13</v>
      </c>
      <c r="J20" s="33">
        <f>VLOOKUP($B20,'IMS Commission List'!E:CE,79,0)/100</f>
        <v>0.15</v>
      </c>
      <c r="K20" s="79">
        <f t="shared" si="0"/>
        <v>180916.13</v>
      </c>
      <c r="L20" s="3" t="str">
        <f>VLOOKUP($B20,'IMS Commission List'!E:V,18,0)</f>
        <v>ARS</v>
      </c>
      <c r="M20" s="3">
        <v>1</v>
      </c>
      <c r="N20" s="3" t="str">
        <f>VLOOKUP($B20,'IMS Commission List'!E:T,16,0)</f>
        <v>MX</v>
      </c>
      <c r="O20" s="54">
        <f>VLOOKUP($B20,'IMS Commission List'!E:CF,80,0)</f>
        <v>4.9000000000000002E-2</v>
      </c>
      <c r="P20" s="54">
        <f>VLOOKUP($B20,'IMS Commission List'!E:CG,81,0)</f>
        <v>0.1575</v>
      </c>
      <c r="Q20" s="54">
        <f>VLOOKUP($B20,'IMS Commission List'!E:CP,90,0)</f>
        <v>0.03</v>
      </c>
      <c r="R20" s="54">
        <f>VLOOKUP($B20,'IMS Commission List'!E:CQ,91,0)</f>
        <v>0.04</v>
      </c>
      <c r="S20" s="47">
        <f t="shared" si="1"/>
        <v>0</v>
      </c>
      <c r="T20" s="48">
        <f t="shared" si="2"/>
        <v>0</v>
      </c>
      <c r="U20" s="48">
        <f t="shared" si="3"/>
        <v>180916.13</v>
      </c>
      <c r="V20" s="48">
        <f t="shared" si="4"/>
        <v>0</v>
      </c>
      <c r="W20" s="48">
        <f t="shared" si="5"/>
        <v>0</v>
      </c>
      <c r="X20" s="49">
        <f t="shared" si="6"/>
        <v>180916.13</v>
      </c>
      <c r="Y20" s="49">
        <f t="shared" si="7"/>
        <v>0</v>
      </c>
      <c r="Z20" s="49">
        <f t="shared" si="8"/>
        <v>0</v>
      </c>
      <c r="AA20" s="49">
        <f t="shared" si="9"/>
        <v>7535.156814500001</v>
      </c>
      <c r="AB20" s="49">
        <f t="shared" si="10"/>
        <v>0</v>
      </c>
      <c r="AC20" s="49">
        <f t="shared" si="11"/>
        <v>0</v>
      </c>
      <c r="AD20" s="49">
        <f t="shared" si="12"/>
        <v>7535.156814500001</v>
      </c>
      <c r="AE20" s="49">
        <f t="shared" si="13"/>
        <v>0</v>
      </c>
      <c r="AF20" s="49">
        <f t="shared" si="14"/>
        <v>0</v>
      </c>
      <c r="AG20" s="49">
        <f t="shared" si="15"/>
        <v>27137.4195</v>
      </c>
      <c r="AH20" s="49">
        <f t="shared" si="16"/>
        <v>0</v>
      </c>
      <c r="AI20" s="49">
        <f t="shared" si="17"/>
        <v>0</v>
      </c>
      <c r="AJ20" s="49">
        <f t="shared" si="18"/>
        <v>27137.4195</v>
      </c>
      <c r="AK20" s="49">
        <f t="shared" si="19"/>
        <v>0</v>
      </c>
      <c r="AL20" s="49">
        <f t="shared" si="20"/>
        <v>0</v>
      </c>
      <c r="AM20" s="49">
        <f t="shared" si="21"/>
        <v>24220.146903749999</v>
      </c>
      <c r="AN20" s="49">
        <f t="shared" si="22"/>
        <v>0</v>
      </c>
      <c r="AO20" s="49">
        <f t="shared" si="23"/>
        <v>0</v>
      </c>
      <c r="AP20" s="49">
        <f t="shared" si="24"/>
        <v>24220.146903749999</v>
      </c>
      <c r="AQ20" s="49">
        <f t="shared" si="25"/>
        <v>0</v>
      </c>
      <c r="AR20" s="49">
        <f t="shared" si="26"/>
        <v>0</v>
      </c>
      <c r="AS20" s="49">
        <f t="shared" si="27"/>
        <v>5427.4839000000002</v>
      </c>
      <c r="AT20" s="49">
        <f t="shared" si="28"/>
        <v>0</v>
      </c>
      <c r="AU20" s="49">
        <f t="shared" si="29"/>
        <v>0</v>
      </c>
      <c r="AV20" s="49">
        <f t="shared" si="30"/>
        <v>5427.4839000000002</v>
      </c>
      <c r="AW20" s="49">
        <f t="shared" si="31"/>
        <v>0</v>
      </c>
      <c r="AX20" s="49">
        <f t="shared" si="32"/>
        <v>0</v>
      </c>
      <c r="AY20" s="49">
        <f t="shared" si="33"/>
        <v>7236.6451999999999</v>
      </c>
      <c r="AZ20" s="49">
        <f t="shared" si="34"/>
        <v>0</v>
      </c>
      <c r="BA20" s="49">
        <f t="shared" si="35"/>
        <v>0</v>
      </c>
      <c r="BB20" s="49">
        <f t="shared" si="36"/>
        <v>7236.6451999999999</v>
      </c>
      <c r="BC20" s="49">
        <f t="shared" si="37"/>
        <v>0</v>
      </c>
      <c r="BD20" s="49">
        <f t="shared" si="38"/>
        <v>0</v>
      </c>
      <c r="BE20" s="49">
        <f t="shared" si="39"/>
        <v>71556.852318250007</v>
      </c>
      <c r="BF20" s="49">
        <f t="shared" si="40"/>
        <v>0</v>
      </c>
      <c r="BG20" s="49">
        <f t="shared" si="41"/>
        <v>0</v>
      </c>
      <c r="BH20" s="49">
        <f t="shared" si="42"/>
        <v>71556.852318250007</v>
      </c>
      <c r="BI20" s="49">
        <f t="shared" si="43"/>
        <v>0</v>
      </c>
      <c r="BJ20" s="49">
        <f t="shared" si="44"/>
        <v>0</v>
      </c>
      <c r="BK20" s="49">
        <f t="shared" si="45"/>
        <v>7535.156814500001</v>
      </c>
      <c r="BL20" s="49">
        <f t="shared" si="46"/>
        <v>0</v>
      </c>
      <c r="BM20" s="49">
        <f t="shared" si="47"/>
        <v>0</v>
      </c>
      <c r="BN20" s="49">
        <f t="shared" si="48"/>
        <v>7535.156814500001</v>
      </c>
      <c r="BO20" s="49">
        <f t="shared" si="49"/>
        <v>0</v>
      </c>
      <c r="BP20" s="49">
        <f t="shared" si="50"/>
        <v>0</v>
      </c>
      <c r="BQ20" s="49">
        <f t="shared" si="51"/>
        <v>27137.4195</v>
      </c>
      <c r="BR20" s="49">
        <f t="shared" si="52"/>
        <v>0</v>
      </c>
      <c r="BS20" s="49">
        <f t="shared" si="53"/>
        <v>0</v>
      </c>
      <c r="BT20" s="49">
        <f t="shared" si="54"/>
        <v>27137.4195</v>
      </c>
      <c r="BU20" s="49">
        <f t="shared" si="55"/>
        <v>0</v>
      </c>
      <c r="BV20" s="49">
        <f t="shared" si="56"/>
        <v>0</v>
      </c>
      <c r="BW20" s="49">
        <f t="shared" si="57"/>
        <v>24220.146903749999</v>
      </c>
      <c r="BX20" s="49">
        <f t="shared" si="58"/>
        <v>0</v>
      </c>
      <c r="BY20" s="49">
        <f t="shared" si="59"/>
        <v>0</v>
      </c>
      <c r="BZ20" s="49">
        <f t="shared" si="60"/>
        <v>24220.146903749999</v>
      </c>
      <c r="CA20" s="49">
        <f t="shared" si="61"/>
        <v>0</v>
      </c>
      <c r="CB20" s="49">
        <f t="shared" si="62"/>
        <v>0</v>
      </c>
      <c r="CC20" s="49">
        <f t="shared" si="63"/>
        <v>5427.4839000000002</v>
      </c>
      <c r="CD20" s="49">
        <f t="shared" si="64"/>
        <v>0</v>
      </c>
      <c r="CE20" s="49">
        <f t="shared" si="65"/>
        <v>0</v>
      </c>
      <c r="CF20" s="49">
        <f t="shared" si="66"/>
        <v>5427.4839000000002</v>
      </c>
      <c r="CG20" s="49">
        <f t="shared" si="67"/>
        <v>0</v>
      </c>
      <c r="CH20" s="49">
        <f t="shared" si="68"/>
        <v>0</v>
      </c>
      <c r="CI20" s="49">
        <f t="shared" si="69"/>
        <v>7236.6451999999999</v>
      </c>
      <c r="CJ20" s="49">
        <f t="shared" si="70"/>
        <v>0</v>
      </c>
      <c r="CK20" s="49">
        <f t="shared" si="71"/>
        <v>0</v>
      </c>
      <c r="CL20" s="49">
        <f t="shared" si="72"/>
        <v>7236.6451999999999</v>
      </c>
      <c r="CM20" s="49">
        <f t="shared" si="73"/>
        <v>0</v>
      </c>
      <c r="CN20" s="49">
        <f t="shared" si="74"/>
        <v>0</v>
      </c>
      <c r="CO20" s="49">
        <f t="shared" si="75"/>
        <v>71556.852318250007</v>
      </c>
      <c r="CP20" s="49">
        <f t="shared" si="76"/>
        <v>0</v>
      </c>
      <c r="CQ20" s="49">
        <f t="shared" si="77"/>
        <v>0</v>
      </c>
      <c r="CR20" s="81">
        <f t="shared" si="78"/>
        <v>71556.852318250007</v>
      </c>
      <c r="CS20" s="80">
        <f t="shared" si="79"/>
        <v>109359.27768175</v>
      </c>
      <c r="CT20" s="54"/>
      <c r="CU20" s="3" t="str">
        <f t="shared" si="80"/>
        <v>ARS</v>
      </c>
      <c r="CV20" s="3">
        <f>VLOOKUP(CU20,DF:DG,2,0)</f>
        <v>6.9185169999999997E-4</v>
      </c>
      <c r="CW20" s="23">
        <f t="shared" si="81"/>
        <v>125.167132097921</v>
      </c>
      <c r="CX20" s="23">
        <f t="shared" si="82"/>
        <v>5.2132110518784103</v>
      </c>
      <c r="CY20" s="23">
        <f t="shared" si="83"/>
        <v>18.775069814688148</v>
      </c>
      <c r="CZ20" s="23">
        <f t="shared" si="84"/>
        <v>16.756749809609172</v>
      </c>
      <c r="DA20" s="23">
        <f t="shared" si="85"/>
        <v>3.75501396293763</v>
      </c>
      <c r="DB20" s="23">
        <f t="shared" si="86"/>
        <v>5.0066852839168394</v>
      </c>
      <c r="DC20" s="23">
        <f t="shared" si="87"/>
        <v>75.660402174890791</v>
      </c>
      <c r="DD20" s="34" t="str">
        <f>VLOOKUP(A20,'Billing Report'!H:I,2,FALSE)</f>
        <v>Branch_Descargas_Android2026</v>
      </c>
      <c r="DE20" s="34"/>
      <c r="DF20" s="61" t="s">
        <v>83</v>
      </c>
      <c r="DG20" s="62">
        <v>2.732813E-4</v>
      </c>
      <c r="DH20"/>
      <c r="DI20" s="41"/>
      <c r="DJ20" s="41"/>
    </row>
    <row r="21" spans="1:114" ht="14.5" x14ac:dyDescent="0.35">
      <c r="A21" s="63">
        <v>40930200</v>
      </c>
      <c r="B21" s="3" t="s">
        <v>653</v>
      </c>
      <c r="C21" s="3">
        <v>288709901</v>
      </c>
      <c r="D21" s="3" t="s">
        <v>93</v>
      </c>
      <c r="G21" s="38">
        <v>163897.81</v>
      </c>
      <c r="J21" s="33">
        <f>VLOOKUP($B21,'IMS Commission List'!E:CE,79,0)/100</f>
        <v>0.15</v>
      </c>
      <c r="K21" s="79">
        <f t="shared" si="0"/>
        <v>163897.81</v>
      </c>
      <c r="L21" s="3" t="str">
        <f>VLOOKUP($B21,'IMS Commission List'!E:V,18,0)</f>
        <v>ARS</v>
      </c>
      <c r="M21" s="3">
        <v>1</v>
      </c>
      <c r="N21" s="3" t="str">
        <f>VLOOKUP($B21,'IMS Commission List'!E:T,16,0)</f>
        <v>MX</v>
      </c>
      <c r="O21" s="54">
        <f>VLOOKUP($B21,'IMS Commission List'!E:CF,80,0)</f>
        <v>4.9000000000000002E-2</v>
      </c>
      <c r="P21" s="54">
        <f>VLOOKUP($B21,'IMS Commission List'!E:CG,81,0)</f>
        <v>0.1575</v>
      </c>
      <c r="Q21" s="54">
        <f>VLOOKUP($B21,'IMS Commission List'!E:CP,90,0)</f>
        <v>0.03</v>
      </c>
      <c r="R21" s="54">
        <f>VLOOKUP($B21,'IMS Commission List'!E:CQ,91,0)</f>
        <v>0.04</v>
      </c>
      <c r="S21" s="47">
        <f t="shared" si="1"/>
        <v>0</v>
      </c>
      <c r="T21" s="48">
        <f t="shared" si="2"/>
        <v>0</v>
      </c>
      <c r="U21" s="48">
        <f t="shared" si="3"/>
        <v>163897.81</v>
      </c>
      <c r="V21" s="48">
        <f t="shared" si="4"/>
        <v>0</v>
      </c>
      <c r="W21" s="48">
        <f t="shared" si="5"/>
        <v>0</v>
      </c>
      <c r="X21" s="49">
        <f t="shared" si="6"/>
        <v>163897.81</v>
      </c>
      <c r="Y21" s="49">
        <f t="shared" si="7"/>
        <v>0</v>
      </c>
      <c r="Z21" s="49">
        <f t="shared" si="8"/>
        <v>0</v>
      </c>
      <c r="AA21" s="49">
        <f t="shared" si="9"/>
        <v>6826.3437864999996</v>
      </c>
      <c r="AB21" s="49">
        <f t="shared" si="10"/>
        <v>0</v>
      </c>
      <c r="AC21" s="49">
        <f t="shared" si="11"/>
        <v>0</v>
      </c>
      <c r="AD21" s="49">
        <f t="shared" si="12"/>
        <v>6826.3437864999996</v>
      </c>
      <c r="AE21" s="49">
        <f t="shared" si="13"/>
        <v>0</v>
      </c>
      <c r="AF21" s="49">
        <f t="shared" si="14"/>
        <v>0</v>
      </c>
      <c r="AG21" s="49">
        <f t="shared" si="15"/>
        <v>24584.6715</v>
      </c>
      <c r="AH21" s="49">
        <f t="shared" si="16"/>
        <v>0</v>
      </c>
      <c r="AI21" s="49">
        <f t="shared" si="17"/>
        <v>0</v>
      </c>
      <c r="AJ21" s="49">
        <f t="shared" si="18"/>
        <v>24584.6715</v>
      </c>
      <c r="AK21" s="49">
        <f t="shared" si="19"/>
        <v>0</v>
      </c>
      <c r="AL21" s="49">
        <f t="shared" si="20"/>
        <v>0</v>
      </c>
      <c r="AM21" s="49">
        <f t="shared" si="21"/>
        <v>21941.819313749998</v>
      </c>
      <c r="AN21" s="49">
        <f t="shared" si="22"/>
        <v>0</v>
      </c>
      <c r="AO21" s="49">
        <f t="shared" si="23"/>
        <v>0</v>
      </c>
      <c r="AP21" s="49">
        <f t="shared" si="24"/>
        <v>21941.819313749998</v>
      </c>
      <c r="AQ21" s="49">
        <f t="shared" si="25"/>
        <v>0</v>
      </c>
      <c r="AR21" s="49">
        <f t="shared" si="26"/>
        <v>0</v>
      </c>
      <c r="AS21" s="49">
        <f t="shared" si="27"/>
        <v>4916.9342999999999</v>
      </c>
      <c r="AT21" s="49">
        <f t="shared" si="28"/>
        <v>0</v>
      </c>
      <c r="AU21" s="49">
        <f t="shared" si="29"/>
        <v>0</v>
      </c>
      <c r="AV21" s="49">
        <f t="shared" si="30"/>
        <v>4916.9342999999999</v>
      </c>
      <c r="AW21" s="49">
        <f t="shared" si="31"/>
        <v>0</v>
      </c>
      <c r="AX21" s="49">
        <f t="shared" si="32"/>
        <v>0</v>
      </c>
      <c r="AY21" s="49">
        <f t="shared" si="33"/>
        <v>6555.9124000000002</v>
      </c>
      <c r="AZ21" s="49">
        <f t="shared" si="34"/>
        <v>0</v>
      </c>
      <c r="BA21" s="49">
        <f t="shared" si="35"/>
        <v>0</v>
      </c>
      <c r="BB21" s="49">
        <f t="shared" si="36"/>
        <v>6555.9124000000002</v>
      </c>
      <c r="BC21" s="49">
        <f t="shared" si="37"/>
        <v>0</v>
      </c>
      <c r="BD21" s="49">
        <f t="shared" si="38"/>
        <v>0</v>
      </c>
      <c r="BE21" s="49">
        <f t="shared" si="39"/>
        <v>64825.681300249998</v>
      </c>
      <c r="BF21" s="49">
        <f t="shared" si="40"/>
        <v>0</v>
      </c>
      <c r="BG21" s="49">
        <f t="shared" si="41"/>
        <v>0</v>
      </c>
      <c r="BH21" s="49">
        <f t="shared" si="42"/>
        <v>64825.681300249998</v>
      </c>
      <c r="BI21" s="49">
        <f t="shared" si="43"/>
        <v>0</v>
      </c>
      <c r="BJ21" s="49">
        <f t="shared" si="44"/>
        <v>0</v>
      </c>
      <c r="BK21" s="49">
        <f t="shared" si="45"/>
        <v>6826.3437864999996</v>
      </c>
      <c r="BL21" s="49">
        <f t="shared" si="46"/>
        <v>0</v>
      </c>
      <c r="BM21" s="49">
        <f t="shared" si="47"/>
        <v>0</v>
      </c>
      <c r="BN21" s="49">
        <f t="shared" si="48"/>
        <v>6826.3437864999996</v>
      </c>
      <c r="BO21" s="49">
        <f t="shared" si="49"/>
        <v>0</v>
      </c>
      <c r="BP21" s="49">
        <f t="shared" si="50"/>
        <v>0</v>
      </c>
      <c r="BQ21" s="49">
        <f t="shared" si="51"/>
        <v>24584.6715</v>
      </c>
      <c r="BR21" s="49">
        <f t="shared" si="52"/>
        <v>0</v>
      </c>
      <c r="BS21" s="49">
        <f t="shared" si="53"/>
        <v>0</v>
      </c>
      <c r="BT21" s="49">
        <f t="shared" si="54"/>
        <v>24584.6715</v>
      </c>
      <c r="BU21" s="49">
        <f t="shared" si="55"/>
        <v>0</v>
      </c>
      <c r="BV21" s="49">
        <f t="shared" si="56"/>
        <v>0</v>
      </c>
      <c r="BW21" s="49">
        <f t="shared" si="57"/>
        <v>21941.819313749998</v>
      </c>
      <c r="BX21" s="49">
        <f t="shared" si="58"/>
        <v>0</v>
      </c>
      <c r="BY21" s="49">
        <f t="shared" si="59"/>
        <v>0</v>
      </c>
      <c r="BZ21" s="49">
        <f t="shared" si="60"/>
        <v>21941.819313749998</v>
      </c>
      <c r="CA21" s="49">
        <f t="shared" si="61"/>
        <v>0</v>
      </c>
      <c r="CB21" s="49">
        <f t="shared" si="62"/>
        <v>0</v>
      </c>
      <c r="CC21" s="49">
        <f t="shared" si="63"/>
        <v>4916.9342999999999</v>
      </c>
      <c r="CD21" s="49">
        <f t="shared" si="64"/>
        <v>0</v>
      </c>
      <c r="CE21" s="49">
        <f t="shared" si="65"/>
        <v>0</v>
      </c>
      <c r="CF21" s="49">
        <f t="shared" si="66"/>
        <v>4916.9342999999999</v>
      </c>
      <c r="CG21" s="49">
        <f t="shared" si="67"/>
        <v>0</v>
      </c>
      <c r="CH21" s="49">
        <f t="shared" si="68"/>
        <v>0</v>
      </c>
      <c r="CI21" s="49">
        <f t="shared" si="69"/>
        <v>6555.9124000000002</v>
      </c>
      <c r="CJ21" s="49">
        <f t="shared" si="70"/>
        <v>0</v>
      </c>
      <c r="CK21" s="49">
        <f t="shared" si="71"/>
        <v>0</v>
      </c>
      <c r="CL21" s="49">
        <f t="shared" si="72"/>
        <v>6555.9124000000002</v>
      </c>
      <c r="CM21" s="49">
        <f t="shared" si="73"/>
        <v>0</v>
      </c>
      <c r="CN21" s="49">
        <f t="shared" si="74"/>
        <v>0</v>
      </c>
      <c r="CO21" s="49">
        <f t="shared" si="75"/>
        <v>64825.681300249998</v>
      </c>
      <c r="CP21" s="49">
        <f t="shared" si="76"/>
        <v>0</v>
      </c>
      <c r="CQ21" s="49">
        <f t="shared" si="77"/>
        <v>0</v>
      </c>
      <c r="CR21" s="81">
        <f t="shared" si="78"/>
        <v>64825.681300249998</v>
      </c>
      <c r="CS21" s="80">
        <f t="shared" si="79"/>
        <v>99072.128699749999</v>
      </c>
      <c r="CT21" s="54"/>
      <c r="CU21" s="3" t="str">
        <f t="shared" si="80"/>
        <v>ARS</v>
      </c>
      <c r="CV21" s="3">
        <f>VLOOKUP(CU21,DF:DG,2,0)</f>
        <v>6.9185169999999997E-4</v>
      </c>
      <c r="CW21" s="23">
        <f t="shared" si="81"/>
        <v>113.392978474777</v>
      </c>
      <c r="CX21" s="23">
        <f t="shared" si="82"/>
        <v>4.7228175534744619</v>
      </c>
      <c r="CY21" s="23">
        <f t="shared" si="83"/>
        <v>17.00894677121655</v>
      </c>
      <c r="CZ21" s="23">
        <f t="shared" si="84"/>
        <v>15.180484993310769</v>
      </c>
      <c r="DA21" s="23">
        <f t="shared" si="85"/>
        <v>3.4017893542433097</v>
      </c>
      <c r="DB21" s="23">
        <f t="shared" si="86"/>
        <v>4.5357191389910803</v>
      </c>
      <c r="DC21" s="23">
        <f t="shared" si="87"/>
        <v>68.543220663540822</v>
      </c>
      <c r="DD21" s="34" t="str">
        <f>VLOOKUP(A21,'Billing Report'!H:I,2,FALSE)</f>
        <v>Branch_Descargas_ios2026</v>
      </c>
      <c r="DE21" s="34"/>
      <c r="DF21" s="61" t="s">
        <v>357</v>
      </c>
      <c r="DG21" s="62">
        <v>4.8923511500000003E-2</v>
      </c>
      <c r="DH21"/>
      <c r="DI21" s="41"/>
      <c r="DJ21" s="41"/>
    </row>
    <row r="22" spans="1:114" ht="14.5" x14ac:dyDescent="0.35">
      <c r="A22" s="63">
        <v>40859495</v>
      </c>
      <c r="B22" s="3" t="s">
        <v>653</v>
      </c>
      <c r="C22" s="3">
        <v>288709901</v>
      </c>
      <c r="D22" s="3" t="s">
        <v>93</v>
      </c>
      <c r="G22" s="38">
        <v>246829.11</v>
      </c>
      <c r="J22" s="33">
        <f>VLOOKUP($B22,'IMS Commission List'!E:CE,79,0)/100</f>
        <v>0.15</v>
      </c>
      <c r="K22" s="79">
        <f t="shared" si="0"/>
        <v>246829.11</v>
      </c>
      <c r="L22" s="3" t="str">
        <f>VLOOKUP($B22,'IMS Commission List'!E:V,18,0)</f>
        <v>ARS</v>
      </c>
      <c r="M22" s="3">
        <v>1</v>
      </c>
      <c r="N22" s="3" t="str">
        <f>VLOOKUP($B22,'IMS Commission List'!E:T,16,0)</f>
        <v>MX</v>
      </c>
      <c r="O22" s="54">
        <f>VLOOKUP($B22,'IMS Commission List'!E:CF,80,0)</f>
        <v>4.9000000000000002E-2</v>
      </c>
      <c r="P22" s="54">
        <f>VLOOKUP($B22,'IMS Commission List'!E:CG,81,0)</f>
        <v>0.1575</v>
      </c>
      <c r="Q22" s="54">
        <f>VLOOKUP($B22,'IMS Commission List'!E:CP,90,0)</f>
        <v>0.03</v>
      </c>
      <c r="R22" s="54">
        <f>VLOOKUP($B22,'IMS Commission List'!E:CQ,91,0)</f>
        <v>0.04</v>
      </c>
      <c r="S22" s="47">
        <f t="shared" si="1"/>
        <v>0</v>
      </c>
      <c r="T22" s="48">
        <f t="shared" si="2"/>
        <v>0</v>
      </c>
      <c r="U22" s="48">
        <f t="shared" si="3"/>
        <v>246829.11</v>
      </c>
      <c r="V22" s="48">
        <f t="shared" si="4"/>
        <v>0</v>
      </c>
      <c r="W22" s="48">
        <f t="shared" si="5"/>
        <v>0</v>
      </c>
      <c r="X22" s="49">
        <f t="shared" si="6"/>
        <v>246829.11</v>
      </c>
      <c r="Y22" s="49">
        <f t="shared" si="7"/>
        <v>0</v>
      </c>
      <c r="Z22" s="49">
        <f t="shared" si="8"/>
        <v>0</v>
      </c>
      <c r="AA22" s="49">
        <f t="shared" si="9"/>
        <v>10280.432431499999</v>
      </c>
      <c r="AB22" s="49">
        <f t="shared" si="10"/>
        <v>0</v>
      </c>
      <c r="AC22" s="49">
        <f t="shared" si="11"/>
        <v>0</v>
      </c>
      <c r="AD22" s="49">
        <f t="shared" si="12"/>
        <v>10280.432431499999</v>
      </c>
      <c r="AE22" s="49">
        <f t="shared" si="13"/>
        <v>0</v>
      </c>
      <c r="AF22" s="49">
        <f t="shared" si="14"/>
        <v>0</v>
      </c>
      <c r="AG22" s="49">
        <f t="shared" si="15"/>
        <v>37024.366499999996</v>
      </c>
      <c r="AH22" s="49">
        <f t="shared" si="16"/>
        <v>0</v>
      </c>
      <c r="AI22" s="49">
        <f t="shared" si="17"/>
        <v>0</v>
      </c>
      <c r="AJ22" s="49">
        <f t="shared" si="18"/>
        <v>37024.366499999996</v>
      </c>
      <c r="AK22" s="49">
        <f t="shared" si="19"/>
        <v>0</v>
      </c>
      <c r="AL22" s="49">
        <f t="shared" si="20"/>
        <v>0</v>
      </c>
      <c r="AM22" s="49">
        <f t="shared" si="21"/>
        <v>33044.247101249995</v>
      </c>
      <c r="AN22" s="49">
        <f t="shared" si="22"/>
        <v>0</v>
      </c>
      <c r="AO22" s="49">
        <f t="shared" si="23"/>
        <v>0</v>
      </c>
      <c r="AP22" s="49">
        <f t="shared" si="24"/>
        <v>33044.247101249995</v>
      </c>
      <c r="AQ22" s="49">
        <f t="shared" si="25"/>
        <v>0</v>
      </c>
      <c r="AR22" s="49">
        <f t="shared" si="26"/>
        <v>0</v>
      </c>
      <c r="AS22" s="49">
        <f t="shared" si="27"/>
        <v>7404.8732999999993</v>
      </c>
      <c r="AT22" s="49">
        <f t="shared" si="28"/>
        <v>0</v>
      </c>
      <c r="AU22" s="49">
        <f t="shared" si="29"/>
        <v>0</v>
      </c>
      <c r="AV22" s="49">
        <f t="shared" si="30"/>
        <v>7404.8732999999993</v>
      </c>
      <c r="AW22" s="49">
        <f t="shared" si="31"/>
        <v>0</v>
      </c>
      <c r="AX22" s="49">
        <f t="shared" si="32"/>
        <v>0</v>
      </c>
      <c r="AY22" s="49">
        <f t="shared" si="33"/>
        <v>9873.1643999999997</v>
      </c>
      <c r="AZ22" s="49">
        <f t="shared" si="34"/>
        <v>0</v>
      </c>
      <c r="BA22" s="49">
        <f t="shared" si="35"/>
        <v>0</v>
      </c>
      <c r="BB22" s="49">
        <f t="shared" si="36"/>
        <v>9873.1643999999997</v>
      </c>
      <c r="BC22" s="49">
        <f t="shared" si="37"/>
        <v>0</v>
      </c>
      <c r="BD22" s="49">
        <f t="shared" si="38"/>
        <v>0</v>
      </c>
      <c r="BE22" s="49">
        <f t="shared" si="39"/>
        <v>97627.08373274999</v>
      </c>
      <c r="BF22" s="49">
        <f t="shared" si="40"/>
        <v>0</v>
      </c>
      <c r="BG22" s="49">
        <f t="shared" si="41"/>
        <v>0</v>
      </c>
      <c r="BH22" s="49">
        <f t="shared" si="42"/>
        <v>97627.08373274999</v>
      </c>
      <c r="BI22" s="49">
        <f t="shared" si="43"/>
        <v>0</v>
      </c>
      <c r="BJ22" s="49">
        <f t="shared" si="44"/>
        <v>0</v>
      </c>
      <c r="BK22" s="49">
        <f t="shared" si="45"/>
        <v>10280.432431499999</v>
      </c>
      <c r="BL22" s="49">
        <f t="shared" si="46"/>
        <v>0</v>
      </c>
      <c r="BM22" s="49">
        <f t="shared" si="47"/>
        <v>0</v>
      </c>
      <c r="BN22" s="49">
        <f t="shared" si="48"/>
        <v>10280.432431499999</v>
      </c>
      <c r="BO22" s="49">
        <f t="shared" si="49"/>
        <v>0</v>
      </c>
      <c r="BP22" s="49">
        <f t="shared" si="50"/>
        <v>0</v>
      </c>
      <c r="BQ22" s="49">
        <f t="shared" si="51"/>
        <v>37024.366499999996</v>
      </c>
      <c r="BR22" s="49">
        <f t="shared" si="52"/>
        <v>0</v>
      </c>
      <c r="BS22" s="49">
        <f t="shared" si="53"/>
        <v>0</v>
      </c>
      <c r="BT22" s="49">
        <f t="shared" si="54"/>
        <v>37024.366499999996</v>
      </c>
      <c r="BU22" s="49">
        <f t="shared" si="55"/>
        <v>0</v>
      </c>
      <c r="BV22" s="49">
        <f t="shared" si="56"/>
        <v>0</v>
      </c>
      <c r="BW22" s="49">
        <f t="shared" si="57"/>
        <v>33044.247101249995</v>
      </c>
      <c r="BX22" s="49">
        <f t="shared" si="58"/>
        <v>0</v>
      </c>
      <c r="BY22" s="49">
        <f t="shared" si="59"/>
        <v>0</v>
      </c>
      <c r="BZ22" s="49">
        <f t="shared" si="60"/>
        <v>33044.247101249995</v>
      </c>
      <c r="CA22" s="49">
        <f t="shared" si="61"/>
        <v>0</v>
      </c>
      <c r="CB22" s="49">
        <f t="shared" si="62"/>
        <v>0</v>
      </c>
      <c r="CC22" s="49">
        <f t="shared" si="63"/>
        <v>7404.8732999999993</v>
      </c>
      <c r="CD22" s="49">
        <f t="shared" si="64"/>
        <v>0</v>
      </c>
      <c r="CE22" s="49">
        <f t="shared" si="65"/>
        <v>0</v>
      </c>
      <c r="CF22" s="49">
        <f t="shared" si="66"/>
        <v>7404.8732999999993</v>
      </c>
      <c r="CG22" s="49">
        <f t="shared" si="67"/>
        <v>0</v>
      </c>
      <c r="CH22" s="49">
        <f t="shared" si="68"/>
        <v>0</v>
      </c>
      <c r="CI22" s="49">
        <f t="shared" si="69"/>
        <v>9873.1643999999997</v>
      </c>
      <c r="CJ22" s="49">
        <f t="shared" si="70"/>
        <v>0</v>
      </c>
      <c r="CK22" s="49">
        <f t="shared" si="71"/>
        <v>0</v>
      </c>
      <c r="CL22" s="49">
        <f t="shared" si="72"/>
        <v>9873.1643999999997</v>
      </c>
      <c r="CM22" s="49">
        <f t="shared" si="73"/>
        <v>0</v>
      </c>
      <c r="CN22" s="49">
        <f t="shared" si="74"/>
        <v>0</v>
      </c>
      <c r="CO22" s="49">
        <f t="shared" si="75"/>
        <v>97627.08373274999</v>
      </c>
      <c r="CP22" s="49">
        <f t="shared" si="76"/>
        <v>0</v>
      </c>
      <c r="CQ22" s="49">
        <f t="shared" si="77"/>
        <v>0</v>
      </c>
      <c r="CR22" s="81">
        <f t="shared" si="78"/>
        <v>97627.08373274999</v>
      </c>
      <c r="CS22" s="80">
        <f t="shared" si="79"/>
        <v>149202.02626725001</v>
      </c>
      <c r="CT22" s="54"/>
      <c r="CU22" s="3" t="str">
        <f t="shared" si="80"/>
        <v>ARS</v>
      </c>
      <c r="CV22" s="3">
        <f>VLOOKUP(CU22,DF:DG,2,0)</f>
        <v>6.9185169999999997E-4</v>
      </c>
      <c r="CW22" s="23">
        <f t="shared" si="81"/>
        <v>170.76913936298698</v>
      </c>
      <c r="CX22" s="23">
        <f t="shared" si="82"/>
        <v>7.1125346544684076</v>
      </c>
      <c r="CY22" s="23">
        <f t="shared" si="83"/>
        <v>25.615370904448046</v>
      </c>
      <c r="CZ22" s="23">
        <f t="shared" si="84"/>
        <v>22.861718532219882</v>
      </c>
      <c r="DA22" s="23">
        <f t="shared" si="85"/>
        <v>5.123074180889609</v>
      </c>
      <c r="DB22" s="23">
        <f t="shared" si="86"/>
        <v>6.8307655745194795</v>
      </c>
      <c r="DC22" s="23">
        <f t="shared" si="87"/>
        <v>103.22567551644157</v>
      </c>
      <c r="DD22" s="34" t="str">
        <f>VLOOKUP(A22,'Billing Report'!H:I,2,FALSE)</f>
        <v>Pix_ Branch_campaña_descarga__ios</v>
      </c>
      <c r="DE22" s="34"/>
      <c r="DF22" s="61" t="s">
        <v>356</v>
      </c>
      <c r="DG22" s="62">
        <v>0.15940802239999999</v>
      </c>
      <c r="DH22"/>
      <c r="DI22" s="41"/>
      <c r="DJ22" s="41"/>
    </row>
    <row r="23" spans="1:114" ht="14.5" x14ac:dyDescent="0.35">
      <c r="A23" s="63">
        <v>40859476</v>
      </c>
      <c r="B23" s="3" t="s">
        <v>653</v>
      </c>
      <c r="C23" s="3">
        <v>288709901</v>
      </c>
      <c r="D23" s="3" t="s">
        <v>93</v>
      </c>
      <c r="G23" s="38">
        <v>463887.16</v>
      </c>
      <c r="J23" s="33">
        <f>VLOOKUP($B23,'IMS Commission List'!E:CE,79,0)/100</f>
        <v>0.15</v>
      </c>
      <c r="K23" s="79">
        <f t="shared" si="0"/>
        <v>463887.16</v>
      </c>
      <c r="L23" s="3" t="str">
        <f>VLOOKUP($B23,'IMS Commission List'!E:V,18,0)</f>
        <v>ARS</v>
      </c>
      <c r="M23" s="3">
        <v>1</v>
      </c>
      <c r="N23" s="3" t="str">
        <f>VLOOKUP($B23,'IMS Commission List'!E:T,16,0)</f>
        <v>MX</v>
      </c>
      <c r="O23" s="54">
        <f>VLOOKUP($B23,'IMS Commission List'!E:CF,80,0)</f>
        <v>4.9000000000000002E-2</v>
      </c>
      <c r="P23" s="54">
        <f>VLOOKUP($B23,'IMS Commission List'!E:CG,81,0)</f>
        <v>0.1575</v>
      </c>
      <c r="Q23" s="54">
        <f>VLOOKUP($B23,'IMS Commission List'!E:CP,90,0)</f>
        <v>0.03</v>
      </c>
      <c r="R23" s="54">
        <f>VLOOKUP($B23,'IMS Commission List'!E:CQ,91,0)</f>
        <v>0.04</v>
      </c>
      <c r="S23" s="47">
        <f t="shared" si="1"/>
        <v>0</v>
      </c>
      <c r="T23" s="48">
        <f t="shared" si="2"/>
        <v>0</v>
      </c>
      <c r="U23" s="48">
        <f t="shared" si="3"/>
        <v>463887.16</v>
      </c>
      <c r="V23" s="48">
        <f t="shared" si="4"/>
        <v>0</v>
      </c>
      <c r="W23" s="48">
        <f t="shared" si="5"/>
        <v>0</v>
      </c>
      <c r="X23" s="49">
        <f t="shared" si="6"/>
        <v>463887.16</v>
      </c>
      <c r="Y23" s="49">
        <f t="shared" si="7"/>
        <v>0</v>
      </c>
      <c r="Z23" s="49">
        <f t="shared" si="8"/>
        <v>0</v>
      </c>
      <c r="AA23" s="49">
        <f t="shared" si="9"/>
        <v>19320.900213999998</v>
      </c>
      <c r="AB23" s="49">
        <f t="shared" si="10"/>
        <v>0</v>
      </c>
      <c r="AC23" s="49">
        <f t="shared" si="11"/>
        <v>0</v>
      </c>
      <c r="AD23" s="49">
        <f t="shared" si="12"/>
        <v>19320.900213999998</v>
      </c>
      <c r="AE23" s="49">
        <f t="shared" si="13"/>
        <v>0</v>
      </c>
      <c r="AF23" s="49">
        <f t="shared" si="14"/>
        <v>0</v>
      </c>
      <c r="AG23" s="49">
        <f t="shared" si="15"/>
        <v>69583.073999999993</v>
      </c>
      <c r="AH23" s="49">
        <f t="shared" si="16"/>
        <v>0</v>
      </c>
      <c r="AI23" s="49">
        <f t="shared" si="17"/>
        <v>0</v>
      </c>
      <c r="AJ23" s="49">
        <f t="shared" si="18"/>
        <v>69583.073999999993</v>
      </c>
      <c r="AK23" s="49">
        <f t="shared" si="19"/>
        <v>0</v>
      </c>
      <c r="AL23" s="49">
        <f t="shared" si="20"/>
        <v>0</v>
      </c>
      <c r="AM23" s="49">
        <f t="shared" si="21"/>
        <v>62102.893544999999</v>
      </c>
      <c r="AN23" s="49">
        <f t="shared" si="22"/>
        <v>0</v>
      </c>
      <c r="AO23" s="49">
        <f t="shared" si="23"/>
        <v>0</v>
      </c>
      <c r="AP23" s="49">
        <f t="shared" si="24"/>
        <v>62102.893544999999</v>
      </c>
      <c r="AQ23" s="49">
        <f t="shared" si="25"/>
        <v>0</v>
      </c>
      <c r="AR23" s="49">
        <f t="shared" si="26"/>
        <v>0</v>
      </c>
      <c r="AS23" s="49">
        <f t="shared" si="27"/>
        <v>13916.614799999999</v>
      </c>
      <c r="AT23" s="49">
        <f t="shared" si="28"/>
        <v>0</v>
      </c>
      <c r="AU23" s="49">
        <f t="shared" si="29"/>
        <v>0</v>
      </c>
      <c r="AV23" s="49">
        <f t="shared" si="30"/>
        <v>13916.614799999999</v>
      </c>
      <c r="AW23" s="49">
        <f t="shared" si="31"/>
        <v>0</v>
      </c>
      <c r="AX23" s="49">
        <f t="shared" si="32"/>
        <v>0</v>
      </c>
      <c r="AY23" s="49">
        <f t="shared" si="33"/>
        <v>18555.486399999998</v>
      </c>
      <c r="AZ23" s="49">
        <f t="shared" si="34"/>
        <v>0</v>
      </c>
      <c r="BA23" s="49">
        <f t="shared" si="35"/>
        <v>0</v>
      </c>
      <c r="BB23" s="49">
        <f t="shared" si="36"/>
        <v>18555.486399999998</v>
      </c>
      <c r="BC23" s="49">
        <f t="shared" si="37"/>
        <v>0</v>
      </c>
      <c r="BD23" s="49">
        <f t="shared" si="38"/>
        <v>0</v>
      </c>
      <c r="BE23" s="49">
        <f t="shared" si="39"/>
        <v>183478.96895899999</v>
      </c>
      <c r="BF23" s="49">
        <f t="shared" si="40"/>
        <v>0</v>
      </c>
      <c r="BG23" s="49">
        <f t="shared" si="41"/>
        <v>0</v>
      </c>
      <c r="BH23" s="49">
        <f t="shared" si="42"/>
        <v>183478.96895899999</v>
      </c>
      <c r="BI23" s="49">
        <f t="shared" si="43"/>
        <v>0</v>
      </c>
      <c r="BJ23" s="49">
        <f t="shared" si="44"/>
        <v>0</v>
      </c>
      <c r="BK23" s="49">
        <f t="shared" si="45"/>
        <v>19320.900213999998</v>
      </c>
      <c r="BL23" s="49">
        <f t="shared" si="46"/>
        <v>0</v>
      </c>
      <c r="BM23" s="49">
        <f t="shared" si="47"/>
        <v>0</v>
      </c>
      <c r="BN23" s="49">
        <f t="shared" si="48"/>
        <v>19320.900213999998</v>
      </c>
      <c r="BO23" s="49">
        <f t="shared" si="49"/>
        <v>0</v>
      </c>
      <c r="BP23" s="49">
        <f t="shared" si="50"/>
        <v>0</v>
      </c>
      <c r="BQ23" s="49">
        <f t="shared" si="51"/>
        <v>69583.073999999993</v>
      </c>
      <c r="BR23" s="49">
        <f t="shared" si="52"/>
        <v>0</v>
      </c>
      <c r="BS23" s="49">
        <f t="shared" si="53"/>
        <v>0</v>
      </c>
      <c r="BT23" s="49">
        <f t="shared" si="54"/>
        <v>69583.073999999993</v>
      </c>
      <c r="BU23" s="49">
        <f t="shared" si="55"/>
        <v>0</v>
      </c>
      <c r="BV23" s="49">
        <f t="shared" si="56"/>
        <v>0</v>
      </c>
      <c r="BW23" s="49">
        <f t="shared" si="57"/>
        <v>62102.893544999999</v>
      </c>
      <c r="BX23" s="49">
        <f t="shared" si="58"/>
        <v>0</v>
      </c>
      <c r="BY23" s="49">
        <f t="shared" si="59"/>
        <v>0</v>
      </c>
      <c r="BZ23" s="49">
        <f t="shared" si="60"/>
        <v>62102.893544999999</v>
      </c>
      <c r="CA23" s="49">
        <f t="shared" si="61"/>
        <v>0</v>
      </c>
      <c r="CB23" s="49">
        <f t="shared" si="62"/>
        <v>0</v>
      </c>
      <c r="CC23" s="49">
        <f t="shared" si="63"/>
        <v>13916.614799999999</v>
      </c>
      <c r="CD23" s="49">
        <f t="shared" si="64"/>
        <v>0</v>
      </c>
      <c r="CE23" s="49">
        <f t="shared" si="65"/>
        <v>0</v>
      </c>
      <c r="CF23" s="49">
        <f t="shared" si="66"/>
        <v>13916.614799999999</v>
      </c>
      <c r="CG23" s="49">
        <f t="shared" si="67"/>
        <v>0</v>
      </c>
      <c r="CH23" s="49">
        <f t="shared" si="68"/>
        <v>0</v>
      </c>
      <c r="CI23" s="49">
        <f t="shared" si="69"/>
        <v>18555.486399999998</v>
      </c>
      <c r="CJ23" s="49">
        <f t="shared" si="70"/>
        <v>0</v>
      </c>
      <c r="CK23" s="49">
        <f t="shared" si="71"/>
        <v>0</v>
      </c>
      <c r="CL23" s="49">
        <f t="shared" si="72"/>
        <v>18555.486399999998</v>
      </c>
      <c r="CM23" s="49">
        <f t="shared" si="73"/>
        <v>0</v>
      </c>
      <c r="CN23" s="49">
        <f t="shared" si="74"/>
        <v>0</v>
      </c>
      <c r="CO23" s="49">
        <f t="shared" si="75"/>
        <v>183478.96895899999</v>
      </c>
      <c r="CP23" s="49">
        <f t="shared" si="76"/>
        <v>0</v>
      </c>
      <c r="CQ23" s="49">
        <f t="shared" si="77"/>
        <v>0</v>
      </c>
      <c r="CR23" s="81">
        <f t="shared" si="78"/>
        <v>183478.96895899999</v>
      </c>
      <c r="CS23" s="80">
        <f t="shared" si="79"/>
        <v>280408.19104099995</v>
      </c>
      <c r="CT23" s="54"/>
      <c r="CU23" s="3" t="str">
        <f t="shared" si="80"/>
        <v>ARS</v>
      </c>
      <c r="CV23" s="3">
        <f>VLOOKUP(CU23,DF:DG,2,0)</f>
        <v>6.9185169999999997E-4</v>
      </c>
      <c r="CW23" s="23">
        <f t="shared" si="81"/>
        <v>320.94112025417195</v>
      </c>
      <c r="CX23" s="23">
        <f t="shared" si="82"/>
        <v>13.367197658586262</v>
      </c>
      <c r="CY23" s="23">
        <f t="shared" si="83"/>
        <v>48.141168038125791</v>
      </c>
      <c r="CZ23" s="23">
        <f t="shared" si="84"/>
        <v>42.965992474027274</v>
      </c>
      <c r="DA23" s="23">
        <f t="shared" si="85"/>
        <v>9.6282336076251589</v>
      </c>
      <c r="DB23" s="23">
        <f t="shared" si="86"/>
        <v>12.837644810166879</v>
      </c>
      <c r="DC23" s="23">
        <f t="shared" si="87"/>
        <v>194.00088366564057</v>
      </c>
      <c r="DD23" s="34" t="str">
        <f>VLOOKUP(A23,'Billing Report'!H:I,2,FALSE)</f>
        <v>Pix_ Branch_campaña_descarga_android</v>
      </c>
      <c r="DE23" s="34"/>
      <c r="DF23" s="61" t="s">
        <v>355</v>
      </c>
      <c r="DG23" s="62">
        <v>7.7306930000000003E-3</v>
      </c>
      <c r="DH23"/>
      <c r="DI23" s="41"/>
      <c r="DJ23" s="41"/>
    </row>
    <row r="24" spans="1:114" ht="14.5" x14ac:dyDescent="0.35">
      <c r="A24" s="63">
        <v>37275918</v>
      </c>
      <c r="B24" s="3" t="s">
        <v>537</v>
      </c>
      <c r="C24" s="3">
        <v>292964801</v>
      </c>
      <c r="D24" s="3" t="s">
        <v>93</v>
      </c>
      <c r="G24" s="38">
        <v>1269863.22</v>
      </c>
      <c r="J24" s="33">
        <f>VLOOKUP($B24,'IMS Commission List'!E:CE,79,0)/100</f>
        <v>0.15</v>
      </c>
      <c r="K24" s="79">
        <f t="shared" si="0"/>
        <v>1269863.22</v>
      </c>
      <c r="L24" s="3" t="str">
        <f>VLOOKUP($B24,'IMS Commission List'!E:V,18,0)</f>
        <v>ARS</v>
      </c>
      <c r="M24" s="3">
        <v>1</v>
      </c>
      <c r="N24" s="3" t="str">
        <f>VLOOKUP($B24,'IMS Commission List'!E:T,16,0)</f>
        <v>MX</v>
      </c>
      <c r="O24" s="54">
        <f>VLOOKUP($B24,'IMS Commission List'!E:CF,80,0)</f>
        <v>4.9000000000000002E-2</v>
      </c>
      <c r="P24" s="54">
        <f>VLOOKUP($B24,'IMS Commission List'!E:CG,81,0)</f>
        <v>0.1575</v>
      </c>
      <c r="Q24" s="54">
        <f>VLOOKUP($B24,'IMS Commission List'!E:CP,90,0)</f>
        <v>0.03</v>
      </c>
      <c r="R24" s="54">
        <f>VLOOKUP($B24,'IMS Commission List'!E:CQ,91,0)</f>
        <v>0.04</v>
      </c>
      <c r="S24" s="47">
        <f t="shared" si="1"/>
        <v>0</v>
      </c>
      <c r="T24" s="48">
        <f t="shared" si="2"/>
        <v>0</v>
      </c>
      <c r="U24" s="48">
        <f t="shared" si="3"/>
        <v>1269863.22</v>
      </c>
      <c r="V24" s="48">
        <f t="shared" si="4"/>
        <v>0</v>
      </c>
      <c r="W24" s="48">
        <f t="shared" si="5"/>
        <v>0</v>
      </c>
      <c r="X24" s="49">
        <f t="shared" si="6"/>
        <v>1269863.22</v>
      </c>
      <c r="Y24" s="49">
        <f t="shared" si="7"/>
        <v>0</v>
      </c>
      <c r="Z24" s="49">
        <f t="shared" si="8"/>
        <v>0</v>
      </c>
      <c r="AA24" s="49">
        <f t="shared" si="9"/>
        <v>52889.803113000002</v>
      </c>
      <c r="AB24" s="49">
        <f t="shared" si="10"/>
        <v>0</v>
      </c>
      <c r="AC24" s="49">
        <f t="shared" si="11"/>
        <v>0</v>
      </c>
      <c r="AD24" s="49">
        <f t="shared" si="12"/>
        <v>52889.803113000002</v>
      </c>
      <c r="AE24" s="49">
        <f t="shared" si="13"/>
        <v>0</v>
      </c>
      <c r="AF24" s="49">
        <f t="shared" si="14"/>
        <v>0</v>
      </c>
      <c r="AG24" s="49">
        <f t="shared" si="15"/>
        <v>190479.48299999998</v>
      </c>
      <c r="AH24" s="49">
        <f t="shared" si="16"/>
        <v>0</v>
      </c>
      <c r="AI24" s="49">
        <f t="shared" si="17"/>
        <v>0</v>
      </c>
      <c r="AJ24" s="49">
        <f t="shared" si="18"/>
        <v>190479.48299999998</v>
      </c>
      <c r="AK24" s="49">
        <f t="shared" si="19"/>
        <v>0</v>
      </c>
      <c r="AL24" s="49">
        <f t="shared" si="20"/>
        <v>0</v>
      </c>
      <c r="AM24" s="49">
        <f t="shared" si="21"/>
        <v>170002.9385775</v>
      </c>
      <c r="AN24" s="49">
        <f t="shared" si="22"/>
        <v>0</v>
      </c>
      <c r="AO24" s="49">
        <f t="shared" si="23"/>
        <v>0</v>
      </c>
      <c r="AP24" s="49">
        <f t="shared" si="24"/>
        <v>170002.9385775</v>
      </c>
      <c r="AQ24" s="49">
        <f t="shared" si="25"/>
        <v>0</v>
      </c>
      <c r="AR24" s="49">
        <f t="shared" si="26"/>
        <v>0</v>
      </c>
      <c r="AS24" s="49">
        <f t="shared" si="27"/>
        <v>38095.8966</v>
      </c>
      <c r="AT24" s="49">
        <f t="shared" si="28"/>
        <v>0</v>
      </c>
      <c r="AU24" s="49">
        <f t="shared" si="29"/>
        <v>0</v>
      </c>
      <c r="AV24" s="49">
        <f t="shared" si="30"/>
        <v>38095.8966</v>
      </c>
      <c r="AW24" s="49">
        <f t="shared" si="31"/>
        <v>0</v>
      </c>
      <c r="AX24" s="49">
        <f t="shared" si="32"/>
        <v>0</v>
      </c>
      <c r="AY24" s="49">
        <f t="shared" si="33"/>
        <v>50794.5288</v>
      </c>
      <c r="AZ24" s="49">
        <f t="shared" si="34"/>
        <v>0</v>
      </c>
      <c r="BA24" s="49">
        <f t="shared" si="35"/>
        <v>0</v>
      </c>
      <c r="BB24" s="49">
        <f t="shared" si="36"/>
        <v>50794.5288</v>
      </c>
      <c r="BC24" s="49">
        <f t="shared" si="37"/>
        <v>0</v>
      </c>
      <c r="BD24" s="49">
        <f t="shared" si="38"/>
        <v>0</v>
      </c>
      <c r="BE24" s="49">
        <f t="shared" si="39"/>
        <v>502262.6500904999</v>
      </c>
      <c r="BF24" s="49">
        <f t="shared" si="40"/>
        <v>0</v>
      </c>
      <c r="BG24" s="49">
        <f t="shared" si="41"/>
        <v>0</v>
      </c>
      <c r="BH24" s="49">
        <f t="shared" si="42"/>
        <v>502262.6500904999</v>
      </c>
      <c r="BI24" s="49">
        <f t="shared" si="43"/>
        <v>0</v>
      </c>
      <c r="BJ24" s="49">
        <f t="shared" si="44"/>
        <v>0</v>
      </c>
      <c r="BK24" s="49">
        <f t="shared" si="45"/>
        <v>52889.803113000002</v>
      </c>
      <c r="BL24" s="49">
        <f t="shared" si="46"/>
        <v>0</v>
      </c>
      <c r="BM24" s="49">
        <f t="shared" si="47"/>
        <v>0</v>
      </c>
      <c r="BN24" s="49">
        <f t="shared" si="48"/>
        <v>52889.803113000002</v>
      </c>
      <c r="BO24" s="49">
        <f t="shared" si="49"/>
        <v>0</v>
      </c>
      <c r="BP24" s="49">
        <f t="shared" si="50"/>
        <v>0</v>
      </c>
      <c r="BQ24" s="49">
        <f t="shared" si="51"/>
        <v>190479.48299999998</v>
      </c>
      <c r="BR24" s="49">
        <f t="shared" si="52"/>
        <v>0</v>
      </c>
      <c r="BS24" s="49">
        <f t="shared" si="53"/>
        <v>0</v>
      </c>
      <c r="BT24" s="49">
        <f t="shared" si="54"/>
        <v>190479.48299999998</v>
      </c>
      <c r="BU24" s="49">
        <f t="shared" si="55"/>
        <v>0</v>
      </c>
      <c r="BV24" s="49">
        <f t="shared" si="56"/>
        <v>0</v>
      </c>
      <c r="BW24" s="49">
        <f t="shared" si="57"/>
        <v>170002.9385775</v>
      </c>
      <c r="BX24" s="49">
        <f t="shared" si="58"/>
        <v>0</v>
      </c>
      <c r="BY24" s="49">
        <f t="shared" si="59"/>
        <v>0</v>
      </c>
      <c r="BZ24" s="49">
        <f t="shared" si="60"/>
        <v>170002.9385775</v>
      </c>
      <c r="CA24" s="49">
        <f t="shared" si="61"/>
        <v>0</v>
      </c>
      <c r="CB24" s="49">
        <f t="shared" si="62"/>
        <v>0</v>
      </c>
      <c r="CC24" s="49">
        <f t="shared" si="63"/>
        <v>38095.8966</v>
      </c>
      <c r="CD24" s="49">
        <f t="shared" si="64"/>
        <v>0</v>
      </c>
      <c r="CE24" s="49">
        <f t="shared" si="65"/>
        <v>0</v>
      </c>
      <c r="CF24" s="49">
        <f t="shared" si="66"/>
        <v>38095.8966</v>
      </c>
      <c r="CG24" s="49">
        <f t="shared" si="67"/>
        <v>0</v>
      </c>
      <c r="CH24" s="49">
        <f t="shared" si="68"/>
        <v>0</v>
      </c>
      <c r="CI24" s="49">
        <f t="shared" si="69"/>
        <v>50794.5288</v>
      </c>
      <c r="CJ24" s="49">
        <f t="shared" si="70"/>
        <v>0</v>
      </c>
      <c r="CK24" s="49">
        <f t="shared" si="71"/>
        <v>0</v>
      </c>
      <c r="CL24" s="49">
        <f t="shared" si="72"/>
        <v>50794.5288</v>
      </c>
      <c r="CM24" s="49">
        <f t="shared" si="73"/>
        <v>0</v>
      </c>
      <c r="CN24" s="49">
        <f t="shared" si="74"/>
        <v>0</v>
      </c>
      <c r="CO24" s="49">
        <f t="shared" si="75"/>
        <v>502262.6500904999</v>
      </c>
      <c r="CP24" s="49">
        <f t="shared" si="76"/>
        <v>0</v>
      </c>
      <c r="CQ24" s="49">
        <f t="shared" si="77"/>
        <v>0</v>
      </c>
      <c r="CR24" s="81">
        <f t="shared" si="78"/>
        <v>502262.6500904999</v>
      </c>
      <c r="CS24" s="80">
        <f t="shared" si="79"/>
        <v>767600.56990950007</v>
      </c>
      <c r="CT24" s="54"/>
      <c r="CU24" s="3" t="str">
        <f t="shared" si="80"/>
        <v>ARS</v>
      </c>
      <c r="CV24" s="3">
        <f>VLOOKUP(CU24,DF:DG,2,0)</f>
        <v>6.9185169999999997E-4</v>
      </c>
      <c r="CW24" s="23">
        <f t="shared" si="81"/>
        <v>878.55702752447394</v>
      </c>
      <c r="CX24" s="23">
        <f t="shared" si="82"/>
        <v>36.591900196394342</v>
      </c>
      <c r="CY24" s="23">
        <f t="shared" si="83"/>
        <v>131.78355412867108</v>
      </c>
      <c r="CZ24" s="23">
        <f t="shared" si="84"/>
        <v>117.61682205983895</v>
      </c>
      <c r="DA24" s="23">
        <f t="shared" si="85"/>
        <v>26.356710825734218</v>
      </c>
      <c r="DB24" s="23">
        <f t="shared" si="86"/>
        <v>35.142281100978956</v>
      </c>
      <c r="DC24" s="23">
        <f t="shared" si="87"/>
        <v>531.06575921285639</v>
      </c>
      <c r="DD24" s="34" t="str">
        <f>VLOOKUP(A24,'Billing Report'!H:I,2,FALSE)</f>
        <v>Liliana   Always On   General  2025</v>
      </c>
      <c r="DE24" s="34"/>
      <c r="DF24" s="61" t="s">
        <v>354</v>
      </c>
      <c r="DG24" s="62">
        <v>2.1324528299999999E-2</v>
      </c>
      <c r="DH24"/>
      <c r="DI24" s="41"/>
      <c r="DJ24" s="41"/>
    </row>
    <row r="25" spans="1:114" ht="14.5" x14ac:dyDescent="0.35">
      <c r="A25" s="63">
        <v>40817363</v>
      </c>
      <c r="B25" s="3" t="s">
        <v>540</v>
      </c>
      <c r="C25" s="3">
        <v>298538101</v>
      </c>
      <c r="D25" s="3" t="s">
        <v>93</v>
      </c>
      <c r="G25" s="38">
        <v>626344.60000000009</v>
      </c>
      <c r="J25" s="33">
        <f>VLOOKUP($B25,'IMS Commission List'!E:CE,79,0)/100</f>
        <v>0.15</v>
      </c>
      <c r="K25" s="79">
        <f t="shared" si="0"/>
        <v>626344.60000000009</v>
      </c>
      <c r="L25" s="3" t="str">
        <f>VLOOKUP($B25,'IMS Commission List'!E:V,18,0)</f>
        <v>ARS</v>
      </c>
      <c r="M25" s="3">
        <v>1</v>
      </c>
      <c r="N25" s="3" t="str">
        <f>VLOOKUP($B25,'IMS Commission List'!E:T,16,0)</f>
        <v>MX</v>
      </c>
      <c r="O25" s="54">
        <f>VLOOKUP($B25,'IMS Commission List'!E:CF,80,0)</f>
        <v>4.9000000000000002E-2</v>
      </c>
      <c r="P25" s="54">
        <f>VLOOKUP($B25,'IMS Commission List'!E:CG,81,0)</f>
        <v>0.1575</v>
      </c>
      <c r="Q25" s="54">
        <f>VLOOKUP($B25,'IMS Commission List'!E:CP,90,0)</f>
        <v>0.03</v>
      </c>
      <c r="R25" s="54">
        <f>VLOOKUP($B25,'IMS Commission List'!E:CQ,91,0)</f>
        <v>0.04</v>
      </c>
      <c r="S25" s="47">
        <f t="shared" si="1"/>
        <v>0</v>
      </c>
      <c r="T25" s="48">
        <f t="shared" si="2"/>
        <v>0</v>
      </c>
      <c r="U25" s="48">
        <f t="shared" si="3"/>
        <v>626344.60000000009</v>
      </c>
      <c r="V25" s="48">
        <f t="shared" si="4"/>
        <v>0</v>
      </c>
      <c r="W25" s="48">
        <f t="shared" si="5"/>
        <v>0</v>
      </c>
      <c r="X25" s="49">
        <f t="shared" si="6"/>
        <v>626344.60000000009</v>
      </c>
      <c r="Y25" s="49">
        <f t="shared" si="7"/>
        <v>0</v>
      </c>
      <c r="Z25" s="49">
        <f t="shared" si="8"/>
        <v>0</v>
      </c>
      <c r="AA25" s="49">
        <f t="shared" si="9"/>
        <v>26087.252590000004</v>
      </c>
      <c r="AB25" s="49">
        <f t="shared" si="10"/>
        <v>0</v>
      </c>
      <c r="AC25" s="49">
        <f t="shared" si="11"/>
        <v>0</v>
      </c>
      <c r="AD25" s="49">
        <f t="shared" si="12"/>
        <v>26087.252590000004</v>
      </c>
      <c r="AE25" s="49">
        <f t="shared" si="13"/>
        <v>0</v>
      </c>
      <c r="AF25" s="49">
        <f t="shared" si="14"/>
        <v>0</v>
      </c>
      <c r="AG25" s="49">
        <f t="shared" si="15"/>
        <v>93951.690000000017</v>
      </c>
      <c r="AH25" s="49">
        <f t="shared" si="16"/>
        <v>0</v>
      </c>
      <c r="AI25" s="49">
        <f t="shared" si="17"/>
        <v>0</v>
      </c>
      <c r="AJ25" s="49">
        <f t="shared" si="18"/>
        <v>93951.690000000017</v>
      </c>
      <c r="AK25" s="49">
        <f t="shared" si="19"/>
        <v>0</v>
      </c>
      <c r="AL25" s="49">
        <f t="shared" si="20"/>
        <v>0</v>
      </c>
      <c r="AM25" s="49">
        <f t="shared" si="21"/>
        <v>83851.883325000003</v>
      </c>
      <c r="AN25" s="49">
        <f t="shared" si="22"/>
        <v>0</v>
      </c>
      <c r="AO25" s="49">
        <f t="shared" si="23"/>
        <v>0</v>
      </c>
      <c r="AP25" s="49">
        <f t="shared" si="24"/>
        <v>83851.883325000003</v>
      </c>
      <c r="AQ25" s="49">
        <f t="shared" si="25"/>
        <v>0</v>
      </c>
      <c r="AR25" s="49">
        <f t="shared" si="26"/>
        <v>0</v>
      </c>
      <c r="AS25" s="49">
        <f t="shared" si="27"/>
        <v>18790.338000000003</v>
      </c>
      <c r="AT25" s="49">
        <f t="shared" si="28"/>
        <v>0</v>
      </c>
      <c r="AU25" s="49">
        <f t="shared" si="29"/>
        <v>0</v>
      </c>
      <c r="AV25" s="49">
        <f t="shared" si="30"/>
        <v>18790.338000000003</v>
      </c>
      <c r="AW25" s="49">
        <f t="shared" si="31"/>
        <v>0</v>
      </c>
      <c r="AX25" s="49">
        <f t="shared" si="32"/>
        <v>0</v>
      </c>
      <c r="AY25" s="49">
        <f t="shared" si="33"/>
        <v>25053.784000000003</v>
      </c>
      <c r="AZ25" s="49">
        <f t="shared" si="34"/>
        <v>0</v>
      </c>
      <c r="BA25" s="49">
        <f t="shared" si="35"/>
        <v>0</v>
      </c>
      <c r="BB25" s="49">
        <f t="shared" si="36"/>
        <v>25053.784000000003</v>
      </c>
      <c r="BC25" s="49">
        <f t="shared" si="37"/>
        <v>0</v>
      </c>
      <c r="BD25" s="49">
        <f t="shared" si="38"/>
        <v>0</v>
      </c>
      <c r="BE25" s="49">
        <f t="shared" si="39"/>
        <v>247734.94791500006</v>
      </c>
      <c r="BF25" s="49">
        <f t="shared" si="40"/>
        <v>0</v>
      </c>
      <c r="BG25" s="49">
        <f t="shared" si="41"/>
        <v>0</v>
      </c>
      <c r="BH25" s="49">
        <f t="shared" si="42"/>
        <v>247734.94791500006</v>
      </c>
      <c r="BI25" s="49">
        <f t="shared" si="43"/>
        <v>0</v>
      </c>
      <c r="BJ25" s="49">
        <f t="shared" si="44"/>
        <v>0</v>
      </c>
      <c r="BK25" s="49">
        <f t="shared" si="45"/>
        <v>26087.252590000004</v>
      </c>
      <c r="BL25" s="49">
        <f t="shared" si="46"/>
        <v>0</v>
      </c>
      <c r="BM25" s="49">
        <f t="shared" si="47"/>
        <v>0</v>
      </c>
      <c r="BN25" s="49">
        <f t="shared" si="48"/>
        <v>26087.252590000004</v>
      </c>
      <c r="BO25" s="49">
        <f t="shared" si="49"/>
        <v>0</v>
      </c>
      <c r="BP25" s="49">
        <f t="shared" si="50"/>
        <v>0</v>
      </c>
      <c r="BQ25" s="49">
        <f t="shared" si="51"/>
        <v>93951.690000000017</v>
      </c>
      <c r="BR25" s="49">
        <f t="shared" si="52"/>
        <v>0</v>
      </c>
      <c r="BS25" s="49">
        <f t="shared" si="53"/>
        <v>0</v>
      </c>
      <c r="BT25" s="49">
        <f t="shared" si="54"/>
        <v>93951.690000000017</v>
      </c>
      <c r="BU25" s="49">
        <f t="shared" si="55"/>
        <v>0</v>
      </c>
      <c r="BV25" s="49">
        <f t="shared" si="56"/>
        <v>0</v>
      </c>
      <c r="BW25" s="49">
        <f t="shared" si="57"/>
        <v>83851.883325000003</v>
      </c>
      <c r="BX25" s="49">
        <f t="shared" si="58"/>
        <v>0</v>
      </c>
      <c r="BY25" s="49">
        <f t="shared" si="59"/>
        <v>0</v>
      </c>
      <c r="BZ25" s="49">
        <f t="shared" si="60"/>
        <v>83851.883325000003</v>
      </c>
      <c r="CA25" s="49">
        <f t="shared" si="61"/>
        <v>0</v>
      </c>
      <c r="CB25" s="49">
        <f t="shared" si="62"/>
        <v>0</v>
      </c>
      <c r="CC25" s="49">
        <f t="shared" si="63"/>
        <v>18790.338000000003</v>
      </c>
      <c r="CD25" s="49">
        <f t="shared" si="64"/>
        <v>0</v>
      </c>
      <c r="CE25" s="49">
        <f t="shared" si="65"/>
        <v>0</v>
      </c>
      <c r="CF25" s="49">
        <f t="shared" si="66"/>
        <v>18790.338000000003</v>
      </c>
      <c r="CG25" s="49">
        <f t="shared" si="67"/>
        <v>0</v>
      </c>
      <c r="CH25" s="49">
        <f t="shared" si="68"/>
        <v>0</v>
      </c>
      <c r="CI25" s="49">
        <f t="shared" si="69"/>
        <v>25053.784000000003</v>
      </c>
      <c r="CJ25" s="49">
        <f t="shared" si="70"/>
        <v>0</v>
      </c>
      <c r="CK25" s="49">
        <f t="shared" si="71"/>
        <v>0</v>
      </c>
      <c r="CL25" s="49">
        <f t="shared" si="72"/>
        <v>25053.784000000003</v>
      </c>
      <c r="CM25" s="49">
        <f t="shared" si="73"/>
        <v>0</v>
      </c>
      <c r="CN25" s="49">
        <f t="shared" si="74"/>
        <v>0</v>
      </c>
      <c r="CO25" s="49">
        <f t="shared" si="75"/>
        <v>247734.94791500006</v>
      </c>
      <c r="CP25" s="49">
        <f t="shared" si="76"/>
        <v>0</v>
      </c>
      <c r="CQ25" s="49">
        <f t="shared" si="77"/>
        <v>0</v>
      </c>
      <c r="CR25" s="81">
        <f t="shared" si="78"/>
        <v>247734.94791500006</v>
      </c>
      <c r="CS25" s="80">
        <f t="shared" si="79"/>
        <v>378609.65208500007</v>
      </c>
      <c r="CT25" s="54"/>
      <c r="CU25" s="3" t="str">
        <f t="shared" si="80"/>
        <v>ARS</v>
      </c>
      <c r="CV25" s="3">
        <f>VLOOKUP(CU25,DF:DG,2,0)</f>
        <v>6.9185169999999997E-4</v>
      </c>
      <c r="CW25" s="23">
        <f t="shared" si="81"/>
        <v>433.33757629582004</v>
      </c>
      <c r="CX25" s="23">
        <f t="shared" si="82"/>
        <v>18.048510052720903</v>
      </c>
      <c r="CY25" s="23">
        <f t="shared" si="83"/>
        <v>65.000636444373015</v>
      </c>
      <c r="CZ25" s="23">
        <f t="shared" si="84"/>
        <v>58.013068026602902</v>
      </c>
      <c r="DA25" s="23">
        <f t="shared" si="85"/>
        <v>13.000127288874602</v>
      </c>
      <c r="DB25" s="23">
        <f t="shared" si="86"/>
        <v>17.3335030518328</v>
      </c>
      <c r="DC25" s="23">
        <f t="shared" si="87"/>
        <v>261.9417314314158</v>
      </c>
      <c r="DD25" s="34" t="str">
        <f>VLOOKUP(A25,'Billing Report'!H:I,2,FALSE)</f>
        <v>X_AR_BND_AWA_R&amp;F_Fondos</v>
      </c>
      <c r="DE25" s="34"/>
      <c r="DF25" s="61" t="s">
        <v>67</v>
      </c>
      <c r="DG25" s="62">
        <v>1.1903982476999999</v>
      </c>
      <c r="DH25"/>
      <c r="DI25" s="41"/>
      <c r="DJ25" s="41"/>
    </row>
    <row r="26" spans="1:114" ht="14.5" x14ac:dyDescent="0.35">
      <c r="A26" s="63">
        <v>40720217</v>
      </c>
      <c r="B26" s="3" t="s">
        <v>540</v>
      </c>
      <c r="C26" s="3">
        <v>298538101</v>
      </c>
      <c r="D26" s="3" t="s">
        <v>93</v>
      </c>
      <c r="G26" s="38">
        <v>39026.83</v>
      </c>
      <c r="J26" s="33">
        <f>VLOOKUP($B26,'IMS Commission List'!E:CE,79,0)/100</f>
        <v>0.15</v>
      </c>
      <c r="K26" s="79">
        <f t="shared" si="0"/>
        <v>39026.83</v>
      </c>
      <c r="L26" s="3" t="str">
        <f>VLOOKUP($B26,'IMS Commission List'!E:V,18,0)</f>
        <v>ARS</v>
      </c>
      <c r="M26" s="3">
        <v>1</v>
      </c>
      <c r="N26" s="3" t="str">
        <f>VLOOKUP($B26,'IMS Commission List'!E:T,16,0)</f>
        <v>MX</v>
      </c>
      <c r="O26" s="54">
        <f>VLOOKUP($B26,'IMS Commission List'!E:CF,80,0)</f>
        <v>4.9000000000000002E-2</v>
      </c>
      <c r="P26" s="54">
        <f>VLOOKUP($B26,'IMS Commission List'!E:CG,81,0)</f>
        <v>0.1575</v>
      </c>
      <c r="Q26" s="54">
        <f>VLOOKUP($B26,'IMS Commission List'!E:CP,90,0)</f>
        <v>0.03</v>
      </c>
      <c r="R26" s="54">
        <f>VLOOKUP($B26,'IMS Commission List'!E:CQ,91,0)</f>
        <v>0.04</v>
      </c>
      <c r="S26" s="47">
        <f t="shared" si="1"/>
        <v>0</v>
      </c>
      <c r="T26" s="48">
        <f t="shared" si="2"/>
        <v>0</v>
      </c>
      <c r="U26" s="48">
        <f t="shared" si="3"/>
        <v>39026.83</v>
      </c>
      <c r="V26" s="48">
        <f t="shared" si="4"/>
        <v>0</v>
      </c>
      <c r="W26" s="48">
        <f t="shared" si="5"/>
        <v>0</v>
      </c>
      <c r="X26" s="49">
        <f t="shared" si="6"/>
        <v>39026.83</v>
      </c>
      <c r="Y26" s="49">
        <f t="shared" si="7"/>
        <v>0</v>
      </c>
      <c r="Z26" s="49">
        <f t="shared" si="8"/>
        <v>0</v>
      </c>
      <c r="AA26" s="49">
        <f t="shared" si="9"/>
        <v>1625.4674695000001</v>
      </c>
      <c r="AB26" s="49">
        <f t="shared" si="10"/>
        <v>0</v>
      </c>
      <c r="AC26" s="49">
        <f t="shared" si="11"/>
        <v>0</v>
      </c>
      <c r="AD26" s="49">
        <f t="shared" si="12"/>
        <v>1625.4674695000001</v>
      </c>
      <c r="AE26" s="49">
        <f t="shared" si="13"/>
        <v>0</v>
      </c>
      <c r="AF26" s="49">
        <f t="shared" si="14"/>
        <v>0</v>
      </c>
      <c r="AG26" s="49">
        <f t="shared" si="15"/>
        <v>5854.0245000000004</v>
      </c>
      <c r="AH26" s="49">
        <f t="shared" si="16"/>
        <v>0</v>
      </c>
      <c r="AI26" s="49">
        <f t="shared" si="17"/>
        <v>0</v>
      </c>
      <c r="AJ26" s="49">
        <f t="shared" si="18"/>
        <v>5854.0245000000004</v>
      </c>
      <c r="AK26" s="49">
        <f t="shared" si="19"/>
        <v>0</v>
      </c>
      <c r="AL26" s="49">
        <f t="shared" si="20"/>
        <v>0</v>
      </c>
      <c r="AM26" s="49">
        <f t="shared" si="21"/>
        <v>5224.7168662499998</v>
      </c>
      <c r="AN26" s="49">
        <f t="shared" si="22"/>
        <v>0</v>
      </c>
      <c r="AO26" s="49">
        <f t="shared" si="23"/>
        <v>0</v>
      </c>
      <c r="AP26" s="49">
        <f t="shared" si="24"/>
        <v>5224.7168662499998</v>
      </c>
      <c r="AQ26" s="49">
        <f t="shared" si="25"/>
        <v>0</v>
      </c>
      <c r="AR26" s="49">
        <f t="shared" si="26"/>
        <v>0</v>
      </c>
      <c r="AS26" s="49">
        <f t="shared" si="27"/>
        <v>1170.8049000000001</v>
      </c>
      <c r="AT26" s="49">
        <f t="shared" si="28"/>
        <v>0</v>
      </c>
      <c r="AU26" s="49">
        <f t="shared" si="29"/>
        <v>0</v>
      </c>
      <c r="AV26" s="49">
        <f t="shared" si="30"/>
        <v>1170.8049000000001</v>
      </c>
      <c r="AW26" s="49">
        <f t="shared" si="31"/>
        <v>0</v>
      </c>
      <c r="AX26" s="49">
        <f t="shared" si="32"/>
        <v>0</v>
      </c>
      <c r="AY26" s="49">
        <f t="shared" si="33"/>
        <v>1561.0732</v>
      </c>
      <c r="AZ26" s="49">
        <f t="shared" si="34"/>
        <v>0</v>
      </c>
      <c r="BA26" s="49">
        <f t="shared" si="35"/>
        <v>0</v>
      </c>
      <c r="BB26" s="49">
        <f t="shared" si="36"/>
        <v>1561.0732</v>
      </c>
      <c r="BC26" s="49">
        <f t="shared" si="37"/>
        <v>0</v>
      </c>
      <c r="BD26" s="49">
        <f t="shared" si="38"/>
        <v>0</v>
      </c>
      <c r="BE26" s="49">
        <f t="shared" si="39"/>
        <v>15436.08693575</v>
      </c>
      <c r="BF26" s="49">
        <f t="shared" si="40"/>
        <v>0</v>
      </c>
      <c r="BG26" s="49">
        <f t="shared" si="41"/>
        <v>0</v>
      </c>
      <c r="BH26" s="49">
        <f t="shared" si="42"/>
        <v>15436.08693575</v>
      </c>
      <c r="BI26" s="49">
        <f t="shared" si="43"/>
        <v>0</v>
      </c>
      <c r="BJ26" s="49">
        <f t="shared" si="44"/>
        <v>0</v>
      </c>
      <c r="BK26" s="49">
        <f t="shared" si="45"/>
        <v>1625.4674695000001</v>
      </c>
      <c r="BL26" s="49">
        <f t="shared" si="46"/>
        <v>0</v>
      </c>
      <c r="BM26" s="49">
        <f t="shared" si="47"/>
        <v>0</v>
      </c>
      <c r="BN26" s="49">
        <f t="shared" si="48"/>
        <v>1625.4674695000001</v>
      </c>
      <c r="BO26" s="49">
        <f t="shared" si="49"/>
        <v>0</v>
      </c>
      <c r="BP26" s="49">
        <f t="shared" si="50"/>
        <v>0</v>
      </c>
      <c r="BQ26" s="49">
        <f t="shared" si="51"/>
        <v>5854.0245000000004</v>
      </c>
      <c r="BR26" s="49">
        <f t="shared" si="52"/>
        <v>0</v>
      </c>
      <c r="BS26" s="49">
        <f t="shared" si="53"/>
        <v>0</v>
      </c>
      <c r="BT26" s="49">
        <f t="shared" si="54"/>
        <v>5854.0245000000004</v>
      </c>
      <c r="BU26" s="49">
        <f t="shared" si="55"/>
        <v>0</v>
      </c>
      <c r="BV26" s="49">
        <f t="shared" si="56"/>
        <v>0</v>
      </c>
      <c r="BW26" s="49">
        <f t="shared" si="57"/>
        <v>5224.7168662499998</v>
      </c>
      <c r="BX26" s="49">
        <f t="shared" si="58"/>
        <v>0</v>
      </c>
      <c r="BY26" s="49">
        <f t="shared" si="59"/>
        <v>0</v>
      </c>
      <c r="BZ26" s="49">
        <f t="shared" si="60"/>
        <v>5224.7168662499998</v>
      </c>
      <c r="CA26" s="49">
        <f t="shared" si="61"/>
        <v>0</v>
      </c>
      <c r="CB26" s="49">
        <f t="shared" si="62"/>
        <v>0</v>
      </c>
      <c r="CC26" s="49">
        <f t="shared" si="63"/>
        <v>1170.8049000000001</v>
      </c>
      <c r="CD26" s="49">
        <f t="shared" si="64"/>
        <v>0</v>
      </c>
      <c r="CE26" s="49">
        <f t="shared" si="65"/>
        <v>0</v>
      </c>
      <c r="CF26" s="49">
        <f t="shared" si="66"/>
        <v>1170.8049000000001</v>
      </c>
      <c r="CG26" s="49">
        <f t="shared" si="67"/>
        <v>0</v>
      </c>
      <c r="CH26" s="49">
        <f t="shared" si="68"/>
        <v>0</v>
      </c>
      <c r="CI26" s="49">
        <f t="shared" si="69"/>
        <v>1561.0732</v>
      </c>
      <c r="CJ26" s="49">
        <f t="shared" si="70"/>
        <v>0</v>
      </c>
      <c r="CK26" s="49">
        <f t="shared" si="71"/>
        <v>0</v>
      </c>
      <c r="CL26" s="49">
        <f t="shared" si="72"/>
        <v>1561.0732</v>
      </c>
      <c r="CM26" s="49">
        <f t="shared" si="73"/>
        <v>0</v>
      </c>
      <c r="CN26" s="49">
        <f t="shared" si="74"/>
        <v>0</v>
      </c>
      <c r="CO26" s="49">
        <f t="shared" si="75"/>
        <v>15436.08693575</v>
      </c>
      <c r="CP26" s="49">
        <f t="shared" si="76"/>
        <v>0</v>
      </c>
      <c r="CQ26" s="49">
        <f t="shared" si="77"/>
        <v>0</v>
      </c>
      <c r="CR26" s="81">
        <f t="shared" si="78"/>
        <v>15436.08693575</v>
      </c>
      <c r="CS26" s="80">
        <f t="shared" si="79"/>
        <v>23590.743064250004</v>
      </c>
      <c r="CT26" s="54"/>
      <c r="CU26" s="3" t="str">
        <f t="shared" si="80"/>
        <v>ARS</v>
      </c>
      <c r="CV26" s="3">
        <f>VLOOKUP(CU26,DF:DG,2,0)</f>
        <v>6.9185169999999997E-4</v>
      </c>
      <c r="CW26" s="23">
        <f t="shared" si="81"/>
        <v>27.000778681111001</v>
      </c>
      <c r="CX26" s="23">
        <f t="shared" si="82"/>
        <v>1.1245824320682731</v>
      </c>
      <c r="CY26" s="23">
        <f t="shared" si="83"/>
        <v>4.0501168021666505</v>
      </c>
      <c r="CZ26" s="23">
        <f t="shared" si="84"/>
        <v>3.6147292459337348</v>
      </c>
      <c r="DA26" s="23">
        <f t="shared" si="85"/>
        <v>0.81002336043333001</v>
      </c>
      <c r="DB26" s="23">
        <f t="shared" si="86"/>
        <v>1.0800311472444399</v>
      </c>
      <c r="DC26" s="23">
        <f t="shared" si="87"/>
        <v>16.321295693264574</v>
      </c>
      <c r="DD26" s="34" t="str">
        <f>VLOOKUP(A26,'Billing Report'!H:I,2,FALSE)</f>
        <v>X_AR_BND_AWA_R&amp;F_Maratea</v>
      </c>
      <c r="DE26" s="34"/>
      <c r="DF26" s="61" t="s">
        <v>353</v>
      </c>
      <c r="DG26" s="62">
        <v>1.3738245214</v>
      </c>
      <c r="DH26"/>
      <c r="DI26" s="41"/>
      <c r="DJ26" s="41"/>
    </row>
    <row r="27" spans="1:114" ht="14.5" x14ac:dyDescent="0.35">
      <c r="A27" s="63">
        <v>40676787</v>
      </c>
      <c r="B27" s="3" t="s">
        <v>540</v>
      </c>
      <c r="C27" s="3">
        <v>298538101</v>
      </c>
      <c r="D27" s="3" t="s">
        <v>93</v>
      </c>
      <c r="G27" s="38">
        <v>22535.24</v>
      </c>
      <c r="J27" s="33">
        <f>VLOOKUP($B27,'IMS Commission List'!E:CE,79,0)/100</f>
        <v>0.15</v>
      </c>
      <c r="K27" s="79">
        <f t="shared" si="0"/>
        <v>22535.24</v>
      </c>
      <c r="L27" s="3" t="str">
        <f>VLOOKUP($B27,'IMS Commission List'!E:V,18,0)</f>
        <v>ARS</v>
      </c>
      <c r="M27" s="3">
        <v>1</v>
      </c>
      <c r="N27" s="3" t="str">
        <f>VLOOKUP($B27,'IMS Commission List'!E:T,16,0)</f>
        <v>MX</v>
      </c>
      <c r="O27" s="54">
        <f>VLOOKUP($B27,'IMS Commission List'!E:CF,80,0)</f>
        <v>4.9000000000000002E-2</v>
      </c>
      <c r="P27" s="54">
        <f>VLOOKUP($B27,'IMS Commission List'!E:CG,81,0)</f>
        <v>0.1575</v>
      </c>
      <c r="Q27" s="54">
        <f>VLOOKUP($B27,'IMS Commission List'!E:CP,90,0)</f>
        <v>0.03</v>
      </c>
      <c r="R27" s="54">
        <f>VLOOKUP($B27,'IMS Commission List'!E:CQ,91,0)</f>
        <v>0.04</v>
      </c>
      <c r="S27" s="47">
        <f t="shared" si="1"/>
        <v>0</v>
      </c>
      <c r="T27" s="48">
        <f t="shared" si="2"/>
        <v>0</v>
      </c>
      <c r="U27" s="48">
        <f t="shared" si="3"/>
        <v>22535.24</v>
      </c>
      <c r="V27" s="48">
        <f t="shared" si="4"/>
        <v>0</v>
      </c>
      <c r="W27" s="48">
        <f t="shared" si="5"/>
        <v>0</v>
      </c>
      <c r="X27" s="49">
        <f t="shared" si="6"/>
        <v>22535.24</v>
      </c>
      <c r="Y27" s="49">
        <f t="shared" si="7"/>
        <v>0</v>
      </c>
      <c r="Z27" s="49">
        <f t="shared" si="8"/>
        <v>0</v>
      </c>
      <c r="AA27" s="49">
        <f t="shared" si="9"/>
        <v>938.59274600000003</v>
      </c>
      <c r="AB27" s="49">
        <f t="shared" si="10"/>
        <v>0</v>
      </c>
      <c r="AC27" s="49">
        <f t="shared" si="11"/>
        <v>0</v>
      </c>
      <c r="AD27" s="49">
        <f t="shared" si="12"/>
        <v>938.59274600000003</v>
      </c>
      <c r="AE27" s="49">
        <f t="shared" si="13"/>
        <v>0</v>
      </c>
      <c r="AF27" s="49">
        <f t="shared" si="14"/>
        <v>0</v>
      </c>
      <c r="AG27" s="49">
        <f t="shared" si="15"/>
        <v>3380.2860000000001</v>
      </c>
      <c r="AH27" s="49">
        <f t="shared" si="16"/>
        <v>0</v>
      </c>
      <c r="AI27" s="49">
        <f t="shared" si="17"/>
        <v>0</v>
      </c>
      <c r="AJ27" s="49">
        <f t="shared" si="18"/>
        <v>3380.2860000000001</v>
      </c>
      <c r="AK27" s="49">
        <f t="shared" si="19"/>
        <v>0</v>
      </c>
      <c r="AL27" s="49">
        <f t="shared" si="20"/>
        <v>0</v>
      </c>
      <c r="AM27" s="49">
        <f t="shared" si="21"/>
        <v>3016.9052550000001</v>
      </c>
      <c r="AN27" s="49">
        <f t="shared" si="22"/>
        <v>0</v>
      </c>
      <c r="AO27" s="49">
        <f t="shared" si="23"/>
        <v>0</v>
      </c>
      <c r="AP27" s="49">
        <f t="shared" si="24"/>
        <v>3016.9052550000001</v>
      </c>
      <c r="AQ27" s="49">
        <f t="shared" si="25"/>
        <v>0</v>
      </c>
      <c r="AR27" s="49">
        <f t="shared" si="26"/>
        <v>0</v>
      </c>
      <c r="AS27" s="49">
        <f t="shared" si="27"/>
        <v>676.05719999999997</v>
      </c>
      <c r="AT27" s="49">
        <f t="shared" si="28"/>
        <v>0</v>
      </c>
      <c r="AU27" s="49">
        <f t="shared" si="29"/>
        <v>0</v>
      </c>
      <c r="AV27" s="49">
        <f t="shared" si="30"/>
        <v>676.05719999999997</v>
      </c>
      <c r="AW27" s="49">
        <f t="shared" si="31"/>
        <v>0</v>
      </c>
      <c r="AX27" s="49">
        <f t="shared" si="32"/>
        <v>0</v>
      </c>
      <c r="AY27" s="49">
        <f t="shared" si="33"/>
        <v>901.40960000000007</v>
      </c>
      <c r="AZ27" s="49">
        <f t="shared" si="34"/>
        <v>0</v>
      </c>
      <c r="BA27" s="49">
        <f t="shared" si="35"/>
        <v>0</v>
      </c>
      <c r="BB27" s="49">
        <f t="shared" si="36"/>
        <v>901.40960000000007</v>
      </c>
      <c r="BC27" s="49">
        <f t="shared" si="37"/>
        <v>0</v>
      </c>
      <c r="BD27" s="49">
        <f t="shared" si="38"/>
        <v>0</v>
      </c>
      <c r="BE27" s="49">
        <f t="shared" si="39"/>
        <v>8913.2508010000001</v>
      </c>
      <c r="BF27" s="49">
        <f t="shared" si="40"/>
        <v>0</v>
      </c>
      <c r="BG27" s="49">
        <f t="shared" si="41"/>
        <v>0</v>
      </c>
      <c r="BH27" s="49">
        <f t="shared" si="42"/>
        <v>8913.2508010000001</v>
      </c>
      <c r="BI27" s="49">
        <f t="shared" si="43"/>
        <v>0</v>
      </c>
      <c r="BJ27" s="49">
        <f t="shared" si="44"/>
        <v>0</v>
      </c>
      <c r="BK27" s="49">
        <f t="shared" si="45"/>
        <v>938.59274600000003</v>
      </c>
      <c r="BL27" s="49">
        <f t="shared" si="46"/>
        <v>0</v>
      </c>
      <c r="BM27" s="49">
        <f t="shared" si="47"/>
        <v>0</v>
      </c>
      <c r="BN27" s="49">
        <f t="shared" si="48"/>
        <v>938.59274600000003</v>
      </c>
      <c r="BO27" s="49">
        <f t="shared" si="49"/>
        <v>0</v>
      </c>
      <c r="BP27" s="49">
        <f t="shared" si="50"/>
        <v>0</v>
      </c>
      <c r="BQ27" s="49">
        <f t="shared" si="51"/>
        <v>3380.2860000000001</v>
      </c>
      <c r="BR27" s="49">
        <f t="shared" si="52"/>
        <v>0</v>
      </c>
      <c r="BS27" s="49">
        <f t="shared" si="53"/>
        <v>0</v>
      </c>
      <c r="BT27" s="49">
        <f t="shared" si="54"/>
        <v>3380.2860000000001</v>
      </c>
      <c r="BU27" s="49">
        <f t="shared" si="55"/>
        <v>0</v>
      </c>
      <c r="BV27" s="49">
        <f t="shared" si="56"/>
        <v>0</v>
      </c>
      <c r="BW27" s="49">
        <f t="shared" si="57"/>
        <v>3016.9052550000001</v>
      </c>
      <c r="BX27" s="49">
        <f t="shared" si="58"/>
        <v>0</v>
      </c>
      <c r="BY27" s="49">
        <f t="shared" si="59"/>
        <v>0</v>
      </c>
      <c r="BZ27" s="49">
        <f t="shared" si="60"/>
        <v>3016.9052550000001</v>
      </c>
      <c r="CA27" s="49">
        <f t="shared" si="61"/>
        <v>0</v>
      </c>
      <c r="CB27" s="49">
        <f t="shared" si="62"/>
        <v>0</v>
      </c>
      <c r="CC27" s="49">
        <f t="shared" si="63"/>
        <v>676.05719999999997</v>
      </c>
      <c r="CD27" s="49">
        <f t="shared" si="64"/>
        <v>0</v>
      </c>
      <c r="CE27" s="49">
        <f t="shared" si="65"/>
        <v>0</v>
      </c>
      <c r="CF27" s="49">
        <f t="shared" si="66"/>
        <v>676.05719999999997</v>
      </c>
      <c r="CG27" s="49">
        <f t="shared" si="67"/>
        <v>0</v>
      </c>
      <c r="CH27" s="49">
        <f t="shared" si="68"/>
        <v>0</v>
      </c>
      <c r="CI27" s="49">
        <f t="shared" si="69"/>
        <v>901.40960000000007</v>
      </c>
      <c r="CJ27" s="49">
        <f t="shared" si="70"/>
        <v>0</v>
      </c>
      <c r="CK27" s="49">
        <f t="shared" si="71"/>
        <v>0</v>
      </c>
      <c r="CL27" s="49">
        <f t="shared" si="72"/>
        <v>901.40960000000007</v>
      </c>
      <c r="CM27" s="49">
        <f t="shared" si="73"/>
        <v>0</v>
      </c>
      <c r="CN27" s="49">
        <f t="shared" si="74"/>
        <v>0</v>
      </c>
      <c r="CO27" s="49">
        <f t="shared" si="75"/>
        <v>8913.2508010000001</v>
      </c>
      <c r="CP27" s="49">
        <f t="shared" si="76"/>
        <v>0</v>
      </c>
      <c r="CQ27" s="49">
        <f t="shared" si="77"/>
        <v>0</v>
      </c>
      <c r="CR27" s="81">
        <f t="shared" si="78"/>
        <v>8913.2508010000001</v>
      </c>
      <c r="CS27" s="80">
        <f t="shared" si="79"/>
        <v>13621.989199000001</v>
      </c>
      <c r="CT27" s="54"/>
      <c r="CU27" s="3" t="str">
        <f t="shared" si="80"/>
        <v>ARS</v>
      </c>
      <c r="CV27" s="3">
        <f>VLOOKUP(CU27,DF:DG,2,0)</f>
        <v>6.9185169999999997E-4</v>
      </c>
      <c r="CW27" s="23">
        <f t="shared" si="81"/>
        <v>15.591044103908001</v>
      </c>
      <c r="CX27" s="23">
        <f t="shared" si="82"/>
        <v>0.64936698692776817</v>
      </c>
      <c r="CY27" s="23">
        <f t="shared" si="83"/>
        <v>2.3386566155862001</v>
      </c>
      <c r="CZ27" s="23">
        <f t="shared" si="84"/>
        <v>2.0872510294106834</v>
      </c>
      <c r="DA27" s="23">
        <f t="shared" si="85"/>
        <v>0.46773132311723997</v>
      </c>
      <c r="DB27" s="23">
        <f t="shared" si="86"/>
        <v>0.62364176415632</v>
      </c>
      <c r="DC27" s="23">
        <f t="shared" si="87"/>
        <v>9.4243963847097891</v>
      </c>
      <c r="DD27" s="34" t="str">
        <f>VLOOKUP(A27,'Billing Report'!H:I,2,FALSE)</f>
        <v>X_BND_AWA_R&amp;F_Loyalty</v>
      </c>
      <c r="DE27" s="34"/>
      <c r="DF27" s="61" t="s">
        <v>352</v>
      </c>
      <c r="DG27" s="62">
        <v>9.1349019500000003E-2</v>
      </c>
      <c r="DH27"/>
      <c r="DI27" s="41"/>
      <c r="DJ27" s="41"/>
    </row>
    <row r="28" spans="1:114" ht="14.5" x14ac:dyDescent="0.35">
      <c r="A28" s="63">
        <v>38679434</v>
      </c>
      <c r="B28" s="3" t="s">
        <v>540</v>
      </c>
      <c r="C28" s="3">
        <v>298538101</v>
      </c>
      <c r="D28" s="3" t="s">
        <v>93</v>
      </c>
      <c r="G28" s="38">
        <v>586297.20000000007</v>
      </c>
      <c r="J28" s="33">
        <f>VLOOKUP($B28,'IMS Commission List'!E:CE,79,0)/100</f>
        <v>0.15</v>
      </c>
      <c r="K28" s="79">
        <f t="shared" si="0"/>
        <v>586297.20000000007</v>
      </c>
      <c r="L28" s="3" t="str">
        <f>VLOOKUP($B28,'IMS Commission List'!E:V,18,0)</f>
        <v>ARS</v>
      </c>
      <c r="M28" s="3">
        <v>1</v>
      </c>
      <c r="N28" s="3" t="str">
        <f>VLOOKUP($B28,'IMS Commission List'!E:T,16,0)</f>
        <v>MX</v>
      </c>
      <c r="O28" s="54">
        <f>VLOOKUP($B28,'IMS Commission List'!E:CF,80,0)</f>
        <v>4.9000000000000002E-2</v>
      </c>
      <c r="P28" s="54">
        <f>VLOOKUP($B28,'IMS Commission List'!E:CG,81,0)</f>
        <v>0.1575</v>
      </c>
      <c r="Q28" s="54">
        <f>VLOOKUP($B28,'IMS Commission List'!E:CP,90,0)</f>
        <v>0.03</v>
      </c>
      <c r="R28" s="54">
        <f>VLOOKUP($B28,'IMS Commission List'!E:CQ,91,0)</f>
        <v>0.04</v>
      </c>
      <c r="S28" s="47">
        <f t="shared" si="1"/>
        <v>0</v>
      </c>
      <c r="T28" s="48">
        <f t="shared" si="2"/>
        <v>0</v>
      </c>
      <c r="U28" s="48">
        <f t="shared" si="3"/>
        <v>586297.20000000007</v>
      </c>
      <c r="V28" s="48">
        <f t="shared" si="4"/>
        <v>0</v>
      </c>
      <c r="W28" s="48">
        <f t="shared" si="5"/>
        <v>0</v>
      </c>
      <c r="X28" s="49">
        <f t="shared" si="6"/>
        <v>586297.20000000007</v>
      </c>
      <c r="Y28" s="49">
        <f t="shared" si="7"/>
        <v>0</v>
      </c>
      <c r="Z28" s="49">
        <f t="shared" si="8"/>
        <v>0</v>
      </c>
      <c r="AA28" s="49">
        <f t="shared" si="9"/>
        <v>24419.278380000003</v>
      </c>
      <c r="AB28" s="49">
        <f t="shared" si="10"/>
        <v>0</v>
      </c>
      <c r="AC28" s="49">
        <f t="shared" si="11"/>
        <v>0</v>
      </c>
      <c r="AD28" s="49">
        <f t="shared" si="12"/>
        <v>24419.278380000003</v>
      </c>
      <c r="AE28" s="49">
        <f t="shared" si="13"/>
        <v>0</v>
      </c>
      <c r="AF28" s="49">
        <f t="shared" si="14"/>
        <v>0</v>
      </c>
      <c r="AG28" s="49">
        <f t="shared" si="15"/>
        <v>87944.58</v>
      </c>
      <c r="AH28" s="49">
        <f t="shared" si="16"/>
        <v>0</v>
      </c>
      <c r="AI28" s="49">
        <f t="shared" si="17"/>
        <v>0</v>
      </c>
      <c r="AJ28" s="49">
        <f t="shared" si="18"/>
        <v>87944.58</v>
      </c>
      <c r="AK28" s="49">
        <f t="shared" si="19"/>
        <v>0</v>
      </c>
      <c r="AL28" s="49">
        <f t="shared" si="20"/>
        <v>0</v>
      </c>
      <c r="AM28" s="49">
        <f t="shared" si="21"/>
        <v>78490.537649999998</v>
      </c>
      <c r="AN28" s="49">
        <f t="shared" si="22"/>
        <v>0</v>
      </c>
      <c r="AO28" s="49">
        <f t="shared" si="23"/>
        <v>0</v>
      </c>
      <c r="AP28" s="49">
        <f t="shared" si="24"/>
        <v>78490.537649999998</v>
      </c>
      <c r="AQ28" s="49">
        <f t="shared" si="25"/>
        <v>0</v>
      </c>
      <c r="AR28" s="49">
        <f t="shared" si="26"/>
        <v>0</v>
      </c>
      <c r="AS28" s="49">
        <f t="shared" si="27"/>
        <v>17588.916000000001</v>
      </c>
      <c r="AT28" s="49">
        <f t="shared" si="28"/>
        <v>0</v>
      </c>
      <c r="AU28" s="49">
        <f t="shared" si="29"/>
        <v>0</v>
      </c>
      <c r="AV28" s="49">
        <f t="shared" si="30"/>
        <v>17588.916000000001</v>
      </c>
      <c r="AW28" s="49">
        <f t="shared" si="31"/>
        <v>0</v>
      </c>
      <c r="AX28" s="49">
        <f t="shared" si="32"/>
        <v>0</v>
      </c>
      <c r="AY28" s="49">
        <f t="shared" si="33"/>
        <v>23451.888000000003</v>
      </c>
      <c r="AZ28" s="49">
        <f t="shared" si="34"/>
        <v>0</v>
      </c>
      <c r="BA28" s="49">
        <f t="shared" si="35"/>
        <v>0</v>
      </c>
      <c r="BB28" s="49">
        <f t="shared" si="36"/>
        <v>23451.888000000003</v>
      </c>
      <c r="BC28" s="49">
        <f t="shared" si="37"/>
        <v>0</v>
      </c>
      <c r="BD28" s="49">
        <f t="shared" si="38"/>
        <v>0</v>
      </c>
      <c r="BE28" s="49">
        <f t="shared" si="39"/>
        <v>231895.20003000001</v>
      </c>
      <c r="BF28" s="49">
        <f t="shared" si="40"/>
        <v>0</v>
      </c>
      <c r="BG28" s="49">
        <f t="shared" si="41"/>
        <v>0</v>
      </c>
      <c r="BH28" s="49">
        <f t="shared" si="42"/>
        <v>231895.20003000001</v>
      </c>
      <c r="BI28" s="49">
        <f t="shared" si="43"/>
        <v>0</v>
      </c>
      <c r="BJ28" s="49">
        <f t="shared" si="44"/>
        <v>0</v>
      </c>
      <c r="BK28" s="49">
        <f t="shared" si="45"/>
        <v>24419.278380000003</v>
      </c>
      <c r="BL28" s="49">
        <f t="shared" si="46"/>
        <v>0</v>
      </c>
      <c r="BM28" s="49">
        <f t="shared" si="47"/>
        <v>0</v>
      </c>
      <c r="BN28" s="49">
        <f t="shared" si="48"/>
        <v>24419.278380000003</v>
      </c>
      <c r="BO28" s="49">
        <f t="shared" si="49"/>
        <v>0</v>
      </c>
      <c r="BP28" s="49">
        <f t="shared" si="50"/>
        <v>0</v>
      </c>
      <c r="BQ28" s="49">
        <f t="shared" si="51"/>
        <v>87944.58</v>
      </c>
      <c r="BR28" s="49">
        <f t="shared" si="52"/>
        <v>0</v>
      </c>
      <c r="BS28" s="49">
        <f t="shared" si="53"/>
        <v>0</v>
      </c>
      <c r="BT28" s="49">
        <f t="shared" si="54"/>
        <v>87944.58</v>
      </c>
      <c r="BU28" s="49">
        <f t="shared" si="55"/>
        <v>0</v>
      </c>
      <c r="BV28" s="49">
        <f t="shared" si="56"/>
        <v>0</v>
      </c>
      <c r="BW28" s="49">
        <f t="shared" si="57"/>
        <v>78490.537649999998</v>
      </c>
      <c r="BX28" s="49">
        <f t="shared" si="58"/>
        <v>0</v>
      </c>
      <c r="BY28" s="49">
        <f t="shared" si="59"/>
        <v>0</v>
      </c>
      <c r="BZ28" s="49">
        <f t="shared" si="60"/>
        <v>78490.537649999998</v>
      </c>
      <c r="CA28" s="49">
        <f t="shared" si="61"/>
        <v>0</v>
      </c>
      <c r="CB28" s="49">
        <f t="shared" si="62"/>
        <v>0</v>
      </c>
      <c r="CC28" s="49">
        <f t="shared" si="63"/>
        <v>17588.916000000001</v>
      </c>
      <c r="CD28" s="49">
        <f t="shared" si="64"/>
        <v>0</v>
      </c>
      <c r="CE28" s="49">
        <f t="shared" si="65"/>
        <v>0</v>
      </c>
      <c r="CF28" s="49">
        <f t="shared" si="66"/>
        <v>17588.916000000001</v>
      </c>
      <c r="CG28" s="49">
        <f t="shared" si="67"/>
        <v>0</v>
      </c>
      <c r="CH28" s="49">
        <f t="shared" si="68"/>
        <v>0</v>
      </c>
      <c r="CI28" s="49">
        <f t="shared" si="69"/>
        <v>23451.888000000003</v>
      </c>
      <c r="CJ28" s="49">
        <f t="shared" si="70"/>
        <v>0</v>
      </c>
      <c r="CK28" s="49">
        <f t="shared" si="71"/>
        <v>0</v>
      </c>
      <c r="CL28" s="49">
        <f t="shared" si="72"/>
        <v>23451.888000000003</v>
      </c>
      <c r="CM28" s="49">
        <f t="shared" si="73"/>
        <v>0</v>
      </c>
      <c r="CN28" s="49">
        <f t="shared" si="74"/>
        <v>0</v>
      </c>
      <c r="CO28" s="49">
        <f t="shared" si="75"/>
        <v>231895.20003000001</v>
      </c>
      <c r="CP28" s="49">
        <f t="shared" si="76"/>
        <v>0</v>
      </c>
      <c r="CQ28" s="49">
        <f t="shared" si="77"/>
        <v>0</v>
      </c>
      <c r="CR28" s="81">
        <f t="shared" si="78"/>
        <v>231895.20003000001</v>
      </c>
      <c r="CS28" s="80">
        <f t="shared" si="79"/>
        <v>354401.99997000006</v>
      </c>
      <c r="CT28" s="54"/>
      <c r="CU28" s="3" t="str">
        <f t="shared" si="80"/>
        <v>ARS</v>
      </c>
      <c r="CV28" s="3">
        <f>VLOOKUP(CU28,DF:DG,2,0)</f>
        <v>6.9185169999999997E-4</v>
      </c>
      <c r="CW28" s="23">
        <f t="shared" si="81"/>
        <v>405.63071452524002</v>
      </c>
      <c r="CX28" s="23">
        <f t="shared" si="82"/>
        <v>16.894519259976249</v>
      </c>
      <c r="CY28" s="23">
        <f t="shared" si="83"/>
        <v>60.844607178785999</v>
      </c>
      <c r="CZ28" s="23">
        <f t="shared" si="84"/>
        <v>54.303811907066503</v>
      </c>
      <c r="DA28" s="23">
        <f t="shared" si="85"/>
        <v>12.1689214357572</v>
      </c>
      <c r="DB28" s="23">
        <f t="shared" si="86"/>
        <v>16.225228581009603</v>
      </c>
      <c r="DC28" s="23">
        <f t="shared" si="87"/>
        <v>245.19362616264448</v>
      </c>
      <c r="DD28" s="34" t="str">
        <f>VLOOKUP(A28,'Billing Report'!H:I,2,FALSE)</f>
        <v>X_AR_BND_AWA_R&amp;F_DCD</v>
      </c>
      <c r="DE28" s="34"/>
      <c r="DF28" s="61" t="s">
        <v>351</v>
      </c>
      <c r="DG28" s="62">
        <v>0.1301506298</v>
      </c>
      <c r="DH28"/>
      <c r="DI28" s="41"/>
      <c r="DJ28" s="41"/>
    </row>
    <row r="29" spans="1:114" ht="14.5" x14ac:dyDescent="0.35">
      <c r="A29" s="63">
        <v>37966605</v>
      </c>
      <c r="B29" s="3" t="s">
        <v>540</v>
      </c>
      <c r="C29" s="3">
        <v>298538101</v>
      </c>
      <c r="D29" s="3" t="s">
        <v>93</v>
      </c>
      <c r="G29" s="38">
        <v>626124.07999999996</v>
      </c>
      <c r="J29" s="33">
        <f>VLOOKUP($B29,'IMS Commission List'!E:CE,79,0)/100</f>
        <v>0.15</v>
      </c>
      <c r="K29" s="79">
        <f t="shared" si="0"/>
        <v>626124.07999999996</v>
      </c>
      <c r="L29" s="3" t="str">
        <f>VLOOKUP($B29,'IMS Commission List'!E:V,18,0)</f>
        <v>ARS</v>
      </c>
      <c r="M29" s="3">
        <v>1</v>
      </c>
      <c r="N29" s="3" t="str">
        <f>VLOOKUP($B29,'IMS Commission List'!E:T,16,0)</f>
        <v>MX</v>
      </c>
      <c r="O29" s="54">
        <f>VLOOKUP($B29,'IMS Commission List'!E:CF,80,0)</f>
        <v>4.9000000000000002E-2</v>
      </c>
      <c r="P29" s="54">
        <f>VLOOKUP($B29,'IMS Commission List'!E:CG,81,0)</f>
        <v>0.1575</v>
      </c>
      <c r="Q29" s="54">
        <f>VLOOKUP($B29,'IMS Commission List'!E:CP,90,0)</f>
        <v>0.03</v>
      </c>
      <c r="R29" s="54">
        <f>VLOOKUP($B29,'IMS Commission List'!E:CQ,91,0)</f>
        <v>0.04</v>
      </c>
      <c r="S29" s="47">
        <f t="shared" si="1"/>
        <v>0</v>
      </c>
      <c r="T29" s="48">
        <f t="shared" si="2"/>
        <v>0</v>
      </c>
      <c r="U29" s="48">
        <f t="shared" si="3"/>
        <v>626124.07999999996</v>
      </c>
      <c r="V29" s="48">
        <f t="shared" si="4"/>
        <v>0</v>
      </c>
      <c r="W29" s="48">
        <f t="shared" si="5"/>
        <v>0</v>
      </c>
      <c r="X29" s="49">
        <f t="shared" si="6"/>
        <v>626124.07999999996</v>
      </c>
      <c r="Y29" s="49">
        <f t="shared" si="7"/>
        <v>0</v>
      </c>
      <c r="Z29" s="49">
        <f t="shared" si="8"/>
        <v>0</v>
      </c>
      <c r="AA29" s="49">
        <f t="shared" si="9"/>
        <v>26078.067931999998</v>
      </c>
      <c r="AB29" s="49">
        <f t="shared" si="10"/>
        <v>0</v>
      </c>
      <c r="AC29" s="49">
        <f t="shared" si="11"/>
        <v>0</v>
      </c>
      <c r="AD29" s="49">
        <f t="shared" si="12"/>
        <v>26078.067931999998</v>
      </c>
      <c r="AE29" s="49">
        <f t="shared" si="13"/>
        <v>0</v>
      </c>
      <c r="AF29" s="49">
        <f t="shared" si="14"/>
        <v>0</v>
      </c>
      <c r="AG29" s="49">
        <f t="shared" si="15"/>
        <v>93918.611999999994</v>
      </c>
      <c r="AH29" s="49">
        <f t="shared" si="16"/>
        <v>0</v>
      </c>
      <c r="AI29" s="49">
        <f t="shared" si="17"/>
        <v>0</v>
      </c>
      <c r="AJ29" s="49">
        <f t="shared" si="18"/>
        <v>93918.611999999994</v>
      </c>
      <c r="AK29" s="49">
        <f t="shared" si="19"/>
        <v>0</v>
      </c>
      <c r="AL29" s="49">
        <f t="shared" si="20"/>
        <v>0</v>
      </c>
      <c r="AM29" s="49">
        <f t="shared" si="21"/>
        <v>83822.361210000003</v>
      </c>
      <c r="AN29" s="49">
        <f t="shared" si="22"/>
        <v>0</v>
      </c>
      <c r="AO29" s="49">
        <f t="shared" si="23"/>
        <v>0</v>
      </c>
      <c r="AP29" s="49">
        <f t="shared" si="24"/>
        <v>83822.361210000003</v>
      </c>
      <c r="AQ29" s="49">
        <f t="shared" si="25"/>
        <v>0</v>
      </c>
      <c r="AR29" s="49">
        <f t="shared" si="26"/>
        <v>0</v>
      </c>
      <c r="AS29" s="49">
        <f t="shared" si="27"/>
        <v>18783.722399999999</v>
      </c>
      <c r="AT29" s="49">
        <f t="shared" si="28"/>
        <v>0</v>
      </c>
      <c r="AU29" s="49">
        <f t="shared" si="29"/>
        <v>0</v>
      </c>
      <c r="AV29" s="49">
        <f t="shared" si="30"/>
        <v>18783.722399999999</v>
      </c>
      <c r="AW29" s="49">
        <f t="shared" si="31"/>
        <v>0</v>
      </c>
      <c r="AX29" s="49">
        <f t="shared" si="32"/>
        <v>0</v>
      </c>
      <c r="AY29" s="49">
        <f t="shared" si="33"/>
        <v>25044.963199999998</v>
      </c>
      <c r="AZ29" s="49">
        <f t="shared" si="34"/>
        <v>0</v>
      </c>
      <c r="BA29" s="49">
        <f t="shared" si="35"/>
        <v>0</v>
      </c>
      <c r="BB29" s="49">
        <f t="shared" si="36"/>
        <v>25044.963199999998</v>
      </c>
      <c r="BC29" s="49">
        <f t="shared" si="37"/>
        <v>0</v>
      </c>
      <c r="BD29" s="49">
        <f t="shared" si="38"/>
        <v>0</v>
      </c>
      <c r="BE29" s="49">
        <f t="shared" si="39"/>
        <v>247647.726742</v>
      </c>
      <c r="BF29" s="49">
        <f t="shared" si="40"/>
        <v>0</v>
      </c>
      <c r="BG29" s="49">
        <f t="shared" si="41"/>
        <v>0</v>
      </c>
      <c r="BH29" s="49">
        <f t="shared" si="42"/>
        <v>247647.726742</v>
      </c>
      <c r="BI29" s="49">
        <f t="shared" si="43"/>
        <v>0</v>
      </c>
      <c r="BJ29" s="49">
        <f t="shared" si="44"/>
        <v>0</v>
      </c>
      <c r="BK29" s="49">
        <f t="shared" si="45"/>
        <v>26078.067931999998</v>
      </c>
      <c r="BL29" s="49">
        <f t="shared" si="46"/>
        <v>0</v>
      </c>
      <c r="BM29" s="49">
        <f t="shared" si="47"/>
        <v>0</v>
      </c>
      <c r="BN29" s="49">
        <f t="shared" si="48"/>
        <v>26078.067931999998</v>
      </c>
      <c r="BO29" s="49">
        <f t="shared" si="49"/>
        <v>0</v>
      </c>
      <c r="BP29" s="49">
        <f t="shared" si="50"/>
        <v>0</v>
      </c>
      <c r="BQ29" s="49">
        <f t="shared" si="51"/>
        <v>93918.611999999994</v>
      </c>
      <c r="BR29" s="49">
        <f t="shared" si="52"/>
        <v>0</v>
      </c>
      <c r="BS29" s="49">
        <f t="shared" si="53"/>
        <v>0</v>
      </c>
      <c r="BT29" s="49">
        <f t="shared" si="54"/>
        <v>93918.611999999994</v>
      </c>
      <c r="BU29" s="49">
        <f t="shared" si="55"/>
        <v>0</v>
      </c>
      <c r="BV29" s="49">
        <f t="shared" si="56"/>
        <v>0</v>
      </c>
      <c r="BW29" s="49">
        <f t="shared" si="57"/>
        <v>83822.361210000003</v>
      </c>
      <c r="BX29" s="49">
        <f t="shared" si="58"/>
        <v>0</v>
      </c>
      <c r="BY29" s="49">
        <f t="shared" si="59"/>
        <v>0</v>
      </c>
      <c r="BZ29" s="49">
        <f t="shared" si="60"/>
        <v>83822.361210000003</v>
      </c>
      <c r="CA29" s="49">
        <f t="shared" si="61"/>
        <v>0</v>
      </c>
      <c r="CB29" s="49">
        <f t="shared" si="62"/>
        <v>0</v>
      </c>
      <c r="CC29" s="49">
        <f t="shared" si="63"/>
        <v>18783.722399999999</v>
      </c>
      <c r="CD29" s="49">
        <f t="shared" si="64"/>
        <v>0</v>
      </c>
      <c r="CE29" s="49">
        <f t="shared" si="65"/>
        <v>0</v>
      </c>
      <c r="CF29" s="49">
        <f t="shared" si="66"/>
        <v>18783.722399999999</v>
      </c>
      <c r="CG29" s="49">
        <f t="shared" si="67"/>
        <v>0</v>
      </c>
      <c r="CH29" s="49">
        <f t="shared" si="68"/>
        <v>0</v>
      </c>
      <c r="CI29" s="49">
        <f t="shared" si="69"/>
        <v>25044.963199999998</v>
      </c>
      <c r="CJ29" s="49">
        <f t="shared" si="70"/>
        <v>0</v>
      </c>
      <c r="CK29" s="49">
        <f t="shared" si="71"/>
        <v>0</v>
      </c>
      <c r="CL29" s="49">
        <f t="shared" si="72"/>
        <v>25044.963199999998</v>
      </c>
      <c r="CM29" s="49">
        <f t="shared" si="73"/>
        <v>0</v>
      </c>
      <c r="CN29" s="49">
        <f t="shared" si="74"/>
        <v>0</v>
      </c>
      <c r="CO29" s="49">
        <f t="shared" si="75"/>
        <v>247647.726742</v>
      </c>
      <c r="CP29" s="49">
        <f t="shared" si="76"/>
        <v>0</v>
      </c>
      <c r="CQ29" s="49">
        <f t="shared" si="77"/>
        <v>0</v>
      </c>
      <c r="CR29" s="81">
        <f t="shared" si="78"/>
        <v>247647.726742</v>
      </c>
      <c r="CS29" s="80">
        <f t="shared" si="79"/>
        <v>378476.35325799999</v>
      </c>
      <c r="CT29" s="54"/>
      <c r="CU29" s="3" t="str">
        <f t="shared" si="80"/>
        <v>ARS</v>
      </c>
      <c r="CV29" s="3">
        <f>VLOOKUP(CU29,DF:DG,2,0)</f>
        <v>6.9185169999999997E-4</v>
      </c>
      <c r="CW29" s="23">
        <f t="shared" si="81"/>
        <v>433.18500915893594</v>
      </c>
      <c r="CX29" s="23">
        <f t="shared" si="82"/>
        <v>18.042155631469683</v>
      </c>
      <c r="CY29" s="23">
        <f t="shared" si="83"/>
        <v>64.977751373840391</v>
      </c>
      <c r="CZ29" s="23">
        <f t="shared" si="84"/>
        <v>57.992643101152559</v>
      </c>
      <c r="DA29" s="23">
        <f t="shared" si="85"/>
        <v>12.995550274768078</v>
      </c>
      <c r="DB29" s="23">
        <f t="shared" si="86"/>
        <v>17.327400366357438</v>
      </c>
      <c r="DC29" s="23">
        <f t="shared" si="87"/>
        <v>261.84950841134781</v>
      </c>
      <c r="DD29" s="34" t="str">
        <f>VLOOKUP(A29,'Billing Report'!H:I,2,FALSE)</f>
        <v>X_AR_BND_AWA_R&amp;F_AO</v>
      </c>
      <c r="DE29" s="34"/>
      <c r="DF29" s="61" t="s">
        <v>350</v>
      </c>
      <c r="DG29" s="62">
        <v>0.1280604035</v>
      </c>
      <c r="DH29"/>
      <c r="DI29" s="41"/>
      <c r="DJ29" s="41"/>
    </row>
    <row r="30" spans="1:114" ht="14.5" x14ac:dyDescent="0.35">
      <c r="A30" s="63">
        <v>40915315</v>
      </c>
      <c r="B30" s="3" t="s">
        <v>604</v>
      </c>
      <c r="C30" s="3">
        <v>299384801</v>
      </c>
      <c r="D30" s="3" t="s">
        <v>93</v>
      </c>
      <c r="G30" s="38">
        <v>15000</v>
      </c>
      <c r="J30" s="33">
        <f>VLOOKUP($B30,'IMS Commission List'!E:CE,79,0)/100</f>
        <v>0.15</v>
      </c>
      <c r="K30" s="79">
        <f t="shared" si="0"/>
        <v>15000</v>
      </c>
      <c r="L30" s="3" t="str">
        <f>VLOOKUP($B30,'IMS Commission List'!E:V,18,0)</f>
        <v>ARS</v>
      </c>
      <c r="M30" s="3">
        <v>1</v>
      </c>
      <c r="N30" s="3" t="str">
        <f>VLOOKUP($B30,'IMS Commission List'!E:T,16,0)</f>
        <v>MX</v>
      </c>
      <c r="O30" s="54">
        <f>VLOOKUP($B30,'IMS Commission List'!E:CF,80,0)</f>
        <v>4.9000000000000002E-2</v>
      </c>
      <c r="P30" s="54">
        <f>VLOOKUP($B30,'IMS Commission List'!E:CG,81,0)</f>
        <v>0.1575</v>
      </c>
      <c r="Q30" s="54">
        <f>VLOOKUP($B30,'IMS Commission List'!E:CP,90,0)</f>
        <v>0.03</v>
      </c>
      <c r="R30" s="54">
        <f>VLOOKUP($B30,'IMS Commission List'!E:CQ,91,0)</f>
        <v>0.04</v>
      </c>
      <c r="S30" s="47">
        <f t="shared" si="1"/>
        <v>0</v>
      </c>
      <c r="T30" s="48">
        <f t="shared" si="2"/>
        <v>0</v>
      </c>
      <c r="U30" s="48">
        <f t="shared" si="3"/>
        <v>15000</v>
      </c>
      <c r="V30" s="48">
        <f t="shared" si="4"/>
        <v>0</v>
      </c>
      <c r="W30" s="48">
        <f t="shared" si="5"/>
        <v>0</v>
      </c>
      <c r="X30" s="49">
        <f t="shared" si="6"/>
        <v>15000</v>
      </c>
      <c r="Y30" s="49">
        <f t="shared" si="7"/>
        <v>0</v>
      </c>
      <c r="Z30" s="49">
        <f t="shared" si="8"/>
        <v>0</v>
      </c>
      <c r="AA30" s="49">
        <f t="shared" si="9"/>
        <v>624.75</v>
      </c>
      <c r="AB30" s="49">
        <f t="shared" si="10"/>
        <v>0</v>
      </c>
      <c r="AC30" s="49">
        <f t="shared" si="11"/>
        <v>0</v>
      </c>
      <c r="AD30" s="49">
        <f t="shared" si="12"/>
        <v>624.75</v>
      </c>
      <c r="AE30" s="49">
        <f t="shared" si="13"/>
        <v>0</v>
      </c>
      <c r="AF30" s="49">
        <f t="shared" si="14"/>
        <v>0</v>
      </c>
      <c r="AG30" s="49">
        <f t="shared" si="15"/>
        <v>2250</v>
      </c>
      <c r="AH30" s="49">
        <f t="shared" si="16"/>
        <v>0</v>
      </c>
      <c r="AI30" s="49">
        <f t="shared" si="17"/>
        <v>0</v>
      </c>
      <c r="AJ30" s="49">
        <f t="shared" si="18"/>
        <v>2250</v>
      </c>
      <c r="AK30" s="49">
        <f t="shared" si="19"/>
        <v>0</v>
      </c>
      <c r="AL30" s="49">
        <f t="shared" si="20"/>
        <v>0</v>
      </c>
      <c r="AM30" s="49">
        <f t="shared" si="21"/>
        <v>2008.125</v>
      </c>
      <c r="AN30" s="49">
        <f t="shared" si="22"/>
        <v>0</v>
      </c>
      <c r="AO30" s="49">
        <f t="shared" si="23"/>
        <v>0</v>
      </c>
      <c r="AP30" s="49">
        <f t="shared" si="24"/>
        <v>2008.125</v>
      </c>
      <c r="AQ30" s="49">
        <f t="shared" si="25"/>
        <v>0</v>
      </c>
      <c r="AR30" s="49">
        <f t="shared" si="26"/>
        <v>0</v>
      </c>
      <c r="AS30" s="49">
        <f t="shared" si="27"/>
        <v>450</v>
      </c>
      <c r="AT30" s="49">
        <f t="shared" si="28"/>
        <v>0</v>
      </c>
      <c r="AU30" s="49">
        <f t="shared" si="29"/>
        <v>0</v>
      </c>
      <c r="AV30" s="49">
        <f t="shared" si="30"/>
        <v>450</v>
      </c>
      <c r="AW30" s="49">
        <f t="shared" si="31"/>
        <v>0</v>
      </c>
      <c r="AX30" s="49">
        <f t="shared" si="32"/>
        <v>0</v>
      </c>
      <c r="AY30" s="49">
        <f t="shared" si="33"/>
        <v>600</v>
      </c>
      <c r="AZ30" s="49">
        <f t="shared" si="34"/>
        <v>0</v>
      </c>
      <c r="BA30" s="49">
        <f t="shared" si="35"/>
        <v>0</v>
      </c>
      <c r="BB30" s="49">
        <f t="shared" si="36"/>
        <v>600</v>
      </c>
      <c r="BC30" s="49">
        <f t="shared" si="37"/>
        <v>0</v>
      </c>
      <c r="BD30" s="49">
        <f t="shared" si="38"/>
        <v>0</v>
      </c>
      <c r="BE30" s="49">
        <f t="shared" si="39"/>
        <v>5932.875</v>
      </c>
      <c r="BF30" s="49">
        <f t="shared" si="40"/>
        <v>0</v>
      </c>
      <c r="BG30" s="49">
        <f t="shared" si="41"/>
        <v>0</v>
      </c>
      <c r="BH30" s="49">
        <f t="shared" si="42"/>
        <v>5932.875</v>
      </c>
      <c r="BI30" s="49">
        <f t="shared" si="43"/>
        <v>0</v>
      </c>
      <c r="BJ30" s="49">
        <f t="shared" si="44"/>
        <v>0</v>
      </c>
      <c r="BK30" s="49">
        <f t="shared" si="45"/>
        <v>624.75</v>
      </c>
      <c r="BL30" s="49">
        <f t="shared" si="46"/>
        <v>0</v>
      </c>
      <c r="BM30" s="49">
        <f t="shared" si="47"/>
        <v>0</v>
      </c>
      <c r="BN30" s="49">
        <f t="shared" si="48"/>
        <v>624.75</v>
      </c>
      <c r="BO30" s="49">
        <f t="shared" si="49"/>
        <v>0</v>
      </c>
      <c r="BP30" s="49">
        <f t="shared" si="50"/>
        <v>0</v>
      </c>
      <c r="BQ30" s="49">
        <f t="shared" si="51"/>
        <v>2250</v>
      </c>
      <c r="BR30" s="49">
        <f t="shared" si="52"/>
        <v>0</v>
      </c>
      <c r="BS30" s="49">
        <f t="shared" si="53"/>
        <v>0</v>
      </c>
      <c r="BT30" s="49">
        <f t="shared" si="54"/>
        <v>2250</v>
      </c>
      <c r="BU30" s="49">
        <f t="shared" si="55"/>
        <v>0</v>
      </c>
      <c r="BV30" s="49">
        <f t="shared" si="56"/>
        <v>0</v>
      </c>
      <c r="BW30" s="49">
        <f t="shared" si="57"/>
        <v>2008.125</v>
      </c>
      <c r="BX30" s="49">
        <f t="shared" si="58"/>
        <v>0</v>
      </c>
      <c r="BY30" s="49">
        <f t="shared" si="59"/>
        <v>0</v>
      </c>
      <c r="BZ30" s="49">
        <f t="shared" si="60"/>
        <v>2008.125</v>
      </c>
      <c r="CA30" s="49">
        <f t="shared" si="61"/>
        <v>0</v>
      </c>
      <c r="CB30" s="49">
        <f t="shared" si="62"/>
        <v>0</v>
      </c>
      <c r="CC30" s="49">
        <f t="shared" si="63"/>
        <v>450</v>
      </c>
      <c r="CD30" s="49">
        <f t="shared" si="64"/>
        <v>0</v>
      </c>
      <c r="CE30" s="49">
        <f t="shared" si="65"/>
        <v>0</v>
      </c>
      <c r="CF30" s="49">
        <f t="shared" si="66"/>
        <v>450</v>
      </c>
      <c r="CG30" s="49">
        <f t="shared" si="67"/>
        <v>0</v>
      </c>
      <c r="CH30" s="49">
        <f t="shared" si="68"/>
        <v>0</v>
      </c>
      <c r="CI30" s="49">
        <f t="shared" si="69"/>
        <v>600</v>
      </c>
      <c r="CJ30" s="49">
        <f t="shared" si="70"/>
        <v>0</v>
      </c>
      <c r="CK30" s="49">
        <f t="shared" si="71"/>
        <v>0</v>
      </c>
      <c r="CL30" s="49">
        <f t="shared" si="72"/>
        <v>600</v>
      </c>
      <c r="CM30" s="49">
        <f t="shared" si="73"/>
        <v>0</v>
      </c>
      <c r="CN30" s="49">
        <f t="shared" si="74"/>
        <v>0</v>
      </c>
      <c r="CO30" s="49">
        <f t="shared" si="75"/>
        <v>5932.875</v>
      </c>
      <c r="CP30" s="49">
        <f t="shared" si="76"/>
        <v>0</v>
      </c>
      <c r="CQ30" s="49">
        <f t="shared" si="77"/>
        <v>0</v>
      </c>
      <c r="CR30" s="81">
        <f t="shared" si="78"/>
        <v>5932.875</v>
      </c>
      <c r="CS30" s="80">
        <f t="shared" si="79"/>
        <v>9067.125</v>
      </c>
      <c r="CT30" s="54"/>
      <c r="CU30" s="3" t="str">
        <f t="shared" si="80"/>
        <v>ARS</v>
      </c>
      <c r="CV30" s="3">
        <f>VLOOKUP(CU30,DF:DG,2,0)</f>
        <v>6.9185169999999997E-4</v>
      </c>
      <c r="CW30" s="23">
        <f t="shared" si="81"/>
        <v>10.3777755</v>
      </c>
      <c r="CX30" s="23">
        <f t="shared" si="82"/>
        <v>0.43223434957499995</v>
      </c>
      <c r="CY30" s="23">
        <f t="shared" si="83"/>
        <v>1.5566663249999999</v>
      </c>
      <c r="CZ30" s="23">
        <f t="shared" si="84"/>
        <v>1.3893246950625</v>
      </c>
      <c r="DA30" s="23">
        <f t="shared" si="85"/>
        <v>0.31133326499999997</v>
      </c>
      <c r="DB30" s="23">
        <f t="shared" si="86"/>
        <v>0.41511102</v>
      </c>
      <c r="DC30" s="23">
        <f t="shared" si="87"/>
        <v>6.2731058453624993</v>
      </c>
      <c r="DD30" s="34" t="str">
        <f>VLOOKUP(A30,'Billing Report'!H:I,2,FALSE)</f>
        <v>GKT_Balanz_Academy_9deFeb</v>
      </c>
      <c r="DE30" s="34"/>
      <c r="DF30" s="61" t="s">
        <v>349</v>
      </c>
      <c r="DG30" s="62">
        <v>0.15799298349999999</v>
      </c>
      <c r="DH30"/>
      <c r="DI30" s="41"/>
      <c r="DJ30" s="41"/>
    </row>
    <row r="31" spans="1:114" ht="14.5" x14ac:dyDescent="0.35">
      <c r="A31" s="63">
        <v>40915021</v>
      </c>
      <c r="B31" s="3" t="s">
        <v>604</v>
      </c>
      <c r="C31" s="3">
        <v>299384801</v>
      </c>
      <c r="D31" s="3" t="s">
        <v>93</v>
      </c>
      <c r="G31" s="38">
        <v>350.57</v>
      </c>
      <c r="J31" s="33">
        <f>VLOOKUP($B31,'IMS Commission List'!E:CE,79,0)/100</f>
        <v>0.15</v>
      </c>
      <c r="K31" s="79">
        <f t="shared" si="0"/>
        <v>350.57</v>
      </c>
      <c r="L31" s="3" t="str">
        <f>VLOOKUP($B31,'IMS Commission List'!E:V,18,0)</f>
        <v>ARS</v>
      </c>
      <c r="M31" s="3">
        <v>1</v>
      </c>
      <c r="N31" s="3" t="str">
        <f>VLOOKUP($B31,'IMS Commission List'!E:T,16,0)</f>
        <v>MX</v>
      </c>
      <c r="O31" s="54">
        <f>VLOOKUP($B31,'IMS Commission List'!E:CF,80,0)</f>
        <v>4.9000000000000002E-2</v>
      </c>
      <c r="P31" s="54">
        <f>VLOOKUP($B31,'IMS Commission List'!E:CG,81,0)</f>
        <v>0.1575</v>
      </c>
      <c r="Q31" s="54">
        <f>VLOOKUP($B31,'IMS Commission List'!E:CP,90,0)</f>
        <v>0.03</v>
      </c>
      <c r="R31" s="54">
        <f>VLOOKUP($B31,'IMS Commission List'!E:CQ,91,0)</f>
        <v>0.04</v>
      </c>
      <c r="S31" s="47">
        <f t="shared" si="1"/>
        <v>0</v>
      </c>
      <c r="T31" s="48">
        <f t="shared" si="2"/>
        <v>0</v>
      </c>
      <c r="U31" s="48">
        <f t="shared" si="3"/>
        <v>350.57</v>
      </c>
      <c r="V31" s="48">
        <f t="shared" si="4"/>
        <v>0</v>
      </c>
      <c r="W31" s="48">
        <f t="shared" si="5"/>
        <v>0</v>
      </c>
      <c r="X31" s="49">
        <f t="shared" si="6"/>
        <v>350.57</v>
      </c>
      <c r="Y31" s="49">
        <f t="shared" si="7"/>
        <v>0</v>
      </c>
      <c r="Z31" s="49">
        <f t="shared" si="8"/>
        <v>0</v>
      </c>
      <c r="AA31" s="49">
        <f t="shared" si="9"/>
        <v>14.601240499999999</v>
      </c>
      <c r="AB31" s="49">
        <f t="shared" si="10"/>
        <v>0</v>
      </c>
      <c r="AC31" s="49">
        <f t="shared" si="11"/>
        <v>0</v>
      </c>
      <c r="AD31" s="49">
        <f t="shared" si="12"/>
        <v>14.601240499999999</v>
      </c>
      <c r="AE31" s="49">
        <f t="shared" si="13"/>
        <v>0</v>
      </c>
      <c r="AF31" s="49">
        <f t="shared" si="14"/>
        <v>0</v>
      </c>
      <c r="AG31" s="49">
        <f t="shared" si="15"/>
        <v>52.585499999999996</v>
      </c>
      <c r="AH31" s="49">
        <f t="shared" si="16"/>
        <v>0</v>
      </c>
      <c r="AI31" s="49">
        <f t="shared" si="17"/>
        <v>0</v>
      </c>
      <c r="AJ31" s="49">
        <f t="shared" si="18"/>
        <v>52.585499999999996</v>
      </c>
      <c r="AK31" s="49">
        <f t="shared" si="19"/>
        <v>0</v>
      </c>
      <c r="AL31" s="49">
        <f t="shared" si="20"/>
        <v>0</v>
      </c>
      <c r="AM31" s="49">
        <f t="shared" si="21"/>
        <v>46.932558749999998</v>
      </c>
      <c r="AN31" s="49">
        <f t="shared" si="22"/>
        <v>0</v>
      </c>
      <c r="AO31" s="49">
        <f t="shared" si="23"/>
        <v>0</v>
      </c>
      <c r="AP31" s="49">
        <f t="shared" si="24"/>
        <v>46.932558749999998</v>
      </c>
      <c r="AQ31" s="49">
        <f t="shared" si="25"/>
        <v>0</v>
      </c>
      <c r="AR31" s="49">
        <f t="shared" si="26"/>
        <v>0</v>
      </c>
      <c r="AS31" s="49">
        <f t="shared" si="27"/>
        <v>10.517099999999999</v>
      </c>
      <c r="AT31" s="49">
        <f t="shared" si="28"/>
        <v>0</v>
      </c>
      <c r="AU31" s="49">
        <f t="shared" si="29"/>
        <v>0</v>
      </c>
      <c r="AV31" s="49">
        <f t="shared" si="30"/>
        <v>10.517099999999999</v>
      </c>
      <c r="AW31" s="49">
        <f t="shared" si="31"/>
        <v>0</v>
      </c>
      <c r="AX31" s="49">
        <f t="shared" si="32"/>
        <v>0</v>
      </c>
      <c r="AY31" s="49">
        <f t="shared" si="33"/>
        <v>14.0228</v>
      </c>
      <c r="AZ31" s="49">
        <f t="shared" si="34"/>
        <v>0</v>
      </c>
      <c r="BA31" s="49">
        <f t="shared" si="35"/>
        <v>0</v>
      </c>
      <c r="BB31" s="49">
        <f t="shared" si="36"/>
        <v>14.0228</v>
      </c>
      <c r="BC31" s="49">
        <f t="shared" si="37"/>
        <v>0</v>
      </c>
      <c r="BD31" s="49">
        <f t="shared" si="38"/>
        <v>0</v>
      </c>
      <c r="BE31" s="49">
        <f t="shared" si="39"/>
        <v>138.65919925</v>
      </c>
      <c r="BF31" s="49">
        <f t="shared" si="40"/>
        <v>0</v>
      </c>
      <c r="BG31" s="49">
        <f t="shared" si="41"/>
        <v>0</v>
      </c>
      <c r="BH31" s="49">
        <f t="shared" si="42"/>
        <v>138.65919925</v>
      </c>
      <c r="BI31" s="49">
        <f t="shared" si="43"/>
        <v>0</v>
      </c>
      <c r="BJ31" s="49">
        <f t="shared" si="44"/>
        <v>0</v>
      </c>
      <c r="BK31" s="49">
        <f t="shared" si="45"/>
        <v>14.601240499999999</v>
      </c>
      <c r="BL31" s="49">
        <f t="shared" si="46"/>
        <v>0</v>
      </c>
      <c r="BM31" s="49">
        <f t="shared" si="47"/>
        <v>0</v>
      </c>
      <c r="BN31" s="49">
        <f t="shared" si="48"/>
        <v>14.601240499999999</v>
      </c>
      <c r="BO31" s="49">
        <f t="shared" si="49"/>
        <v>0</v>
      </c>
      <c r="BP31" s="49">
        <f t="shared" si="50"/>
        <v>0</v>
      </c>
      <c r="BQ31" s="49">
        <f t="shared" si="51"/>
        <v>52.585499999999996</v>
      </c>
      <c r="BR31" s="49">
        <f t="shared" si="52"/>
        <v>0</v>
      </c>
      <c r="BS31" s="49">
        <f t="shared" si="53"/>
        <v>0</v>
      </c>
      <c r="BT31" s="49">
        <f t="shared" si="54"/>
        <v>52.585499999999996</v>
      </c>
      <c r="BU31" s="49">
        <f t="shared" si="55"/>
        <v>0</v>
      </c>
      <c r="BV31" s="49">
        <f t="shared" si="56"/>
        <v>0</v>
      </c>
      <c r="BW31" s="49">
        <f t="shared" si="57"/>
        <v>46.932558749999998</v>
      </c>
      <c r="BX31" s="49">
        <f t="shared" si="58"/>
        <v>0</v>
      </c>
      <c r="BY31" s="49">
        <f t="shared" si="59"/>
        <v>0</v>
      </c>
      <c r="BZ31" s="49">
        <f t="shared" si="60"/>
        <v>46.932558749999998</v>
      </c>
      <c r="CA31" s="49">
        <f t="shared" si="61"/>
        <v>0</v>
      </c>
      <c r="CB31" s="49">
        <f t="shared" si="62"/>
        <v>0</v>
      </c>
      <c r="CC31" s="49">
        <f t="shared" si="63"/>
        <v>10.517099999999999</v>
      </c>
      <c r="CD31" s="49">
        <f t="shared" si="64"/>
        <v>0</v>
      </c>
      <c r="CE31" s="49">
        <f t="shared" si="65"/>
        <v>0</v>
      </c>
      <c r="CF31" s="49">
        <f t="shared" si="66"/>
        <v>10.517099999999999</v>
      </c>
      <c r="CG31" s="49">
        <f t="shared" si="67"/>
        <v>0</v>
      </c>
      <c r="CH31" s="49">
        <f t="shared" si="68"/>
        <v>0</v>
      </c>
      <c r="CI31" s="49">
        <f t="shared" si="69"/>
        <v>14.0228</v>
      </c>
      <c r="CJ31" s="49">
        <f t="shared" si="70"/>
        <v>0</v>
      </c>
      <c r="CK31" s="49">
        <f t="shared" si="71"/>
        <v>0</v>
      </c>
      <c r="CL31" s="49">
        <f t="shared" si="72"/>
        <v>14.0228</v>
      </c>
      <c r="CM31" s="49">
        <f t="shared" si="73"/>
        <v>0</v>
      </c>
      <c r="CN31" s="49">
        <f t="shared" si="74"/>
        <v>0</v>
      </c>
      <c r="CO31" s="49">
        <f t="shared" si="75"/>
        <v>138.65919925</v>
      </c>
      <c r="CP31" s="49">
        <f t="shared" si="76"/>
        <v>0</v>
      </c>
      <c r="CQ31" s="49">
        <f t="shared" si="77"/>
        <v>0</v>
      </c>
      <c r="CR31" s="81">
        <f t="shared" si="78"/>
        <v>138.65919925</v>
      </c>
      <c r="CS31" s="80">
        <f t="shared" si="79"/>
        <v>211.91080074999999</v>
      </c>
      <c r="CT31" s="54"/>
      <c r="CU31" s="3" t="str">
        <f t="shared" si="80"/>
        <v>ARS</v>
      </c>
      <c r="CV31" s="3">
        <f>VLOOKUP(CU31,DF:DG,2,0)</f>
        <v>6.9185169999999997E-4</v>
      </c>
      <c r="CW31" s="23">
        <f t="shared" si="81"/>
        <v>0.24254245046899997</v>
      </c>
      <c r="CX31" s="23">
        <f t="shared" si="82"/>
        <v>1.0101893062033849E-2</v>
      </c>
      <c r="CY31" s="23">
        <f t="shared" si="83"/>
        <v>3.6381367570349994E-2</v>
      </c>
      <c r="CZ31" s="23">
        <f t="shared" si="84"/>
        <v>3.247037055653737E-2</v>
      </c>
      <c r="DA31" s="23">
        <f t="shared" si="85"/>
        <v>7.276273514069999E-3</v>
      </c>
      <c r="DB31" s="23">
        <f t="shared" si="86"/>
        <v>9.7016980187600004E-3</v>
      </c>
      <c r="DC31" s="23">
        <f t="shared" si="87"/>
        <v>0.14661084774724875</v>
      </c>
      <c r="DD31" s="34" t="str">
        <f>VLOOKUP(A31,'Billing Report'!H:I,2,FALSE)</f>
        <v>GKT_Balanz_Academy_9deFebrero</v>
      </c>
      <c r="DE31" s="34"/>
      <c r="DF31" s="61" t="s">
        <v>348</v>
      </c>
      <c r="DG31" s="62">
        <v>3.1230609999999999E-3</v>
      </c>
      <c r="DH31"/>
      <c r="DI31" s="41"/>
      <c r="DJ31" s="41"/>
    </row>
    <row r="32" spans="1:114" ht="14.5" x14ac:dyDescent="0.35">
      <c r="A32" s="63">
        <v>40886727</v>
      </c>
      <c r="B32" s="3" t="s">
        <v>604</v>
      </c>
      <c r="C32" s="3">
        <v>299384801</v>
      </c>
      <c r="D32" s="3" t="s">
        <v>93</v>
      </c>
      <c r="G32" s="38">
        <v>66576.42</v>
      </c>
      <c r="J32" s="33">
        <f>VLOOKUP($B32,'IMS Commission List'!E:CE,79,0)/100</f>
        <v>0.15</v>
      </c>
      <c r="K32" s="79">
        <f t="shared" si="0"/>
        <v>66576.42</v>
      </c>
      <c r="L32" s="3" t="str">
        <f>VLOOKUP($B32,'IMS Commission List'!E:V,18,0)</f>
        <v>ARS</v>
      </c>
      <c r="M32" s="3">
        <v>1</v>
      </c>
      <c r="N32" s="3" t="str">
        <f>VLOOKUP($B32,'IMS Commission List'!E:T,16,0)</f>
        <v>MX</v>
      </c>
      <c r="O32" s="54">
        <f>VLOOKUP($B32,'IMS Commission List'!E:CF,80,0)</f>
        <v>4.9000000000000002E-2</v>
      </c>
      <c r="P32" s="54">
        <f>VLOOKUP($B32,'IMS Commission List'!E:CG,81,0)</f>
        <v>0.1575</v>
      </c>
      <c r="Q32" s="54">
        <f>VLOOKUP($B32,'IMS Commission List'!E:CP,90,0)</f>
        <v>0.03</v>
      </c>
      <c r="R32" s="54">
        <f>VLOOKUP($B32,'IMS Commission List'!E:CQ,91,0)</f>
        <v>0.04</v>
      </c>
      <c r="S32" s="47">
        <f t="shared" si="1"/>
        <v>0</v>
      </c>
      <c r="T32" s="48">
        <f t="shared" si="2"/>
        <v>0</v>
      </c>
      <c r="U32" s="48">
        <f t="shared" si="3"/>
        <v>66576.42</v>
      </c>
      <c r="V32" s="48">
        <f t="shared" si="4"/>
        <v>0</v>
      </c>
      <c r="W32" s="48">
        <f t="shared" si="5"/>
        <v>0</v>
      </c>
      <c r="X32" s="49">
        <f t="shared" si="6"/>
        <v>66576.42</v>
      </c>
      <c r="Y32" s="49">
        <f t="shared" si="7"/>
        <v>0</v>
      </c>
      <c r="Z32" s="49">
        <f t="shared" si="8"/>
        <v>0</v>
      </c>
      <c r="AA32" s="49">
        <f t="shared" si="9"/>
        <v>2772.9078930000001</v>
      </c>
      <c r="AB32" s="49">
        <f t="shared" si="10"/>
        <v>0</v>
      </c>
      <c r="AC32" s="49">
        <f t="shared" si="11"/>
        <v>0</v>
      </c>
      <c r="AD32" s="49">
        <f t="shared" si="12"/>
        <v>2772.9078930000001</v>
      </c>
      <c r="AE32" s="49">
        <f t="shared" si="13"/>
        <v>0</v>
      </c>
      <c r="AF32" s="49">
        <f t="shared" si="14"/>
        <v>0</v>
      </c>
      <c r="AG32" s="49">
        <f t="shared" si="15"/>
        <v>9986.4629999999997</v>
      </c>
      <c r="AH32" s="49">
        <f t="shared" si="16"/>
        <v>0</v>
      </c>
      <c r="AI32" s="49">
        <f t="shared" si="17"/>
        <v>0</v>
      </c>
      <c r="AJ32" s="49">
        <f t="shared" si="18"/>
        <v>9986.4629999999997</v>
      </c>
      <c r="AK32" s="49">
        <f t="shared" si="19"/>
        <v>0</v>
      </c>
      <c r="AL32" s="49">
        <f t="shared" si="20"/>
        <v>0</v>
      </c>
      <c r="AM32" s="49">
        <f t="shared" si="21"/>
        <v>8912.9182275000003</v>
      </c>
      <c r="AN32" s="49">
        <f t="shared" si="22"/>
        <v>0</v>
      </c>
      <c r="AO32" s="49">
        <f t="shared" si="23"/>
        <v>0</v>
      </c>
      <c r="AP32" s="49">
        <f t="shared" si="24"/>
        <v>8912.9182275000003</v>
      </c>
      <c r="AQ32" s="49">
        <f t="shared" si="25"/>
        <v>0</v>
      </c>
      <c r="AR32" s="49">
        <f t="shared" si="26"/>
        <v>0</v>
      </c>
      <c r="AS32" s="49">
        <f t="shared" si="27"/>
        <v>1997.2925999999998</v>
      </c>
      <c r="AT32" s="49">
        <f t="shared" si="28"/>
        <v>0</v>
      </c>
      <c r="AU32" s="49">
        <f t="shared" si="29"/>
        <v>0</v>
      </c>
      <c r="AV32" s="49">
        <f t="shared" si="30"/>
        <v>1997.2925999999998</v>
      </c>
      <c r="AW32" s="49">
        <f t="shared" si="31"/>
        <v>0</v>
      </c>
      <c r="AX32" s="49">
        <f t="shared" si="32"/>
        <v>0</v>
      </c>
      <c r="AY32" s="49">
        <f t="shared" si="33"/>
        <v>2663.0567999999998</v>
      </c>
      <c r="AZ32" s="49">
        <f t="shared" si="34"/>
        <v>0</v>
      </c>
      <c r="BA32" s="49">
        <f t="shared" si="35"/>
        <v>0</v>
      </c>
      <c r="BB32" s="49">
        <f t="shared" si="36"/>
        <v>2663.0567999999998</v>
      </c>
      <c r="BC32" s="49">
        <f t="shared" si="37"/>
        <v>0</v>
      </c>
      <c r="BD32" s="49">
        <f t="shared" si="38"/>
        <v>0</v>
      </c>
      <c r="BE32" s="49">
        <f t="shared" si="39"/>
        <v>26332.638520499997</v>
      </c>
      <c r="BF32" s="49">
        <f t="shared" si="40"/>
        <v>0</v>
      </c>
      <c r="BG32" s="49">
        <f t="shared" si="41"/>
        <v>0</v>
      </c>
      <c r="BH32" s="49">
        <f t="shared" si="42"/>
        <v>26332.638520499997</v>
      </c>
      <c r="BI32" s="49">
        <f t="shared" si="43"/>
        <v>0</v>
      </c>
      <c r="BJ32" s="49">
        <f t="shared" si="44"/>
        <v>0</v>
      </c>
      <c r="BK32" s="49">
        <f t="shared" si="45"/>
        <v>2772.9078930000001</v>
      </c>
      <c r="BL32" s="49">
        <f t="shared" si="46"/>
        <v>0</v>
      </c>
      <c r="BM32" s="49">
        <f t="shared" si="47"/>
        <v>0</v>
      </c>
      <c r="BN32" s="49">
        <f t="shared" si="48"/>
        <v>2772.9078930000001</v>
      </c>
      <c r="BO32" s="49">
        <f t="shared" si="49"/>
        <v>0</v>
      </c>
      <c r="BP32" s="49">
        <f t="shared" si="50"/>
        <v>0</v>
      </c>
      <c r="BQ32" s="49">
        <f t="shared" si="51"/>
        <v>9986.4629999999997</v>
      </c>
      <c r="BR32" s="49">
        <f t="shared" si="52"/>
        <v>0</v>
      </c>
      <c r="BS32" s="49">
        <f t="shared" si="53"/>
        <v>0</v>
      </c>
      <c r="BT32" s="49">
        <f t="shared" si="54"/>
        <v>9986.4629999999997</v>
      </c>
      <c r="BU32" s="49">
        <f t="shared" si="55"/>
        <v>0</v>
      </c>
      <c r="BV32" s="49">
        <f t="shared" si="56"/>
        <v>0</v>
      </c>
      <c r="BW32" s="49">
        <f t="shared" si="57"/>
        <v>8912.9182275000003</v>
      </c>
      <c r="BX32" s="49">
        <f t="shared" si="58"/>
        <v>0</v>
      </c>
      <c r="BY32" s="49">
        <f t="shared" si="59"/>
        <v>0</v>
      </c>
      <c r="BZ32" s="49">
        <f t="shared" si="60"/>
        <v>8912.9182275000003</v>
      </c>
      <c r="CA32" s="49">
        <f t="shared" si="61"/>
        <v>0</v>
      </c>
      <c r="CB32" s="49">
        <f t="shared" si="62"/>
        <v>0</v>
      </c>
      <c r="CC32" s="49">
        <f t="shared" si="63"/>
        <v>1997.2925999999998</v>
      </c>
      <c r="CD32" s="49">
        <f t="shared" si="64"/>
        <v>0</v>
      </c>
      <c r="CE32" s="49">
        <f t="shared" si="65"/>
        <v>0</v>
      </c>
      <c r="CF32" s="49">
        <f t="shared" si="66"/>
        <v>1997.2925999999998</v>
      </c>
      <c r="CG32" s="49">
        <f t="shared" si="67"/>
        <v>0</v>
      </c>
      <c r="CH32" s="49">
        <f t="shared" si="68"/>
        <v>0</v>
      </c>
      <c r="CI32" s="49">
        <f t="shared" si="69"/>
        <v>2663.0567999999998</v>
      </c>
      <c r="CJ32" s="49">
        <f t="shared" si="70"/>
        <v>0</v>
      </c>
      <c r="CK32" s="49">
        <f t="shared" si="71"/>
        <v>0</v>
      </c>
      <c r="CL32" s="49">
        <f t="shared" si="72"/>
        <v>2663.0567999999998</v>
      </c>
      <c r="CM32" s="49">
        <f t="shared" si="73"/>
        <v>0</v>
      </c>
      <c r="CN32" s="49">
        <f t="shared" si="74"/>
        <v>0</v>
      </c>
      <c r="CO32" s="49">
        <f t="shared" si="75"/>
        <v>26332.638520499997</v>
      </c>
      <c r="CP32" s="49">
        <f t="shared" si="76"/>
        <v>0</v>
      </c>
      <c r="CQ32" s="49">
        <f t="shared" si="77"/>
        <v>0</v>
      </c>
      <c r="CR32" s="81">
        <f t="shared" si="78"/>
        <v>26332.638520499997</v>
      </c>
      <c r="CS32" s="80">
        <f t="shared" si="79"/>
        <v>40243.781479500001</v>
      </c>
      <c r="CT32" s="54"/>
      <c r="CU32" s="3" t="str">
        <f t="shared" si="80"/>
        <v>ARS</v>
      </c>
      <c r="CV32" s="3">
        <f>VLOOKUP(CU32,DF:DG,2,0)</f>
        <v>6.9185169999999997E-4</v>
      </c>
      <c r="CW32" s="23">
        <f t="shared" si="81"/>
        <v>46.061009356913999</v>
      </c>
      <c r="CX32" s="23">
        <f t="shared" si="82"/>
        <v>1.9184410397154681</v>
      </c>
      <c r="CY32" s="23">
        <f t="shared" si="83"/>
        <v>6.9091514035370993</v>
      </c>
      <c r="CZ32" s="23">
        <f t="shared" si="84"/>
        <v>6.1664176276568616</v>
      </c>
      <c r="DA32" s="23">
        <f t="shared" si="85"/>
        <v>1.3818302807074199</v>
      </c>
      <c r="DB32" s="23">
        <f t="shared" si="86"/>
        <v>1.8424403742765598</v>
      </c>
      <c r="DC32" s="23">
        <f t="shared" si="87"/>
        <v>27.842728631020591</v>
      </c>
      <c r="DD32" s="34" t="str">
        <f>VLOOKUP(A32,'Billing Report'!H:I,2,FALSE)</f>
        <v>GKT_Balanz_Academy_Curso_Renta Fija</v>
      </c>
      <c r="DE32" s="34"/>
      <c r="DF32" s="61" t="s">
        <v>347</v>
      </c>
      <c r="DG32" s="62">
        <v>5.9576800000000002E-5</v>
      </c>
      <c r="DH32"/>
      <c r="DI32" s="41"/>
      <c r="DJ32" s="41"/>
    </row>
    <row r="33" spans="1:114" ht="14.5" x14ac:dyDescent="0.35">
      <c r="A33" s="63">
        <v>40838875</v>
      </c>
      <c r="B33" s="3" t="s">
        <v>557</v>
      </c>
      <c r="C33" s="3">
        <v>302594801</v>
      </c>
      <c r="D33" s="3" t="s">
        <v>93</v>
      </c>
      <c r="G33" s="38">
        <v>4570398.05</v>
      </c>
      <c r="J33" s="33">
        <f>VLOOKUP($B33,'IMS Commission List'!E:CE,79,0)/100</f>
        <v>0.08</v>
      </c>
      <c r="K33" s="79">
        <f t="shared" si="0"/>
        <v>4570398.05</v>
      </c>
      <c r="L33" s="3" t="str">
        <f>VLOOKUP($B33,'IMS Commission List'!E:V,18,0)</f>
        <v>ARS</v>
      </c>
      <c r="M33" s="3">
        <v>1</v>
      </c>
      <c r="N33" s="3" t="str">
        <f>VLOOKUP($B33,'IMS Commission List'!E:T,16,0)</f>
        <v>MX</v>
      </c>
      <c r="O33" s="54">
        <f>VLOOKUP($B33,'IMS Commission List'!E:CF,80,0)</f>
        <v>4.9000000000000002E-2</v>
      </c>
      <c r="P33" s="54">
        <f>VLOOKUP($B33,'IMS Commission List'!E:CG,81,0)</f>
        <v>0.1575</v>
      </c>
      <c r="Q33" s="54">
        <f>VLOOKUP($B33,'IMS Commission List'!E:CP,90,0)</f>
        <v>0.03</v>
      </c>
      <c r="R33" s="54">
        <f>VLOOKUP($B33,'IMS Commission List'!E:CQ,91,0)</f>
        <v>0.04</v>
      </c>
      <c r="S33" s="47">
        <f t="shared" si="1"/>
        <v>0</v>
      </c>
      <c r="T33" s="48">
        <f t="shared" si="2"/>
        <v>0</v>
      </c>
      <c r="U33" s="48">
        <f t="shared" si="3"/>
        <v>4570398.05</v>
      </c>
      <c r="V33" s="48">
        <f t="shared" si="4"/>
        <v>0</v>
      </c>
      <c r="W33" s="48">
        <f t="shared" si="5"/>
        <v>0</v>
      </c>
      <c r="X33" s="49">
        <f t="shared" si="6"/>
        <v>4570398.05</v>
      </c>
      <c r="Y33" s="49">
        <f t="shared" si="7"/>
        <v>0</v>
      </c>
      <c r="Z33" s="49">
        <f t="shared" si="8"/>
        <v>0</v>
      </c>
      <c r="AA33" s="49">
        <f t="shared" si="9"/>
        <v>206033.54409400001</v>
      </c>
      <c r="AB33" s="49">
        <f t="shared" si="10"/>
        <v>0</v>
      </c>
      <c r="AC33" s="49">
        <f t="shared" si="11"/>
        <v>0</v>
      </c>
      <c r="AD33" s="49">
        <f t="shared" si="12"/>
        <v>206033.54409400001</v>
      </c>
      <c r="AE33" s="49">
        <f t="shared" si="13"/>
        <v>0</v>
      </c>
      <c r="AF33" s="49">
        <f t="shared" si="14"/>
        <v>0</v>
      </c>
      <c r="AG33" s="49">
        <f t="shared" si="15"/>
        <v>365631.84399999998</v>
      </c>
      <c r="AH33" s="49">
        <f t="shared" si="16"/>
        <v>0</v>
      </c>
      <c r="AI33" s="49">
        <f t="shared" si="17"/>
        <v>0</v>
      </c>
      <c r="AJ33" s="49">
        <f t="shared" si="18"/>
        <v>365631.84399999998</v>
      </c>
      <c r="AK33" s="49">
        <f t="shared" si="19"/>
        <v>0</v>
      </c>
      <c r="AL33" s="49">
        <f t="shared" si="20"/>
        <v>0</v>
      </c>
      <c r="AM33" s="49">
        <f t="shared" si="21"/>
        <v>662250.67744500004</v>
      </c>
      <c r="AN33" s="49">
        <f t="shared" si="22"/>
        <v>0</v>
      </c>
      <c r="AO33" s="49">
        <f t="shared" si="23"/>
        <v>0</v>
      </c>
      <c r="AP33" s="49">
        <f t="shared" si="24"/>
        <v>662250.67744500004</v>
      </c>
      <c r="AQ33" s="49">
        <f t="shared" si="25"/>
        <v>0</v>
      </c>
      <c r="AR33" s="49">
        <f t="shared" si="26"/>
        <v>0</v>
      </c>
      <c r="AS33" s="49">
        <f t="shared" si="27"/>
        <v>137111.94149999999</v>
      </c>
      <c r="AT33" s="49">
        <f t="shared" si="28"/>
        <v>0</v>
      </c>
      <c r="AU33" s="49">
        <f t="shared" si="29"/>
        <v>0</v>
      </c>
      <c r="AV33" s="49">
        <f t="shared" si="30"/>
        <v>137111.94149999999</v>
      </c>
      <c r="AW33" s="49">
        <f t="shared" si="31"/>
        <v>0</v>
      </c>
      <c r="AX33" s="49">
        <f t="shared" si="32"/>
        <v>0</v>
      </c>
      <c r="AY33" s="49">
        <f t="shared" si="33"/>
        <v>182815.92199999999</v>
      </c>
      <c r="AZ33" s="49">
        <f t="shared" si="34"/>
        <v>0</v>
      </c>
      <c r="BA33" s="49">
        <f t="shared" si="35"/>
        <v>0</v>
      </c>
      <c r="BB33" s="49">
        <f t="shared" si="36"/>
        <v>182815.92199999999</v>
      </c>
      <c r="BC33" s="49">
        <f t="shared" si="37"/>
        <v>0</v>
      </c>
      <c r="BD33" s="49">
        <f t="shared" si="38"/>
        <v>0</v>
      </c>
      <c r="BE33" s="49">
        <f t="shared" si="39"/>
        <v>1553843.9290390001</v>
      </c>
      <c r="BF33" s="49">
        <f t="shared" si="40"/>
        <v>0</v>
      </c>
      <c r="BG33" s="49">
        <f t="shared" si="41"/>
        <v>0</v>
      </c>
      <c r="BH33" s="49">
        <f t="shared" si="42"/>
        <v>1553843.9290390001</v>
      </c>
      <c r="BI33" s="49">
        <f t="shared" si="43"/>
        <v>0</v>
      </c>
      <c r="BJ33" s="49">
        <f t="shared" si="44"/>
        <v>0</v>
      </c>
      <c r="BK33" s="49">
        <f t="shared" si="45"/>
        <v>206033.54409400001</v>
      </c>
      <c r="BL33" s="49">
        <f t="shared" si="46"/>
        <v>0</v>
      </c>
      <c r="BM33" s="49">
        <f t="shared" si="47"/>
        <v>0</v>
      </c>
      <c r="BN33" s="49">
        <f t="shared" si="48"/>
        <v>206033.54409400001</v>
      </c>
      <c r="BO33" s="49">
        <f t="shared" si="49"/>
        <v>0</v>
      </c>
      <c r="BP33" s="49">
        <f t="shared" si="50"/>
        <v>0</v>
      </c>
      <c r="BQ33" s="49">
        <f t="shared" si="51"/>
        <v>365631.84399999998</v>
      </c>
      <c r="BR33" s="49">
        <f t="shared" si="52"/>
        <v>0</v>
      </c>
      <c r="BS33" s="49">
        <f t="shared" si="53"/>
        <v>0</v>
      </c>
      <c r="BT33" s="49">
        <f t="shared" si="54"/>
        <v>365631.84399999998</v>
      </c>
      <c r="BU33" s="49">
        <f t="shared" si="55"/>
        <v>0</v>
      </c>
      <c r="BV33" s="49">
        <f t="shared" si="56"/>
        <v>0</v>
      </c>
      <c r="BW33" s="49">
        <f t="shared" si="57"/>
        <v>662250.67744500004</v>
      </c>
      <c r="BX33" s="49">
        <f t="shared" si="58"/>
        <v>0</v>
      </c>
      <c r="BY33" s="49">
        <f t="shared" si="59"/>
        <v>0</v>
      </c>
      <c r="BZ33" s="49">
        <f t="shared" si="60"/>
        <v>662250.67744500004</v>
      </c>
      <c r="CA33" s="49">
        <f t="shared" si="61"/>
        <v>0</v>
      </c>
      <c r="CB33" s="49">
        <f t="shared" si="62"/>
        <v>0</v>
      </c>
      <c r="CC33" s="49">
        <f t="shared" si="63"/>
        <v>137111.94149999999</v>
      </c>
      <c r="CD33" s="49">
        <f t="shared" si="64"/>
        <v>0</v>
      </c>
      <c r="CE33" s="49">
        <f t="shared" si="65"/>
        <v>0</v>
      </c>
      <c r="CF33" s="49">
        <f t="shared" si="66"/>
        <v>137111.94149999999</v>
      </c>
      <c r="CG33" s="49">
        <f t="shared" si="67"/>
        <v>0</v>
      </c>
      <c r="CH33" s="49">
        <f t="shared" si="68"/>
        <v>0</v>
      </c>
      <c r="CI33" s="49">
        <f t="shared" si="69"/>
        <v>182815.92199999999</v>
      </c>
      <c r="CJ33" s="49">
        <f t="shared" si="70"/>
        <v>0</v>
      </c>
      <c r="CK33" s="49">
        <f t="shared" si="71"/>
        <v>0</v>
      </c>
      <c r="CL33" s="49">
        <f t="shared" si="72"/>
        <v>182815.92199999999</v>
      </c>
      <c r="CM33" s="49">
        <f t="shared" si="73"/>
        <v>0</v>
      </c>
      <c r="CN33" s="49">
        <f t="shared" si="74"/>
        <v>0</v>
      </c>
      <c r="CO33" s="49">
        <f t="shared" si="75"/>
        <v>1553843.9290390001</v>
      </c>
      <c r="CP33" s="49">
        <f t="shared" si="76"/>
        <v>0</v>
      </c>
      <c r="CQ33" s="49">
        <f t="shared" si="77"/>
        <v>0</v>
      </c>
      <c r="CR33" s="81">
        <f t="shared" si="78"/>
        <v>1553843.9290390001</v>
      </c>
      <c r="CS33" s="80">
        <f t="shared" si="79"/>
        <v>3016554.1209609997</v>
      </c>
      <c r="CT33" s="54"/>
      <c r="CU33" s="3" t="str">
        <f t="shared" si="80"/>
        <v>ARS</v>
      </c>
      <c r="CV33" s="3">
        <f>VLOOKUP(CU33,DF:DG,2,0)</f>
        <v>6.9185169999999997E-4</v>
      </c>
      <c r="CW33" s="23">
        <f t="shared" si="81"/>
        <v>3162.0376605691849</v>
      </c>
      <c r="CX33" s="23">
        <f t="shared" si="82"/>
        <v>142.54465773845885</v>
      </c>
      <c r="CY33" s="23">
        <f t="shared" si="83"/>
        <v>252.96301284553476</v>
      </c>
      <c r="CZ33" s="23">
        <f t="shared" si="84"/>
        <v>458.17925701647493</v>
      </c>
      <c r="DA33" s="23">
        <f t="shared" si="85"/>
        <v>94.861129817075536</v>
      </c>
      <c r="DB33" s="23">
        <f t="shared" si="86"/>
        <v>126.48150642276738</v>
      </c>
      <c r="DC33" s="23">
        <f t="shared" si="87"/>
        <v>2087.0080967288732</v>
      </c>
      <c r="DD33" s="34" t="str">
        <f>VLOOKUP(A33,'Billing Report'!H:I,2,FALSE)</f>
        <v>BG_AR_AL_PS_TW_TWI_ALL_ALL_RAP_ALL_NA_99999_COC_VWC</v>
      </c>
      <c r="DE33" s="34"/>
      <c r="DF33" s="61" t="s">
        <v>346</v>
      </c>
      <c r="DG33" s="62">
        <v>0.32332376829999998</v>
      </c>
      <c r="DH33"/>
      <c r="DI33" s="41"/>
      <c r="DJ33" s="41"/>
    </row>
    <row r="34" spans="1:114" ht="14.5" x14ac:dyDescent="0.35">
      <c r="A34" s="63">
        <v>40286315</v>
      </c>
      <c r="B34" s="3" t="s">
        <v>557</v>
      </c>
      <c r="C34" s="3">
        <v>302594801</v>
      </c>
      <c r="D34" s="3" t="s">
        <v>93</v>
      </c>
      <c r="G34" s="38">
        <v>11242765.68</v>
      </c>
      <c r="J34" s="33">
        <f>VLOOKUP($B34,'IMS Commission List'!E:CE,79,0)/100</f>
        <v>0.08</v>
      </c>
      <c r="K34" s="79">
        <f t="shared" si="0"/>
        <v>11242765.68</v>
      </c>
      <c r="L34" s="3" t="str">
        <f>VLOOKUP($B34,'IMS Commission List'!E:V,18,0)</f>
        <v>ARS</v>
      </c>
      <c r="M34" s="3">
        <v>1</v>
      </c>
      <c r="N34" s="3" t="str">
        <f>VLOOKUP($B34,'IMS Commission List'!E:T,16,0)</f>
        <v>MX</v>
      </c>
      <c r="O34" s="54">
        <f>VLOOKUP($B34,'IMS Commission List'!E:CF,80,0)</f>
        <v>4.9000000000000002E-2</v>
      </c>
      <c r="P34" s="54">
        <f>VLOOKUP($B34,'IMS Commission List'!E:CG,81,0)</f>
        <v>0.1575</v>
      </c>
      <c r="Q34" s="54">
        <f>VLOOKUP($B34,'IMS Commission List'!E:CP,90,0)</f>
        <v>0.03</v>
      </c>
      <c r="R34" s="54">
        <f>VLOOKUP($B34,'IMS Commission List'!E:CQ,91,0)</f>
        <v>0.04</v>
      </c>
      <c r="S34" s="47">
        <f t="shared" si="1"/>
        <v>0</v>
      </c>
      <c r="T34" s="48">
        <f t="shared" si="2"/>
        <v>0</v>
      </c>
      <c r="U34" s="48">
        <f t="shared" si="3"/>
        <v>11242765.68</v>
      </c>
      <c r="V34" s="48">
        <f t="shared" si="4"/>
        <v>0</v>
      </c>
      <c r="W34" s="48">
        <f t="shared" si="5"/>
        <v>0</v>
      </c>
      <c r="X34" s="49">
        <f t="shared" si="6"/>
        <v>11242765.68</v>
      </c>
      <c r="Y34" s="49">
        <f t="shared" si="7"/>
        <v>0</v>
      </c>
      <c r="Z34" s="49">
        <f t="shared" si="8"/>
        <v>0</v>
      </c>
      <c r="AA34" s="49">
        <f t="shared" si="9"/>
        <v>506823.87685440003</v>
      </c>
      <c r="AB34" s="49">
        <f t="shared" si="10"/>
        <v>0</v>
      </c>
      <c r="AC34" s="49">
        <f t="shared" si="11"/>
        <v>0</v>
      </c>
      <c r="AD34" s="49">
        <f t="shared" si="12"/>
        <v>506823.87685440003</v>
      </c>
      <c r="AE34" s="49">
        <f t="shared" si="13"/>
        <v>0</v>
      </c>
      <c r="AF34" s="49">
        <f t="shared" si="14"/>
        <v>0</v>
      </c>
      <c r="AG34" s="49">
        <f t="shared" si="15"/>
        <v>899421.25439999998</v>
      </c>
      <c r="AH34" s="49">
        <f t="shared" si="16"/>
        <v>0</v>
      </c>
      <c r="AI34" s="49">
        <f t="shared" si="17"/>
        <v>0</v>
      </c>
      <c r="AJ34" s="49">
        <f t="shared" si="18"/>
        <v>899421.25439999998</v>
      </c>
      <c r="AK34" s="49">
        <f t="shared" si="19"/>
        <v>0</v>
      </c>
      <c r="AL34" s="49">
        <f t="shared" si="20"/>
        <v>0</v>
      </c>
      <c r="AM34" s="49">
        <f t="shared" si="21"/>
        <v>1629076.747032</v>
      </c>
      <c r="AN34" s="49">
        <f t="shared" si="22"/>
        <v>0</v>
      </c>
      <c r="AO34" s="49">
        <f t="shared" si="23"/>
        <v>0</v>
      </c>
      <c r="AP34" s="49">
        <f t="shared" si="24"/>
        <v>1629076.747032</v>
      </c>
      <c r="AQ34" s="49">
        <f t="shared" si="25"/>
        <v>0</v>
      </c>
      <c r="AR34" s="49">
        <f t="shared" si="26"/>
        <v>0</v>
      </c>
      <c r="AS34" s="49">
        <f t="shared" si="27"/>
        <v>337282.97039999999</v>
      </c>
      <c r="AT34" s="49">
        <f t="shared" si="28"/>
        <v>0</v>
      </c>
      <c r="AU34" s="49">
        <f t="shared" si="29"/>
        <v>0</v>
      </c>
      <c r="AV34" s="49">
        <f t="shared" si="30"/>
        <v>337282.97039999999</v>
      </c>
      <c r="AW34" s="49">
        <f t="shared" si="31"/>
        <v>0</v>
      </c>
      <c r="AX34" s="49">
        <f t="shared" si="32"/>
        <v>0</v>
      </c>
      <c r="AY34" s="49">
        <f t="shared" si="33"/>
        <v>449710.62719999999</v>
      </c>
      <c r="AZ34" s="49">
        <f t="shared" si="34"/>
        <v>0</v>
      </c>
      <c r="BA34" s="49">
        <f t="shared" si="35"/>
        <v>0</v>
      </c>
      <c r="BB34" s="49">
        <f t="shared" si="36"/>
        <v>449710.62719999999</v>
      </c>
      <c r="BC34" s="49">
        <f t="shared" si="37"/>
        <v>0</v>
      </c>
      <c r="BD34" s="49">
        <f t="shared" si="38"/>
        <v>0</v>
      </c>
      <c r="BE34" s="49">
        <f t="shared" si="39"/>
        <v>3822315.4758863999</v>
      </c>
      <c r="BF34" s="49">
        <f t="shared" si="40"/>
        <v>0</v>
      </c>
      <c r="BG34" s="49">
        <f t="shared" si="41"/>
        <v>0</v>
      </c>
      <c r="BH34" s="49">
        <f t="shared" si="42"/>
        <v>3822315.4758863999</v>
      </c>
      <c r="BI34" s="49">
        <f t="shared" si="43"/>
        <v>0</v>
      </c>
      <c r="BJ34" s="49">
        <f t="shared" si="44"/>
        <v>0</v>
      </c>
      <c r="BK34" s="49">
        <f t="shared" si="45"/>
        <v>506823.87685440003</v>
      </c>
      <c r="BL34" s="49">
        <f t="shared" si="46"/>
        <v>0</v>
      </c>
      <c r="BM34" s="49">
        <f t="shared" si="47"/>
        <v>0</v>
      </c>
      <c r="BN34" s="49">
        <f t="shared" si="48"/>
        <v>506823.87685440003</v>
      </c>
      <c r="BO34" s="49">
        <f t="shared" si="49"/>
        <v>0</v>
      </c>
      <c r="BP34" s="49">
        <f t="shared" si="50"/>
        <v>0</v>
      </c>
      <c r="BQ34" s="49">
        <f t="shared" si="51"/>
        <v>899421.25439999998</v>
      </c>
      <c r="BR34" s="49">
        <f t="shared" si="52"/>
        <v>0</v>
      </c>
      <c r="BS34" s="49">
        <f t="shared" si="53"/>
        <v>0</v>
      </c>
      <c r="BT34" s="49">
        <f t="shared" si="54"/>
        <v>899421.25439999998</v>
      </c>
      <c r="BU34" s="49">
        <f t="shared" si="55"/>
        <v>0</v>
      </c>
      <c r="BV34" s="49">
        <f t="shared" si="56"/>
        <v>0</v>
      </c>
      <c r="BW34" s="49">
        <f t="shared" si="57"/>
        <v>1629076.747032</v>
      </c>
      <c r="BX34" s="49">
        <f t="shared" si="58"/>
        <v>0</v>
      </c>
      <c r="BY34" s="49">
        <f t="shared" si="59"/>
        <v>0</v>
      </c>
      <c r="BZ34" s="49">
        <f t="shared" si="60"/>
        <v>1629076.747032</v>
      </c>
      <c r="CA34" s="49">
        <f t="shared" si="61"/>
        <v>0</v>
      </c>
      <c r="CB34" s="49">
        <f t="shared" si="62"/>
        <v>0</v>
      </c>
      <c r="CC34" s="49">
        <f t="shared" si="63"/>
        <v>337282.97039999999</v>
      </c>
      <c r="CD34" s="49">
        <f t="shared" si="64"/>
        <v>0</v>
      </c>
      <c r="CE34" s="49">
        <f t="shared" si="65"/>
        <v>0</v>
      </c>
      <c r="CF34" s="49">
        <f t="shared" si="66"/>
        <v>337282.97039999999</v>
      </c>
      <c r="CG34" s="49">
        <f t="shared" si="67"/>
        <v>0</v>
      </c>
      <c r="CH34" s="49">
        <f t="shared" si="68"/>
        <v>0</v>
      </c>
      <c r="CI34" s="49">
        <f t="shared" si="69"/>
        <v>449710.62719999999</v>
      </c>
      <c r="CJ34" s="49">
        <f t="shared" si="70"/>
        <v>0</v>
      </c>
      <c r="CK34" s="49">
        <f t="shared" si="71"/>
        <v>0</v>
      </c>
      <c r="CL34" s="49">
        <f t="shared" si="72"/>
        <v>449710.62719999999</v>
      </c>
      <c r="CM34" s="49">
        <f t="shared" si="73"/>
        <v>0</v>
      </c>
      <c r="CN34" s="49">
        <f t="shared" si="74"/>
        <v>0</v>
      </c>
      <c r="CO34" s="49">
        <f t="shared" si="75"/>
        <v>3822315.4758863999</v>
      </c>
      <c r="CP34" s="49">
        <f t="shared" si="76"/>
        <v>0</v>
      </c>
      <c r="CQ34" s="49">
        <f t="shared" si="77"/>
        <v>0</v>
      </c>
      <c r="CR34" s="81">
        <f t="shared" si="78"/>
        <v>3822315.4758863999</v>
      </c>
      <c r="CS34" s="80">
        <f t="shared" si="79"/>
        <v>7420450.2041135998</v>
      </c>
      <c r="CT34" s="54"/>
      <c r="CU34" s="3" t="str">
        <f t="shared" si="80"/>
        <v>ARS</v>
      </c>
      <c r="CV34" s="3">
        <f>VLOOKUP(CU34,DF:DG,2,0)</f>
        <v>6.9185169999999997E-4</v>
      </c>
      <c r="CW34" s="23">
        <f t="shared" si="81"/>
        <v>7778.3265484096555</v>
      </c>
      <c r="CX34" s="23">
        <f t="shared" si="82"/>
        <v>350.64696080230732</v>
      </c>
      <c r="CY34" s="23">
        <f t="shared" si="83"/>
        <v>622.26612387277248</v>
      </c>
      <c r="CZ34" s="23">
        <f t="shared" si="84"/>
        <v>1127.0795168645591</v>
      </c>
      <c r="DA34" s="23">
        <f t="shared" si="85"/>
        <v>233.34979645228967</v>
      </c>
      <c r="DB34" s="23">
        <f t="shared" si="86"/>
        <v>311.13306193638624</v>
      </c>
      <c r="DC34" s="23">
        <f t="shared" si="87"/>
        <v>5133.8510884813404</v>
      </c>
      <c r="DD34" s="34" t="str">
        <f>VLOOKUP(A34,'Billing Report'!H:I,2,FALSE)</f>
        <v>CX_AR_PR_PS_TW_TWI_IOS_ALL_RAP_ALL_NA_00000_TAC_INS_INS</v>
      </c>
      <c r="DE34" s="34"/>
      <c r="DF34" s="61" t="s">
        <v>345</v>
      </c>
      <c r="DG34" s="62">
        <v>1.0886000700000001E-2</v>
      </c>
      <c r="DH34"/>
      <c r="DI34" s="41"/>
      <c r="DJ34" s="41"/>
    </row>
    <row r="35" spans="1:114" ht="14.5" x14ac:dyDescent="0.35">
      <c r="A35" s="63">
        <v>40045288</v>
      </c>
      <c r="B35" s="3" t="s">
        <v>557</v>
      </c>
      <c r="C35" s="3">
        <v>302594801</v>
      </c>
      <c r="D35" s="3" t="s">
        <v>93</v>
      </c>
      <c r="G35" s="38">
        <v>523174.23</v>
      </c>
      <c r="J35" s="33">
        <f>VLOOKUP($B35,'IMS Commission List'!E:CE,79,0)/100</f>
        <v>0.08</v>
      </c>
      <c r="K35" s="79">
        <f t="shared" si="0"/>
        <v>523174.23</v>
      </c>
      <c r="L35" s="3" t="str">
        <f>VLOOKUP($B35,'IMS Commission List'!E:V,18,0)</f>
        <v>ARS</v>
      </c>
      <c r="M35" s="3">
        <v>1</v>
      </c>
      <c r="N35" s="3" t="str">
        <f>VLOOKUP($B35,'IMS Commission List'!E:T,16,0)</f>
        <v>MX</v>
      </c>
      <c r="O35" s="54">
        <f>VLOOKUP($B35,'IMS Commission List'!E:CF,80,0)</f>
        <v>4.9000000000000002E-2</v>
      </c>
      <c r="P35" s="54">
        <f>VLOOKUP($B35,'IMS Commission List'!E:CG,81,0)</f>
        <v>0.1575</v>
      </c>
      <c r="Q35" s="54">
        <f>VLOOKUP($B35,'IMS Commission List'!E:CP,90,0)</f>
        <v>0.03</v>
      </c>
      <c r="R35" s="54">
        <f>VLOOKUP($B35,'IMS Commission List'!E:CQ,91,0)</f>
        <v>0.04</v>
      </c>
      <c r="S35" s="47">
        <f t="shared" si="1"/>
        <v>0</v>
      </c>
      <c r="T35" s="48">
        <f t="shared" si="2"/>
        <v>0</v>
      </c>
      <c r="U35" s="48">
        <f t="shared" si="3"/>
        <v>523174.23</v>
      </c>
      <c r="V35" s="48">
        <f t="shared" si="4"/>
        <v>0</v>
      </c>
      <c r="W35" s="48">
        <f t="shared" si="5"/>
        <v>0</v>
      </c>
      <c r="X35" s="49">
        <f t="shared" si="6"/>
        <v>523174.23</v>
      </c>
      <c r="Y35" s="49">
        <f t="shared" si="7"/>
        <v>0</v>
      </c>
      <c r="Z35" s="49">
        <f t="shared" si="8"/>
        <v>0</v>
      </c>
      <c r="AA35" s="49">
        <f t="shared" si="9"/>
        <v>23584.694288400002</v>
      </c>
      <c r="AB35" s="49">
        <f t="shared" si="10"/>
        <v>0</v>
      </c>
      <c r="AC35" s="49">
        <f t="shared" si="11"/>
        <v>0</v>
      </c>
      <c r="AD35" s="49">
        <f t="shared" si="12"/>
        <v>23584.694288400002</v>
      </c>
      <c r="AE35" s="49">
        <f t="shared" si="13"/>
        <v>0</v>
      </c>
      <c r="AF35" s="49">
        <f t="shared" si="14"/>
        <v>0</v>
      </c>
      <c r="AG35" s="49">
        <f t="shared" si="15"/>
        <v>41853.938399999999</v>
      </c>
      <c r="AH35" s="49">
        <f t="shared" si="16"/>
        <v>0</v>
      </c>
      <c r="AI35" s="49">
        <f t="shared" si="17"/>
        <v>0</v>
      </c>
      <c r="AJ35" s="49">
        <f t="shared" si="18"/>
        <v>41853.938399999999</v>
      </c>
      <c r="AK35" s="49">
        <f t="shared" si="19"/>
        <v>0</v>
      </c>
      <c r="AL35" s="49">
        <f t="shared" si="20"/>
        <v>0</v>
      </c>
      <c r="AM35" s="49">
        <f t="shared" si="21"/>
        <v>75807.945927000008</v>
      </c>
      <c r="AN35" s="49">
        <f t="shared" si="22"/>
        <v>0</v>
      </c>
      <c r="AO35" s="49">
        <f t="shared" si="23"/>
        <v>0</v>
      </c>
      <c r="AP35" s="49">
        <f t="shared" si="24"/>
        <v>75807.945927000008</v>
      </c>
      <c r="AQ35" s="49">
        <f t="shared" si="25"/>
        <v>0</v>
      </c>
      <c r="AR35" s="49">
        <f t="shared" si="26"/>
        <v>0</v>
      </c>
      <c r="AS35" s="49">
        <f t="shared" si="27"/>
        <v>15695.2269</v>
      </c>
      <c r="AT35" s="49">
        <f t="shared" si="28"/>
        <v>0</v>
      </c>
      <c r="AU35" s="49">
        <f t="shared" si="29"/>
        <v>0</v>
      </c>
      <c r="AV35" s="49">
        <f t="shared" si="30"/>
        <v>15695.2269</v>
      </c>
      <c r="AW35" s="49">
        <f t="shared" si="31"/>
        <v>0</v>
      </c>
      <c r="AX35" s="49">
        <f t="shared" si="32"/>
        <v>0</v>
      </c>
      <c r="AY35" s="49">
        <f t="shared" si="33"/>
        <v>20926.9692</v>
      </c>
      <c r="AZ35" s="49">
        <f t="shared" si="34"/>
        <v>0</v>
      </c>
      <c r="BA35" s="49">
        <f t="shared" si="35"/>
        <v>0</v>
      </c>
      <c r="BB35" s="49">
        <f t="shared" si="36"/>
        <v>20926.9692</v>
      </c>
      <c r="BC35" s="49">
        <f t="shared" si="37"/>
        <v>0</v>
      </c>
      <c r="BD35" s="49">
        <f t="shared" si="38"/>
        <v>0</v>
      </c>
      <c r="BE35" s="49">
        <f t="shared" si="39"/>
        <v>177868.77471540001</v>
      </c>
      <c r="BF35" s="49">
        <f t="shared" si="40"/>
        <v>0</v>
      </c>
      <c r="BG35" s="49">
        <f t="shared" si="41"/>
        <v>0</v>
      </c>
      <c r="BH35" s="49">
        <f t="shared" si="42"/>
        <v>177868.77471540001</v>
      </c>
      <c r="BI35" s="49">
        <f t="shared" si="43"/>
        <v>0</v>
      </c>
      <c r="BJ35" s="49">
        <f t="shared" si="44"/>
        <v>0</v>
      </c>
      <c r="BK35" s="49">
        <f t="shared" si="45"/>
        <v>23584.694288400002</v>
      </c>
      <c r="BL35" s="49">
        <f t="shared" si="46"/>
        <v>0</v>
      </c>
      <c r="BM35" s="49">
        <f t="shared" si="47"/>
        <v>0</v>
      </c>
      <c r="BN35" s="49">
        <f t="shared" si="48"/>
        <v>23584.694288400002</v>
      </c>
      <c r="BO35" s="49">
        <f t="shared" si="49"/>
        <v>0</v>
      </c>
      <c r="BP35" s="49">
        <f t="shared" si="50"/>
        <v>0</v>
      </c>
      <c r="BQ35" s="49">
        <f t="shared" si="51"/>
        <v>41853.938399999999</v>
      </c>
      <c r="BR35" s="49">
        <f t="shared" si="52"/>
        <v>0</v>
      </c>
      <c r="BS35" s="49">
        <f t="shared" si="53"/>
        <v>0</v>
      </c>
      <c r="BT35" s="49">
        <f t="shared" si="54"/>
        <v>41853.938399999999</v>
      </c>
      <c r="BU35" s="49">
        <f t="shared" si="55"/>
        <v>0</v>
      </c>
      <c r="BV35" s="49">
        <f t="shared" si="56"/>
        <v>0</v>
      </c>
      <c r="BW35" s="49">
        <f t="shared" si="57"/>
        <v>75807.945927000008</v>
      </c>
      <c r="BX35" s="49">
        <f t="shared" si="58"/>
        <v>0</v>
      </c>
      <c r="BY35" s="49">
        <f t="shared" si="59"/>
        <v>0</v>
      </c>
      <c r="BZ35" s="49">
        <f t="shared" si="60"/>
        <v>75807.945927000008</v>
      </c>
      <c r="CA35" s="49">
        <f t="shared" si="61"/>
        <v>0</v>
      </c>
      <c r="CB35" s="49">
        <f t="shared" si="62"/>
        <v>0</v>
      </c>
      <c r="CC35" s="49">
        <f t="shared" si="63"/>
        <v>15695.2269</v>
      </c>
      <c r="CD35" s="49">
        <f t="shared" si="64"/>
        <v>0</v>
      </c>
      <c r="CE35" s="49">
        <f t="shared" si="65"/>
        <v>0</v>
      </c>
      <c r="CF35" s="49">
        <f t="shared" si="66"/>
        <v>15695.2269</v>
      </c>
      <c r="CG35" s="49">
        <f t="shared" si="67"/>
        <v>0</v>
      </c>
      <c r="CH35" s="49">
        <f t="shared" si="68"/>
        <v>0</v>
      </c>
      <c r="CI35" s="49">
        <f t="shared" si="69"/>
        <v>20926.9692</v>
      </c>
      <c r="CJ35" s="49">
        <f t="shared" si="70"/>
        <v>0</v>
      </c>
      <c r="CK35" s="49">
        <f t="shared" si="71"/>
        <v>0</v>
      </c>
      <c r="CL35" s="49">
        <f t="shared" si="72"/>
        <v>20926.9692</v>
      </c>
      <c r="CM35" s="49">
        <f t="shared" si="73"/>
        <v>0</v>
      </c>
      <c r="CN35" s="49">
        <f t="shared" si="74"/>
        <v>0</v>
      </c>
      <c r="CO35" s="49">
        <f t="shared" si="75"/>
        <v>177868.77471540001</v>
      </c>
      <c r="CP35" s="49">
        <f t="shared" si="76"/>
        <v>0</v>
      </c>
      <c r="CQ35" s="49">
        <f t="shared" si="77"/>
        <v>0</v>
      </c>
      <c r="CR35" s="81">
        <f t="shared" si="78"/>
        <v>177868.77471540001</v>
      </c>
      <c r="CS35" s="80">
        <f t="shared" si="79"/>
        <v>345305.45528459997</v>
      </c>
      <c r="CT35" s="54"/>
      <c r="CU35" s="3" t="str">
        <f t="shared" si="80"/>
        <v>ARS</v>
      </c>
      <c r="CV35" s="3">
        <f>VLOOKUP(CU35,DF:DG,2,0)</f>
        <v>6.9185169999999997E-4</v>
      </c>
      <c r="CW35" s="23">
        <f t="shared" si="81"/>
        <v>361.95898042169097</v>
      </c>
      <c r="CX35" s="23">
        <f t="shared" si="82"/>
        <v>16.317110837409832</v>
      </c>
      <c r="CY35" s="23">
        <f t="shared" si="83"/>
        <v>28.956718433735279</v>
      </c>
      <c r="CZ35" s="23">
        <f t="shared" si="84"/>
        <v>52.447856263103027</v>
      </c>
      <c r="DA35" s="23">
        <f t="shared" si="85"/>
        <v>10.85876941265073</v>
      </c>
      <c r="DB35" s="23">
        <f t="shared" si="86"/>
        <v>14.47835921686764</v>
      </c>
      <c r="DC35" s="23">
        <f t="shared" si="87"/>
        <v>238.90016625792447</v>
      </c>
      <c r="DD35" s="34" t="str">
        <f>VLOOKUP(A35,'Billing Report'!H:I,2,FALSE)</f>
        <v>CX_AR_PR_PS_TW_TWI_AND_ALL_RAP_ALL_NA_00000_TAC_INS_INS</v>
      </c>
      <c r="DE35" s="34"/>
      <c r="DF35" s="61" t="s">
        <v>344</v>
      </c>
      <c r="DG35" s="62">
        <v>7.6299980000000005E-4</v>
      </c>
      <c r="DH35"/>
      <c r="DI35" s="41"/>
      <c r="DJ35" s="41"/>
    </row>
    <row r="36" spans="1:114" ht="14.5" x14ac:dyDescent="0.35">
      <c r="A36" s="63" t="s">
        <v>1366</v>
      </c>
      <c r="B36" s="3" t="s">
        <v>582</v>
      </c>
      <c r="C36" s="3">
        <v>309496901</v>
      </c>
      <c r="D36" s="3" t="s">
        <v>93</v>
      </c>
      <c r="G36" s="38">
        <v>-31.88</v>
      </c>
      <c r="J36" s="33">
        <f>VLOOKUP($B36,'IMS Commission List'!E:CE,79,0)/100</f>
        <v>0.15</v>
      </c>
      <c r="K36" s="79">
        <f t="shared" si="0"/>
        <v>-31.88</v>
      </c>
      <c r="L36" s="3" t="str">
        <f>VLOOKUP($B36,'IMS Commission List'!E:V,18,0)</f>
        <v>ARS</v>
      </c>
      <c r="M36" s="3">
        <v>1</v>
      </c>
      <c r="N36" s="3" t="str">
        <f>VLOOKUP($B36,'IMS Commission List'!E:T,16,0)</f>
        <v>MX</v>
      </c>
      <c r="O36" s="54">
        <f>VLOOKUP($B36,'IMS Commission List'!E:CF,80,0)</f>
        <v>4.9000000000000002E-2</v>
      </c>
      <c r="P36" s="54">
        <f>VLOOKUP($B36,'IMS Commission List'!E:CG,81,0)</f>
        <v>0.1575</v>
      </c>
      <c r="Q36" s="54">
        <f>VLOOKUP($B36,'IMS Commission List'!E:CP,90,0)</f>
        <v>0.03</v>
      </c>
      <c r="R36" s="54">
        <f>VLOOKUP($B36,'IMS Commission List'!E:CQ,91,0)</f>
        <v>0.04</v>
      </c>
      <c r="S36" s="47">
        <f t="shared" si="1"/>
        <v>0</v>
      </c>
      <c r="T36" s="48">
        <f t="shared" si="2"/>
        <v>0</v>
      </c>
      <c r="U36" s="48">
        <f t="shared" si="3"/>
        <v>-31.88</v>
      </c>
      <c r="V36" s="48">
        <f t="shared" si="4"/>
        <v>0</v>
      </c>
      <c r="W36" s="48">
        <f t="shared" si="5"/>
        <v>0</v>
      </c>
      <c r="X36" s="49">
        <f t="shared" si="6"/>
        <v>-31.88</v>
      </c>
      <c r="Y36" s="49">
        <f t="shared" si="7"/>
        <v>0</v>
      </c>
      <c r="Z36" s="49">
        <f t="shared" si="8"/>
        <v>0</v>
      </c>
      <c r="AA36" s="49">
        <f t="shared" si="9"/>
        <v>-1.3278019999999999</v>
      </c>
      <c r="AB36" s="49">
        <f t="shared" si="10"/>
        <v>0</v>
      </c>
      <c r="AC36" s="49">
        <f t="shared" si="11"/>
        <v>0</v>
      </c>
      <c r="AD36" s="49">
        <f t="shared" si="12"/>
        <v>-1.3278019999999999</v>
      </c>
      <c r="AE36" s="49">
        <f t="shared" si="13"/>
        <v>0</v>
      </c>
      <c r="AF36" s="49">
        <f t="shared" si="14"/>
        <v>0</v>
      </c>
      <c r="AG36" s="49">
        <f t="shared" si="15"/>
        <v>-4.782</v>
      </c>
      <c r="AH36" s="49">
        <f t="shared" si="16"/>
        <v>0</v>
      </c>
      <c r="AI36" s="49">
        <f t="shared" si="17"/>
        <v>0</v>
      </c>
      <c r="AJ36" s="49">
        <f t="shared" si="18"/>
        <v>-4.782</v>
      </c>
      <c r="AK36" s="49">
        <f t="shared" si="19"/>
        <v>0</v>
      </c>
      <c r="AL36" s="49">
        <f t="shared" si="20"/>
        <v>0</v>
      </c>
      <c r="AM36" s="49">
        <f t="shared" si="21"/>
        <v>-4.2679349999999996</v>
      </c>
      <c r="AN36" s="49">
        <f t="shared" si="22"/>
        <v>0</v>
      </c>
      <c r="AO36" s="49">
        <f t="shared" si="23"/>
        <v>0</v>
      </c>
      <c r="AP36" s="49">
        <f t="shared" si="24"/>
        <v>-4.2679349999999996</v>
      </c>
      <c r="AQ36" s="49">
        <f t="shared" si="25"/>
        <v>0</v>
      </c>
      <c r="AR36" s="49">
        <f t="shared" si="26"/>
        <v>0</v>
      </c>
      <c r="AS36" s="49">
        <f t="shared" si="27"/>
        <v>-0.95639999999999992</v>
      </c>
      <c r="AT36" s="49">
        <f t="shared" si="28"/>
        <v>0</v>
      </c>
      <c r="AU36" s="49">
        <f t="shared" si="29"/>
        <v>0</v>
      </c>
      <c r="AV36" s="49">
        <f t="shared" si="30"/>
        <v>-0.95639999999999992</v>
      </c>
      <c r="AW36" s="49">
        <f t="shared" si="31"/>
        <v>0</v>
      </c>
      <c r="AX36" s="49">
        <f t="shared" si="32"/>
        <v>0</v>
      </c>
      <c r="AY36" s="49">
        <f t="shared" si="33"/>
        <v>-1.2751999999999999</v>
      </c>
      <c r="AZ36" s="49">
        <f t="shared" si="34"/>
        <v>0</v>
      </c>
      <c r="BA36" s="49">
        <f t="shared" si="35"/>
        <v>0</v>
      </c>
      <c r="BB36" s="49">
        <f t="shared" si="36"/>
        <v>-1.2751999999999999</v>
      </c>
      <c r="BC36" s="49">
        <f t="shared" si="37"/>
        <v>0</v>
      </c>
      <c r="BD36" s="49">
        <f t="shared" si="38"/>
        <v>0</v>
      </c>
      <c r="BE36" s="49">
        <f t="shared" si="39"/>
        <v>-12.609337</v>
      </c>
      <c r="BF36" s="49">
        <f t="shared" si="40"/>
        <v>0</v>
      </c>
      <c r="BG36" s="49">
        <f t="shared" si="41"/>
        <v>0</v>
      </c>
      <c r="BH36" s="49">
        <f t="shared" si="42"/>
        <v>-12.609337</v>
      </c>
      <c r="BI36" s="49">
        <f t="shared" si="43"/>
        <v>0</v>
      </c>
      <c r="BJ36" s="49">
        <f t="shared" si="44"/>
        <v>0</v>
      </c>
      <c r="BK36" s="49">
        <f t="shared" si="45"/>
        <v>-1.3278019999999999</v>
      </c>
      <c r="BL36" s="49">
        <f t="shared" si="46"/>
        <v>0</v>
      </c>
      <c r="BM36" s="49">
        <f t="shared" si="47"/>
        <v>0</v>
      </c>
      <c r="BN36" s="49">
        <f t="shared" si="48"/>
        <v>-1.3278019999999999</v>
      </c>
      <c r="BO36" s="49">
        <f t="shared" si="49"/>
        <v>0</v>
      </c>
      <c r="BP36" s="49">
        <f t="shared" si="50"/>
        <v>0</v>
      </c>
      <c r="BQ36" s="49">
        <f t="shared" si="51"/>
        <v>-4.782</v>
      </c>
      <c r="BR36" s="49">
        <f t="shared" si="52"/>
        <v>0</v>
      </c>
      <c r="BS36" s="49">
        <f t="shared" si="53"/>
        <v>0</v>
      </c>
      <c r="BT36" s="49">
        <f t="shared" si="54"/>
        <v>-4.782</v>
      </c>
      <c r="BU36" s="49">
        <f t="shared" si="55"/>
        <v>0</v>
      </c>
      <c r="BV36" s="49">
        <f t="shared" si="56"/>
        <v>0</v>
      </c>
      <c r="BW36" s="49">
        <f t="shared" si="57"/>
        <v>-4.2679349999999996</v>
      </c>
      <c r="BX36" s="49">
        <f t="shared" si="58"/>
        <v>0</v>
      </c>
      <c r="BY36" s="49">
        <f t="shared" si="59"/>
        <v>0</v>
      </c>
      <c r="BZ36" s="49">
        <f t="shared" si="60"/>
        <v>-4.2679349999999996</v>
      </c>
      <c r="CA36" s="49">
        <f t="shared" si="61"/>
        <v>0</v>
      </c>
      <c r="CB36" s="49">
        <f t="shared" si="62"/>
        <v>0</v>
      </c>
      <c r="CC36" s="49">
        <f t="shared" si="63"/>
        <v>-0.95639999999999992</v>
      </c>
      <c r="CD36" s="49">
        <f t="shared" si="64"/>
        <v>0</v>
      </c>
      <c r="CE36" s="49">
        <f t="shared" si="65"/>
        <v>0</v>
      </c>
      <c r="CF36" s="49">
        <f t="shared" si="66"/>
        <v>-0.95639999999999992</v>
      </c>
      <c r="CG36" s="49">
        <f t="shared" si="67"/>
        <v>0</v>
      </c>
      <c r="CH36" s="49">
        <f t="shared" si="68"/>
        <v>0</v>
      </c>
      <c r="CI36" s="49">
        <f t="shared" si="69"/>
        <v>-1.2751999999999999</v>
      </c>
      <c r="CJ36" s="49">
        <f t="shared" si="70"/>
        <v>0</v>
      </c>
      <c r="CK36" s="49">
        <f t="shared" si="71"/>
        <v>0</v>
      </c>
      <c r="CL36" s="49">
        <f t="shared" si="72"/>
        <v>-1.2751999999999999</v>
      </c>
      <c r="CM36" s="49">
        <f t="shared" si="73"/>
        <v>0</v>
      </c>
      <c r="CN36" s="49">
        <f t="shared" si="74"/>
        <v>0</v>
      </c>
      <c r="CO36" s="49">
        <f t="shared" si="75"/>
        <v>-12.609337</v>
      </c>
      <c r="CP36" s="49">
        <f t="shared" si="76"/>
        <v>0</v>
      </c>
      <c r="CQ36" s="49">
        <f t="shared" si="77"/>
        <v>0</v>
      </c>
      <c r="CR36" s="81">
        <f t="shared" si="78"/>
        <v>-12.609337</v>
      </c>
      <c r="CS36" s="80">
        <f t="shared" si="79"/>
        <v>-19.270662999999999</v>
      </c>
      <c r="CT36" s="54"/>
      <c r="CU36" s="3" t="str">
        <f t="shared" si="80"/>
        <v>ARS</v>
      </c>
      <c r="CV36" s="3">
        <f>VLOOKUP(CU36,DF:DG,2,0)</f>
        <v>6.9185169999999997E-4</v>
      </c>
      <c r="CW36" s="23">
        <f t="shared" si="81"/>
        <v>-2.2056232195999999E-2</v>
      </c>
      <c r="CX36" s="23">
        <f t="shared" si="82"/>
        <v>-9.1864207096339987E-4</v>
      </c>
      <c r="CY36" s="23">
        <f t="shared" si="83"/>
        <v>-3.3084348293999999E-3</v>
      </c>
      <c r="CZ36" s="23">
        <f t="shared" si="84"/>
        <v>-2.9527780852394996E-3</v>
      </c>
      <c r="DA36" s="23">
        <f t="shared" si="85"/>
        <v>-6.6168696587999988E-4</v>
      </c>
      <c r="DB36" s="23">
        <f t="shared" si="86"/>
        <v>-8.8224928783999987E-4</v>
      </c>
      <c r="DC36" s="23">
        <f t="shared" si="87"/>
        <v>-1.3332440956677098E-2</v>
      </c>
      <c r="DD36" s="34" t="e">
        <f>VLOOKUP(A36,'Billing Report'!H:I,2,FALSE)</f>
        <v>#N/A</v>
      </c>
      <c r="DE36" s="34"/>
      <c r="DF36" s="61" t="s">
        <v>343</v>
      </c>
      <c r="DG36" s="62">
        <v>8.2094881000000005E-3</v>
      </c>
      <c r="DH36"/>
      <c r="DI36" s="41"/>
      <c r="DJ36" s="41"/>
    </row>
    <row r="37" spans="1:114" ht="14.5" x14ac:dyDescent="0.35">
      <c r="A37" s="63">
        <v>40930072</v>
      </c>
      <c r="B37" s="3" t="s">
        <v>582</v>
      </c>
      <c r="C37" s="3">
        <v>309496901</v>
      </c>
      <c r="D37" s="3" t="s">
        <v>93</v>
      </c>
      <c r="G37" s="38">
        <v>298461.32</v>
      </c>
      <c r="J37" s="33">
        <f>VLOOKUP($B37,'IMS Commission List'!E:CE,79,0)/100</f>
        <v>0.15</v>
      </c>
      <c r="K37" s="79">
        <f t="shared" si="0"/>
        <v>298461.32</v>
      </c>
      <c r="L37" s="3" t="str">
        <f>VLOOKUP($B37,'IMS Commission List'!E:V,18,0)</f>
        <v>ARS</v>
      </c>
      <c r="M37" s="3">
        <v>1</v>
      </c>
      <c r="N37" s="3" t="str">
        <f>VLOOKUP($B37,'IMS Commission List'!E:T,16,0)</f>
        <v>MX</v>
      </c>
      <c r="O37" s="54">
        <f>VLOOKUP($B37,'IMS Commission List'!E:CF,80,0)</f>
        <v>4.9000000000000002E-2</v>
      </c>
      <c r="P37" s="54">
        <f>VLOOKUP($B37,'IMS Commission List'!E:CG,81,0)</f>
        <v>0.1575</v>
      </c>
      <c r="Q37" s="54">
        <f>VLOOKUP($B37,'IMS Commission List'!E:CP,90,0)</f>
        <v>0.03</v>
      </c>
      <c r="R37" s="54">
        <f>VLOOKUP($B37,'IMS Commission List'!E:CQ,91,0)</f>
        <v>0.04</v>
      </c>
      <c r="S37" s="47">
        <f t="shared" si="1"/>
        <v>0</v>
      </c>
      <c r="T37" s="48">
        <f t="shared" si="2"/>
        <v>0</v>
      </c>
      <c r="U37" s="48">
        <f t="shared" si="3"/>
        <v>298461.32</v>
      </c>
      <c r="V37" s="48">
        <f t="shared" si="4"/>
        <v>0</v>
      </c>
      <c r="W37" s="48">
        <f t="shared" si="5"/>
        <v>0</v>
      </c>
      <c r="X37" s="49">
        <f t="shared" si="6"/>
        <v>298461.32</v>
      </c>
      <c r="Y37" s="49">
        <f t="shared" si="7"/>
        <v>0</v>
      </c>
      <c r="Z37" s="49">
        <f t="shared" si="8"/>
        <v>0</v>
      </c>
      <c r="AA37" s="49">
        <f t="shared" si="9"/>
        <v>12430.913978</v>
      </c>
      <c r="AB37" s="49">
        <f t="shared" si="10"/>
        <v>0</v>
      </c>
      <c r="AC37" s="49">
        <f t="shared" si="11"/>
        <v>0</v>
      </c>
      <c r="AD37" s="49">
        <f t="shared" si="12"/>
        <v>12430.913978</v>
      </c>
      <c r="AE37" s="49">
        <f t="shared" si="13"/>
        <v>0</v>
      </c>
      <c r="AF37" s="49">
        <f t="shared" si="14"/>
        <v>0</v>
      </c>
      <c r="AG37" s="49">
        <f t="shared" si="15"/>
        <v>44769.197999999997</v>
      </c>
      <c r="AH37" s="49">
        <f t="shared" si="16"/>
        <v>0</v>
      </c>
      <c r="AI37" s="49">
        <f t="shared" si="17"/>
        <v>0</v>
      </c>
      <c r="AJ37" s="49">
        <f t="shared" si="18"/>
        <v>44769.197999999997</v>
      </c>
      <c r="AK37" s="49">
        <f t="shared" si="19"/>
        <v>0</v>
      </c>
      <c r="AL37" s="49">
        <f t="shared" si="20"/>
        <v>0</v>
      </c>
      <c r="AM37" s="49">
        <f t="shared" si="21"/>
        <v>39956.509214999998</v>
      </c>
      <c r="AN37" s="49">
        <f t="shared" si="22"/>
        <v>0</v>
      </c>
      <c r="AO37" s="49">
        <f t="shared" si="23"/>
        <v>0</v>
      </c>
      <c r="AP37" s="49">
        <f t="shared" si="24"/>
        <v>39956.509214999998</v>
      </c>
      <c r="AQ37" s="49">
        <f t="shared" si="25"/>
        <v>0</v>
      </c>
      <c r="AR37" s="49">
        <f t="shared" si="26"/>
        <v>0</v>
      </c>
      <c r="AS37" s="49">
        <f t="shared" si="27"/>
        <v>8953.8395999999993</v>
      </c>
      <c r="AT37" s="49">
        <f t="shared" si="28"/>
        <v>0</v>
      </c>
      <c r="AU37" s="49">
        <f t="shared" si="29"/>
        <v>0</v>
      </c>
      <c r="AV37" s="49">
        <f t="shared" si="30"/>
        <v>8953.8395999999993</v>
      </c>
      <c r="AW37" s="49">
        <f t="shared" si="31"/>
        <v>0</v>
      </c>
      <c r="AX37" s="49">
        <f t="shared" si="32"/>
        <v>0</v>
      </c>
      <c r="AY37" s="49">
        <f t="shared" si="33"/>
        <v>11938.452800000001</v>
      </c>
      <c r="AZ37" s="49">
        <f t="shared" si="34"/>
        <v>0</v>
      </c>
      <c r="BA37" s="49">
        <f t="shared" si="35"/>
        <v>0</v>
      </c>
      <c r="BB37" s="49">
        <f t="shared" si="36"/>
        <v>11938.452800000001</v>
      </c>
      <c r="BC37" s="49">
        <f t="shared" si="37"/>
        <v>0</v>
      </c>
      <c r="BD37" s="49">
        <f t="shared" si="38"/>
        <v>0</v>
      </c>
      <c r="BE37" s="49">
        <f t="shared" si="39"/>
        <v>118048.913593</v>
      </c>
      <c r="BF37" s="49">
        <f t="shared" si="40"/>
        <v>0</v>
      </c>
      <c r="BG37" s="49">
        <f t="shared" si="41"/>
        <v>0</v>
      </c>
      <c r="BH37" s="49">
        <f t="shared" si="42"/>
        <v>118048.913593</v>
      </c>
      <c r="BI37" s="49">
        <f t="shared" si="43"/>
        <v>0</v>
      </c>
      <c r="BJ37" s="49">
        <f t="shared" si="44"/>
        <v>0</v>
      </c>
      <c r="BK37" s="49">
        <f t="shared" si="45"/>
        <v>12430.913978</v>
      </c>
      <c r="BL37" s="49">
        <f t="shared" si="46"/>
        <v>0</v>
      </c>
      <c r="BM37" s="49">
        <f t="shared" si="47"/>
        <v>0</v>
      </c>
      <c r="BN37" s="49">
        <f t="shared" si="48"/>
        <v>12430.913978</v>
      </c>
      <c r="BO37" s="49">
        <f t="shared" si="49"/>
        <v>0</v>
      </c>
      <c r="BP37" s="49">
        <f t="shared" si="50"/>
        <v>0</v>
      </c>
      <c r="BQ37" s="49">
        <f t="shared" si="51"/>
        <v>44769.197999999997</v>
      </c>
      <c r="BR37" s="49">
        <f t="shared" si="52"/>
        <v>0</v>
      </c>
      <c r="BS37" s="49">
        <f t="shared" si="53"/>
        <v>0</v>
      </c>
      <c r="BT37" s="49">
        <f t="shared" si="54"/>
        <v>44769.197999999997</v>
      </c>
      <c r="BU37" s="49">
        <f t="shared" si="55"/>
        <v>0</v>
      </c>
      <c r="BV37" s="49">
        <f t="shared" si="56"/>
        <v>0</v>
      </c>
      <c r="BW37" s="49">
        <f t="shared" si="57"/>
        <v>39956.509214999998</v>
      </c>
      <c r="BX37" s="49">
        <f t="shared" si="58"/>
        <v>0</v>
      </c>
      <c r="BY37" s="49">
        <f t="shared" si="59"/>
        <v>0</v>
      </c>
      <c r="BZ37" s="49">
        <f t="shared" si="60"/>
        <v>39956.509214999998</v>
      </c>
      <c r="CA37" s="49">
        <f t="shared" si="61"/>
        <v>0</v>
      </c>
      <c r="CB37" s="49">
        <f t="shared" si="62"/>
        <v>0</v>
      </c>
      <c r="CC37" s="49">
        <f t="shared" si="63"/>
        <v>8953.8395999999993</v>
      </c>
      <c r="CD37" s="49">
        <f t="shared" si="64"/>
        <v>0</v>
      </c>
      <c r="CE37" s="49">
        <f t="shared" si="65"/>
        <v>0</v>
      </c>
      <c r="CF37" s="49">
        <f t="shared" si="66"/>
        <v>8953.8395999999993</v>
      </c>
      <c r="CG37" s="49">
        <f t="shared" si="67"/>
        <v>0</v>
      </c>
      <c r="CH37" s="49">
        <f t="shared" si="68"/>
        <v>0</v>
      </c>
      <c r="CI37" s="49">
        <f t="shared" si="69"/>
        <v>11938.452800000001</v>
      </c>
      <c r="CJ37" s="49">
        <f t="shared" si="70"/>
        <v>0</v>
      </c>
      <c r="CK37" s="49">
        <f t="shared" si="71"/>
        <v>0</v>
      </c>
      <c r="CL37" s="49">
        <f t="shared" si="72"/>
        <v>11938.452800000001</v>
      </c>
      <c r="CM37" s="49">
        <f t="shared" si="73"/>
        <v>0</v>
      </c>
      <c r="CN37" s="49">
        <f t="shared" si="74"/>
        <v>0</v>
      </c>
      <c r="CO37" s="49">
        <f t="shared" si="75"/>
        <v>118048.913593</v>
      </c>
      <c r="CP37" s="49">
        <f t="shared" si="76"/>
        <v>0</v>
      </c>
      <c r="CQ37" s="49">
        <f t="shared" si="77"/>
        <v>0</v>
      </c>
      <c r="CR37" s="81">
        <f t="shared" si="78"/>
        <v>118048.913593</v>
      </c>
      <c r="CS37" s="80">
        <f t="shared" si="79"/>
        <v>180412.406407</v>
      </c>
      <c r="CT37" s="54"/>
      <c r="CU37" s="3" t="str">
        <f t="shared" si="80"/>
        <v>ARS</v>
      </c>
      <c r="CV37" s="3">
        <f>VLOOKUP(CU37,DF:DG,2,0)</f>
        <v>6.9185169999999997E-4</v>
      </c>
      <c r="CW37" s="23">
        <f t="shared" si="81"/>
        <v>206.490971626244</v>
      </c>
      <c r="CX37" s="23">
        <f t="shared" si="82"/>
        <v>8.6003489682330621</v>
      </c>
      <c r="CY37" s="23">
        <f t="shared" si="83"/>
        <v>30.973645743936597</v>
      </c>
      <c r="CZ37" s="23">
        <f t="shared" si="84"/>
        <v>27.643978826463414</v>
      </c>
      <c r="DA37" s="23">
        <f t="shared" si="85"/>
        <v>6.1947291487873191</v>
      </c>
      <c r="DB37" s="23">
        <f t="shared" si="86"/>
        <v>8.2596388650497605</v>
      </c>
      <c r="DC37" s="23">
        <f t="shared" si="87"/>
        <v>124.81863007377383</v>
      </c>
      <c r="DD37" s="34" t="str">
        <f>VLOOKUP(A37,'Billing Report'!H:I,2,FALSE)</f>
        <v>yoy-sv-brandformance-alcance</v>
      </c>
      <c r="DE37" s="34"/>
      <c r="DF37" s="61" t="s">
        <v>341</v>
      </c>
      <c r="DG37" s="62">
        <v>6.4860528000000002E-3</v>
      </c>
      <c r="DH37"/>
      <c r="DI37" s="41"/>
      <c r="DJ37" s="41"/>
    </row>
    <row r="38" spans="1:114" ht="14.5" x14ac:dyDescent="0.35">
      <c r="A38" s="63">
        <v>40775999</v>
      </c>
      <c r="B38" s="3" t="s">
        <v>582</v>
      </c>
      <c r="C38" s="3">
        <v>309496901</v>
      </c>
      <c r="D38" s="3" t="s">
        <v>93</v>
      </c>
      <c r="G38" s="38">
        <v>311760.77</v>
      </c>
      <c r="J38" s="33">
        <f>VLOOKUP($B38,'IMS Commission List'!E:CE,79,0)/100</f>
        <v>0.15</v>
      </c>
      <c r="K38" s="79">
        <f t="shared" si="0"/>
        <v>311760.77</v>
      </c>
      <c r="L38" s="3" t="str">
        <f>VLOOKUP($B38,'IMS Commission List'!E:V,18,0)</f>
        <v>ARS</v>
      </c>
      <c r="M38" s="3">
        <v>1</v>
      </c>
      <c r="N38" s="3" t="str">
        <f>VLOOKUP($B38,'IMS Commission List'!E:T,16,0)</f>
        <v>MX</v>
      </c>
      <c r="O38" s="54">
        <f>VLOOKUP($B38,'IMS Commission List'!E:CF,80,0)</f>
        <v>4.9000000000000002E-2</v>
      </c>
      <c r="P38" s="54">
        <f>VLOOKUP($B38,'IMS Commission List'!E:CG,81,0)</f>
        <v>0.1575</v>
      </c>
      <c r="Q38" s="54">
        <f>VLOOKUP($B38,'IMS Commission List'!E:CP,90,0)</f>
        <v>0.03</v>
      </c>
      <c r="R38" s="54">
        <f>VLOOKUP($B38,'IMS Commission List'!E:CQ,91,0)</f>
        <v>0.04</v>
      </c>
      <c r="S38" s="47">
        <f t="shared" si="1"/>
        <v>0</v>
      </c>
      <c r="T38" s="48">
        <f t="shared" si="2"/>
        <v>0</v>
      </c>
      <c r="U38" s="48">
        <f t="shared" si="3"/>
        <v>311760.77</v>
      </c>
      <c r="V38" s="48">
        <f t="shared" si="4"/>
        <v>0</v>
      </c>
      <c r="W38" s="48">
        <f t="shared" si="5"/>
        <v>0</v>
      </c>
      <c r="X38" s="49">
        <f t="shared" si="6"/>
        <v>311760.77</v>
      </c>
      <c r="Y38" s="49">
        <f t="shared" si="7"/>
        <v>0</v>
      </c>
      <c r="Z38" s="49">
        <f t="shared" si="8"/>
        <v>0</v>
      </c>
      <c r="AA38" s="49">
        <f t="shared" si="9"/>
        <v>12984.836070500001</v>
      </c>
      <c r="AB38" s="49">
        <f t="shared" si="10"/>
        <v>0</v>
      </c>
      <c r="AC38" s="49">
        <f t="shared" si="11"/>
        <v>0</v>
      </c>
      <c r="AD38" s="49">
        <f t="shared" si="12"/>
        <v>12984.836070500001</v>
      </c>
      <c r="AE38" s="49">
        <f t="shared" si="13"/>
        <v>0</v>
      </c>
      <c r="AF38" s="49">
        <f t="shared" si="14"/>
        <v>0</v>
      </c>
      <c r="AG38" s="49">
        <f t="shared" si="15"/>
        <v>46764.1155</v>
      </c>
      <c r="AH38" s="49">
        <f t="shared" si="16"/>
        <v>0</v>
      </c>
      <c r="AI38" s="49">
        <f t="shared" si="17"/>
        <v>0</v>
      </c>
      <c r="AJ38" s="49">
        <f t="shared" si="18"/>
        <v>46764.1155</v>
      </c>
      <c r="AK38" s="49">
        <f t="shared" si="19"/>
        <v>0</v>
      </c>
      <c r="AL38" s="49">
        <f t="shared" si="20"/>
        <v>0</v>
      </c>
      <c r="AM38" s="49">
        <f t="shared" si="21"/>
        <v>41736.973083750003</v>
      </c>
      <c r="AN38" s="49">
        <f t="shared" si="22"/>
        <v>0</v>
      </c>
      <c r="AO38" s="49">
        <f t="shared" si="23"/>
        <v>0</v>
      </c>
      <c r="AP38" s="49">
        <f t="shared" si="24"/>
        <v>41736.973083750003</v>
      </c>
      <c r="AQ38" s="49">
        <f t="shared" si="25"/>
        <v>0</v>
      </c>
      <c r="AR38" s="49">
        <f t="shared" si="26"/>
        <v>0</v>
      </c>
      <c r="AS38" s="49">
        <f t="shared" si="27"/>
        <v>9352.8230999999996</v>
      </c>
      <c r="AT38" s="49">
        <f t="shared" si="28"/>
        <v>0</v>
      </c>
      <c r="AU38" s="49">
        <f t="shared" si="29"/>
        <v>0</v>
      </c>
      <c r="AV38" s="49">
        <f t="shared" si="30"/>
        <v>9352.8230999999996</v>
      </c>
      <c r="AW38" s="49">
        <f t="shared" si="31"/>
        <v>0</v>
      </c>
      <c r="AX38" s="49">
        <f t="shared" si="32"/>
        <v>0</v>
      </c>
      <c r="AY38" s="49">
        <f t="shared" si="33"/>
        <v>12470.430800000002</v>
      </c>
      <c r="AZ38" s="49">
        <f t="shared" si="34"/>
        <v>0</v>
      </c>
      <c r="BA38" s="49">
        <f t="shared" si="35"/>
        <v>0</v>
      </c>
      <c r="BB38" s="49">
        <f t="shared" si="36"/>
        <v>12470.430800000002</v>
      </c>
      <c r="BC38" s="49">
        <f t="shared" si="37"/>
        <v>0</v>
      </c>
      <c r="BD38" s="49">
        <f t="shared" si="38"/>
        <v>0</v>
      </c>
      <c r="BE38" s="49">
        <f t="shared" si="39"/>
        <v>123309.17855425</v>
      </c>
      <c r="BF38" s="49">
        <f t="shared" si="40"/>
        <v>0</v>
      </c>
      <c r="BG38" s="49">
        <f t="shared" si="41"/>
        <v>0</v>
      </c>
      <c r="BH38" s="49">
        <f t="shared" si="42"/>
        <v>123309.17855425</v>
      </c>
      <c r="BI38" s="49">
        <f t="shared" si="43"/>
        <v>0</v>
      </c>
      <c r="BJ38" s="49">
        <f t="shared" si="44"/>
        <v>0</v>
      </c>
      <c r="BK38" s="49">
        <f t="shared" si="45"/>
        <v>12984.836070500001</v>
      </c>
      <c r="BL38" s="49">
        <f t="shared" si="46"/>
        <v>0</v>
      </c>
      <c r="BM38" s="49">
        <f t="shared" si="47"/>
        <v>0</v>
      </c>
      <c r="BN38" s="49">
        <f t="shared" si="48"/>
        <v>12984.836070500001</v>
      </c>
      <c r="BO38" s="49">
        <f t="shared" si="49"/>
        <v>0</v>
      </c>
      <c r="BP38" s="49">
        <f t="shared" si="50"/>
        <v>0</v>
      </c>
      <c r="BQ38" s="49">
        <f t="shared" si="51"/>
        <v>46764.1155</v>
      </c>
      <c r="BR38" s="49">
        <f t="shared" si="52"/>
        <v>0</v>
      </c>
      <c r="BS38" s="49">
        <f t="shared" si="53"/>
        <v>0</v>
      </c>
      <c r="BT38" s="49">
        <f t="shared" si="54"/>
        <v>46764.1155</v>
      </c>
      <c r="BU38" s="49">
        <f t="shared" si="55"/>
        <v>0</v>
      </c>
      <c r="BV38" s="49">
        <f t="shared" si="56"/>
        <v>0</v>
      </c>
      <c r="BW38" s="49">
        <f t="shared" si="57"/>
        <v>41736.973083750003</v>
      </c>
      <c r="BX38" s="49">
        <f t="shared" si="58"/>
        <v>0</v>
      </c>
      <c r="BY38" s="49">
        <f t="shared" si="59"/>
        <v>0</v>
      </c>
      <c r="BZ38" s="49">
        <f t="shared" si="60"/>
        <v>41736.973083750003</v>
      </c>
      <c r="CA38" s="49">
        <f t="shared" si="61"/>
        <v>0</v>
      </c>
      <c r="CB38" s="49">
        <f t="shared" si="62"/>
        <v>0</v>
      </c>
      <c r="CC38" s="49">
        <f t="shared" si="63"/>
        <v>9352.8230999999996</v>
      </c>
      <c r="CD38" s="49">
        <f t="shared" si="64"/>
        <v>0</v>
      </c>
      <c r="CE38" s="49">
        <f t="shared" si="65"/>
        <v>0</v>
      </c>
      <c r="CF38" s="49">
        <f t="shared" si="66"/>
        <v>9352.8230999999996</v>
      </c>
      <c r="CG38" s="49">
        <f t="shared" si="67"/>
        <v>0</v>
      </c>
      <c r="CH38" s="49">
        <f t="shared" si="68"/>
        <v>0</v>
      </c>
      <c r="CI38" s="49">
        <f t="shared" si="69"/>
        <v>12470.430800000002</v>
      </c>
      <c r="CJ38" s="49">
        <f t="shared" si="70"/>
        <v>0</v>
      </c>
      <c r="CK38" s="49">
        <f t="shared" si="71"/>
        <v>0</v>
      </c>
      <c r="CL38" s="49">
        <f t="shared" si="72"/>
        <v>12470.430800000002</v>
      </c>
      <c r="CM38" s="49">
        <f t="shared" si="73"/>
        <v>0</v>
      </c>
      <c r="CN38" s="49">
        <f t="shared" si="74"/>
        <v>0</v>
      </c>
      <c r="CO38" s="49">
        <f t="shared" si="75"/>
        <v>123309.17855425</v>
      </c>
      <c r="CP38" s="49">
        <f t="shared" si="76"/>
        <v>0</v>
      </c>
      <c r="CQ38" s="49">
        <f t="shared" si="77"/>
        <v>0</v>
      </c>
      <c r="CR38" s="81">
        <f t="shared" si="78"/>
        <v>123309.17855425</v>
      </c>
      <c r="CS38" s="80">
        <f t="shared" si="79"/>
        <v>188451.59144575003</v>
      </c>
      <c r="CT38" s="54"/>
      <c r="CU38" s="3" t="str">
        <f t="shared" si="80"/>
        <v>ARS</v>
      </c>
      <c r="CV38" s="3">
        <f>VLOOKUP(CU38,DF:DG,2,0)</f>
        <v>6.9185169999999997E-4</v>
      </c>
      <c r="CW38" s="23">
        <f t="shared" si="81"/>
        <v>215.692218717809</v>
      </c>
      <c r="CX38" s="23">
        <f t="shared" si="82"/>
        <v>8.9835809095967463</v>
      </c>
      <c r="CY38" s="23">
        <f t="shared" si="83"/>
        <v>32.353832807671346</v>
      </c>
      <c r="CZ38" s="23">
        <f t="shared" si="84"/>
        <v>28.87579578084668</v>
      </c>
      <c r="DA38" s="23">
        <f t="shared" si="85"/>
        <v>6.4707665615342691</v>
      </c>
      <c r="DB38" s="23">
        <f t="shared" si="86"/>
        <v>8.6276887487123606</v>
      </c>
      <c r="DC38" s="23">
        <f t="shared" si="87"/>
        <v>130.3805539094476</v>
      </c>
      <c r="DD38" s="34" t="str">
        <f>VLOOKUP(A38,'Billing Report'!H:I,2,FALSE)</f>
        <v>yoy-brandformance-alcance</v>
      </c>
      <c r="DE38" s="34"/>
      <c r="DF38" s="61" t="s">
        <v>342</v>
      </c>
      <c r="DG38" s="62">
        <v>7.7470997000000002E-3</v>
      </c>
      <c r="DH38"/>
      <c r="DI38" s="41"/>
      <c r="DJ38" s="41"/>
    </row>
    <row r="39" spans="1:114" ht="14.5" x14ac:dyDescent="0.35">
      <c r="A39" s="63">
        <v>39718034</v>
      </c>
      <c r="B39" s="3" t="s">
        <v>588</v>
      </c>
      <c r="C39" s="3">
        <v>310117401</v>
      </c>
      <c r="D39" s="3" t="s">
        <v>93</v>
      </c>
      <c r="G39" s="38">
        <v>2007664.48</v>
      </c>
      <c r="J39" s="33">
        <f>VLOOKUP($B39,'IMS Commission List'!E:CE,79,0)/100</f>
        <v>0.15</v>
      </c>
      <c r="K39" s="79">
        <f t="shared" ref="K39:K70" si="88">SUM(E39:I39)</f>
        <v>2007664.48</v>
      </c>
      <c r="L39" s="3" t="str">
        <f>VLOOKUP($B39,'IMS Commission List'!E:V,18,0)</f>
        <v>ARS</v>
      </c>
      <c r="M39" s="3">
        <v>1</v>
      </c>
      <c r="N39" s="3" t="str">
        <f>VLOOKUP($B39,'IMS Commission List'!E:T,16,0)</f>
        <v>MX</v>
      </c>
      <c r="O39" s="54">
        <f>VLOOKUP($B39,'IMS Commission List'!E:CF,80,0)</f>
        <v>4.9000000000000002E-2</v>
      </c>
      <c r="P39" s="54">
        <f>VLOOKUP($B39,'IMS Commission List'!E:CG,81,0)</f>
        <v>0.1575</v>
      </c>
      <c r="Q39" s="54">
        <f>VLOOKUP($B39,'IMS Commission List'!E:CP,90,0)</f>
        <v>0.03</v>
      </c>
      <c r="R39" s="54">
        <f>VLOOKUP($B39,'IMS Commission List'!E:CQ,91,0)</f>
        <v>0.04</v>
      </c>
      <c r="S39" s="47">
        <f t="shared" ref="S39:S70" si="89">$E39*$M39</f>
        <v>0</v>
      </c>
      <c r="T39" s="48">
        <f t="shared" ref="T39:T70" si="90">$F39*$M39</f>
        <v>0</v>
      </c>
      <c r="U39" s="48">
        <f t="shared" ref="U39:U70" si="91">$G39*$M39</f>
        <v>2007664.48</v>
      </c>
      <c r="V39" s="48">
        <f t="shared" ref="V39:V70" si="92">$H39*$M39</f>
        <v>0</v>
      </c>
      <c r="W39" s="48">
        <f t="shared" ref="W39:W70" si="93">$I39*$M39</f>
        <v>0</v>
      </c>
      <c r="X39" s="49">
        <f t="shared" ref="X39:X70" si="94">$K39*$M39</f>
        <v>2007664.48</v>
      </c>
      <c r="Y39" s="49">
        <f t="shared" ref="Y39:Y70" si="95">(S39*$O39)*(1-J39)</f>
        <v>0</v>
      </c>
      <c r="Z39" s="49">
        <f t="shared" ref="Z39:Z70" si="96">(T39*$O39)*(1-J39)</f>
        <v>0</v>
      </c>
      <c r="AA39" s="49">
        <f t="shared" ref="AA39:AA70" si="97">(U39*$O39)*(1-J39)</f>
        <v>83619.225592000003</v>
      </c>
      <c r="AB39" s="49">
        <f t="shared" ref="AB39:AB70" si="98">(V39*$O39)*(1-J39)</f>
        <v>0</v>
      </c>
      <c r="AC39" s="49">
        <f t="shared" ref="AC39:AC70" si="99">(W39*$O39)*(1-J39)</f>
        <v>0</v>
      </c>
      <c r="AD39" s="49">
        <f t="shared" ref="AD39:AD70" si="100">SUM(Y39:AC39)</f>
        <v>83619.225592000003</v>
      </c>
      <c r="AE39" s="49">
        <f t="shared" ref="AE39:AE70" si="101">S39*$J39</f>
        <v>0</v>
      </c>
      <c r="AF39" s="49">
        <f t="shared" ref="AF39:AF70" si="102">T39*$J39</f>
        <v>0</v>
      </c>
      <c r="AG39" s="49">
        <f t="shared" ref="AG39:AG70" si="103">U39*$J39</f>
        <v>301149.67199999996</v>
      </c>
      <c r="AH39" s="49">
        <f t="shared" ref="AH39:AH70" si="104">V39*$J39</f>
        <v>0</v>
      </c>
      <c r="AI39" s="49">
        <f t="shared" ref="AI39:AI70" si="105">W39*$J39</f>
        <v>0</v>
      </c>
      <c r="AJ39" s="49">
        <f t="shared" ref="AJ39:AJ70" si="106">SUM(AE39:AI39)</f>
        <v>301149.67199999996</v>
      </c>
      <c r="AK39" s="49">
        <f t="shared" ref="AK39:AK70" si="107">($P39*S39)*(1-$J39)</f>
        <v>0</v>
      </c>
      <c r="AL39" s="49">
        <f t="shared" ref="AL39:AL70" si="108">($P39*T39)*(1-$J39)</f>
        <v>0</v>
      </c>
      <c r="AM39" s="49">
        <f t="shared" ref="AM39:AM70" si="109">($P39*U39)*(1-$J39)</f>
        <v>268776.08226</v>
      </c>
      <c r="AN39" s="49">
        <f t="shared" ref="AN39:AN70" si="110">($P39*V39)*(1-$J39)</f>
        <v>0</v>
      </c>
      <c r="AO39" s="49">
        <f t="shared" ref="AO39:AO70" si="111">($P39*W39)*(1-$J39)</f>
        <v>0</v>
      </c>
      <c r="AP39" s="49">
        <f t="shared" ref="AP39:AP70" si="112">SUM(AK39:AO39)</f>
        <v>268776.08226</v>
      </c>
      <c r="AQ39" s="49">
        <f t="shared" ref="AQ39:AQ70" si="113">S39*$Q39</f>
        <v>0</v>
      </c>
      <c r="AR39" s="49">
        <f t="shared" ref="AR39:AR70" si="114">T39*$Q39</f>
        <v>0</v>
      </c>
      <c r="AS39" s="49">
        <f t="shared" ref="AS39:AS70" si="115">U39*$Q39</f>
        <v>60229.934399999998</v>
      </c>
      <c r="AT39" s="49">
        <f t="shared" ref="AT39:AT70" si="116">V39*$Q39</f>
        <v>0</v>
      </c>
      <c r="AU39" s="49">
        <f t="shared" ref="AU39:AU70" si="117">W39*$Q39</f>
        <v>0</v>
      </c>
      <c r="AV39" s="49">
        <f t="shared" ref="AV39:AV70" si="118">SUM(AQ39:AU39)</f>
        <v>60229.934399999998</v>
      </c>
      <c r="AW39" s="49">
        <f t="shared" ref="AW39:AW70" si="119">S39*$R39</f>
        <v>0</v>
      </c>
      <c r="AX39" s="49">
        <f t="shared" ref="AX39:AX70" si="120">T39*$R39</f>
        <v>0</v>
      </c>
      <c r="AY39" s="49">
        <f t="shared" ref="AY39:AY70" si="121">U39*$R39</f>
        <v>80306.579200000007</v>
      </c>
      <c r="AZ39" s="49">
        <f t="shared" ref="AZ39:AZ70" si="122">V39*$R39</f>
        <v>0</v>
      </c>
      <c r="BA39" s="49">
        <f t="shared" ref="BA39:BA70" si="123">W39*$R39</f>
        <v>0</v>
      </c>
      <c r="BB39" s="49">
        <f t="shared" ref="BB39:BB70" si="124">SUM(AW39:BA39)</f>
        <v>80306.579200000007</v>
      </c>
      <c r="BC39" s="49">
        <f t="shared" ref="BC39:BC70" si="125">$Y39+$AE39+$AK39+$AQ39+AW39</f>
        <v>0</v>
      </c>
      <c r="BD39" s="49">
        <f t="shared" ref="BD39:BD70" si="126">$Z39+$AF39+$AL39+AR39+AX39</f>
        <v>0</v>
      </c>
      <c r="BE39" s="49">
        <f t="shared" ref="BE39:BE70" si="127">$AA39+$AG39+$AM39+AS39+AY39</f>
        <v>794081.49345200008</v>
      </c>
      <c r="BF39" s="49">
        <f t="shared" ref="BF39:BF70" si="128">$AB39+$AH39+$AN39+AT39+AZ39</f>
        <v>0</v>
      </c>
      <c r="BG39" s="49">
        <f t="shared" ref="BG39:BG70" si="129">$AC39+$AI39+$AO39+AU39+BA39</f>
        <v>0</v>
      </c>
      <c r="BH39" s="49">
        <f t="shared" ref="BH39:BH70" si="130">SUM(BC39:BG39)</f>
        <v>794081.49345200008</v>
      </c>
      <c r="BI39" s="49">
        <f t="shared" ref="BI39:BI70" si="131">$Y39/$M39</f>
        <v>0</v>
      </c>
      <c r="BJ39" s="49">
        <f t="shared" ref="BJ39:BJ70" si="132">$Z39/$M39</f>
        <v>0</v>
      </c>
      <c r="BK39" s="49">
        <f t="shared" ref="BK39:BK70" si="133">$AA39/$M39</f>
        <v>83619.225592000003</v>
      </c>
      <c r="BL39" s="49">
        <f t="shared" ref="BL39:BL70" si="134">$AB39/$M39</f>
        <v>0</v>
      </c>
      <c r="BM39" s="49">
        <f t="shared" ref="BM39:BM70" si="135">$AC39/$M39</f>
        <v>0</v>
      </c>
      <c r="BN39" s="49">
        <f t="shared" ref="BN39:BN70" si="136">$AD39/$M39</f>
        <v>83619.225592000003</v>
      </c>
      <c r="BO39" s="49">
        <f t="shared" ref="BO39:BO70" si="137">$AE39/$M39</f>
        <v>0</v>
      </c>
      <c r="BP39" s="49">
        <f t="shared" ref="BP39:BP70" si="138">$AF39/$M39</f>
        <v>0</v>
      </c>
      <c r="BQ39" s="49">
        <f t="shared" ref="BQ39:BQ70" si="139">$AG39/$M39</f>
        <v>301149.67199999996</v>
      </c>
      <c r="BR39" s="49">
        <f t="shared" ref="BR39:BR70" si="140">$AH39/$M39</f>
        <v>0</v>
      </c>
      <c r="BS39" s="49">
        <f t="shared" ref="BS39:BS70" si="141">$AI39/$M39</f>
        <v>0</v>
      </c>
      <c r="BT39" s="49">
        <f t="shared" ref="BT39:BT70" si="142">$AJ39/$M39</f>
        <v>301149.67199999996</v>
      </c>
      <c r="BU39" s="49">
        <f t="shared" ref="BU39:BU70" si="143">$AK39/$M39</f>
        <v>0</v>
      </c>
      <c r="BV39" s="49">
        <f t="shared" ref="BV39:BV70" si="144">$AL39/$M39</f>
        <v>0</v>
      </c>
      <c r="BW39" s="49">
        <f t="shared" ref="BW39:BW70" si="145">$AM39/$M39</f>
        <v>268776.08226</v>
      </c>
      <c r="BX39" s="49">
        <f t="shared" ref="BX39:BX70" si="146">$AN39/$M39</f>
        <v>0</v>
      </c>
      <c r="BY39" s="49">
        <f t="shared" ref="BY39:BY70" si="147">$AO39/$M39</f>
        <v>0</v>
      </c>
      <c r="BZ39" s="49">
        <f t="shared" ref="BZ39:BZ70" si="148">$AP39/$M39</f>
        <v>268776.08226</v>
      </c>
      <c r="CA39" s="49">
        <f t="shared" ref="CA39:CA70" si="149">AQ39/$M39</f>
        <v>0</v>
      </c>
      <c r="CB39" s="49">
        <f t="shared" ref="CB39:CB70" si="150">AR39/$M39</f>
        <v>0</v>
      </c>
      <c r="CC39" s="49">
        <f t="shared" ref="CC39:CC70" si="151">AS39/$M39</f>
        <v>60229.934399999998</v>
      </c>
      <c r="CD39" s="49">
        <f t="shared" ref="CD39:CD70" si="152">AT39/$M39</f>
        <v>0</v>
      </c>
      <c r="CE39" s="49">
        <f t="shared" ref="CE39:CE70" si="153">AU39/$M39</f>
        <v>0</v>
      </c>
      <c r="CF39" s="49">
        <f t="shared" ref="CF39:CF70" si="154">AV39/$M39</f>
        <v>60229.934399999998</v>
      </c>
      <c r="CG39" s="49">
        <f t="shared" ref="CG39:CG70" si="155">AW39/$M39</f>
        <v>0</v>
      </c>
      <c r="CH39" s="49">
        <f t="shared" ref="CH39:CH70" si="156">AX39/$M39</f>
        <v>0</v>
      </c>
      <c r="CI39" s="49">
        <f t="shared" ref="CI39:CI70" si="157">AY39/$M39</f>
        <v>80306.579200000007</v>
      </c>
      <c r="CJ39" s="49">
        <f t="shared" ref="CJ39:CJ70" si="158">AZ39/$M39</f>
        <v>0</v>
      </c>
      <c r="CK39" s="49">
        <f t="shared" ref="CK39:CK70" si="159">BA39/$M39</f>
        <v>0</v>
      </c>
      <c r="CL39" s="49">
        <f t="shared" ref="CL39:CL70" si="160">BB39/$M39</f>
        <v>80306.579200000007</v>
      </c>
      <c r="CM39" s="49">
        <f t="shared" ref="CM39:CM70" si="161">$BC39/$M39</f>
        <v>0</v>
      </c>
      <c r="CN39" s="49">
        <f t="shared" ref="CN39:CN70" si="162">$BD39/$M39</f>
        <v>0</v>
      </c>
      <c r="CO39" s="49">
        <f t="shared" ref="CO39:CO70" si="163">$BE39/$M39</f>
        <v>794081.49345200008</v>
      </c>
      <c r="CP39" s="49">
        <f t="shared" ref="CP39:CP70" si="164">$BF39/$M39</f>
        <v>0</v>
      </c>
      <c r="CQ39" s="49">
        <f t="shared" ref="CQ39:CQ70" si="165">$BG39/$M39</f>
        <v>0</v>
      </c>
      <c r="CR39" s="81">
        <f t="shared" ref="CR39:CR70" si="166">SUM(CM39:CQ39)</f>
        <v>794081.49345200008</v>
      </c>
      <c r="CS39" s="80">
        <f t="shared" ref="CS39:CS70" si="167">K39-CR39</f>
        <v>1213582.986548</v>
      </c>
      <c r="CT39" s="54"/>
      <c r="CU39" s="3" t="str">
        <f t="shared" ref="CU39:CU70" si="168">D39</f>
        <v>ARS</v>
      </c>
      <c r="CV39" s="3">
        <f>VLOOKUP(CU39,DF:DG,2,0)</f>
        <v>6.9185169999999997E-4</v>
      </c>
      <c r="CW39" s="23">
        <f t="shared" ref="CW39:CW70" si="169">K39*CV39</f>
        <v>1389.0060835176159</v>
      </c>
      <c r="CX39" s="23">
        <f t="shared" ref="CX39:CX70" si="170">BN39*CV39</f>
        <v>57.852103378508708</v>
      </c>
      <c r="CY39" s="23">
        <f t="shared" ref="CY39:CY70" si="171">BT39*CV39</f>
        <v>208.35091252764235</v>
      </c>
      <c r="CZ39" s="23">
        <f t="shared" ref="CZ39:CZ70" si="172">BZ39*CV39</f>
        <v>185.95318943092084</v>
      </c>
      <c r="DA39" s="23">
        <f t="shared" ref="DA39:DA70" si="173">CF39*CV39</f>
        <v>41.67018250552848</v>
      </c>
      <c r="DB39" s="23">
        <f t="shared" ref="DB39:DB70" si="174">CL39*CV39</f>
        <v>55.560243340704645</v>
      </c>
      <c r="DC39" s="23">
        <f t="shared" ref="DC39:DC70" si="175">CS39*CV39</f>
        <v>839.61945233431095</v>
      </c>
      <c r="DD39" s="34" t="str">
        <f>VLOOKUP(A39,'Billing Report'!H:I,2,FALSE)</f>
        <v>2025_MODO_BRANDING_PROMO_PROMO-DIAV2_TOTAL-PAIS_TWITTER_NU_AW_JUN-JUL</v>
      </c>
      <c r="DE39" s="34"/>
      <c r="DF39" s="61" t="s">
        <v>340</v>
      </c>
      <c r="DG39" s="62">
        <v>6.9305949999999995E-4</v>
      </c>
      <c r="DH39"/>
      <c r="DI39" s="41"/>
      <c r="DJ39" s="41"/>
    </row>
    <row r="40" spans="1:114" ht="14.5" x14ac:dyDescent="0.35">
      <c r="A40" s="63">
        <v>40884286</v>
      </c>
      <c r="B40" s="3" t="s">
        <v>658</v>
      </c>
      <c r="C40" s="3">
        <v>316314309</v>
      </c>
      <c r="D40" s="3" t="s">
        <v>93</v>
      </c>
      <c r="F40" s="35">
        <v>801900</v>
      </c>
      <c r="G40" s="38"/>
      <c r="J40" s="33">
        <f>VLOOKUP($B40,'IMS Commission List'!E:CE,79,0)/100</f>
        <v>0.15</v>
      </c>
      <c r="K40" s="79">
        <f t="shared" si="88"/>
        <v>801900</v>
      </c>
      <c r="L40" s="3" t="str">
        <f>VLOOKUP($B40,'IMS Commission List'!E:V,18,0)</f>
        <v>ARS</v>
      </c>
      <c r="M40" s="3">
        <v>1</v>
      </c>
      <c r="N40" s="3" t="str">
        <f>VLOOKUP($B40,'IMS Commission List'!E:T,16,0)</f>
        <v>MX</v>
      </c>
      <c r="O40" s="54">
        <f>VLOOKUP($B40,'IMS Commission List'!E:CF,80,0)</f>
        <v>4.9000000000000002E-2</v>
      </c>
      <c r="P40" s="54">
        <f>VLOOKUP($B40,'IMS Commission List'!E:CG,81,0)</f>
        <v>0.1575</v>
      </c>
      <c r="Q40" s="54">
        <f>VLOOKUP($B40,'IMS Commission List'!E:CP,90,0)</f>
        <v>0.03</v>
      </c>
      <c r="R40" s="54">
        <f>VLOOKUP($B40,'IMS Commission List'!E:CQ,91,0)</f>
        <v>0.04</v>
      </c>
      <c r="S40" s="47">
        <f t="shared" si="89"/>
        <v>0</v>
      </c>
      <c r="T40" s="48">
        <f t="shared" si="90"/>
        <v>801900</v>
      </c>
      <c r="U40" s="48">
        <f t="shared" si="91"/>
        <v>0</v>
      </c>
      <c r="V40" s="48">
        <f t="shared" si="92"/>
        <v>0</v>
      </c>
      <c r="W40" s="48">
        <f t="shared" si="93"/>
        <v>0</v>
      </c>
      <c r="X40" s="49">
        <f t="shared" si="94"/>
        <v>801900</v>
      </c>
      <c r="Y40" s="49">
        <f t="shared" si="95"/>
        <v>0</v>
      </c>
      <c r="Z40" s="49">
        <f t="shared" si="96"/>
        <v>33399.134999999995</v>
      </c>
      <c r="AA40" s="49">
        <f t="shared" si="97"/>
        <v>0</v>
      </c>
      <c r="AB40" s="49">
        <f t="shared" si="98"/>
        <v>0</v>
      </c>
      <c r="AC40" s="49">
        <f t="shared" si="99"/>
        <v>0</v>
      </c>
      <c r="AD40" s="49">
        <f t="shared" si="100"/>
        <v>33399.134999999995</v>
      </c>
      <c r="AE40" s="49">
        <f t="shared" si="101"/>
        <v>0</v>
      </c>
      <c r="AF40" s="49">
        <f t="shared" si="102"/>
        <v>120285</v>
      </c>
      <c r="AG40" s="49">
        <f t="shared" si="103"/>
        <v>0</v>
      </c>
      <c r="AH40" s="49">
        <f t="shared" si="104"/>
        <v>0</v>
      </c>
      <c r="AI40" s="49">
        <f t="shared" si="105"/>
        <v>0</v>
      </c>
      <c r="AJ40" s="49">
        <f t="shared" si="106"/>
        <v>120285</v>
      </c>
      <c r="AK40" s="49">
        <f t="shared" si="107"/>
        <v>0</v>
      </c>
      <c r="AL40" s="49">
        <f t="shared" si="108"/>
        <v>107354.3625</v>
      </c>
      <c r="AM40" s="49">
        <f t="shared" si="109"/>
        <v>0</v>
      </c>
      <c r="AN40" s="49">
        <f t="shared" si="110"/>
        <v>0</v>
      </c>
      <c r="AO40" s="49">
        <f t="shared" si="111"/>
        <v>0</v>
      </c>
      <c r="AP40" s="49">
        <f t="shared" si="112"/>
        <v>107354.3625</v>
      </c>
      <c r="AQ40" s="49">
        <f t="shared" si="113"/>
        <v>0</v>
      </c>
      <c r="AR40" s="49">
        <f t="shared" si="114"/>
        <v>24057</v>
      </c>
      <c r="AS40" s="49">
        <f t="shared" si="115"/>
        <v>0</v>
      </c>
      <c r="AT40" s="49">
        <f t="shared" si="116"/>
        <v>0</v>
      </c>
      <c r="AU40" s="49">
        <f t="shared" si="117"/>
        <v>0</v>
      </c>
      <c r="AV40" s="49">
        <f t="shared" si="118"/>
        <v>24057</v>
      </c>
      <c r="AW40" s="49">
        <f t="shared" si="119"/>
        <v>0</v>
      </c>
      <c r="AX40" s="49">
        <f t="shared" si="120"/>
        <v>32076</v>
      </c>
      <c r="AY40" s="49">
        <f t="shared" si="121"/>
        <v>0</v>
      </c>
      <c r="AZ40" s="49">
        <f t="shared" si="122"/>
        <v>0</v>
      </c>
      <c r="BA40" s="49">
        <f t="shared" si="123"/>
        <v>0</v>
      </c>
      <c r="BB40" s="49">
        <f t="shared" si="124"/>
        <v>32076</v>
      </c>
      <c r="BC40" s="49">
        <f t="shared" si="125"/>
        <v>0</v>
      </c>
      <c r="BD40" s="49">
        <f t="shared" si="126"/>
        <v>317171.4975</v>
      </c>
      <c r="BE40" s="49">
        <f t="shared" si="127"/>
        <v>0</v>
      </c>
      <c r="BF40" s="49">
        <f t="shared" si="128"/>
        <v>0</v>
      </c>
      <c r="BG40" s="49">
        <f t="shared" si="129"/>
        <v>0</v>
      </c>
      <c r="BH40" s="49">
        <f t="shared" si="130"/>
        <v>317171.4975</v>
      </c>
      <c r="BI40" s="49">
        <f t="shared" si="131"/>
        <v>0</v>
      </c>
      <c r="BJ40" s="49">
        <f t="shared" si="132"/>
        <v>33399.134999999995</v>
      </c>
      <c r="BK40" s="49">
        <f t="shared" si="133"/>
        <v>0</v>
      </c>
      <c r="BL40" s="49">
        <f t="shared" si="134"/>
        <v>0</v>
      </c>
      <c r="BM40" s="49">
        <f t="shared" si="135"/>
        <v>0</v>
      </c>
      <c r="BN40" s="49">
        <f t="shared" si="136"/>
        <v>33399.134999999995</v>
      </c>
      <c r="BO40" s="49">
        <f t="shared" si="137"/>
        <v>0</v>
      </c>
      <c r="BP40" s="49">
        <f t="shared" si="138"/>
        <v>120285</v>
      </c>
      <c r="BQ40" s="49">
        <f t="shared" si="139"/>
        <v>0</v>
      </c>
      <c r="BR40" s="49">
        <f t="shared" si="140"/>
        <v>0</v>
      </c>
      <c r="BS40" s="49">
        <f t="shared" si="141"/>
        <v>0</v>
      </c>
      <c r="BT40" s="49">
        <f t="shared" si="142"/>
        <v>120285</v>
      </c>
      <c r="BU40" s="49">
        <f t="shared" si="143"/>
        <v>0</v>
      </c>
      <c r="BV40" s="49">
        <f t="shared" si="144"/>
        <v>107354.3625</v>
      </c>
      <c r="BW40" s="49">
        <f t="shared" si="145"/>
        <v>0</v>
      </c>
      <c r="BX40" s="49">
        <f t="shared" si="146"/>
        <v>0</v>
      </c>
      <c r="BY40" s="49">
        <f t="shared" si="147"/>
        <v>0</v>
      </c>
      <c r="BZ40" s="49">
        <f t="shared" si="148"/>
        <v>107354.3625</v>
      </c>
      <c r="CA40" s="49">
        <f t="shared" si="149"/>
        <v>0</v>
      </c>
      <c r="CB40" s="49">
        <f t="shared" si="150"/>
        <v>24057</v>
      </c>
      <c r="CC40" s="49">
        <f t="shared" si="151"/>
        <v>0</v>
      </c>
      <c r="CD40" s="49">
        <f t="shared" si="152"/>
        <v>0</v>
      </c>
      <c r="CE40" s="49">
        <f t="shared" si="153"/>
        <v>0</v>
      </c>
      <c r="CF40" s="49">
        <f t="shared" si="154"/>
        <v>24057</v>
      </c>
      <c r="CG40" s="49">
        <f t="shared" si="155"/>
        <v>0</v>
      </c>
      <c r="CH40" s="49">
        <f t="shared" si="156"/>
        <v>32076</v>
      </c>
      <c r="CI40" s="49">
        <f t="shared" si="157"/>
        <v>0</v>
      </c>
      <c r="CJ40" s="49">
        <f t="shared" si="158"/>
        <v>0</v>
      </c>
      <c r="CK40" s="49">
        <f t="shared" si="159"/>
        <v>0</v>
      </c>
      <c r="CL40" s="49">
        <f t="shared" si="160"/>
        <v>32076</v>
      </c>
      <c r="CM40" s="49">
        <f t="shared" si="161"/>
        <v>0</v>
      </c>
      <c r="CN40" s="49">
        <f t="shared" si="162"/>
        <v>317171.4975</v>
      </c>
      <c r="CO40" s="49">
        <f t="shared" si="163"/>
        <v>0</v>
      </c>
      <c r="CP40" s="49">
        <f t="shared" si="164"/>
        <v>0</v>
      </c>
      <c r="CQ40" s="49">
        <f t="shared" si="165"/>
        <v>0</v>
      </c>
      <c r="CR40" s="81">
        <f t="shared" si="166"/>
        <v>317171.4975</v>
      </c>
      <c r="CS40" s="80">
        <f t="shared" si="167"/>
        <v>484728.5025</v>
      </c>
      <c r="CT40" s="54"/>
      <c r="CU40" s="3" t="str">
        <f t="shared" si="168"/>
        <v>ARS</v>
      </c>
      <c r="CV40" s="3">
        <f>VLOOKUP(CU40,DF:DG,2,0)</f>
        <v>6.9185169999999997E-4</v>
      </c>
      <c r="CW40" s="23">
        <f t="shared" si="169"/>
        <v>554.79587822999997</v>
      </c>
      <c r="CX40" s="23">
        <f t="shared" si="170"/>
        <v>23.107248328279496</v>
      </c>
      <c r="CY40" s="23">
        <f t="shared" si="171"/>
        <v>83.21938173449999</v>
      </c>
      <c r="CZ40" s="23">
        <f t="shared" si="172"/>
        <v>74.273298198041246</v>
      </c>
      <c r="DA40" s="23">
        <f t="shared" si="173"/>
        <v>16.643876346900001</v>
      </c>
      <c r="DB40" s="23">
        <f t="shared" si="174"/>
        <v>22.191835129199998</v>
      </c>
      <c r="DC40" s="23">
        <f t="shared" si="175"/>
        <v>335.36023849307924</v>
      </c>
      <c r="DD40" s="34" t="str">
        <f>VLOOKUP(A40,'Billing Report'!H:I,2,FALSE)</f>
        <v>Betfunok Estándar 2026-02-03</v>
      </c>
      <c r="DE40" s="34"/>
      <c r="DF40" s="61" t="s">
        <v>338</v>
      </c>
      <c r="DG40" s="62">
        <v>3.2607277944000002</v>
      </c>
      <c r="DH40"/>
      <c r="DI40" s="41"/>
      <c r="DJ40" s="41"/>
    </row>
    <row r="41" spans="1:114" ht="14.5" x14ac:dyDescent="0.35">
      <c r="A41" s="63">
        <v>40884277</v>
      </c>
      <c r="B41" s="3" t="s">
        <v>658</v>
      </c>
      <c r="C41" s="3">
        <v>3163143010</v>
      </c>
      <c r="D41" s="3" t="s">
        <v>93</v>
      </c>
      <c r="F41" s="35">
        <v>2308500</v>
      </c>
      <c r="G41" s="38"/>
      <c r="J41" s="33">
        <f>VLOOKUP($B41,'IMS Commission List'!E:CE,79,0)/100</f>
        <v>0.15</v>
      </c>
      <c r="K41" s="79">
        <f t="shared" si="88"/>
        <v>2308500</v>
      </c>
      <c r="L41" s="3" t="str">
        <f>VLOOKUP($B41,'IMS Commission List'!E:V,18,0)</f>
        <v>ARS</v>
      </c>
      <c r="M41" s="3">
        <v>1</v>
      </c>
      <c r="N41" s="3" t="str">
        <f>VLOOKUP($B41,'IMS Commission List'!E:T,16,0)</f>
        <v>MX</v>
      </c>
      <c r="O41" s="54">
        <f>VLOOKUP($B41,'IMS Commission List'!E:CF,80,0)</f>
        <v>4.9000000000000002E-2</v>
      </c>
      <c r="P41" s="54">
        <f>VLOOKUP($B41,'IMS Commission List'!E:CG,81,0)</f>
        <v>0.1575</v>
      </c>
      <c r="Q41" s="54">
        <f>VLOOKUP($B41,'IMS Commission List'!E:CP,90,0)</f>
        <v>0.03</v>
      </c>
      <c r="R41" s="54">
        <f>VLOOKUP($B41,'IMS Commission List'!E:CQ,91,0)</f>
        <v>0.04</v>
      </c>
      <c r="S41" s="47">
        <f t="shared" si="89"/>
        <v>0</v>
      </c>
      <c r="T41" s="48">
        <f t="shared" si="90"/>
        <v>2308500</v>
      </c>
      <c r="U41" s="48">
        <f t="shared" si="91"/>
        <v>0</v>
      </c>
      <c r="V41" s="48">
        <f t="shared" si="92"/>
        <v>0</v>
      </c>
      <c r="W41" s="48">
        <f t="shared" si="93"/>
        <v>0</v>
      </c>
      <c r="X41" s="49">
        <f t="shared" si="94"/>
        <v>2308500</v>
      </c>
      <c r="Y41" s="49">
        <f t="shared" si="95"/>
        <v>0</v>
      </c>
      <c r="Z41" s="49">
        <f t="shared" si="96"/>
        <v>96149.024999999994</v>
      </c>
      <c r="AA41" s="49">
        <f t="shared" si="97"/>
        <v>0</v>
      </c>
      <c r="AB41" s="49">
        <f t="shared" si="98"/>
        <v>0</v>
      </c>
      <c r="AC41" s="49">
        <f t="shared" si="99"/>
        <v>0</v>
      </c>
      <c r="AD41" s="49">
        <f t="shared" si="100"/>
        <v>96149.024999999994</v>
      </c>
      <c r="AE41" s="49">
        <f t="shared" si="101"/>
        <v>0</v>
      </c>
      <c r="AF41" s="49">
        <f t="shared" si="102"/>
        <v>346275</v>
      </c>
      <c r="AG41" s="49">
        <f t="shared" si="103"/>
        <v>0</v>
      </c>
      <c r="AH41" s="49">
        <f t="shared" si="104"/>
        <v>0</v>
      </c>
      <c r="AI41" s="49">
        <f t="shared" si="105"/>
        <v>0</v>
      </c>
      <c r="AJ41" s="49">
        <f t="shared" si="106"/>
        <v>346275</v>
      </c>
      <c r="AK41" s="49">
        <f t="shared" si="107"/>
        <v>0</v>
      </c>
      <c r="AL41" s="49">
        <f t="shared" si="108"/>
        <v>309050.4375</v>
      </c>
      <c r="AM41" s="49">
        <f t="shared" si="109"/>
        <v>0</v>
      </c>
      <c r="AN41" s="49">
        <f t="shared" si="110"/>
        <v>0</v>
      </c>
      <c r="AO41" s="49">
        <f t="shared" si="111"/>
        <v>0</v>
      </c>
      <c r="AP41" s="49">
        <f t="shared" si="112"/>
        <v>309050.4375</v>
      </c>
      <c r="AQ41" s="49">
        <f t="shared" si="113"/>
        <v>0</v>
      </c>
      <c r="AR41" s="49">
        <f t="shared" si="114"/>
        <v>69255</v>
      </c>
      <c r="AS41" s="49">
        <f t="shared" si="115"/>
        <v>0</v>
      </c>
      <c r="AT41" s="49">
        <f t="shared" si="116"/>
        <v>0</v>
      </c>
      <c r="AU41" s="49">
        <f t="shared" si="117"/>
        <v>0</v>
      </c>
      <c r="AV41" s="49">
        <f t="shared" si="118"/>
        <v>69255</v>
      </c>
      <c r="AW41" s="49">
        <f t="shared" si="119"/>
        <v>0</v>
      </c>
      <c r="AX41" s="49">
        <f t="shared" si="120"/>
        <v>92340</v>
      </c>
      <c r="AY41" s="49">
        <f t="shared" si="121"/>
        <v>0</v>
      </c>
      <c r="AZ41" s="49">
        <f t="shared" si="122"/>
        <v>0</v>
      </c>
      <c r="BA41" s="49">
        <f t="shared" si="123"/>
        <v>0</v>
      </c>
      <c r="BB41" s="49">
        <f t="shared" si="124"/>
        <v>92340</v>
      </c>
      <c r="BC41" s="49">
        <f t="shared" si="125"/>
        <v>0</v>
      </c>
      <c r="BD41" s="49">
        <f t="shared" si="126"/>
        <v>913069.46250000002</v>
      </c>
      <c r="BE41" s="49">
        <f t="shared" si="127"/>
        <v>0</v>
      </c>
      <c r="BF41" s="49">
        <f t="shared" si="128"/>
        <v>0</v>
      </c>
      <c r="BG41" s="49">
        <f t="shared" si="129"/>
        <v>0</v>
      </c>
      <c r="BH41" s="49">
        <f t="shared" si="130"/>
        <v>913069.46250000002</v>
      </c>
      <c r="BI41" s="49">
        <f t="shared" si="131"/>
        <v>0</v>
      </c>
      <c r="BJ41" s="49">
        <f t="shared" si="132"/>
        <v>96149.024999999994</v>
      </c>
      <c r="BK41" s="49">
        <f t="shared" si="133"/>
        <v>0</v>
      </c>
      <c r="BL41" s="49">
        <f t="shared" si="134"/>
        <v>0</v>
      </c>
      <c r="BM41" s="49">
        <f t="shared" si="135"/>
        <v>0</v>
      </c>
      <c r="BN41" s="49">
        <f t="shared" si="136"/>
        <v>96149.024999999994</v>
      </c>
      <c r="BO41" s="49">
        <f t="shared" si="137"/>
        <v>0</v>
      </c>
      <c r="BP41" s="49">
        <f t="shared" si="138"/>
        <v>346275</v>
      </c>
      <c r="BQ41" s="49">
        <f t="shared" si="139"/>
        <v>0</v>
      </c>
      <c r="BR41" s="49">
        <f t="shared" si="140"/>
        <v>0</v>
      </c>
      <c r="BS41" s="49">
        <f t="shared" si="141"/>
        <v>0</v>
      </c>
      <c r="BT41" s="49">
        <f t="shared" si="142"/>
        <v>346275</v>
      </c>
      <c r="BU41" s="49">
        <f t="shared" si="143"/>
        <v>0</v>
      </c>
      <c r="BV41" s="49">
        <f t="shared" si="144"/>
        <v>309050.4375</v>
      </c>
      <c r="BW41" s="49">
        <f t="shared" si="145"/>
        <v>0</v>
      </c>
      <c r="BX41" s="49">
        <f t="shared" si="146"/>
        <v>0</v>
      </c>
      <c r="BY41" s="49">
        <f t="shared" si="147"/>
        <v>0</v>
      </c>
      <c r="BZ41" s="49">
        <f t="shared" si="148"/>
        <v>309050.4375</v>
      </c>
      <c r="CA41" s="49">
        <f t="shared" si="149"/>
        <v>0</v>
      </c>
      <c r="CB41" s="49">
        <f t="shared" si="150"/>
        <v>69255</v>
      </c>
      <c r="CC41" s="49">
        <f t="shared" si="151"/>
        <v>0</v>
      </c>
      <c r="CD41" s="49">
        <f t="shared" si="152"/>
        <v>0</v>
      </c>
      <c r="CE41" s="49">
        <f t="shared" si="153"/>
        <v>0</v>
      </c>
      <c r="CF41" s="49">
        <f t="shared" si="154"/>
        <v>69255</v>
      </c>
      <c r="CG41" s="49">
        <f t="shared" si="155"/>
        <v>0</v>
      </c>
      <c r="CH41" s="49">
        <f t="shared" si="156"/>
        <v>92340</v>
      </c>
      <c r="CI41" s="49">
        <f t="shared" si="157"/>
        <v>0</v>
      </c>
      <c r="CJ41" s="49">
        <f t="shared" si="158"/>
        <v>0</v>
      </c>
      <c r="CK41" s="49">
        <f t="shared" si="159"/>
        <v>0</v>
      </c>
      <c r="CL41" s="49">
        <f t="shared" si="160"/>
        <v>92340</v>
      </c>
      <c r="CM41" s="49">
        <f t="shared" si="161"/>
        <v>0</v>
      </c>
      <c r="CN41" s="49">
        <f t="shared" si="162"/>
        <v>913069.46250000002</v>
      </c>
      <c r="CO41" s="49">
        <f t="shared" si="163"/>
        <v>0</v>
      </c>
      <c r="CP41" s="49">
        <f t="shared" si="164"/>
        <v>0</v>
      </c>
      <c r="CQ41" s="49">
        <f t="shared" si="165"/>
        <v>0</v>
      </c>
      <c r="CR41" s="81">
        <f t="shared" si="166"/>
        <v>913069.46250000002</v>
      </c>
      <c r="CS41" s="80">
        <f t="shared" si="167"/>
        <v>1395430.5375000001</v>
      </c>
      <c r="CT41" s="54"/>
      <c r="CU41" s="3" t="str">
        <f t="shared" si="168"/>
        <v>ARS</v>
      </c>
      <c r="CV41" s="3">
        <f>VLOOKUP(CU41,DF:DG,2,0)</f>
        <v>6.9185169999999997E-4</v>
      </c>
      <c r="CW41" s="23">
        <f t="shared" si="169"/>
        <v>1597.13964945</v>
      </c>
      <c r="CX41" s="23">
        <f t="shared" si="170"/>
        <v>66.520866399592492</v>
      </c>
      <c r="CY41" s="23">
        <f t="shared" si="171"/>
        <v>239.57094741749998</v>
      </c>
      <c r="CZ41" s="23">
        <f t="shared" si="172"/>
        <v>213.81707057011874</v>
      </c>
      <c r="DA41" s="23">
        <f t="shared" si="173"/>
        <v>47.914189483499996</v>
      </c>
      <c r="DB41" s="23">
        <f t="shared" si="174"/>
        <v>63.885585977999995</v>
      </c>
      <c r="DC41" s="23">
        <f t="shared" si="175"/>
        <v>965.43098960128873</v>
      </c>
      <c r="DD41" s="34" t="str">
        <f>VLOOKUP(A41,'Billing Report'!H:I,2,FALSE)</f>
        <v>Betfunok Timeline Takeover Nivel 1 2026-02-03</v>
      </c>
      <c r="DE41" s="34"/>
      <c r="DF41" s="61" t="s">
        <v>339</v>
      </c>
      <c r="DG41" s="62">
        <v>1.2000048000000001</v>
      </c>
      <c r="DH41"/>
      <c r="DI41" s="41"/>
      <c r="DJ41" s="41"/>
    </row>
    <row r="42" spans="1:114" ht="14.5" x14ac:dyDescent="0.35">
      <c r="A42" s="63">
        <v>40921482</v>
      </c>
      <c r="B42" s="3" t="s">
        <v>854</v>
      </c>
      <c r="C42" s="3">
        <v>316315701</v>
      </c>
      <c r="D42" s="3" t="s">
        <v>93</v>
      </c>
      <c r="F42" s="35">
        <v>801900</v>
      </c>
      <c r="G42" s="38"/>
      <c r="J42" s="33">
        <f>VLOOKUP($B42,'IMS Commission List'!E:CE,79,0)/100</f>
        <v>0.15</v>
      </c>
      <c r="K42" s="79">
        <f t="shared" si="88"/>
        <v>801900</v>
      </c>
      <c r="L42" s="3" t="str">
        <f>VLOOKUP($B42,'IMS Commission List'!E:V,18,0)</f>
        <v>ARS</v>
      </c>
      <c r="M42" s="3">
        <v>1</v>
      </c>
      <c r="N42" s="3" t="str">
        <f>VLOOKUP($B42,'IMS Commission List'!E:T,16,0)</f>
        <v>MX</v>
      </c>
      <c r="O42" s="54">
        <f>VLOOKUP($B42,'IMS Commission List'!E:CF,80,0)</f>
        <v>4.9000000000000002E-2</v>
      </c>
      <c r="P42" s="54">
        <f>VLOOKUP($B42,'IMS Commission List'!E:CG,81,0)</f>
        <v>0.1575</v>
      </c>
      <c r="Q42" s="54">
        <f>VLOOKUP($B42,'IMS Commission List'!E:CP,90,0)</f>
        <v>0.03</v>
      </c>
      <c r="R42" s="54">
        <f>VLOOKUP($B42,'IMS Commission List'!E:CQ,91,0)</f>
        <v>0.04</v>
      </c>
      <c r="S42" s="47">
        <f t="shared" si="89"/>
        <v>0</v>
      </c>
      <c r="T42" s="48">
        <f t="shared" si="90"/>
        <v>801900</v>
      </c>
      <c r="U42" s="48">
        <f t="shared" si="91"/>
        <v>0</v>
      </c>
      <c r="V42" s="48">
        <f t="shared" si="92"/>
        <v>0</v>
      </c>
      <c r="W42" s="48">
        <f t="shared" si="93"/>
        <v>0</v>
      </c>
      <c r="X42" s="49">
        <f t="shared" si="94"/>
        <v>801900</v>
      </c>
      <c r="Y42" s="49">
        <f t="shared" si="95"/>
        <v>0</v>
      </c>
      <c r="Z42" s="49">
        <f t="shared" si="96"/>
        <v>33399.134999999995</v>
      </c>
      <c r="AA42" s="49">
        <f t="shared" si="97"/>
        <v>0</v>
      </c>
      <c r="AB42" s="49">
        <f t="shared" si="98"/>
        <v>0</v>
      </c>
      <c r="AC42" s="49">
        <f t="shared" si="99"/>
        <v>0</v>
      </c>
      <c r="AD42" s="49">
        <f t="shared" si="100"/>
        <v>33399.134999999995</v>
      </c>
      <c r="AE42" s="49">
        <f t="shared" si="101"/>
        <v>0</v>
      </c>
      <c r="AF42" s="49">
        <f t="shared" si="102"/>
        <v>120285</v>
      </c>
      <c r="AG42" s="49">
        <f t="shared" si="103"/>
        <v>0</v>
      </c>
      <c r="AH42" s="49">
        <f t="shared" si="104"/>
        <v>0</v>
      </c>
      <c r="AI42" s="49">
        <f t="shared" si="105"/>
        <v>0</v>
      </c>
      <c r="AJ42" s="49">
        <f t="shared" si="106"/>
        <v>120285</v>
      </c>
      <c r="AK42" s="49">
        <f t="shared" si="107"/>
        <v>0</v>
      </c>
      <c r="AL42" s="49">
        <f t="shared" si="108"/>
        <v>107354.3625</v>
      </c>
      <c r="AM42" s="49">
        <f t="shared" si="109"/>
        <v>0</v>
      </c>
      <c r="AN42" s="49">
        <f t="shared" si="110"/>
        <v>0</v>
      </c>
      <c r="AO42" s="49">
        <f t="shared" si="111"/>
        <v>0</v>
      </c>
      <c r="AP42" s="49">
        <f t="shared" si="112"/>
        <v>107354.3625</v>
      </c>
      <c r="AQ42" s="49">
        <f t="shared" si="113"/>
        <v>0</v>
      </c>
      <c r="AR42" s="49">
        <f t="shared" si="114"/>
        <v>24057</v>
      </c>
      <c r="AS42" s="49">
        <f t="shared" si="115"/>
        <v>0</v>
      </c>
      <c r="AT42" s="49">
        <f t="shared" si="116"/>
        <v>0</v>
      </c>
      <c r="AU42" s="49">
        <f t="shared" si="117"/>
        <v>0</v>
      </c>
      <c r="AV42" s="49">
        <f t="shared" si="118"/>
        <v>24057</v>
      </c>
      <c r="AW42" s="49">
        <f t="shared" si="119"/>
        <v>0</v>
      </c>
      <c r="AX42" s="49">
        <f t="shared" si="120"/>
        <v>32076</v>
      </c>
      <c r="AY42" s="49">
        <f t="shared" si="121"/>
        <v>0</v>
      </c>
      <c r="AZ42" s="49">
        <f t="shared" si="122"/>
        <v>0</v>
      </c>
      <c r="BA42" s="49">
        <f t="shared" si="123"/>
        <v>0</v>
      </c>
      <c r="BB42" s="49">
        <f t="shared" si="124"/>
        <v>32076</v>
      </c>
      <c r="BC42" s="49">
        <f t="shared" si="125"/>
        <v>0</v>
      </c>
      <c r="BD42" s="49">
        <f t="shared" si="126"/>
        <v>317171.4975</v>
      </c>
      <c r="BE42" s="49">
        <f t="shared" si="127"/>
        <v>0</v>
      </c>
      <c r="BF42" s="49">
        <f t="shared" si="128"/>
        <v>0</v>
      </c>
      <c r="BG42" s="49">
        <f t="shared" si="129"/>
        <v>0</v>
      </c>
      <c r="BH42" s="49">
        <f t="shared" si="130"/>
        <v>317171.4975</v>
      </c>
      <c r="BI42" s="49">
        <f t="shared" si="131"/>
        <v>0</v>
      </c>
      <c r="BJ42" s="49">
        <f t="shared" si="132"/>
        <v>33399.134999999995</v>
      </c>
      <c r="BK42" s="49">
        <f t="shared" si="133"/>
        <v>0</v>
      </c>
      <c r="BL42" s="49">
        <f t="shared" si="134"/>
        <v>0</v>
      </c>
      <c r="BM42" s="49">
        <f t="shared" si="135"/>
        <v>0</v>
      </c>
      <c r="BN42" s="49">
        <f t="shared" si="136"/>
        <v>33399.134999999995</v>
      </c>
      <c r="BO42" s="49">
        <f t="shared" si="137"/>
        <v>0</v>
      </c>
      <c r="BP42" s="49">
        <f t="shared" si="138"/>
        <v>120285</v>
      </c>
      <c r="BQ42" s="49">
        <f t="shared" si="139"/>
        <v>0</v>
      </c>
      <c r="BR42" s="49">
        <f t="shared" si="140"/>
        <v>0</v>
      </c>
      <c r="BS42" s="49">
        <f t="shared" si="141"/>
        <v>0</v>
      </c>
      <c r="BT42" s="49">
        <f t="shared" si="142"/>
        <v>120285</v>
      </c>
      <c r="BU42" s="49">
        <f t="shared" si="143"/>
        <v>0</v>
      </c>
      <c r="BV42" s="49">
        <f t="shared" si="144"/>
        <v>107354.3625</v>
      </c>
      <c r="BW42" s="49">
        <f t="shared" si="145"/>
        <v>0</v>
      </c>
      <c r="BX42" s="49">
        <f t="shared" si="146"/>
        <v>0</v>
      </c>
      <c r="BY42" s="49">
        <f t="shared" si="147"/>
        <v>0</v>
      </c>
      <c r="BZ42" s="49">
        <f t="shared" si="148"/>
        <v>107354.3625</v>
      </c>
      <c r="CA42" s="49">
        <f t="shared" si="149"/>
        <v>0</v>
      </c>
      <c r="CB42" s="49">
        <f t="shared" si="150"/>
        <v>24057</v>
      </c>
      <c r="CC42" s="49">
        <f t="shared" si="151"/>
        <v>0</v>
      </c>
      <c r="CD42" s="49">
        <f t="shared" si="152"/>
        <v>0</v>
      </c>
      <c r="CE42" s="49">
        <f t="shared" si="153"/>
        <v>0</v>
      </c>
      <c r="CF42" s="49">
        <f t="shared" si="154"/>
        <v>24057</v>
      </c>
      <c r="CG42" s="49">
        <f t="shared" si="155"/>
        <v>0</v>
      </c>
      <c r="CH42" s="49">
        <f t="shared" si="156"/>
        <v>32076</v>
      </c>
      <c r="CI42" s="49">
        <f t="shared" si="157"/>
        <v>0</v>
      </c>
      <c r="CJ42" s="49">
        <f t="shared" si="158"/>
        <v>0</v>
      </c>
      <c r="CK42" s="49">
        <f t="shared" si="159"/>
        <v>0</v>
      </c>
      <c r="CL42" s="49">
        <f t="shared" si="160"/>
        <v>32076</v>
      </c>
      <c r="CM42" s="49">
        <f t="shared" si="161"/>
        <v>0</v>
      </c>
      <c r="CN42" s="49">
        <f t="shared" si="162"/>
        <v>317171.4975</v>
      </c>
      <c r="CO42" s="49">
        <f t="shared" si="163"/>
        <v>0</v>
      </c>
      <c r="CP42" s="49">
        <f t="shared" si="164"/>
        <v>0</v>
      </c>
      <c r="CQ42" s="49">
        <f t="shared" si="165"/>
        <v>0</v>
      </c>
      <c r="CR42" s="81">
        <f t="shared" si="166"/>
        <v>317171.4975</v>
      </c>
      <c r="CS42" s="80">
        <f t="shared" si="167"/>
        <v>484728.5025</v>
      </c>
      <c r="CT42" s="54"/>
      <c r="CU42" s="3" t="str">
        <f t="shared" si="168"/>
        <v>ARS</v>
      </c>
      <c r="CV42" s="3">
        <f>VLOOKUP(CU42,DF:DG,2,0)</f>
        <v>6.9185169999999997E-4</v>
      </c>
      <c r="CW42" s="23">
        <f t="shared" si="169"/>
        <v>554.79587822999997</v>
      </c>
      <c r="CX42" s="23">
        <f t="shared" si="170"/>
        <v>23.107248328279496</v>
      </c>
      <c r="CY42" s="23">
        <f t="shared" si="171"/>
        <v>83.21938173449999</v>
      </c>
      <c r="CZ42" s="23">
        <f t="shared" si="172"/>
        <v>74.273298198041246</v>
      </c>
      <c r="DA42" s="23">
        <f t="shared" si="173"/>
        <v>16.643876346900001</v>
      </c>
      <c r="DB42" s="23">
        <f t="shared" si="174"/>
        <v>22.191835129199998</v>
      </c>
      <c r="DC42" s="23">
        <f t="shared" si="175"/>
        <v>335.36023849307924</v>
      </c>
      <c r="DD42" s="34" t="str">
        <f>VLOOKUP(A42,'Billing Report'!H:I,2,FALSE)</f>
        <v>HipodromoArgPal Estándar 2026-02-13</v>
      </c>
      <c r="DE42" s="34"/>
      <c r="DF42" s="61" t="s">
        <v>337</v>
      </c>
      <c r="DG42" s="62">
        <v>1.12766E-5</v>
      </c>
      <c r="DH42"/>
      <c r="DI42" s="41"/>
      <c r="DJ42" s="41"/>
    </row>
    <row r="43" spans="1:114" ht="14.5" x14ac:dyDescent="0.35">
      <c r="A43" s="63">
        <v>40921478</v>
      </c>
      <c r="B43" s="3" t="s">
        <v>854</v>
      </c>
      <c r="C43" s="3">
        <v>316315702</v>
      </c>
      <c r="D43" s="3" t="s">
        <v>93</v>
      </c>
      <c r="F43" s="35">
        <v>2308500</v>
      </c>
      <c r="G43" s="38"/>
      <c r="J43" s="33">
        <f>VLOOKUP($B43,'IMS Commission List'!E:CE,79,0)/100</f>
        <v>0.15</v>
      </c>
      <c r="K43" s="79">
        <f t="shared" si="88"/>
        <v>2308500</v>
      </c>
      <c r="L43" s="3" t="str">
        <f>VLOOKUP($B43,'IMS Commission List'!E:V,18,0)</f>
        <v>ARS</v>
      </c>
      <c r="M43" s="3">
        <v>1</v>
      </c>
      <c r="N43" s="3" t="str">
        <f>VLOOKUP($B43,'IMS Commission List'!E:T,16,0)</f>
        <v>MX</v>
      </c>
      <c r="O43" s="54">
        <f>VLOOKUP($B43,'IMS Commission List'!E:CF,80,0)</f>
        <v>4.9000000000000002E-2</v>
      </c>
      <c r="P43" s="54">
        <f>VLOOKUP($B43,'IMS Commission List'!E:CG,81,0)</f>
        <v>0.1575</v>
      </c>
      <c r="Q43" s="54">
        <f>VLOOKUP($B43,'IMS Commission List'!E:CP,90,0)</f>
        <v>0.03</v>
      </c>
      <c r="R43" s="54">
        <f>VLOOKUP($B43,'IMS Commission List'!E:CQ,91,0)</f>
        <v>0.04</v>
      </c>
      <c r="S43" s="47">
        <f t="shared" si="89"/>
        <v>0</v>
      </c>
      <c r="T43" s="48">
        <f t="shared" si="90"/>
        <v>2308500</v>
      </c>
      <c r="U43" s="48">
        <f t="shared" si="91"/>
        <v>0</v>
      </c>
      <c r="V43" s="48">
        <f t="shared" si="92"/>
        <v>0</v>
      </c>
      <c r="W43" s="48">
        <f t="shared" si="93"/>
        <v>0</v>
      </c>
      <c r="X43" s="49">
        <f t="shared" si="94"/>
        <v>2308500</v>
      </c>
      <c r="Y43" s="49">
        <f t="shared" si="95"/>
        <v>0</v>
      </c>
      <c r="Z43" s="49">
        <f t="shared" si="96"/>
        <v>96149.024999999994</v>
      </c>
      <c r="AA43" s="49">
        <f t="shared" si="97"/>
        <v>0</v>
      </c>
      <c r="AB43" s="49">
        <f t="shared" si="98"/>
        <v>0</v>
      </c>
      <c r="AC43" s="49">
        <f t="shared" si="99"/>
        <v>0</v>
      </c>
      <c r="AD43" s="49">
        <f t="shared" si="100"/>
        <v>96149.024999999994</v>
      </c>
      <c r="AE43" s="49">
        <f t="shared" si="101"/>
        <v>0</v>
      </c>
      <c r="AF43" s="49">
        <f t="shared" si="102"/>
        <v>346275</v>
      </c>
      <c r="AG43" s="49">
        <f t="shared" si="103"/>
        <v>0</v>
      </c>
      <c r="AH43" s="49">
        <f t="shared" si="104"/>
        <v>0</v>
      </c>
      <c r="AI43" s="49">
        <f t="shared" si="105"/>
        <v>0</v>
      </c>
      <c r="AJ43" s="49">
        <f t="shared" si="106"/>
        <v>346275</v>
      </c>
      <c r="AK43" s="49">
        <f t="shared" si="107"/>
        <v>0</v>
      </c>
      <c r="AL43" s="49">
        <f t="shared" si="108"/>
        <v>309050.4375</v>
      </c>
      <c r="AM43" s="49">
        <f t="shared" si="109"/>
        <v>0</v>
      </c>
      <c r="AN43" s="49">
        <f t="shared" si="110"/>
        <v>0</v>
      </c>
      <c r="AO43" s="49">
        <f t="shared" si="111"/>
        <v>0</v>
      </c>
      <c r="AP43" s="49">
        <f t="shared" si="112"/>
        <v>309050.4375</v>
      </c>
      <c r="AQ43" s="49">
        <f t="shared" si="113"/>
        <v>0</v>
      </c>
      <c r="AR43" s="49">
        <f t="shared" si="114"/>
        <v>69255</v>
      </c>
      <c r="AS43" s="49">
        <f t="shared" si="115"/>
        <v>0</v>
      </c>
      <c r="AT43" s="49">
        <f t="shared" si="116"/>
        <v>0</v>
      </c>
      <c r="AU43" s="49">
        <f t="shared" si="117"/>
        <v>0</v>
      </c>
      <c r="AV43" s="49">
        <f t="shared" si="118"/>
        <v>69255</v>
      </c>
      <c r="AW43" s="49">
        <f t="shared" si="119"/>
        <v>0</v>
      </c>
      <c r="AX43" s="49">
        <f t="shared" si="120"/>
        <v>92340</v>
      </c>
      <c r="AY43" s="49">
        <f t="shared" si="121"/>
        <v>0</v>
      </c>
      <c r="AZ43" s="49">
        <f t="shared" si="122"/>
        <v>0</v>
      </c>
      <c r="BA43" s="49">
        <f t="shared" si="123"/>
        <v>0</v>
      </c>
      <c r="BB43" s="49">
        <f t="shared" si="124"/>
        <v>92340</v>
      </c>
      <c r="BC43" s="49">
        <f t="shared" si="125"/>
        <v>0</v>
      </c>
      <c r="BD43" s="49">
        <f t="shared" si="126"/>
        <v>913069.46250000002</v>
      </c>
      <c r="BE43" s="49">
        <f t="shared" si="127"/>
        <v>0</v>
      </c>
      <c r="BF43" s="49">
        <f t="shared" si="128"/>
        <v>0</v>
      </c>
      <c r="BG43" s="49">
        <f t="shared" si="129"/>
        <v>0</v>
      </c>
      <c r="BH43" s="49">
        <f t="shared" si="130"/>
        <v>913069.46250000002</v>
      </c>
      <c r="BI43" s="49">
        <f t="shared" si="131"/>
        <v>0</v>
      </c>
      <c r="BJ43" s="49">
        <f t="shared" si="132"/>
        <v>96149.024999999994</v>
      </c>
      <c r="BK43" s="49">
        <f t="shared" si="133"/>
        <v>0</v>
      </c>
      <c r="BL43" s="49">
        <f t="shared" si="134"/>
        <v>0</v>
      </c>
      <c r="BM43" s="49">
        <f t="shared" si="135"/>
        <v>0</v>
      </c>
      <c r="BN43" s="49">
        <f t="shared" si="136"/>
        <v>96149.024999999994</v>
      </c>
      <c r="BO43" s="49">
        <f t="shared" si="137"/>
        <v>0</v>
      </c>
      <c r="BP43" s="49">
        <f t="shared" si="138"/>
        <v>346275</v>
      </c>
      <c r="BQ43" s="49">
        <f t="shared" si="139"/>
        <v>0</v>
      </c>
      <c r="BR43" s="49">
        <f t="shared" si="140"/>
        <v>0</v>
      </c>
      <c r="BS43" s="49">
        <f t="shared" si="141"/>
        <v>0</v>
      </c>
      <c r="BT43" s="49">
        <f t="shared" si="142"/>
        <v>346275</v>
      </c>
      <c r="BU43" s="49">
        <f t="shared" si="143"/>
        <v>0</v>
      </c>
      <c r="BV43" s="49">
        <f t="shared" si="144"/>
        <v>309050.4375</v>
      </c>
      <c r="BW43" s="49">
        <f t="shared" si="145"/>
        <v>0</v>
      </c>
      <c r="BX43" s="49">
        <f t="shared" si="146"/>
        <v>0</v>
      </c>
      <c r="BY43" s="49">
        <f t="shared" si="147"/>
        <v>0</v>
      </c>
      <c r="BZ43" s="49">
        <f t="shared" si="148"/>
        <v>309050.4375</v>
      </c>
      <c r="CA43" s="49">
        <f t="shared" si="149"/>
        <v>0</v>
      </c>
      <c r="CB43" s="49">
        <f t="shared" si="150"/>
        <v>69255</v>
      </c>
      <c r="CC43" s="49">
        <f t="shared" si="151"/>
        <v>0</v>
      </c>
      <c r="CD43" s="49">
        <f t="shared" si="152"/>
        <v>0</v>
      </c>
      <c r="CE43" s="49">
        <f t="shared" si="153"/>
        <v>0</v>
      </c>
      <c r="CF43" s="49">
        <f t="shared" si="154"/>
        <v>69255</v>
      </c>
      <c r="CG43" s="49">
        <f t="shared" si="155"/>
        <v>0</v>
      </c>
      <c r="CH43" s="49">
        <f t="shared" si="156"/>
        <v>92340</v>
      </c>
      <c r="CI43" s="49">
        <f t="shared" si="157"/>
        <v>0</v>
      </c>
      <c r="CJ43" s="49">
        <f t="shared" si="158"/>
        <v>0</v>
      </c>
      <c r="CK43" s="49">
        <f t="shared" si="159"/>
        <v>0</v>
      </c>
      <c r="CL43" s="49">
        <f t="shared" si="160"/>
        <v>92340</v>
      </c>
      <c r="CM43" s="49">
        <f t="shared" si="161"/>
        <v>0</v>
      </c>
      <c r="CN43" s="49">
        <f t="shared" si="162"/>
        <v>913069.46250000002</v>
      </c>
      <c r="CO43" s="49">
        <f t="shared" si="163"/>
        <v>0</v>
      </c>
      <c r="CP43" s="49">
        <f t="shared" si="164"/>
        <v>0</v>
      </c>
      <c r="CQ43" s="49">
        <f t="shared" si="165"/>
        <v>0</v>
      </c>
      <c r="CR43" s="81">
        <f t="shared" si="166"/>
        <v>913069.46250000002</v>
      </c>
      <c r="CS43" s="80">
        <f t="shared" si="167"/>
        <v>1395430.5375000001</v>
      </c>
      <c r="CT43" s="54"/>
      <c r="CU43" s="3" t="str">
        <f t="shared" si="168"/>
        <v>ARS</v>
      </c>
      <c r="CV43" s="3">
        <f>VLOOKUP(CU43,DF:DG,2,0)</f>
        <v>6.9185169999999997E-4</v>
      </c>
      <c r="CW43" s="23">
        <f t="shared" si="169"/>
        <v>1597.13964945</v>
      </c>
      <c r="CX43" s="23">
        <f t="shared" si="170"/>
        <v>66.520866399592492</v>
      </c>
      <c r="CY43" s="23">
        <f t="shared" si="171"/>
        <v>239.57094741749998</v>
      </c>
      <c r="CZ43" s="23">
        <f t="shared" si="172"/>
        <v>213.81707057011874</v>
      </c>
      <c r="DA43" s="23">
        <f t="shared" si="173"/>
        <v>47.914189483499996</v>
      </c>
      <c r="DB43" s="23">
        <f t="shared" si="174"/>
        <v>63.885585977999995</v>
      </c>
      <c r="DC43" s="23">
        <f t="shared" si="175"/>
        <v>965.43098960128873</v>
      </c>
      <c r="DD43" s="34" t="str">
        <f>VLOOKUP(A43,'Billing Report'!H:I,2,FALSE)</f>
        <v>HipodromoArgPal Timeline Takeover Nivel 1 2026-02-13</v>
      </c>
      <c r="DE43" s="34"/>
      <c r="DF43" s="61" t="s">
        <v>336</v>
      </c>
      <c r="DG43" s="62">
        <v>0.1100402362</v>
      </c>
      <c r="DH43"/>
      <c r="DI43" s="41"/>
      <c r="DJ43" s="41"/>
    </row>
    <row r="44" spans="1:114" ht="14.5" x14ac:dyDescent="0.35">
      <c r="A44" s="63">
        <v>40855286</v>
      </c>
      <c r="B44" s="3" t="s">
        <v>859</v>
      </c>
      <c r="C44" s="3">
        <v>316316103</v>
      </c>
      <c r="D44" s="3" t="s">
        <v>93</v>
      </c>
      <c r="F44" s="35">
        <v>1710000</v>
      </c>
      <c r="G44" s="38"/>
      <c r="J44" s="33">
        <f>VLOOKUP($B44,'IMS Commission List'!E:CE,79,0)/100</f>
        <v>0.08</v>
      </c>
      <c r="K44" s="79">
        <f t="shared" si="88"/>
        <v>1710000</v>
      </c>
      <c r="L44" s="3" t="str">
        <f>VLOOKUP($B44,'IMS Commission List'!E:V,18,0)</f>
        <v>ARS</v>
      </c>
      <c r="M44" s="3">
        <v>1</v>
      </c>
      <c r="N44" s="3" t="str">
        <f>VLOOKUP($B44,'IMS Commission List'!E:T,16,0)</f>
        <v>MX</v>
      </c>
      <c r="O44" s="54">
        <f>VLOOKUP($B44,'IMS Commission List'!E:CF,80,0)</f>
        <v>4.9000000000000002E-2</v>
      </c>
      <c r="P44" s="54">
        <f>VLOOKUP($B44,'IMS Commission List'!E:CG,81,0)</f>
        <v>0.1575</v>
      </c>
      <c r="Q44" s="54">
        <f>VLOOKUP($B44,'IMS Commission List'!E:CP,90,0)</f>
        <v>0.03</v>
      </c>
      <c r="R44" s="54">
        <f>VLOOKUP($B44,'IMS Commission List'!E:CQ,91,0)</f>
        <v>0.04</v>
      </c>
      <c r="S44" s="47">
        <f t="shared" si="89"/>
        <v>0</v>
      </c>
      <c r="T44" s="48">
        <f t="shared" si="90"/>
        <v>1710000</v>
      </c>
      <c r="U44" s="48">
        <f t="shared" si="91"/>
        <v>0</v>
      </c>
      <c r="V44" s="48">
        <f t="shared" si="92"/>
        <v>0</v>
      </c>
      <c r="W44" s="48">
        <f t="shared" si="93"/>
        <v>0</v>
      </c>
      <c r="X44" s="49">
        <f t="shared" si="94"/>
        <v>1710000</v>
      </c>
      <c r="Y44" s="49">
        <f t="shared" si="95"/>
        <v>0</v>
      </c>
      <c r="Z44" s="49">
        <f t="shared" si="96"/>
        <v>77086.8</v>
      </c>
      <c r="AA44" s="49">
        <f t="shared" si="97"/>
        <v>0</v>
      </c>
      <c r="AB44" s="49">
        <f t="shared" si="98"/>
        <v>0</v>
      </c>
      <c r="AC44" s="49">
        <f t="shared" si="99"/>
        <v>0</v>
      </c>
      <c r="AD44" s="49">
        <f t="shared" si="100"/>
        <v>77086.8</v>
      </c>
      <c r="AE44" s="49">
        <f t="shared" si="101"/>
        <v>0</v>
      </c>
      <c r="AF44" s="49">
        <f t="shared" si="102"/>
        <v>136800</v>
      </c>
      <c r="AG44" s="49">
        <f t="shared" si="103"/>
        <v>0</v>
      </c>
      <c r="AH44" s="49">
        <f t="shared" si="104"/>
        <v>0</v>
      </c>
      <c r="AI44" s="49">
        <f t="shared" si="105"/>
        <v>0</v>
      </c>
      <c r="AJ44" s="49">
        <f t="shared" si="106"/>
        <v>136800</v>
      </c>
      <c r="AK44" s="49">
        <f t="shared" si="107"/>
        <v>0</v>
      </c>
      <c r="AL44" s="49">
        <f t="shared" si="108"/>
        <v>247779</v>
      </c>
      <c r="AM44" s="49">
        <f t="shared" si="109"/>
        <v>0</v>
      </c>
      <c r="AN44" s="49">
        <f t="shared" si="110"/>
        <v>0</v>
      </c>
      <c r="AO44" s="49">
        <f t="shared" si="111"/>
        <v>0</v>
      </c>
      <c r="AP44" s="49">
        <f t="shared" si="112"/>
        <v>247779</v>
      </c>
      <c r="AQ44" s="49">
        <f t="shared" si="113"/>
        <v>0</v>
      </c>
      <c r="AR44" s="49">
        <f t="shared" si="114"/>
        <v>51300</v>
      </c>
      <c r="AS44" s="49">
        <f t="shared" si="115"/>
        <v>0</v>
      </c>
      <c r="AT44" s="49">
        <f t="shared" si="116"/>
        <v>0</v>
      </c>
      <c r="AU44" s="49">
        <f t="shared" si="117"/>
        <v>0</v>
      </c>
      <c r="AV44" s="49">
        <f t="shared" si="118"/>
        <v>51300</v>
      </c>
      <c r="AW44" s="49">
        <f t="shared" si="119"/>
        <v>0</v>
      </c>
      <c r="AX44" s="49">
        <f t="shared" si="120"/>
        <v>68400</v>
      </c>
      <c r="AY44" s="49">
        <f t="shared" si="121"/>
        <v>0</v>
      </c>
      <c r="AZ44" s="49">
        <f t="shared" si="122"/>
        <v>0</v>
      </c>
      <c r="BA44" s="49">
        <f t="shared" si="123"/>
        <v>0</v>
      </c>
      <c r="BB44" s="49">
        <f t="shared" si="124"/>
        <v>68400</v>
      </c>
      <c r="BC44" s="49">
        <f t="shared" si="125"/>
        <v>0</v>
      </c>
      <c r="BD44" s="49">
        <f t="shared" si="126"/>
        <v>581365.80000000005</v>
      </c>
      <c r="BE44" s="49">
        <f t="shared" si="127"/>
        <v>0</v>
      </c>
      <c r="BF44" s="49">
        <f t="shared" si="128"/>
        <v>0</v>
      </c>
      <c r="BG44" s="49">
        <f t="shared" si="129"/>
        <v>0</v>
      </c>
      <c r="BH44" s="49">
        <f t="shared" si="130"/>
        <v>581365.80000000005</v>
      </c>
      <c r="BI44" s="49">
        <f t="shared" si="131"/>
        <v>0</v>
      </c>
      <c r="BJ44" s="49">
        <f t="shared" si="132"/>
        <v>77086.8</v>
      </c>
      <c r="BK44" s="49">
        <f t="shared" si="133"/>
        <v>0</v>
      </c>
      <c r="BL44" s="49">
        <f t="shared" si="134"/>
        <v>0</v>
      </c>
      <c r="BM44" s="49">
        <f t="shared" si="135"/>
        <v>0</v>
      </c>
      <c r="BN44" s="49">
        <f t="shared" si="136"/>
        <v>77086.8</v>
      </c>
      <c r="BO44" s="49">
        <f t="shared" si="137"/>
        <v>0</v>
      </c>
      <c r="BP44" s="49">
        <f t="shared" si="138"/>
        <v>136800</v>
      </c>
      <c r="BQ44" s="49">
        <f t="shared" si="139"/>
        <v>0</v>
      </c>
      <c r="BR44" s="49">
        <f t="shared" si="140"/>
        <v>0</v>
      </c>
      <c r="BS44" s="49">
        <f t="shared" si="141"/>
        <v>0</v>
      </c>
      <c r="BT44" s="49">
        <f t="shared" si="142"/>
        <v>136800</v>
      </c>
      <c r="BU44" s="49">
        <f t="shared" si="143"/>
        <v>0</v>
      </c>
      <c r="BV44" s="49">
        <f t="shared" si="144"/>
        <v>247779</v>
      </c>
      <c r="BW44" s="49">
        <f t="shared" si="145"/>
        <v>0</v>
      </c>
      <c r="BX44" s="49">
        <f t="shared" si="146"/>
        <v>0</v>
      </c>
      <c r="BY44" s="49">
        <f t="shared" si="147"/>
        <v>0</v>
      </c>
      <c r="BZ44" s="49">
        <f t="shared" si="148"/>
        <v>247779</v>
      </c>
      <c r="CA44" s="49">
        <f t="shared" si="149"/>
        <v>0</v>
      </c>
      <c r="CB44" s="49">
        <f t="shared" si="150"/>
        <v>51300</v>
      </c>
      <c r="CC44" s="49">
        <f t="shared" si="151"/>
        <v>0</v>
      </c>
      <c r="CD44" s="49">
        <f t="shared" si="152"/>
        <v>0</v>
      </c>
      <c r="CE44" s="49">
        <f t="shared" si="153"/>
        <v>0</v>
      </c>
      <c r="CF44" s="49">
        <f t="shared" si="154"/>
        <v>51300</v>
      </c>
      <c r="CG44" s="49">
        <f t="shared" si="155"/>
        <v>0</v>
      </c>
      <c r="CH44" s="49">
        <f t="shared" si="156"/>
        <v>68400</v>
      </c>
      <c r="CI44" s="49">
        <f t="shared" si="157"/>
        <v>0</v>
      </c>
      <c r="CJ44" s="49">
        <f t="shared" si="158"/>
        <v>0</v>
      </c>
      <c r="CK44" s="49">
        <f t="shared" si="159"/>
        <v>0</v>
      </c>
      <c r="CL44" s="49">
        <f t="shared" si="160"/>
        <v>68400</v>
      </c>
      <c r="CM44" s="49">
        <f t="shared" si="161"/>
        <v>0</v>
      </c>
      <c r="CN44" s="49">
        <f t="shared" si="162"/>
        <v>581365.80000000005</v>
      </c>
      <c r="CO44" s="49">
        <f t="shared" si="163"/>
        <v>0</v>
      </c>
      <c r="CP44" s="49">
        <f t="shared" si="164"/>
        <v>0</v>
      </c>
      <c r="CQ44" s="49">
        <f t="shared" si="165"/>
        <v>0</v>
      </c>
      <c r="CR44" s="81">
        <f t="shared" si="166"/>
        <v>581365.80000000005</v>
      </c>
      <c r="CS44" s="80">
        <f t="shared" si="167"/>
        <v>1128634.2</v>
      </c>
      <c r="CT44" s="54"/>
      <c r="CU44" s="3" t="str">
        <f t="shared" si="168"/>
        <v>ARS</v>
      </c>
      <c r="CV44" s="3">
        <f>VLOOKUP(CU44,DF:DG,2,0)</f>
        <v>6.9185169999999997E-4</v>
      </c>
      <c r="CW44" s="23">
        <f t="shared" si="169"/>
        <v>1183.066407</v>
      </c>
      <c r="CX44" s="23">
        <f t="shared" si="170"/>
        <v>53.33263362756</v>
      </c>
      <c r="CY44" s="23">
        <f t="shared" si="171"/>
        <v>94.645312559999994</v>
      </c>
      <c r="CZ44" s="23">
        <f t="shared" si="172"/>
        <v>171.42632237429999</v>
      </c>
      <c r="DA44" s="23">
        <f t="shared" si="173"/>
        <v>35.491992209999999</v>
      </c>
      <c r="DB44" s="23">
        <f t="shared" si="174"/>
        <v>47.322656279999997</v>
      </c>
      <c r="DC44" s="23">
        <f t="shared" si="175"/>
        <v>780.84748994813992</v>
      </c>
      <c r="DD44" s="34" t="str">
        <f>VLOOKUP(A44,'Billing Report'!H:I,2,FALSE)</f>
        <v>MLA   DD2   Timeline- 2/2</v>
      </c>
      <c r="DE44" s="34"/>
      <c r="DF44" s="61" t="s">
        <v>335</v>
      </c>
      <c r="DG44" s="62">
        <v>1.9317801499999999E-2</v>
      </c>
      <c r="DH44"/>
      <c r="DI44" s="41"/>
      <c r="DJ44" s="41"/>
    </row>
    <row r="45" spans="1:114" ht="14.5" x14ac:dyDescent="0.35">
      <c r="A45" s="63">
        <v>40850980</v>
      </c>
      <c r="B45" s="3" t="s">
        <v>859</v>
      </c>
      <c r="C45" s="3">
        <v>316316102</v>
      </c>
      <c r="D45" s="3" t="s">
        <v>93</v>
      </c>
      <c r="F45" s="35">
        <v>594000</v>
      </c>
      <c r="G45" s="38"/>
      <c r="J45" s="33">
        <f>VLOOKUP($B45,'IMS Commission List'!E:CE,79,0)/100</f>
        <v>0.08</v>
      </c>
      <c r="K45" s="79">
        <f t="shared" si="88"/>
        <v>594000</v>
      </c>
      <c r="L45" s="3" t="str">
        <f>VLOOKUP($B45,'IMS Commission List'!E:V,18,0)</f>
        <v>ARS</v>
      </c>
      <c r="M45" s="3">
        <v>1</v>
      </c>
      <c r="N45" s="3" t="str">
        <f>VLOOKUP($B45,'IMS Commission List'!E:T,16,0)</f>
        <v>MX</v>
      </c>
      <c r="O45" s="54">
        <f>VLOOKUP($B45,'IMS Commission List'!E:CF,80,0)</f>
        <v>4.9000000000000002E-2</v>
      </c>
      <c r="P45" s="54">
        <f>VLOOKUP($B45,'IMS Commission List'!E:CG,81,0)</f>
        <v>0.1575</v>
      </c>
      <c r="Q45" s="54">
        <f>VLOOKUP($B45,'IMS Commission List'!E:CP,90,0)</f>
        <v>0.03</v>
      </c>
      <c r="R45" s="54">
        <f>VLOOKUP($B45,'IMS Commission List'!E:CQ,91,0)</f>
        <v>0.04</v>
      </c>
      <c r="S45" s="47">
        <f t="shared" si="89"/>
        <v>0</v>
      </c>
      <c r="T45" s="48">
        <f t="shared" si="90"/>
        <v>594000</v>
      </c>
      <c r="U45" s="48">
        <f t="shared" si="91"/>
        <v>0</v>
      </c>
      <c r="V45" s="48">
        <f t="shared" si="92"/>
        <v>0</v>
      </c>
      <c r="W45" s="48">
        <f t="shared" si="93"/>
        <v>0</v>
      </c>
      <c r="X45" s="49">
        <f t="shared" si="94"/>
        <v>594000</v>
      </c>
      <c r="Y45" s="49">
        <f t="shared" si="95"/>
        <v>0</v>
      </c>
      <c r="Z45" s="49">
        <f t="shared" si="96"/>
        <v>26777.52</v>
      </c>
      <c r="AA45" s="49">
        <f t="shared" si="97"/>
        <v>0</v>
      </c>
      <c r="AB45" s="49">
        <f t="shared" si="98"/>
        <v>0</v>
      </c>
      <c r="AC45" s="49">
        <f t="shared" si="99"/>
        <v>0</v>
      </c>
      <c r="AD45" s="49">
        <f t="shared" si="100"/>
        <v>26777.52</v>
      </c>
      <c r="AE45" s="49">
        <f t="shared" si="101"/>
        <v>0</v>
      </c>
      <c r="AF45" s="49">
        <f t="shared" si="102"/>
        <v>47520</v>
      </c>
      <c r="AG45" s="49">
        <f t="shared" si="103"/>
        <v>0</v>
      </c>
      <c r="AH45" s="49">
        <f t="shared" si="104"/>
        <v>0</v>
      </c>
      <c r="AI45" s="49">
        <f t="shared" si="105"/>
        <v>0</v>
      </c>
      <c r="AJ45" s="49">
        <f t="shared" si="106"/>
        <v>47520</v>
      </c>
      <c r="AK45" s="49">
        <f t="shared" si="107"/>
        <v>0</v>
      </c>
      <c r="AL45" s="49">
        <f t="shared" si="108"/>
        <v>86070.6</v>
      </c>
      <c r="AM45" s="49">
        <f t="shared" si="109"/>
        <v>0</v>
      </c>
      <c r="AN45" s="49">
        <f t="shared" si="110"/>
        <v>0</v>
      </c>
      <c r="AO45" s="49">
        <f t="shared" si="111"/>
        <v>0</v>
      </c>
      <c r="AP45" s="49">
        <f t="shared" si="112"/>
        <v>86070.6</v>
      </c>
      <c r="AQ45" s="49">
        <f t="shared" si="113"/>
        <v>0</v>
      </c>
      <c r="AR45" s="49">
        <f t="shared" si="114"/>
        <v>17820</v>
      </c>
      <c r="AS45" s="49">
        <f t="shared" si="115"/>
        <v>0</v>
      </c>
      <c r="AT45" s="49">
        <f t="shared" si="116"/>
        <v>0</v>
      </c>
      <c r="AU45" s="49">
        <f t="shared" si="117"/>
        <v>0</v>
      </c>
      <c r="AV45" s="49">
        <f t="shared" si="118"/>
        <v>17820</v>
      </c>
      <c r="AW45" s="49">
        <f t="shared" si="119"/>
        <v>0</v>
      </c>
      <c r="AX45" s="49">
        <f t="shared" si="120"/>
        <v>23760</v>
      </c>
      <c r="AY45" s="49">
        <f t="shared" si="121"/>
        <v>0</v>
      </c>
      <c r="AZ45" s="49">
        <f t="shared" si="122"/>
        <v>0</v>
      </c>
      <c r="BA45" s="49">
        <f t="shared" si="123"/>
        <v>0</v>
      </c>
      <c r="BB45" s="49">
        <f t="shared" si="124"/>
        <v>23760</v>
      </c>
      <c r="BC45" s="49">
        <f t="shared" si="125"/>
        <v>0</v>
      </c>
      <c r="BD45" s="49">
        <f t="shared" si="126"/>
        <v>201948.12</v>
      </c>
      <c r="BE45" s="49">
        <f t="shared" si="127"/>
        <v>0</v>
      </c>
      <c r="BF45" s="49">
        <f t="shared" si="128"/>
        <v>0</v>
      </c>
      <c r="BG45" s="49">
        <f t="shared" si="129"/>
        <v>0</v>
      </c>
      <c r="BH45" s="49">
        <f t="shared" si="130"/>
        <v>201948.12</v>
      </c>
      <c r="BI45" s="49">
        <f t="shared" si="131"/>
        <v>0</v>
      </c>
      <c r="BJ45" s="49">
        <f t="shared" si="132"/>
        <v>26777.52</v>
      </c>
      <c r="BK45" s="49">
        <f t="shared" si="133"/>
        <v>0</v>
      </c>
      <c r="BL45" s="49">
        <f t="shared" si="134"/>
        <v>0</v>
      </c>
      <c r="BM45" s="49">
        <f t="shared" si="135"/>
        <v>0</v>
      </c>
      <c r="BN45" s="49">
        <f t="shared" si="136"/>
        <v>26777.52</v>
      </c>
      <c r="BO45" s="49">
        <f t="shared" si="137"/>
        <v>0</v>
      </c>
      <c r="BP45" s="49">
        <f t="shared" si="138"/>
        <v>47520</v>
      </c>
      <c r="BQ45" s="49">
        <f t="shared" si="139"/>
        <v>0</v>
      </c>
      <c r="BR45" s="49">
        <f t="shared" si="140"/>
        <v>0</v>
      </c>
      <c r="BS45" s="49">
        <f t="shared" si="141"/>
        <v>0</v>
      </c>
      <c r="BT45" s="49">
        <f t="shared" si="142"/>
        <v>47520</v>
      </c>
      <c r="BU45" s="49">
        <f t="shared" si="143"/>
        <v>0</v>
      </c>
      <c r="BV45" s="49">
        <f t="shared" si="144"/>
        <v>86070.6</v>
      </c>
      <c r="BW45" s="49">
        <f t="shared" si="145"/>
        <v>0</v>
      </c>
      <c r="BX45" s="49">
        <f t="shared" si="146"/>
        <v>0</v>
      </c>
      <c r="BY45" s="49">
        <f t="shared" si="147"/>
        <v>0</v>
      </c>
      <c r="BZ45" s="49">
        <f t="shared" si="148"/>
        <v>86070.6</v>
      </c>
      <c r="CA45" s="49">
        <f t="shared" si="149"/>
        <v>0</v>
      </c>
      <c r="CB45" s="49">
        <f t="shared" si="150"/>
        <v>17820</v>
      </c>
      <c r="CC45" s="49">
        <f t="shared" si="151"/>
        <v>0</v>
      </c>
      <c r="CD45" s="49">
        <f t="shared" si="152"/>
        <v>0</v>
      </c>
      <c r="CE45" s="49">
        <f t="shared" si="153"/>
        <v>0</v>
      </c>
      <c r="CF45" s="49">
        <f t="shared" si="154"/>
        <v>17820</v>
      </c>
      <c r="CG45" s="49">
        <f t="shared" si="155"/>
        <v>0</v>
      </c>
      <c r="CH45" s="49">
        <f t="shared" si="156"/>
        <v>23760</v>
      </c>
      <c r="CI45" s="49">
        <f t="shared" si="157"/>
        <v>0</v>
      </c>
      <c r="CJ45" s="49">
        <f t="shared" si="158"/>
        <v>0</v>
      </c>
      <c r="CK45" s="49">
        <f t="shared" si="159"/>
        <v>0</v>
      </c>
      <c r="CL45" s="49">
        <f t="shared" si="160"/>
        <v>23760</v>
      </c>
      <c r="CM45" s="49">
        <f t="shared" si="161"/>
        <v>0</v>
      </c>
      <c r="CN45" s="49">
        <f t="shared" si="162"/>
        <v>201948.12</v>
      </c>
      <c r="CO45" s="49">
        <f t="shared" si="163"/>
        <v>0</v>
      </c>
      <c r="CP45" s="49">
        <f t="shared" si="164"/>
        <v>0</v>
      </c>
      <c r="CQ45" s="49">
        <f t="shared" si="165"/>
        <v>0</v>
      </c>
      <c r="CR45" s="81">
        <f t="shared" si="166"/>
        <v>201948.12</v>
      </c>
      <c r="CS45" s="80">
        <f t="shared" si="167"/>
        <v>392051.88</v>
      </c>
      <c r="CT45" s="54"/>
      <c r="CU45" s="3" t="str">
        <f t="shared" si="168"/>
        <v>ARS</v>
      </c>
      <c r="CV45" s="3">
        <f>VLOOKUP(CU45,DF:DG,2,0)</f>
        <v>6.9185169999999997E-4</v>
      </c>
      <c r="CW45" s="23">
        <f t="shared" si="169"/>
        <v>410.95990979999999</v>
      </c>
      <c r="CX45" s="23">
        <f t="shared" si="170"/>
        <v>18.526072733783998</v>
      </c>
      <c r="CY45" s="23">
        <f t="shared" si="171"/>
        <v>32.876792783999996</v>
      </c>
      <c r="CZ45" s="23">
        <f t="shared" si="172"/>
        <v>59.548090930020003</v>
      </c>
      <c r="DA45" s="23">
        <f t="shared" si="173"/>
        <v>12.328797293999999</v>
      </c>
      <c r="DB45" s="23">
        <f t="shared" si="174"/>
        <v>16.438396391999998</v>
      </c>
      <c r="DC45" s="23">
        <f t="shared" si="175"/>
        <v>271.241759666196</v>
      </c>
      <c r="DD45" s="34" t="str">
        <f>VLOOKUP(A45,'Billing Report'!H:I,2,FALSE)</f>
        <v>MLA   DD2   Spotlight- 2/2</v>
      </c>
      <c r="DE45" s="34"/>
      <c r="DF45" s="61" t="s">
        <v>87</v>
      </c>
      <c r="DG45" s="62">
        <v>5.7707416999999997E-2</v>
      </c>
      <c r="DH45"/>
      <c r="DI45" s="41"/>
      <c r="DJ45" s="41"/>
    </row>
    <row r="46" spans="1:114" ht="14.5" x14ac:dyDescent="0.35">
      <c r="A46" s="63">
        <v>40459480</v>
      </c>
      <c r="B46" s="3" t="s">
        <v>617</v>
      </c>
      <c r="C46" s="3">
        <v>318406201</v>
      </c>
      <c r="D46" s="3" t="s">
        <v>93</v>
      </c>
      <c r="G46" s="38">
        <v>718276.95</v>
      </c>
      <c r="J46" s="33">
        <f>VLOOKUP($B46,'IMS Commission List'!E:CE,79,0)/100</f>
        <v>0.15</v>
      </c>
      <c r="K46" s="79">
        <f t="shared" si="88"/>
        <v>718276.95</v>
      </c>
      <c r="L46" s="3" t="str">
        <f>VLOOKUP($B46,'IMS Commission List'!E:V,18,0)</f>
        <v>ARS</v>
      </c>
      <c r="M46" s="3">
        <v>1</v>
      </c>
      <c r="N46" s="3" t="str">
        <f>VLOOKUP($B46,'IMS Commission List'!E:T,16,0)</f>
        <v>MX</v>
      </c>
      <c r="O46" s="54">
        <f>VLOOKUP($B46,'IMS Commission List'!E:CF,80,0)</f>
        <v>4.9000000000000002E-2</v>
      </c>
      <c r="P46" s="54">
        <f>VLOOKUP($B46,'IMS Commission List'!E:CG,81,0)</f>
        <v>0.1575</v>
      </c>
      <c r="Q46" s="54">
        <f>VLOOKUP($B46,'IMS Commission List'!E:CP,90,0)</f>
        <v>0.03</v>
      </c>
      <c r="R46" s="54">
        <f>VLOOKUP($B46,'IMS Commission List'!E:CQ,91,0)</f>
        <v>0.04</v>
      </c>
      <c r="S46" s="47">
        <f t="shared" si="89"/>
        <v>0</v>
      </c>
      <c r="T46" s="48">
        <f t="shared" si="90"/>
        <v>0</v>
      </c>
      <c r="U46" s="48">
        <f t="shared" si="91"/>
        <v>718276.95</v>
      </c>
      <c r="V46" s="48">
        <f t="shared" si="92"/>
        <v>0</v>
      </c>
      <c r="W46" s="48">
        <f t="shared" si="93"/>
        <v>0</v>
      </c>
      <c r="X46" s="49">
        <f t="shared" si="94"/>
        <v>718276.95</v>
      </c>
      <c r="Y46" s="49">
        <f t="shared" si="95"/>
        <v>0</v>
      </c>
      <c r="Z46" s="49">
        <f t="shared" si="96"/>
        <v>0</v>
      </c>
      <c r="AA46" s="49">
        <f t="shared" si="97"/>
        <v>29916.234967499997</v>
      </c>
      <c r="AB46" s="49">
        <f t="shared" si="98"/>
        <v>0</v>
      </c>
      <c r="AC46" s="49">
        <f t="shared" si="99"/>
        <v>0</v>
      </c>
      <c r="AD46" s="49">
        <f t="shared" si="100"/>
        <v>29916.234967499997</v>
      </c>
      <c r="AE46" s="49">
        <f t="shared" si="101"/>
        <v>0</v>
      </c>
      <c r="AF46" s="49">
        <f t="shared" si="102"/>
        <v>0</v>
      </c>
      <c r="AG46" s="49">
        <f t="shared" si="103"/>
        <v>107741.5425</v>
      </c>
      <c r="AH46" s="49">
        <f t="shared" si="104"/>
        <v>0</v>
      </c>
      <c r="AI46" s="49">
        <f t="shared" si="105"/>
        <v>0</v>
      </c>
      <c r="AJ46" s="49">
        <f t="shared" si="106"/>
        <v>107741.5425</v>
      </c>
      <c r="AK46" s="49">
        <f t="shared" si="107"/>
        <v>0</v>
      </c>
      <c r="AL46" s="49">
        <f t="shared" si="108"/>
        <v>0</v>
      </c>
      <c r="AM46" s="49">
        <f t="shared" si="109"/>
        <v>96159.326681249993</v>
      </c>
      <c r="AN46" s="49">
        <f t="shared" si="110"/>
        <v>0</v>
      </c>
      <c r="AO46" s="49">
        <f t="shared" si="111"/>
        <v>0</v>
      </c>
      <c r="AP46" s="49">
        <f t="shared" si="112"/>
        <v>96159.326681249993</v>
      </c>
      <c r="AQ46" s="49">
        <f t="shared" si="113"/>
        <v>0</v>
      </c>
      <c r="AR46" s="49">
        <f t="shared" si="114"/>
        <v>0</v>
      </c>
      <c r="AS46" s="49">
        <f t="shared" si="115"/>
        <v>21548.308499999999</v>
      </c>
      <c r="AT46" s="49">
        <f t="shared" si="116"/>
        <v>0</v>
      </c>
      <c r="AU46" s="49">
        <f t="shared" si="117"/>
        <v>0</v>
      </c>
      <c r="AV46" s="49">
        <f t="shared" si="118"/>
        <v>21548.308499999999</v>
      </c>
      <c r="AW46" s="49">
        <f t="shared" si="119"/>
        <v>0</v>
      </c>
      <c r="AX46" s="49">
        <f t="shared" si="120"/>
        <v>0</v>
      </c>
      <c r="AY46" s="49">
        <f t="shared" si="121"/>
        <v>28731.077999999998</v>
      </c>
      <c r="AZ46" s="49">
        <f t="shared" si="122"/>
        <v>0</v>
      </c>
      <c r="BA46" s="49">
        <f t="shared" si="123"/>
        <v>0</v>
      </c>
      <c r="BB46" s="49">
        <f t="shared" si="124"/>
        <v>28731.077999999998</v>
      </c>
      <c r="BC46" s="49">
        <f t="shared" si="125"/>
        <v>0</v>
      </c>
      <c r="BD46" s="49">
        <f t="shared" si="126"/>
        <v>0</v>
      </c>
      <c r="BE46" s="49">
        <f t="shared" si="127"/>
        <v>284096.49064874992</v>
      </c>
      <c r="BF46" s="49">
        <f t="shared" si="128"/>
        <v>0</v>
      </c>
      <c r="BG46" s="49">
        <f t="shared" si="129"/>
        <v>0</v>
      </c>
      <c r="BH46" s="49">
        <f t="shared" si="130"/>
        <v>284096.49064874992</v>
      </c>
      <c r="BI46" s="49">
        <f t="shared" si="131"/>
        <v>0</v>
      </c>
      <c r="BJ46" s="49">
        <f t="shared" si="132"/>
        <v>0</v>
      </c>
      <c r="BK46" s="49">
        <f t="shared" si="133"/>
        <v>29916.234967499997</v>
      </c>
      <c r="BL46" s="49">
        <f t="shared" si="134"/>
        <v>0</v>
      </c>
      <c r="BM46" s="49">
        <f t="shared" si="135"/>
        <v>0</v>
      </c>
      <c r="BN46" s="49">
        <f t="shared" si="136"/>
        <v>29916.234967499997</v>
      </c>
      <c r="BO46" s="49">
        <f t="shared" si="137"/>
        <v>0</v>
      </c>
      <c r="BP46" s="49">
        <f t="shared" si="138"/>
        <v>0</v>
      </c>
      <c r="BQ46" s="49">
        <f t="shared" si="139"/>
        <v>107741.5425</v>
      </c>
      <c r="BR46" s="49">
        <f t="shared" si="140"/>
        <v>0</v>
      </c>
      <c r="BS46" s="49">
        <f t="shared" si="141"/>
        <v>0</v>
      </c>
      <c r="BT46" s="49">
        <f t="shared" si="142"/>
        <v>107741.5425</v>
      </c>
      <c r="BU46" s="49">
        <f t="shared" si="143"/>
        <v>0</v>
      </c>
      <c r="BV46" s="49">
        <f t="shared" si="144"/>
        <v>0</v>
      </c>
      <c r="BW46" s="49">
        <f t="shared" si="145"/>
        <v>96159.326681249993</v>
      </c>
      <c r="BX46" s="49">
        <f t="shared" si="146"/>
        <v>0</v>
      </c>
      <c r="BY46" s="49">
        <f t="shared" si="147"/>
        <v>0</v>
      </c>
      <c r="BZ46" s="49">
        <f t="shared" si="148"/>
        <v>96159.326681249993</v>
      </c>
      <c r="CA46" s="49">
        <f t="shared" si="149"/>
        <v>0</v>
      </c>
      <c r="CB46" s="49">
        <f t="shared" si="150"/>
        <v>0</v>
      </c>
      <c r="CC46" s="49">
        <f t="shared" si="151"/>
        <v>21548.308499999999</v>
      </c>
      <c r="CD46" s="49">
        <f t="shared" si="152"/>
        <v>0</v>
      </c>
      <c r="CE46" s="49">
        <f t="shared" si="153"/>
        <v>0</v>
      </c>
      <c r="CF46" s="49">
        <f t="shared" si="154"/>
        <v>21548.308499999999</v>
      </c>
      <c r="CG46" s="49">
        <f t="shared" si="155"/>
        <v>0</v>
      </c>
      <c r="CH46" s="49">
        <f t="shared" si="156"/>
        <v>0</v>
      </c>
      <c r="CI46" s="49">
        <f t="shared" si="157"/>
        <v>28731.077999999998</v>
      </c>
      <c r="CJ46" s="49">
        <f t="shared" si="158"/>
        <v>0</v>
      </c>
      <c r="CK46" s="49">
        <f t="shared" si="159"/>
        <v>0</v>
      </c>
      <c r="CL46" s="49">
        <f t="shared" si="160"/>
        <v>28731.077999999998</v>
      </c>
      <c r="CM46" s="49">
        <f t="shared" si="161"/>
        <v>0</v>
      </c>
      <c r="CN46" s="49">
        <f t="shared" si="162"/>
        <v>0</v>
      </c>
      <c r="CO46" s="49">
        <f t="shared" si="163"/>
        <v>284096.49064874992</v>
      </c>
      <c r="CP46" s="49">
        <f t="shared" si="164"/>
        <v>0</v>
      </c>
      <c r="CQ46" s="49">
        <f t="shared" si="165"/>
        <v>0</v>
      </c>
      <c r="CR46" s="81">
        <f t="shared" si="166"/>
        <v>284096.49064874992</v>
      </c>
      <c r="CS46" s="80">
        <f t="shared" si="167"/>
        <v>434180.45935125003</v>
      </c>
      <c r="CT46" s="54"/>
      <c r="CU46" s="3" t="str">
        <f t="shared" si="168"/>
        <v>ARS</v>
      </c>
      <c r="CV46" s="3">
        <f>VLOOKUP(CU46,DF:DG,2,0)</f>
        <v>6.9185169999999997E-4</v>
      </c>
      <c r="CW46" s="23">
        <f t="shared" si="169"/>
        <v>496.94112892831492</v>
      </c>
      <c r="CX46" s="23">
        <f t="shared" si="170"/>
        <v>20.697598019864316</v>
      </c>
      <c r="CY46" s="23">
        <f t="shared" si="171"/>
        <v>74.541169339247247</v>
      </c>
      <c r="CZ46" s="23">
        <f t="shared" si="172"/>
        <v>66.527993635278165</v>
      </c>
      <c r="DA46" s="23">
        <f t="shared" si="173"/>
        <v>14.908233867849448</v>
      </c>
      <c r="DB46" s="23">
        <f t="shared" si="174"/>
        <v>19.877645157132598</v>
      </c>
      <c r="DC46" s="23">
        <f t="shared" si="175"/>
        <v>300.3884889089432</v>
      </c>
      <c r="DD46" s="34" t="str">
        <f>VLOOKUP(A46,'Billing Report'!H:I,2,FALSE)</f>
        <v>2025_MODO_BRANDING_PROMO_DIARCO_GEO_TWITTER_NU_AW_NOV</v>
      </c>
      <c r="DE46" s="34"/>
      <c r="DF46" s="61" t="s">
        <v>334</v>
      </c>
      <c r="DG46" s="62">
        <v>0.25375010939999998</v>
      </c>
      <c r="DH46"/>
      <c r="DI46" s="41"/>
      <c r="DJ46" s="41"/>
    </row>
    <row r="47" spans="1:114" ht="14.5" x14ac:dyDescent="0.35">
      <c r="A47" s="63">
        <v>40968095</v>
      </c>
      <c r="B47" s="3" t="s">
        <v>870</v>
      </c>
      <c r="C47" s="3">
        <v>318427901</v>
      </c>
      <c r="D47" s="3" t="s">
        <v>93</v>
      </c>
      <c r="G47" s="38">
        <v>1206718.48</v>
      </c>
      <c r="J47" s="33">
        <f>VLOOKUP($B47,'IMS Commission List'!E:CE,79,0)/100</f>
        <v>0.15</v>
      </c>
      <c r="K47" s="79">
        <f t="shared" si="88"/>
        <v>1206718.48</v>
      </c>
      <c r="L47" s="3" t="str">
        <f>VLOOKUP($B47,'IMS Commission List'!E:V,18,0)</f>
        <v>ARS</v>
      </c>
      <c r="M47" s="3">
        <v>1</v>
      </c>
      <c r="N47" s="3" t="str">
        <f>VLOOKUP($B47,'IMS Commission List'!E:T,16,0)</f>
        <v>MX</v>
      </c>
      <c r="O47" s="54">
        <f>VLOOKUP($B47,'IMS Commission List'!E:CF,80,0)</f>
        <v>4.9000000000000002E-2</v>
      </c>
      <c r="P47" s="54">
        <f>VLOOKUP($B47,'IMS Commission List'!E:CG,81,0)</f>
        <v>0.1575</v>
      </c>
      <c r="Q47" s="54">
        <f>VLOOKUP($B47,'IMS Commission List'!E:CP,90,0)</f>
        <v>0.03</v>
      </c>
      <c r="R47" s="54">
        <f>VLOOKUP($B47,'IMS Commission List'!E:CQ,91,0)</f>
        <v>0.04</v>
      </c>
      <c r="S47" s="47">
        <f t="shared" si="89"/>
        <v>0</v>
      </c>
      <c r="T47" s="48">
        <f t="shared" si="90"/>
        <v>0</v>
      </c>
      <c r="U47" s="48">
        <f t="shared" si="91"/>
        <v>1206718.48</v>
      </c>
      <c r="V47" s="48">
        <f t="shared" si="92"/>
        <v>0</v>
      </c>
      <c r="W47" s="48">
        <f t="shared" si="93"/>
        <v>0</v>
      </c>
      <c r="X47" s="49">
        <f t="shared" si="94"/>
        <v>1206718.48</v>
      </c>
      <c r="Y47" s="49">
        <f t="shared" si="95"/>
        <v>0</v>
      </c>
      <c r="Z47" s="49">
        <f t="shared" si="96"/>
        <v>0</v>
      </c>
      <c r="AA47" s="49">
        <f t="shared" si="97"/>
        <v>50259.824692000002</v>
      </c>
      <c r="AB47" s="49">
        <f t="shared" si="98"/>
        <v>0</v>
      </c>
      <c r="AC47" s="49">
        <f t="shared" si="99"/>
        <v>0</v>
      </c>
      <c r="AD47" s="49">
        <f t="shared" si="100"/>
        <v>50259.824692000002</v>
      </c>
      <c r="AE47" s="49">
        <f t="shared" si="101"/>
        <v>0</v>
      </c>
      <c r="AF47" s="49">
        <f t="shared" si="102"/>
        <v>0</v>
      </c>
      <c r="AG47" s="49">
        <f t="shared" si="103"/>
        <v>181007.772</v>
      </c>
      <c r="AH47" s="49">
        <f t="shared" si="104"/>
        <v>0</v>
      </c>
      <c r="AI47" s="49">
        <f t="shared" si="105"/>
        <v>0</v>
      </c>
      <c r="AJ47" s="49">
        <f t="shared" si="106"/>
        <v>181007.772</v>
      </c>
      <c r="AK47" s="49">
        <f t="shared" si="107"/>
        <v>0</v>
      </c>
      <c r="AL47" s="49">
        <f t="shared" si="108"/>
        <v>0</v>
      </c>
      <c r="AM47" s="49">
        <f t="shared" si="109"/>
        <v>161549.43651</v>
      </c>
      <c r="AN47" s="49">
        <f t="shared" si="110"/>
        <v>0</v>
      </c>
      <c r="AO47" s="49">
        <f t="shared" si="111"/>
        <v>0</v>
      </c>
      <c r="AP47" s="49">
        <f t="shared" si="112"/>
        <v>161549.43651</v>
      </c>
      <c r="AQ47" s="49">
        <f t="shared" si="113"/>
        <v>0</v>
      </c>
      <c r="AR47" s="49">
        <f t="shared" si="114"/>
        <v>0</v>
      </c>
      <c r="AS47" s="49">
        <f t="shared" si="115"/>
        <v>36201.554400000001</v>
      </c>
      <c r="AT47" s="49">
        <f t="shared" si="116"/>
        <v>0</v>
      </c>
      <c r="AU47" s="49">
        <f t="shared" si="117"/>
        <v>0</v>
      </c>
      <c r="AV47" s="49">
        <f t="shared" si="118"/>
        <v>36201.554400000001</v>
      </c>
      <c r="AW47" s="49">
        <f t="shared" si="119"/>
        <v>0</v>
      </c>
      <c r="AX47" s="49">
        <f t="shared" si="120"/>
        <v>0</v>
      </c>
      <c r="AY47" s="49">
        <f t="shared" si="121"/>
        <v>48268.739200000004</v>
      </c>
      <c r="AZ47" s="49">
        <f t="shared" si="122"/>
        <v>0</v>
      </c>
      <c r="BA47" s="49">
        <f t="shared" si="123"/>
        <v>0</v>
      </c>
      <c r="BB47" s="49">
        <f t="shared" si="124"/>
        <v>48268.739200000004</v>
      </c>
      <c r="BC47" s="49">
        <f t="shared" si="125"/>
        <v>0</v>
      </c>
      <c r="BD47" s="49">
        <f t="shared" si="126"/>
        <v>0</v>
      </c>
      <c r="BE47" s="49">
        <f t="shared" si="127"/>
        <v>477287.326802</v>
      </c>
      <c r="BF47" s="49">
        <f t="shared" si="128"/>
        <v>0</v>
      </c>
      <c r="BG47" s="49">
        <f t="shared" si="129"/>
        <v>0</v>
      </c>
      <c r="BH47" s="49">
        <f t="shared" si="130"/>
        <v>477287.326802</v>
      </c>
      <c r="BI47" s="49">
        <f t="shared" si="131"/>
        <v>0</v>
      </c>
      <c r="BJ47" s="49">
        <f t="shared" si="132"/>
        <v>0</v>
      </c>
      <c r="BK47" s="49">
        <f t="shared" si="133"/>
        <v>50259.824692000002</v>
      </c>
      <c r="BL47" s="49">
        <f t="shared" si="134"/>
        <v>0</v>
      </c>
      <c r="BM47" s="49">
        <f t="shared" si="135"/>
        <v>0</v>
      </c>
      <c r="BN47" s="49">
        <f t="shared" si="136"/>
        <v>50259.824692000002</v>
      </c>
      <c r="BO47" s="49">
        <f t="shared" si="137"/>
        <v>0</v>
      </c>
      <c r="BP47" s="49">
        <f t="shared" si="138"/>
        <v>0</v>
      </c>
      <c r="BQ47" s="49">
        <f t="shared" si="139"/>
        <v>181007.772</v>
      </c>
      <c r="BR47" s="49">
        <f t="shared" si="140"/>
        <v>0</v>
      </c>
      <c r="BS47" s="49">
        <f t="shared" si="141"/>
        <v>0</v>
      </c>
      <c r="BT47" s="49">
        <f t="shared" si="142"/>
        <v>181007.772</v>
      </c>
      <c r="BU47" s="49">
        <f t="shared" si="143"/>
        <v>0</v>
      </c>
      <c r="BV47" s="49">
        <f t="shared" si="144"/>
        <v>0</v>
      </c>
      <c r="BW47" s="49">
        <f t="shared" si="145"/>
        <v>161549.43651</v>
      </c>
      <c r="BX47" s="49">
        <f t="shared" si="146"/>
        <v>0</v>
      </c>
      <c r="BY47" s="49">
        <f t="shared" si="147"/>
        <v>0</v>
      </c>
      <c r="BZ47" s="49">
        <f t="shared" si="148"/>
        <v>161549.43651</v>
      </c>
      <c r="CA47" s="49">
        <f t="shared" si="149"/>
        <v>0</v>
      </c>
      <c r="CB47" s="49">
        <f t="shared" si="150"/>
        <v>0</v>
      </c>
      <c r="CC47" s="49">
        <f t="shared" si="151"/>
        <v>36201.554400000001</v>
      </c>
      <c r="CD47" s="49">
        <f t="shared" si="152"/>
        <v>0</v>
      </c>
      <c r="CE47" s="49">
        <f t="shared" si="153"/>
        <v>0</v>
      </c>
      <c r="CF47" s="49">
        <f t="shared" si="154"/>
        <v>36201.554400000001</v>
      </c>
      <c r="CG47" s="49">
        <f t="shared" si="155"/>
        <v>0</v>
      </c>
      <c r="CH47" s="49">
        <f t="shared" si="156"/>
        <v>0</v>
      </c>
      <c r="CI47" s="49">
        <f t="shared" si="157"/>
        <v>48268.739200000004</v>
      </c>
      <c r="CJ47" s="49">
        <f t="shared" si="158"/>
        <v>0</v>
      </c>
      <c r="CK47" s="49">
        <f t="shared" si="159"/>
        <v>0</v>
      </c>
      <c r="CL47" s="49">
        <f t="shared" si="160"/>
        <v>48268.739200000004</v>
      </c>
      <c r="CM47" s="49">
        <f t="shared" si="161"/>
        <v>0</v>
      </c>
      <c r="CN47" s="49">
        <f t="shared" si="162"/>
        <v>0</v>
      </c>
      <c r="CO47" s="49">
        <f t="shared" si="163"/>
        <v>477287.326802</v>
      </c>
      <c r="CP47" s="49">
        <f t="shared" si="164"/>
        <v>0</v>
      </c>
      <c r="CQ47" s="49">
        <f t="shared" si="165"/>
        <v>0</v>
      </c>
      <c r="CR47" s="81">
        <f t="shared" si="166"/>
        <v>477287.326802</v>
      </c>
      <c r="CS47" s="80">
        <f t="shared" si="167"/>
        <v>729431.15319800004</v>
      </c>
      <c r="CT47" s="54"/>
      <c r="CU47" s="3" t="str">
        <f t="shared" si="168"/>
        <v>ARS</v>
      </c>
      <c r="CV47" s="3">
        <f>VLOOKUP(CU47,DF:DG,2,0)</f>
        <v>6.9185169999999997E-4</v>
      </c>
      <c r="CW47" s="23">
        <f t="shared" si="169"/>
        <v>834.87023180941594</v>
      </c>
      <c r="CX47" s="23">
        <f t="shared" si="170"/>
        <v>34.77234515486218</v>
      </c>
      <c r="CY47" s="23">
        <f t="shared" si="171"/>
        <v>125.23053477141239</v>
      </c>
      <c r="CZ47" s="23">
        <f t="shared" si="172"/>
        <v>111.76825228348557</v>
      </c>
      <c r="DA47" s="23">
        <f t="shared" si="173"/>
        <v>25.046106954282479</v>
      </c>
      <c r="DB47" s="23">
        <f t="shared" si="174"/>
        <v>33.394809272376641</v>
      </c>
      <c r="DC47" s="23">
        <f t="shared" si="175"/>
        <v>504.65818337299675</v>
      </c>
      <c r="DD47" s="34" t="str">
        <f>VLOOKUP(A47,'Billing Report'!H:I,2,FALSE)</f>
        <v>EJE_Clics_Institucional_FEB/MAR26 (Inscripciones)</v>
      </c>
      <c r="DE47" s="34"/>
      <c r="DF47" s="61" t="s">
        <v>333</v>
      </c>
      <c r="DG47" s="62">
        <v>7.2011899999999997E-4</v>
      </c>
      <c r="DH47"/>
      <c r="DI47" s="41"/>
      <c r="DJ47" s="41"/>
    </row>
    <row r="48" spans="1:114" ht="14.5" x14ac:dyDescent="0.35">
      <c r="A48" s="63">
        <v>40497612</v>
      </c>
      <c r="B48" s="3" t="s">
        <v>618</v>
      </c>
      <c r="C48" s="3">
        <v>318698801</v>
      </c>
      <c r="D48" s="3" t="s">
        <v>93</v>
      </c>
      <c r="G48" s="38">
        <v>1216795.6299999999</v>
      </c>
      <c r="J48" s="33">
        <f>VLOOKUP($B48,'IMS Commission List'!E:CE,79,0)/100</f>
        <v>0.15</v>
      </c>
      <c r="K48" s="79">
        <f t="shared" si="88"/>
        <v>1216795.6299999999</v>
      </c>
      <c r="L48" s="3" t="str">
        <f>VLOOKUP($B48,'IMS Commission List'!E:V,18,0)</f>
        <v>ARS</v>
      </c>
      <c r="M48" s="3">
        <v>1</v>
      </c>
      <c r="N48" s="3" t="str">
        <f>VLOOKUP($B48,'IMS Commission List'!E:T,16,0)</f>
        <v>MX</v>
      </c>
      <c r="O48" s="54">
        <f>VLOOKUP($B48,'IMS Commission List'!E:CF,80,0)</f>
        <v>4.9000000000000002E-2</v>
      </c>
      <c r="P48" s="54">
        <f>VLOOKUP($B48,'IMS Commission List'!E:CG,81,0)</f>
        <v>0.1575</v>
      </c>
      <c r="Q48" s="54">
        <f>VLOOKUP($B48,'IMS Commission List'!E:CP,90,0)</f>
        <v>0.03</v>
      </c>
      <c r="R48" s="54">
        <f>VLOOKUP($B48,'IMS Commission List'!E:CQ,91,0)</f>
        <v>0.04</v>
      </c>
      <c r="S48" s="47">
        <f t="shared" si="89"/>
        <v>0</v>
      </c>
      <c r="T48" s="48">
        <f t="shared" si="90"/>
        <v>0</v>
      </c>
      <c r="U48" s="48">
        <f t="shared" si="91"/>
        <v>1216795.6299999999</v>
      </c>
      <c r="V48" s="48">
        <f t="shared" si="92"/>
        <v>0</v>
      </c>
      <c r="W48" s="48">
        <f t="shared" si="93"/>
        <v>0</v>
      </c>
      <c r="X48" s="49">
        <f t="shared" si="94"/>
        <v>1216795.6299999999</v>
      </c>
      <c r="Y48" s="49">
        <f t="shared" si="95"/>
        <v>0</v>
      </c>
      <c r="Z48" s="49">
        <f t="shared" si="96"/>
        <v>0</v>
      </c>
      <c r="AA48" s="49">
        <f t="shared" si="97"/>
        <v>50679.537989499993</v>
      </c>
      <c r="AB48" s="49">
        <f t="shared" si="98"/>
        <v>0</v>
      </c>
      <c r="AC48" s="49">
        <f t="shared" si="99"/>
        <v>0</v>
      </c>
      <c r="AD48" s="49">
        <f t="shared" si="100"/>
        <v>50679.537989499993</v>
      </c>
      <c r="AE48" s="49">
        <f t="shared" si="101"/>
        <v>0</v>
      </c>
      <c r="AF48" s="49">
        <f t="shared" si="102"/>
        <v>0</v>
      </c>
      <c r="AG48" s="49">
        <f t="shared" si="103"/>
        <v>182519.34449999998</v>
      </c>
      <c r="AH48" s="49">
        <f t="shared" si="104"/>
        <v>0</v>
      </c>
      <c r="AI48" s="49">
        <f t="shared" si="105"/>
        <v>0</v>
      </c>
      <c r="AJ48" s="49">
        <f t="shared" si="106"/>
        <v>182519.34449999998</v>
      </c>
      <c r="AK48" s="49">
        <f t="shared" si="107"/>
        <v>0</v>
      </c>
      <c r="AL48" s="49">
        <f t="shared" si="108"/>
        <v>0</v>
      </c>
      <c r="AM48" s="49">
        <f t="shared" si="109"/>
        <v>162898.51496624999</v>
      </c>
      <c r="AN48" s="49">
        <f t="shared" si="110"/>
        <v>0</v>
      </c>
      <c r="AO48" s="49">
        <f t="shared" si="111"/>
        <v>0</v>
      </c>
      <c r="AP48" s="49">
        <f t="shared" si="112"/>
        <v>162898.51496624999</v>
      </c>
      <c r="AQ48" s="49">
        <f t="shared" si="113"/>
        <v>0</v>
      </c>
      <c r="AR48" s="49">
        <f t="shared" si="114"/>
        <v>0</v>
      </c>
      <c r="AS48" s="49">
        <f t="shared" si="115"/>
        <v>36503.868899999994</v>
      </c>
      <c r="AT48" s="49">
        <f t="shared" si="116"/>
        <v>0</v>
      </c>
      <c r="AU48" s="49">
        <f t="shared" si="117"/>
        <v>0</v>
      </c>
      <c r="AV48" s="49">
        <f t="shared" si="118"/>
        <v>36503.868899999994</v>
      </c>
      <c r="AW48" s="49">
        <f t="shared" si="119"/>
        <v>0</v>
      </c>
      <c r="AX48" s="49">
        <f t="shared" si="120"/>
        <v>0</v>
      </c>
      <c r="AY48" s="49">
        <f t="shared" si="121"/>
        <v>48671.825199999999</v>
      </c>
      <c r="AZ48" s="49">
        <f t="shared" si="122"/>
        <v>0</v>
      </c>
      <c r="BA48" s="49">
        <f t="shared" si="123"/>
        <v>0</v>
      </c>
      <c r="BB48" s="49">
        <f t="shared" si="124"/>
        <v>48671.825199999999</v>
      </c>
      <c r="BC48" s="49">
        <f t="shared" si="125"/>
        <v>0</v>
      </c>
      <c r="BD48" s="49">
        <f t="shared" si="126"/>
        <v>0</v>
      </c>
      <c r="BE48" s="49">
        <f t="shared" si="127"/>
        <v>481273.09155575</v>
      </c>
      <c r="BF48" s="49">
        <f t="shared" si="128"/>
        <v>0</v>
      </c>
      <c r="BG48" s="49">
        <f t="shared" si="129"/>
        <v>0</v>
      </c>
      <c r="BH48" s="49">
        <f t="shared" si="130"/>
        <v>481273.09155575</v>
      </c>
      <c r="BI48" s="49">
        <f t="shared" si="131"/>
        <v>0</v>
      </c>
      <c r="BJ48" s="49">
        <f t="shared" si="132"/>
        <v>0</v>
      </c>
      <c r="BK48" s="49">
        <f t="shared" si="133"/>
        <v>50679.537989499993</v>
      </c>
      <c r="BL48" s="49">
        <f t="shared" si="134"/>
        <v>0</v>
      </c>
      <c r="BM48" s="49">
        <f t="shared" si="135"/>
        <v>0</v>
      </c>
      <c r="BN48" s="49">
        <f t="shared" si="136"/>
        <v>50679.537989499993</v>
      </c>
      <c r="BO48" s="49">
        <f t="shared" si="137"/>
        <v>0</v>
      </c>
      <c r="BP48" s="49">
        <f t="shared" si="138"/>
        <v>0</v>
      </c>
      <c r="BQ48" s="49">
        <f t="shared" si="139"/>
        <v>182519.34449999998</v>
      </c>
      <c r="BR48" s="49">
        <f t="shared" si="140"/>
        <v>0</v>
      </c>
      <c r="BS48" s="49">
        <f t="shared" si="141"/>
        <v>0</v>
      </c>
      <c r="BT48" s="49">
        <f t="shared" si="142"/>
        <v>182519.34449999998</v>
      </c>
      <c r="BU48" s="49">
        <f t="shared" si="143"/>
        <v>0</v>
      </c>
      <c r="BV48" s="49">
        <f t="shared" si="144"/>
        <v>0</v>
      </c>
      <c r="BW48" s="49">
        <f t="shared" si="145"/>
        <v>162898.51496624999</v>
      </c>
      <c r="BX48" s="49">
        <f t="shared" si="146"/>
        <v>0</v>
      </c>
      <c r="BY48" s="49">
        <f t="shared" si="147"/>
        <v>0</v>
      </c>
      <c r="BZ48" s="49">
        <f t="shared" si="148"/>
        <v>162898.51496624999</v>
      </c>
      <c r="CA48" s="49">
        <f t="shared" si="149"/>
        <v>0</v>
      </c>
      <c r="CB48" s="49">
        <f t="shared" si="150"/>
        <v>0</v>
      </c>
      <c r="CC48" s="49">
        <f t="shared" si="151"/>
        <v>36503.868899999994</v>
      </c>
      <c r="CD48" s="49">
        <f t="shared" si="152"/>
        <v>0</v>
      </c>
      <c r="CE48" s="49">
        <f t="shared" si="153"/>
        <v>0</v>
      </c>
      <c r="CF48" s="49">
        <f t="shared" si="154"/>
        <v>36503.868899999994</v>
      </c>
      <c r="CG48" s="49">
        <f t="shared" si="155"/>
        <v>0</v>
      </c>
      <c r="CH48" s="49">
        <f t="shared" si="156"/>
        <v>0</v>
      </c>
      <c r="CI48" s="49">
        <f t="shared" si="157"/>
        <v>48671.825199999999</v>
      </c>
      <c r="CJ48" s="49">
        <f t="shared" si="158"/>
        <v>0</v>
      </c>
      <c r="CK48" s="49">
        <f t="shared" si="159"/>
        <v>0</v>
      </c>
      <c r="CL48" s="49">
        <f t="shared" si="160"/>
        <v>48671.825199999999</v>
      </c>
      <c r="CM48" s="49">
        <f t="shared" si="161"/>
        <v>0</v>
      </c>
      <c r="CN48" s="49">
        <f t="shared" si="162"/>
        <v>0</v>
      </c>
      <c r="CO48" s="49">
        <f t="shared" si="163"/>
        <v>481273.09155575</v>
      </c>
      <c r="CP48" s="49">
        <f t="shared" si="164"/>
        <v>0</v>
      </c>
      <c r="CQ48" s="49">
        <f t="shared" si="165"/>
        <v>0</v>
      </c>
      <c r="CR48" s="81">
        <f t="shared" si="166"/>
        <v>481273.09155575</v>
      </c>
      <c r="CS48" s="80">
        <f t="shared" si="167"/>
        <v>735522.53844424989</v>
      </c>
      <c r="CT48" s="54"/>
      <c r="CU48" s="3" t="str">
        <f t="shared" si="168"/>
        <v>ARS</v>
      </c>
      <c r="CV48" s="3">
        <f>VLOOKUP(CU48,DF:DG,2,0)</f>
        <v>6.9185169999999997E-4</v>
      </c>
      <c r="CW48" s="23">
        <f t="shared" si="169"/>
        <v>841.84212516807088</v>
      </c>
      <c r="CX48" s="23">
        <f t="shared" si="170"/>
        <v>35.062724513250153</v>
      </c>
      <c r="CY48" s="23">
        <f t="shared" si="171"/>
        <v>126.27631877521063</v>
      </c>
      <c r="CZ48" s="23">
        <f t="shared" si="172"/>
        <v>112.70161450687549</v>
      </c>
      <c r="DA48" s="23">
        <f t="shared" si="173"/>
        <v>25.255263755042126</v>
      </c>
      <c r="DB48" s="23">
        <f t="shared" si="174"/>
        <v>33.673685006722835</v>
      </c>
      <c r="DC48" s="23">
        <f t="shared" si="175"/>
        <v>508.87251861096962</v>
      </c>
      <c r="DD48" s="34" t="str">
        <f>VLOOKUP(A48,'Billing Report'!H:I,2,FALSE)</f>
        <v>bull_cnmk_all_trafico_X_all_broad_gene_ticket_ao</v>
      </c>
      <c r="DE48" s="34"/>
      <c r="DF48" s="61" t="s">
        <v>332</v>
      </c>
      <c r="DG48" s="62">
        <v>0.10420737269999999</v>
      </c>
      <c r="DH48"/>
      <c r="DI48" s="41"/>
      <c r="DJ48" s="41"/>
    </row>
    <row r="49" spans="1:114" ht="14.5" x14ac:dyDescent="0.35">
      <c r="A49" s="63">
        <v>40497187</v>
      </c>
      <c r="B49" s="3" t="s">
        <v>618</v>
      </c>
      <c r="C49" s="3">
        <v>318698801</v>
      </c>
      <c r="D49" s="3" t="s">
        <v>93</v>
      </c>
      <c r="G49" s="38">
        <v>1214635.49</v>
      </c>
      <c r="J49" s="33">
        <f>VLOOKUP($B49,'IMS Commission List'!E:CE,79,0)/100</f>
        <v>0.15</v>
      </c>
      <c r="K49" s="79">
        <f t="shared" si="88"/>
        <v>1214635.49</v>
      </c>
      <c r="L49" s="3" t="str">
        <f>VLOOKUP($B49,'IMS Commission List'!E:V,18,0)</f>
        <v>ARS</v>
      </c>
      <c r="M49" s="3">
        <v>1</v>
      </c>
      <c r="N49" s="3" t="str">
        <f>VLOOKUP($B49,'IMS Commission List'!E:T,16,0)</f>
        <v>MX</v>
      </c>
      <c r="O49" s="54">
        <f>VLOOKUP($B49,'IMS Commission List'!E:CF,80,0)</f>
        <v>4.9000000000000002E-2</v>
      </c>
      <c r="P49" s="54">
        <f>VLOOKUP($B49,'IMS Commission List'!E:CG,81,0)</f>
        <v>0.1575</v>
      </c>
      <c r="Q49" s="54">
        <f>VLOOKUP($B49,'IMS Commission List'!E:CP,90,0)</f>
        <v>0.03</v>
      </c>
      <c r="R49" s="54">
        <f>VLOOKUP($B49,'IMS Commission List'!E:CQ,91,0)</f>
        <v>0.04</v>
      </c>
      <c r="S49" s="47">
        <f t="shared" si="89"/>
        <v>0</v>
      </c>
      <c r="T49" s="48">
        <f t="shared" si="90"/>
        <v>0</v>
      </c>
      <c r="U49" s="48">
        <f t="shared" si="91"/>
        <v>1214635.49</v>
      </c>
      <c r="V49" s="48">
        <f t="shared" si="92"/>
        <v>0</v>
      </c>
      <c r="W49" s="48">
        <f t="shared" si="93"/>
        <v>0</v>
      </c>
      <c r="X49" s="49">
        <f t="shared" si="94"/>
        <v>1214635.49</v>
      </c>
      <c r="Y49" s="49">
        <f t="shared" si="95"/>
        <v>0</v>
      </c>
      <c r="Z49" s="49">
        <f t="shared" si="96"/>
        <v>0</v>
      </c>
      <c r="AA49" s="49">
        <f t="shared" si="97"/>
        <v>50589.568158499998</v>
      </c>
      <c r="AB49" s="49">
        <f t="shared" si="98"/>
        <v>0</v>
      </c>
      <c r="AC49" s="49">
        <f t="shared" si="99"/>
        <v>0</v>
      </c>
      <c r="AD49" s="49">
        <f t="shared" si="100"/>
        <v>50589.568158499998</v>
      </c>
      <c r="AE49" s="49">
        <f t="shared" si="101"/>
        <v>0</v>
      </c>
      <c r="AF49" s="49">
        <f t="shared" si="102"/>
        <v>0</v>
      </c>
      <c r="AG49" s="49">
        <f t="shared" si="103"/>
        <v>182195.3235</v>
      </c>
      <c r="AH49" s="49">
        <f t="shared" si="104"/>
        <v>0</v>
      </c>
      <c r="AI49" s="49">
        <f t="shared" si="105"/>
        <v>0</v>
      </c>
      <c r="AJ49" s="49">
        <f t="shared" si="106"/>
        <v>182195.3235</v>
      </c>
      <c r="AK49" s="49">
        <f t="shared" si="107"/>
        <v>0</v>
      </c>
      <c r="AL49" s="49">
        <f t="shared" si="108"/>
        <v>0</v>
      </c>
      <c r="AM49" s="49">
        <f t="shared" si="109"/>
        <v>162609.32622374999</v>
      </c>
      <c r="AN49" s="49">
        <f t="shared" si="110"/>
        <v>0</v>
      </c>
      <c r="AO49" s="49">
        <f t="shared" si="111"/>
        <v>0</v>
      </c>
      <c r="AP49" s="49">
        <f t="shared" si="112"/>
        <v>162609.32622374999</v>
      </c>
      <c r="AQ49" s="49">
        <f t="shared" si="113"/>
        <v>0</v>
      </c>
      <c r="AR49" s="49">
        <f t="shared" si="114"/>
        <v>0</v>
      </c>
      <c r="AS49" s="49">
        <f t="shared" si="115"/>
        <v>36439.064699999995</v>
      </c>
      <c r="AT49" s="49">
        <f t="shared" si="116"/>
        <v>0</v>
      </c>
      <c r="AU49" s="49">
        <f t="shared" si="117"/>
        <v>0</v>
      </c>
      <c r="AV49" s="49">
        <f t="shared" si="118"/>
        <v>36439.064699999995</v>
      </c>
      <c r="AW49" s="49">
        <f t="shared" si="119"/>
        <v>0</v>
      </c>
      <c r="AX49" s="49">
        <f t="shared" si="120"/>
        <v>0</v>
      </c>
      <c r="AY49" s="49">
        <f t="shared" si="121"/>
        <v>48585.419600000001</v>
      </c>
      <c r="AZ49" s="49">
        <f t="shared" si="122"/>
        <v>0</v>
      </c>
      <c r="BA49" s="49">
        <f t="shared" si="123"/>
        <v>0</v>
      </c>
      <c r="BB49" s="49">
        <f t="shared" si="124"/>
        <v>48585.419600000001</v>
      </c>
      <c r="BC49" s="49">
        <f t="shared" si="125"/>
        <v>0</v>
      </c>
      <c r="BD49" s="49">
        <f t="shared" si="126"/>
        <v>0</v>
      </c>
      <c r="BE49" s="49">
        <f t="shared" si="127"/>
        <v>480418.70218224998</v>
      </c>
      <c r="BF49" s="49">
        <f t="shared" si="128"/>
        <v>0</v>
      </c>
      <c r="BG49" s="49">
        <f t="shared" si="129"/>
        <v>0</v>
      </c>
      <c r="BH49" s="49">
        <f t="shared" si="130"/>
        <v>480418.70218224998</v>
      </c>
      <c r="BI49" s="49">
        <f t="shared" si="131"/>
        <v>0</v>
      </c>
      <c r="BJ49" s="49">
        <f t="shared" si="132"/>
        <v>0</v>
      </c>
      <c r="BK49" s="49">
        <f t="shared" si="133"/>
        <v>50589.568158499998</v>
      </c>
      <c r="BL49" s="49">
        <f t="shared" si="134"/>
        <v>0</v>
      </c>
      <c r="BM49" s="49">
        <f t="shared" si="135"/>
        <v>0</v>
      </c>
      <c r="BN49" s="49">
        <f t="shared" si="136"/>
        <v>50589.568158499998</v>
      </c>
      <c r="BO49" s="49">
        <f t="shared" si="137"/>
        <v>0</v>
      </c>
      <c r="BP49" s="49">
        <f t="shared" si="138"/>
        <v>0</v>
      </c>
      <c r="BQ49" s="49">
        <f t="shared" si="139"/>
        <v>182195.3235</v>
      </c>
      <c r="BR49" s="49">
        <f t="shared" si="140"/>
        <v>0</v>
      </c>
      <c r="BS49" s="49">
        <f t="shared" si="141"/>
        <v>0</v>
      </c>
      <c r="BT49" s="49">
        <f t="shared" si="142"/>
        <v>182195.3235</v>
      </c>
      <c r="BU49" s="49">
        <f t="shared" si="143"/>
        <v>0</v>
      </c>
      <c r="BV49" s="49">
        <f t="shared" si="144"/>
        <v>0</v>
      </c>
      <c r="BW49" s="49">
        <f t="shared" si="145"/>
        <v>162609.32622374999</v>
      </c>
      <c r="BX49" s="49">
        <f t="shared" si="146"/>
        <v>0</v>
      </c>
      <c r="BY49" s="49">
        <f t="shared" si="147"/>
        <v>0</v>
      </c>
      <c r="BZ49" s="49">
        <f t="shared" si="148"/>
        <v>162609.32622374999</v>
      </c>
      <c r="CA49" s="49">
        <f t="shared" si="149"/>
        <v>0</v>
      </c>
      <c r="CB49" s="49">
        <f t="shared" si="150"/>
        <v>0</v>
      </c>
      <c r="CC49" s="49">
        <f t="shared" si="151"/>
        <v>36439.064699999995</v>
      </c>
      <c r="CD49" s="49">
        <f t="shared" si="152"/>
        <v>0</v>
      </c>
      <c r="CE49" s="49">
        <f t="shared" si="153"/>
        <v>0</v>
      </c>
      <c r="CF49" s="49">
        <f t="shared" si="154"/>
        <v>36439.064699999995</v>
      </c>
      <c r="CG49" s="49">
        <f t="shared" si="155"/>
        <v>0</v>
      </c>
      <c r="CH49" s="49">
        <f t="shared" si="156"/>
        <v>0</v>
      </c>
      <c r="CI49" s="49">
        <f t="shared" si="157"/>
        <v>48585.419600000001</v>
      </c>
      <c r="CJ49" s="49">
        <f t="shared" si="158"/>
        <v>0</v>
      </c>
      <c r="CK49" s="49">
        <f t="shared" si="159"/>
        <v>0</v>
      </c>
      <c r="CL49" s="49">
        <f t="shared" si="160"/>
        <v>48585.419600000001</v>
      </c>
      <c r="CM49" s="49">
        <f t="shared" si="161"/>
        <v>0</v>
      </c>
      <c r="CN49" s="49">
        <f t="shared" si="162"/>
        <v>0</v>
      </c>
      <c r="CO49" s="49">
        <f t="shared" si="163"/>
        <v>480418.70218224998</v>
      </c>
      <c r="CP49" s="49">
        <f t="shared" si="164"/>
        <v>0</v>
      </c>
      <c r="CQ49" s="49">
        <f t="shared" si="165"/>
        <v>0</v>
      </c>
      <c r="CR49" s="81">
        <f t="shared" si="166"/>
        <v>480418.70218224998</v>
      </c>
      <c r="CS49" s="80">
        <f t="shared" si="167"/>
        <v>734216.78781775001</v>
      </c>
      <c r="CT49" s="54"/>
      <c r="CU49" s="3" t="str">
        <f t="shared" si="168"/>
        <v>ARS</v>
      </c>
      <c r="CV49" s="3">
        <f>VLOOKUP(CU49,DF:DG,2,0)</f>
        <v>6.9185169999999997E-4</v>
      </c>
      <c r="CW49" s="23">
        <f t="shared" si="169"/>
        <v>840.34762863683295</v>
      </c>
      <c r="CX49" s="23">
        <f t="shared" si="170"/>
        <v>35.00047873272409</v>
      </c>
      <c r="CY49" s="23">
        <f t="shared" si="171"/>
        <v>126.05214429552494</v>
      </c>
      <c r="CZ49" s="23">
        <f t="shared" si="172"/>
        <v>112.501538783756</v>
      </c>
      <c r="DA49" s="23">
        <f t="shared" si="173"/>
        <v>25.210428859104987</v>
      </c>
      <c r="DB49" s="23">
        <f t="shared" si="174"/>
        <v>33.613905145473318</v>
      </c>
      <c r="DC49" s="23">
        <f t="shared" si="175"/>
        <v>507.96913282024963</v>
      </c>
      <c r="DD49" s="34" t="str">
        <f>VLOOKUP(A49,'Billing Report'!H:I,2,FALSE)</f>
        <v>bull_cnmk_all_venta_X_all_broad_gene_ticket_ao</v>
      </c>
      <c r="DE49" s="34"/>
      <c r="DF49" s="61" t="s">
        <v>331</v>
      </c>
      <c r="DG49" s="62">
        <v>0.60458212789999999</v>
      </c>
      <c r="DH49"/>
      <c r="DI49" s="41"/>
      <c r="DJ49" s="41"/>
    </row>
    <row r="50" spans="1:114" ht="14.5" x14ac:dyDescent="0.35">
      <c r="A50" s="63">
        <v>40926151</v>
      </c>
      <c r="B50" s="3" t="s">
        <v>885</v>
      </c>
      <c r="C50" s="3">
        <v>320312002</v>
      </c>
      <c r="D50" s="3" t="s">
        <v>93</v>
      </c>
      <c r="G50" s="38">
        <v>643873.17000000004</v>
      </c>
      <c r="J50" s="33">
        <f>VLOOKUP($B50,'IMS Commission List'!E:CE,79,0)/100</f>
        <v>0.08</v>
      </c>
      <c r="K50" s="79">
        <f t="shared" si="88"/>
        <v>643873.17000000004</v>
      </c>
      <c r="L50" s="3" t="str">
        <f>VLOOKUP($B50,'IMS Commission List'!E:V,18,0)</f>
        <v>ARS</v>
      </c>
      <c r="M50" s="3">
        <v>1</v>
      </c>
      <c r="N50" s="3" t="str">
        <f>VLOOKUP($B50,'IMS Commission List'!E:T,16,0)</f>
        <v>MX</v>
      </c>
      <c r="O50" s="54">
        <f>VLOOKUP($B50,'IMS Commission List'!E:CF,80,0)</f>
        <v>4.9000000000000002E-2</v>
      </c>
      <c r="P50" s="54">
        <f>VLOOKUP($B50,'IMS Commission List'!E:CG,81,0)</f>
        <v>0.1575</v>
      </c>
      <c r="Q50" s="54">
        <f>VLOOKUP($B50,'IMS Commission List'!E:CP,90,0)</f>
        <v>0.03</v>
      </c>
      <c r="R50" s="54">
        <f>VLOOKUP($B50,'IMS Commission List'!E:CQ,91,0)</f>
        <v>0.04</v>
      </c>
      <c r="S50" s="47">
        <f t="shared" si="89"/>
        <v>0</v>
      </c>
      <c r="T50" s="48">
        <f t="shared" si="90"/>
        <v>0</v>
      </c>
      <c r="U50" s="48">
        <f t="shared" si="91"/>
        <v>643873.17000000004</v>
      </c>
      <c r="V50" s="48">
        <f t="shared" si="92"/>
        <v>0</v>
      </c>
      <c r="W50" s="48">
        <f t="shared" si="93"/>
        <v>0</v>
      </c>
      <c r="X50" s="49">
        <f t="shared" si="94"/>
        <v>643873.17000000004</v>
      </c>
      <c r="Y50" s="49">
        <f t="shared" si="95"/>
        <v>0</v>
      </c>
      <c r="Z50" s="49">
        <f t="shared" si="96"/>
        <v>0</v>
      </c>
      <c r="AA50" s="49">
        <f t="shared" si="97"/>
        <v>29025.802503600004</v>
      </c>
      <c r="AB50" s="49">
        <f t="shared" si="98"/>
        <v>0</v>
      </c>
      <c r="AC50" s="49">
        <f t="shared" si="99"/>
        <v>0</v>
      </c>
      <c r="AD50" s="49">
        <f t="shared" si="100"/>
        <v>29025.802503600004</v>
      </c>
      <c r="AE50" s="49">
        <f t="shared" si="101"/>
        <v>0</v>
      </c>
      <c r="AF50" s="49">
        <f t="shared" si="102"/>
        <v>0</v>
      </c>
      <c r="AG50" s="49">
        <f t="shared" si="103"/>
        <v>51509.853600000002</v>
      </c>
      <c r="AH50" s="49">
        <f t="shared" si="104"/>
        <v>0</v>
      </c>
      <c r="AI50" s="49">
        <f t="shared" si="105"/>
        <v>0</v>
      </c>
      <c r="AJ50" s="49">
        <f t="shared" si="106"/>
        <v>51509.853600000002</v>
      </c>
      <c r="AK50" s="49">
        <f t="shared" si="107"/>
        <v>0</v>
      </c>
      <c r="AL50" s="49">
        <f t="shared" si="108"/>
        <v>0</v>
      </c>
      <c r="AM50" s="49">
        <f t="shared" si="109"/>
        <v>93297.222333000012</v>
      </c>
      <c r="AN50" s="49">
        <f t="shared" si="110"/>
        <v>0</v>
      </c>
      <c r="AO50" s="49">
        <f t="shared" si="111"/>
        <v>0</v>
      </c>
      <c r="AP50" s="49">
        <f t="shared" si="112"/>
        <v>93297.222333000012</v>
      </c>
      <c r="AQ50" s="49">
        <f t="shared" si="113"/>
        <v>0</v>
      </c>
      <c r="AR50" s="49">
        <f t="shared" si="114"/>
        <v>0</v>
      </c>
      <c r="AS50" s="49">
        <f t="shared" si="115"/>
        <v>19316.195100000001</v>
      </c>
      <c r="AT50" s="49">
        <f t="shared" si="116"/>
        <v>0</v>
      </c>
      <c r="AU50" s="49">
        <f t="shared" si="117"/>
        <v>0</v>
      </c>
      <c r="AV50" s="49">
        <f t="shared" si="118"/>
        <v>19316.195100000001</v>
      </c>
      <c r="AW50" s="49">
        <f t="shared" si="119"/>
        <v>0</v>
      </c>
      <c r="AX50" s="49">
        <f t="shared" si="120"/>
        <v>0</v>
      </c>
      <c r="AY50" s="49">
        <f t="shared" si="121"/>
        <v>25754.926800000001</v>
      </c>
      <c r="AZ50" s="49">
        <f t="shared" si="122"/>
        <v>0</v>
      </c>
      <c r="BA50" s="49">
        <f t="shared" si="123"/>
        <v>0</v>
      </c>
      <c r="BB50" s="49">
        <f t="shared" si="124"/>
        <v>25754.926800000001</v>
      </c>
      <c r="BC50" s="49">
        <f t="shared" si="125"/>
        <v>0</v>
      </c>
      <c r="BD50" s="49">
        <f t="shared" si="126"/>
        <v>0</v>
      </c>
      <c r="BE50" s="49">
        <f t="shared" si="127"/>
        <v>218904.00033660006</v>
      </c>
      <c r="BF50" s="49">
        <f t="shared" si="128"/>
        <v>0</v>
      </c>
      <c r="BG50" s="49">
        <f t="shared" si="129"/>
        <v>0</v>
      </c>
      <c r="BH50" s="49">
        <f t="shared" si="130"/>
        <v>218904.00033660006</v>
      </c>
      <c r="BI50" s="49">
        <f t="shared" si="131"/>
        <v>0</v>
      </c>
      <c r="BJ50" s="49">
        <f t="shared" si="132"/>
        <v>0</v>
      </c>
      <c r="BK50" s="49">
        <f t="shared" si="133"/>
        <v>29025.802503600004</v>
      </c>
      <c r="BL50" s="49">
        <f t="shared" si="134"/>
        <v>0</v>
      </c>
      <c r="BM50" s="49">
        <f t="shared" si="135"/>
        <v>0</v>
      </c>
      <c r="BN50" s="49">
        <f t="shared" si="136"/>
        <v>29025.802503600004</v>
      </c>
      <c r="BO50" s="49">
        <f t="shared" si="137"/>
        <v>0</v>
      </c>
      <c r="BP50" s="49">
        <f t="shared" si="138"/>
        <v>0</v>
      </c>
      <c r="BQ50" s="49">
        <f t="shared" si="139"/>
        <v>51509.853600000002</v>
      </c>
      <c r="BR50" s="49">
        <f t="shared" si="140"/>
        <v>0</v>
      </c>
      <c r="BS50" s="49">
        <f t="shared" si="141"/>
        <v>0</v>
      </c>
      <c r="BT50" s="49">
        <f t="shared" si="142"/>
        <v>51509.853600000002</v>
      </c>
      <c r="BU50" s="49">
        <f t="shared" si="143"/>
        <v>0</v>
      </c>
      <c r="BV50" s="49">
        <f t="shared" si="144"/>
        <v>0</v>
      </c>
      <c r="BW50" s="49">
        <f t="shared" si="145"/>
        <v>93297.222333000012</v>
      </c>
      <c r="BX50" s="49">
        <f t="shared" si="146"/>
        <v>0</v>
      </c>
      <c r="BY50" s="49">
        <f t="shared" si="147"/>
        <v>0</v>
      </c>
      <c r="BZ50" s="49">
        <f t="shared" si="148"/>
        <v>93297.222333000012</v>
      </c>
      <c r="CA50" s="49">
        <f t="shared" si="149"/>
        <v>0</v>
      </c>
      <c r="CB50" s="49">
        <f t="shared" si="150"/>
        <v>0</v>
      </c>
      <c r="CC50" s="49">
        <f t="shared" si="151"/>
        <v>19316.195100000001</v>
      </c>
      <c r="CD50" s="49">
        <f t="shared" si="152"/>
        <v>0</v>
      </c>
      <c r="CE50" s="49">
        <f t="shared" si="153"/>
        <v>0</v>
      </c>
      <c r="CF50" s="49">
        <f t="shared" si="154"/>
        <v>19316.195100000001</v>
      </c>
      <c r="CG50" s="49">
        <f t="shared" si="155"/>
        <v>0</v>
      </c>
      <c r="CH50" s="49">
        <f t="shared" si="156"/>
        <v>0</v>
      </c>
      <c r="CI50" s="49">
        <f t="shared" si="157"/>
        <v>25754.926800000001</v>
      </c>
      <c r="CJ50" s="49">
        <f t="shared" si="158"/>
        <v>0</v>
      </c>
      <c r="CK50" s="49">
        <f t="shared" si="159"/>
        <v>0</v>
      </c>
      <c r="CL50" s="49">
        <f t="shared" si="160"/>
        <v>25754.926800000001</v>
      </c>
      <c r="CM50" s="49">
        <f t="shared" si="161"/>
        <v>0</v>
      </c>
      <c r="CN50" s="49">
        <f t="shared" si="162"/>
        <v>0</v>
      </c>
      <c r="CO50" s="49">
        <f t="shared" si="163"/>
        <v>218904.00033660006</v>
      </c>
      <c r="CP50" s="49">
        <f t="shared" si="164"/>
        <v>0</v>
      </c>
      <c r="CQ50" s="49">
        <f t="shared" si="165"/>
        <v>0</v>
      </c>
      <c r="CR50" s="81">
        <f t="shared" si="166"/>
        <v>218904.00033660006</v>
      </c>
      <c r="CS50" s="80">
        <f t="shared" si="167"/>
        <v>424969.16966339998</v>
      </c>
      <c r="CT50" s="54"/>
      <c r="CU50" s="3" t="str">
        <f t="shared" si="168"/>
        <v>ARS</v>
      </c>
      <c r="CV50" s="3">
        <f>VLOOKUP(CU50,DF:DG,2,0)</f>
        <v>6.9185169999999997E-4</v>
      </c>
      <c r="CW50" s="23">
        <f t="shared" si="169"/>
        <v>445.46474724888901</v>
      </c>
      <c r="CX50" s="23">
        <f t="shared" si="170"/>
        <v>20.081550805979919</v>
      </c>
      <c r="CY50" s="23">
        <f t="shared" si="171"/>
        <v>35.637179779911122</v>
      </c>
      <c r="CZ50" s="23">
        <f t="shared" si="172"/>
        <v>64.547841876364018</v>
      </c>
      <c r="DA50" s="23">
        <f t="shared" si="173"/>
        <v>13.363942417466671</v>
      </c>
      <c r="DB50" s="23">
        <f t="shared" si="174"/>
        <v>17.818589889955561</v>
      </c>
      <c r="DC50" s="23">
        <f t="shared" si="175"/>
        <v>294.01564247921169</v>
      </c>
      <c r="DD50" s="34" t="str">
        <f>VLOOKUP(A50,'Billing Report'!H:I,2,FALSE)</f>
        <v>WLA_ARG CUMBRES BORRASCOSAS Launch-X CPI Q1_2026</v>
      </c>
      <c r="DE50" s="34"/>
      <c r="DF50" s="61" t="s">
        <v>240</v>
      </c>
      <c r="DG50" s="62">
        <v>0.2985382077</v>
      </c>
      <c r="DH50"/>
      <c r="DI50" s="41"/>
      <c r="DJ50" s="41"/>
    </row>
    <row r="51" spans="1:114" ht="14.5" x14ac:dyDescent="0.35">
      <c r="A51" s="63">
        <v>40921344</v>
      </c>
      <c r="B51" s="3" t="s">
        <v>885</v>
      </c>
      <c r="C51" s="3">
        <v>320312001</v>
      </c>
      <c r="D51" s="3" t="s">
        <v>93</v>
      </c>
      <c r="F51" s="35">
        <v>1755000</v>
      </c>
      <c r="G51" s="38"/>
      <c r="J51" s="33">
        <f>VLOOKUP($B51,'IMS Commission List'!E:CE,79,0)/100</f>
        <v>0.08</v>
      </c>
      <c r="K51" s="79">
        <f t="shared" si="88"/>
        <v>1755000</v>
      </c>
      <c r="L51" s="3" t="str">
        <f>VLOOKUP($B51,'IMS Commission List'!E:V,18,0)</f>
        <v>ARS</v>
      </c>
      <c r="M51" s="3">
        <v>1</v>
      </c>
      <c r="N51" s="3" t="str">
        <f>VLOOKUP($B51,'IMS Commission List'!E:T,16,0)</f>
        <v>MX</v>
      </c>
      <c r="O51" s="54">
        <f>VLOOKUP($B51,'IMS Commission List'!E:CF,80,0)</f>
        <v>4.9000000000000002E-2</v>
      </c>
      <c r="P51" s="54">
        <f>VLOOKUP($B51,'IMS Commission List'!E:CG,81,0)</f>
        <v>0.1575</v>
      </c>
      <c r="Q51" s="54">
        <f>VLOOKUP($B51,'IMS Commission List'!E:CP,90,0)</f>
        <v>0.03</v>
      </c>
      <c r="R51" s="54">
        <f>VLOOKUP($B51,'IMS Commission List'!E:CQ,91,0)</f>
        <v>0.04</v>
      </c>
      <c r="S51" s="47">
        <f t="shared" si="89"/>
        <v>0</v>
      </c>
      <c r="T51" s="48">
        <f t="shared" si="90"/>
        <v>1755000</v>
      </c>
      <c r="U51" s="48">
        <f t="shared" si="91"/>
        <v>0</v>
      </c>
      <c r="V51" s="48">
        <f t="shared" si="92"/>
        <v>0</v>
      </c>
      <c r="W51" s="48">
        <f t="shared" si="93"/>
        <v>0</v>
      </c>
      <c r="X51" s="49">
        <f t="shared" si="94"/>
        <v>1755000</v>
      </c>
      <c r="Y51" s="49">
        <f t="shared" si="95"/>
        <v>0</v>
      </c>
      <c r="Z51" s="49">
        <f t="shared" si="96"/>
        <v>79115.400000000009</v>
      </c>
      <c r="AA51" s="49">
        <f t="shared" si="97"/>
        <v>0</v>
      </c>
      <c r="AB51" s="49">
        <f t="shared" si="98"/>
        <v>0</v>
      </c>
      <c r="AC51" s="49">
        <f t="shared" si="99"/>
        <v>0</v>
      </c>
      <c r="AD51" s="49">
        <f t="shared" si="100"/>
        <v>79115.400000000009</v>
      </c>
      <c r="AE51" s="49">
        <f t="shared" si="101"/>
        <v>0</v>
      </c>
      <c r="AF51" s="49">
        <f t="shared" si="102"/>
        <v>140400</v>
      </c>
      <c r="AG51" s="49">
        <f t="shared" si="103"/>
        <v>0</v>
      </c>
      <c r="AH51" s="49">
        <f t="shared" si="104"/>
        <v>0</v>
      </c>
      <c r="AI51" s="49">
        <f t="shared" si="105"/>
        <v>0</v>
      </c>
      <c r="AJ51" s="49">
        <f t="shared" si="106"/>
        <v>140400</v>
      </c>
      <c r="AK51" s="49">
        <f t="shared" si="107"/>
        <v>0</v>
      </c>
      <c r="AL51" s="49">
        <f t="shared" si="108"/>
        <v>254299.5</v>
      </c>
      <c r="AM51" s="49">
        <f t="shared" si="109"/>
        <v>0</v>
      </c>
      <c r="AN51" s="49">
        <f t="shared" si="110"/>
        <v>0</v>
      </c>
      <c r="AO51" s="49">
        <f t="shared" si="111"/>
        <v>0</v>
      </c>
      <c r="AP51" s="49">
        <f t="shared" si="112"/>
        <v>254299.5</v>
      </c>
      <c r="AQ51" s="49">
        <f t="shared" si="113"/>
        <v>0</v>
      </c>
      <c r="AR51" s="49">
        <f t="shared" si="114"/>
        <v>52650</v>
      </c>
      <c r="AS51" s="49">
        <f t="shared" si="115"/>
        <v>0</v>
      </c>
      <c r="AT51" s="49">
        <f t="shared" si="116"/>
        <v>0</v>
      </c>
      <c r="AU51" s="49">
        <f t="shared" si="117"/>
        <v>0</v>
      </c>
      <c r="AV51" s="49">
        <f t="shared" si="118"/>
        <v>52650</v>
      </c>
      <c r="AW51" s="49">
        <f t="shared" si="119"/>
        <v>0</v>
      </c>
      <c r="AX51" s="49">
        <f t="shared" si="120"/>
        <v>70200</v>
      </c>
      <c r="AY51" s="49">
        <f t="shared" si="121"/>
        <v>0</v>
      </c>
      <c r="AZ51" s="49">
        <f t="shared" si="122"/>
        <v>0</v>
      </c>
      <c r="BA51" s="49">
        <f t="shared" si="123"/>
        <v>0</v>
      </c>
      <c r="BB51" s="49">
        <f t="shared" si="124"/>
        <v>70200</v>
      </c>
      <c r="BC51" s="49">
        <f t="shared" si="125"/>
        <v>0</v>
      </c>
      <c r="BD51" s="49">
        <f t="shared" si="126"/>
        <v>596664.9</v>
      </c>
      <c r="BE51" s="49">
        <f t="shared" si="127"/>
        <v>0</v>
      </c>
      <c r="BF51" s="49">
        <f t="shared" si="128"/>
        <v>0</v>
      </c>
      <c r="BG51" s="49">
        <f t="shared" si="129"/>
        <v>0</v>
      </c>
      <c r="BH51" s="49">
        <f t="shared" si="130"/>
        <v>596664.9</v>
      </c>
      <c r="BI51" s="49">
        <f t="shared" si="131"/>
        <v>0</v>
      </c>
      <c r="BJ51" s="49">
        <f t="shared" si="132"/>
        <v>79115.400000000009</v>
      </c>
      <c r="BK51" s="49">
        <f t="shared" si="133"/>
        <v>0</v>
      </c>
      <c r="BL51" s="49">
        <f t="shared" si="134"/>
        <v>0</v>
      </c>
      <c r="BM51" s="49">
        <f t="shared" si="135"/>
        <v>0</v>
      </c>
      <c r="BN51" s="49">
        <f t="shared" si="136"/>
        <v>79115.400000000009</v>
      </c>
      <c r="BO51" s="49">
        <f t="shared" si="137"/>
        <v>0</v>
      </c>
      <c r="BP51" s="49">
        <f t="shared" si="138"/>
        <v>140400</v>
      </c>
      <c r="BQ51" s="49">
        <f t="shared" si="139"/>
        <v>0</v>
      </c>
      <c r="BR51" s="49">
        <f t="shared" si="140"/>
        <v>0</v>
      </c>
      <c r="BS51" s="49">
        <f t="shared" si="141"/>
        <v>0</v>
      </c>
      <c r="BT51" s="49">
        <f t="shared" si="142"/>
        <v>140400</v>
      </c>
      <c r="BU51" s="49">
        <f t="shared" si="143"/>
        <v>0</v>
      </c>
      <c r="BV51" s="49">
        <f t="shared" si="144"/>
        <v>254299.5</v>
      </c>
      <c r="BW51" s="49">
        <f t="shared" si="145"/>
        <v>0</v>
      </c>
      <c r="BX51" s="49">
        <f t="shared" si="146"/>
        <v>0</v>
      </c>
      <c r="BY51" s="49">
        <f t="shared" si="147"/>
        <v>0</v>
      </c>
      <c r="BZ51" s="49">
        <f t="shared" si="148"/>
        <v>254299.5</v>
      </c>
      <c r="CA51" s="49">
        <f t="shared" si="149"/>
        <v>0</v>
      </c>
      <c r="CB51" s="49">
        <f t="shared" si="150"/>
        <v>52650</v>
      </c>
      <c r="CC51" s="49">
        <f t="shared" si="151"/>
        <v>0</v>
      </c>
      <c r="CD51" s="49">
        <f t="shared" si="152"/>
        <v>0</v>
      </c>
      <c r="CE51" s="49">
        <f t="shared" si="153"/>
        <v>0</v>
      </c>
      <c r="CF51" s="49">
        <f t="shared" si="154"/>
        <v>52650</v>
      </c>
      <c r="CG51" s="49">
        <f t="shared" si="155"/>
        <v>0</v>
      </c>
      <c r="CH51" s="49">
        <f t="shared" si="156"/>
        <v>70200</v>
      </c>
      <c r="CI51" s="49">
        <f t="shared" si="157"/>
        <v>0</v>
      </c>
      <c r="CJ51" s="49">
        <f t="shared" si="158"/>
        <v>0</v>
      </c>
      <c r="CK51" s="49">
        <f t="shared" si="159"/>
        <v>0</v>
      </c>
      <c r="CL51" s="49">
        <f t="shared" si="160"/>
        <v>70200</v>
      </c>
      <c r="CM51" s="49">
        <f t="shared" si="161"/>
        <v>0</v>
      </c>
      <c r="CN51" s="49">
        <f t="shared" si="162"/>
        <v>596664.9</v>
      </c>
      <c r="CO51" s="49">
        <f t="shared" si="163"/>
        <v>0</v>
      </c>
      <c r="CP51" s="49">
        <f t="shared" si="164"/>
        <v>0</v>
      </c>
      <c r="CQ51" s="49">
        <f t="shared" si="165"/>
        <v>0</v>
      </c>
      <c r="CR51" s="81">
        <f t="shared" si="166"/>
        <v>596664.9</v>
      </c>
      <c r="CS51" s="80">
        <f t="shared" si="167"/>
        <v>1158335.1000000001</v>
      </c>
      <c r="CT51" s="54"/>
      <c r="CU51" s="3" t="str">
        <f t="shared" si="168"/>
        <v>ARS</v>
      </c>
      <c r="CV51" s="3">
        <f>VLOOKUP(CU51,DF:DG,2,0)</f>
        <v>6.9185169999999997E-4</v>
      </c>
      <c r="CW51" s="23">
        <f t="shared" si="169"/>
        <v>1214.1997334999999</v>
      </c>
      <c r="CX51" s="23">
        <f t="shared" si="170"/>
        <v>54.736123986180004</v>
      </c>
      <c r="CY51" s="23">
        <f t="shared" si="171"/>
        <v>97.135978679999994</v>
      </c>
      <c r="CZ51" s="23">
        <f t="shared" si="172"/>
        <v>175.93754138414999</v>
      </c>
      <c r="DA51" s="23">
        <f t="shared" si="173"/>
        <v>36.425992004999998</v>
      </c>
      <c r="DB51" s="23">
        <f t="shared" si="174"/>
        <v>48.567989339999997</v>
      </c>
      <c r="DC51" s="23">
        <f t="shared" si="175"/>
        <v>801.39610810467002</v>
      </c>
      <c r="DD51" s="34" t="str">
        <f>VLOOKUP(A51,'Billing Report'!H:I,2,FALSE)</f>
        <v>Warner Argentina   CUMBRES BORRASCOSAS Trend Takeover 2/11</v>
      </c>
      <c r="DE51" s="34"/>
      <c r="DF51" s="61" t="s">
        <v>330</v>
      </c>
      <c r="DG51" s="62">
        <v>1.6970348199999999E-2</v>
      </c>
      <c r="DH51"/>
      <c r="DI51" s="41"/>
      <c r="DJ51" s="41"/>
    </row>
    <row r="52" spans="1:114" ht="14.5" x14ac:dyDescent="0.35">
      <c r="A52" s="63">
        <v>40872593</v>
      </c>
      <c r="B52" s="3" t="s">
        <v>885</v>
      </c>
      <c r="C52" s="3">
        <v>320312002</v>
      </c>
      <c r="D52" s="3" t="s">
        <v>93</v>
      </c>
      <c r="G52" s="38">
        <v>770437.75</v>
      </c>
      <c r="J52" s="33">
        <f>VLOOKUP($B52,'IMS Commission List'!E:CE,79,0)/100</f>
        <v>0.08</v>
      </c>
      <c r="K52" s="79">
        <f t="shared" si="88"/>
        <v>770437.75</v>
      </c>
      <c r="L52" s="3" t="str">
        <f>VLOOKUP($B52,'IMS Commission List'!E:V,18,0)</f>
        <v>ARS</v>
      </c>
      <c r="M52" s="3">
        <v>1</v>
      </c>
      <c r="N52" s="3" t="str">
        <f>VLOOKUP($B52,'IMS Commission List'!E:T,16,0)</f>
        <v>MX</v>
      </c>
      <c r="O52" s="54">
        <f>VLOOKUP($B52,'IMS Commission List'!E:CF,80,0)</f>
        <v>4.9000000000000002E-2</v>
      </c>
      <c r="P52" s="54">
        <f>VLOOKUP($B52,'IMS Commission List'!E:CG,81,0)</f>
        <v>0.1575</v>
      </c>
      <c r="Q52" s="54">
        <f>VLOOKUP($B52,'IMS Commission List'!E:CP,90,0)</f>
        <v>0.03</v>
      </c>
      <c r="R52" s="54">
        <f>VLOOKUP($B52,'IMS Commission List'!E:CQ,91,0)</f>
        <v>0.04</v>
      </c>
      <c r="S52" s="47">
        <f t="shared" si="89"/>
        <v>0</v>
      </c>
      <c r="T52" s="48">
        <f t="shared" si="90"/>
        <v>0</v>
      </c>
      <c r="U52" s="48">
        <f t="shared" si="91"/>
        <v>770437.75</v>
      </c>
      <c r="V52" s="48">
        <f t="shared" si="92"/>
        <v>0</v>
      </c>
      <c r="W52" s="48">
        <f t="shared" si="93"/>
        <v>0</v>
      </c>
      <c r="X52" s="49">
        <f t="shared" si="94"/>
        <v>770437.75</v>
      </c>
      <c r="Y52" s="49">
        <f t="shared" si="95"/>
        <v>0</v>
      </c>
      <c r="Z52" s="49">
        <f t="shared" si="96"/>
        <v>0</v>
      </c>
      <c r="AA52" s="49">
        <f t="shared" si="97"/>
        <v>34731.333770000005</v>
      </c>
      <c r="AB52" s="49">
        <f t="shared" si="98"/>
        <v>0</v>
      </c>
      <c r="AC52" s="49">
        <f t="shared" si="99"/>
        <v>0</v>
      </c>
      <c r="AD52" s="49">
        <f t="shared" si="100"/>
        <v>34731.333770000005</v>
      </c>
      <c r="AE52" s="49">
        <f t="shared" si="101"/>
        <v>0</v>
      </c>
      <c r="AF52" s="49">
        <f t="shared" si="102"/>
        <v>0</v>
      </c>
      <c r="AG52" s="49">
        <f t="shared" si="103"/>
        <v>61635.020000000004</v>
      </c>
      <c r="AH52" s="49">
        <f t="shared" si="104"/>
        <v>0</v>
      </c>
      <c r="AI52" s="49">
        <f t="shared" si="105"/>
        <v>0</v>
      </c>
      <c r="AJ52" s="49">
        <f t="shared" si="106"/>
        <v>61635.020000000004</v>
      </c>
      <c r="AK52" s="49">
        <f t="shared" si="107"/>
        <v>0</v>
      </c>
      <c r="AL52" s="49">
        <f t="shared" si="108"/>
        <v>0</v>
      </c>
      <c r="AM52" s="49">
        <f t="shared" si="109"/>
        <v>111636.42997500001</v>
      </c>
      <c r="AN52" s="49">
        <f t="shared" si="110"/>
        <v>0</v>
      </c>
      <c r="AO52" s="49">
        <f t="shared" si="111"/>
        <v>0</v>
      </c>
      <c r="AP52" s="49">
        <f t="shared" si="112"/>
        <v>111636.42997500001</v>
      </c>
      <c r="AQ52" s="49">
        <f t="shared" si="113"/>
        <v>0</v>
      </c>
      <c r="AR52" s="49">
        <f t="shared" si="114"/>
        <v>0</v>
      </c>
      <c r="AS52" s="49">
        <f t="shared" si="115"/>
        <v>23113.1325</v>
      </c>
      <c r="AT52" s="49">
        <f t="shared" si="116"/>
        <v>0</v>
      </c>
      <c r="AU52" s="49">
        <f t="shared" si="117"/>
        <v>0</v>
      </c>
      <c r="AV52" s="49">
        <f t="shared" si="118"/>
        <v>23113.1325</v>
      </c>
      <c r="AW52" s="49">
        <f t="shared" si="119"/>
        <v>0</v>
      </c>
      <c r="AX52" s="49">
        <f t="shared" si="120"/>
        <v>0</v>
      </c>
      <c r="AY52" s="49">
        <f t="shared" si="121"/>
        <v>30817.510000000002</v>
      </c>
      <c r="AZ52" s="49">
        <f t="shared" si="122"/>
        <v>0</v>
      </c>
      <c r="BA52" s="49">
        <f t="shared" si="123"/>
        <v>0</v>
      </c>
      <c r="BB52" s="49">
        <f t="shared" si="124"/>
        <v>30817.510000000002</v>
      </c>
      <c r="BC52" s="49">
        <f t="shared" si="125"/>
        <v>0</v>
      </c>
      <c r="BD52" s="49">
        <f t="shared" si="126"/>
        <v>0</v>
      </c>
      <c r="BE52" s="49">
        <f t="shared" si="127"/>
        <v>261933.42624500004</v>
      </c>
      <c r="BF52" s="49">
        <f t="shared" si="128"/>
        <v>0</v>
      </c>
      <c r="BG52" s="49">
        <f t="shared" si="129"/>
        <v>0</v>
      </c>
      <c r="BH52" s="49">
        <f t="shared" si="130"/>
        <v>261933.42624500004</v>
      </c>
      <c r="BI52" s="49">
        <f t="shared" si="131"/>
        <v>0</v>
      </c>
      <c r="BJ52" s="49">
        <f t="shared" si="132"/>
        <v>0</v>
      </c>
      <c r="BK52" s="49">
        <f t="shared" si="133"/>
        <v>34731.333770000005</v>
      </c>
      <c r="BL52" s="49">
        <f t="shared" si="134"/>
        <v>0</v>
      </c>
      <c r="BM52" s="49">
        <f t="shared" si="135"/>
        <v>0</v>
      </c>
      <c r="BN52" s="49">
        <f t="shared" si="136"/>
        <v>34731.333770000005</v>
      </c>
      <c r="BO52" s="49">
        <f t="shared" si="137"/>
        <v>0</v>
      </c>
      <c r="BP52" s="49">
        <f t="shared" si="138"/>
        <v>0</v>
      </c>
      <c r="BQ52" s="49">
        <f t="shared" si="139"/>
        <v>61635.020000000004</v>
      </c>
      <c r="BR52" s="49">
        <f t="shared" si="140"/>
        <v>0</v>
      </c>
      <c r="BS52" s="49">
        <f t="shared" si="141"/>
        <v>0</v>
      </c>
      <c r="BT52" s="49">
        <f t="shared" si="142"/>
        <v>61635.020000000004</v>
      </c>
      <c r="BU52" s="49">
        <f t="shared" si="143"/>
        <v>0</v>
      </c>
      <c r="BV52" s="49">
        <f t="shared" si="144"/>
        <v>0</v>
      </c>
      <c r="BW52" s="49">
        <f t="shared" si="145"/>
        <v>111636.42997500001</v>
      </c>
      <c r="BX52" s="49">
        <f t="shared" si="146"/>
        <v>0</v>
      </c>
      <c r="BY52" s="49">
        <f t="shared" si="147"/>
        <v>0</v>
      </c>
      <c r="BZ52" s="49">
        <f t="shared" si="148"/>
        <v>111636.42997500001</v>
      </c>
      <c r="CA52" s="49">
        <f t="shared" si="149"/>
        <v>0</v>
      </c>
      <c r="CB52" s="49">
        <f t="shared" si="150"/>
        <v>0</v>
      </c>
      <c r="CC52" s="49">
        <f t="shared" si="151"/>
        <v>23113.1325</v>
      </c>
      <c r="CD52" s="49">
        <f t="shared" si="152"/>
        <v>0</v>
      </c>
      <c r="CE52" s="49">
        <f t="shared" si="153"/>
        <v>0</v>
      </c>
      <c r="CF52" s="49">
        <f t="shared" si="154"/>
        <v>23113.1325</v>
      </c>
      <c r="CG52" s="49">
        <f t="shared" si="155"/>
        <v>0</v>
      </c>
      <c r="CH52" s="49">
        <f t="shared" si="156"/>
        <v>0</v>
      </c>
      <c r="CI52" s="49">
        <f t="shared" si="157"/>
        <v>30817.510000000002</v>
      </c>
      <c r="CJ52" s="49">
        <f t="shared" si="158"/>
        <v>0</v>
      </c>
      <c r="CK52" s="49">
        <f t="shared" si="159"/>
        <v>0</v>
      </c>
      <c r="CL52" s="49">
        <f t="shared" si="160"/>
        <v>30817.510000000002</v>
      </c>
      <c r="CM52" s="49">
        <f t="shared" si="161"/>
        <v>0</v>
      </c>
      <c r="CN52" s="49">
        <f t="shared" si="162"/>
        <v>0</v>
      </c>
      <c r="CO52" s="49">
        <f t="shared" si="163"/>
        <v>261933.42624500004</v>
      </c>
      <c r="CP52" s="49">
        <f t="shared" si="164"/>
        <v>0</v>
      </c>
      <c r="CQ52" s="49">
        <f t="shared" si="165"/>
        <v>0</v>
      </c>
      <c r="CR52" s="81">
        <f t="shared" si="166"/>
        <v>261933.42624500004</v>
      </c>
      <c r="CS52" s="80">
        <f t="shared" si="167"/>
        <v>508504.32375499996</v>
      </c>
      <c r="CT52" s="54"/>
      <c r="CU52" s="3" t="str">
        <f t="shared" si="168"/>
        <v>ARS</v>
      </c>
      <c r="CV52" s="3">
        <f>VLOOKUP(CU52,DF:DG,2,0)</f>
        <v>6.9185169999999997E-4</v>
      </c>
      <c r="CW52" s="23">
        <f t="shared" si="169"/>
        <v>533.02866708167494</v>
      </c>
      <c r="CX52" s="23">
        <f t="shared" si="170"/>
        <v>24.02893231204191</v>
      </c>
      <c r="CY52" s="23">
        <f t="shared" si="171"/>
        <v>42.642293366533998</v>
      </c>
      <c r="CZ52" s="23">
        <f t="shared" si="172"/>
        <v>77.235853860134711</v>
      </c>
      <c r="DA52" s="23">
        <f t="shared" si="173"/>
        <v>15.990860012450248</v>
      </c>
      <c r="DB52" s="23">
        <f t="shared" si="174"/>
        <v>21.321146683266999</v>
      </c>
      <c r="DC52" s="23">
        <f t="shared" si="175"/>
        <v>351.8095808472471</v>
      </c>
      <c r="DD52" s="34" t="str">
        <f>VLOOKUP(A52,'Billing Report'!H:I,2,FALSE)</f>
        <v>WLA_ARG CUMBRES BORRASCOSAS Prelaunch-X CPI Q1_2026</v>
      </c>
      <c r="DE52" s="34"/>
      <c r="DF52" s="61" t="s">
        <v>329</v>
      </c>
      <c r="DG52" s="62">
        <v>3.5726437000000002E-3</v>
      </c>
      <c r="DH52"/>
      <c r="DI52" s="41"/>
      <c r="DJ52" s="41"/>
    </row>
    <row r="53" spans="1:114" ht="14.5" x14ac:dyDescent="0.35">
      <c r="A53" s="63">
        <v>40872434</v>
      </c>
      <c r="B53" s="3" t="s">
        <v>885</v>
      </c>
      <c r="C53" s="3">
        <v>320312002</v>
      </c>
      <c r="D53" s="3" t="s">
        <v>93</v>
      </c>
      <c r="G53" s="38">
        <v>1285324.1299999999</v>
      </c>
      <c r="J53" s="33">
        <f>VLOOKUP($B53,'IMS Commission List'!E:CE,79,0)/100</f>
        <v>0.08</v>
      </c>
      <c r="K53" s="79">
        <f t="shared" si="88"/>
        <v>1285324.1299999999</v>
      </c>
      <c r="L53" s="3" t="str">
        <f>VLOOKUP($B53,'IMS Commission List'!E:V,18,0)</f>
        <v>ARS</v>
      </c>
      <c r="M53" s="3">
        <v>1</v>
      </c>
      <c r="N53" s="3" t="str">
        <f>VLOOKUP($B53,'IMS Commission List'!E:T,16,0)</f>
        <v>MX</v>
      </c>
      <c r="O53" s="54">
        <f>VLOOKUP($B53,'IMS Commission List'!E:CF,80,0)</f>
        <v>4.9000000000000002E-2</v>
      </c>
      <c r="P53" s="54">
        <f>VLOOKUP($B53,'IMS Commission List'!E:CG,81,0)</f>
        <v>0.1575</v>
      </c>
      <c r="Q53" s="54">
        <f>VLOOKUP($B53,'IMS Commission List'!E:CP,90,0)</f>
        <v>0.03</v>
      </c>
      <c r="R53" s="54">
        <f>VLOOKUP($B53,'IMS Commission List'!E:CQ,91,0)</f>
        <v>0.04</v>
      </c>
      <c r="S53" s="47">
        <f t="shared" si="89"/>
        <v>0</v>
      </c>
      <c r="T53" s="48">
        <f t="shared" si="90"/>
        <v>0</v>
      </c>
      <c r="U53" s="48">
        <f t="shared" si="91"/>
        <v>1285324.1299999999</v>
      </c>
      <c r="V53" s="48">
        <f t="shared" si="92"/>
        <v>0</v>
      </c>
      <c r="W53" s="48">
        <f t="shared" si="93"/>
        <v>0</v>
      </c>
      <c r="X53" s="49">
        <f t="shared" si="94"/>
        <v>1285324.1299999999</v>
      </c>
      <c r="Y53" s="49">
        <f t="shared" si="95"/>
        <v>0</v>
      </c>
      <c r="Z53" s="49">
        <f t="shared" si="96"/>
        <v>0</v>
      </c>
      <c r="AA53" s="49">
        <f t="shared" si="97"/>
        <v>57942.411780400005</v>
      </c>
      <c r="AB53" s="49">
        <f t="shared" si="98"/>
        <v>0</v>
      </c>
      <c r="AC53" s="49">
        <f t="shared" si="99"/>
        <v>0</v>
      </c>
      <c r="AD53" s="49">
        <f t="shared" si="100"/>
        <v>57942.411780400005</v>
      </c>
      <c r="AE53" s="49">
        <f t="shared" si="101"/>
        <v>0</v>
      </c>
      <c r="AF53" s="49">
        <f t="shared" si="102"/>
        <v>0</v>
      </c>
      <c r="AG53" s="49">
        <f t="shared" si="103"/>
        <v>102825.9304</v>
      </c>
      <c r="AH53" s="49">
        <f t="shared" si="104"/>
        <v>0</v>
      </c>
      <c r="AI53" s="49">
        <f t="shared" si="105"/>
        <v>0</v>
      </c>
      <c r="AJ53" s="49">
        <f t="shared" si="106"/>
        <v>102825.9304</v>
      </c>
      <c r="AK53" s="49">
        <f t="shared" si="107"/>
        <v>0</v>
      </c>
      <c r="AL53" s="49">
        <f t="shared" si="108"/>
        <v>0</v>
      </c>
      <c r="AM53" s="49">
        <f t="shared" si="109"/>
        <v>186243.466437</v>
      </c>
      <c r="AN53" s="49">
        <f t="shared" si="110"/>
        <v>0</v>
      </c>
      <c r="AO53" s="49">
        <f t="shared" si="111"/>
        <v>0</v>
      </c>
      <c r="AP53" s="49">
        <f t="shared" si="112"/>
        <v>186243.466437</v>
      </c>
      <c r="AQ53" s="49">
        <f t="shared" si="113"/>
        <v>0</v>
      </c>
      <c r="AR53" s="49">
        <f t="shared" si="114"/>
        <v>0</v>
      </c>
      <c r="AS53" s="49">
        <f t="shared" si="115"/>
        <v>38559.723899999997</v>
      </c>
      <c r="AT53" s="49">
        <f t="shared" si="116"/>
        <v>0</v>
      </c>
      <c r="AU53" s="49">
        <f t="shared" si="117"/>
        <v>0</v>
      </c>
      <c r="AV53" s="49">
        <f t="shared" si="118"/>
        <v>38559.723899999997</v>
      </c>
      <c r="AW53" s="49">
        <f t="shared" si="119"/>
        <v>0</v>
      </c>
      <c r="AX53" s="49">
        <f t="shared" si="120"/>
        <v>0</v>
      </c>
      <c r="AY53" s="49">
        <f t="shared" si="121"/>
        <v>51412.965199999999</v>
      </c>
      <c r="AZ53" s="49">
        <f t="shared" si="122"/>
        <v>0</v>
      </c>
      <c r="BA53" s="49">
        <f t="shared" si="123"/>
        <v>0</v>
      </c>
      <c r="BB53" s="49">
        <f t="shared" si="124"/>
        <v>51412.965199999999</v>
      </c>
      <c r="BC53" s="49">
        <f t="shared" si="125"/>
        <v>0</v>
      </c>
      <c r="BD53" s="49">
        <f t="shared" si="126"/>
        <v>0</v>
      </c>
      <c r="BE53" s="49">
        <f t="shared" si="127"/>
        <v>436984.49771739997</v>
      </c>
      <c r="BF53" s="49">
        <f t="shared" si="128"/>
        <v>0</v>
      </c>
      <c r="BG53" s="49">
        <f t="shared" si="129"/>
        <v>0</v>
      </c>
      <c r="BH53" s="49">
        <f t="shared" si="130"/>
        <v>436984.49771739997</v>
      </c>
      <c r="BI53" s="49">
        <f t="shared" si="131"/>
        <v>0</v>
      </c>
      <c r="BJ53" s="49">
        <f t="shared" si="132"/>
        <v>0</v>
      </c>
      <c r="BK53" s="49">
        <f t="shared" si="133"/>
        <v>57942.411780400005</v>
      </c>
      <c r="BL53" s="49">
        <f t="shared" si="134"/>
        <v>0</v>
      </c>
      <c r="BM53" s="49">
        <f t="shared" si="135"/>
        <v>0</v>
      </c>
      <c r="BN53" s="49">
        <f t="shared" si="136"/>
        <v>57942.411780400005</v>
      </c>
      <c r="BO53" s="49">
        <f t="shared" si="137"/>
        <v>0</v>
      </c>
      <c r="BP53" s="49">
        <f t="shared" si="138"/>
        <v>0</v>
      </c>
      <c r="BQ53" s="49">
        <f t="shared" si="139"/>
        <v>102825.9304</v>
      </c>
      <c r="BR53" s="49">
        <f t="shared" si="140"/>
        <v>0</v>
      </c>
      <c r="BS53" s="49">
        <f t="shared" si="141"/>
        <v>0</v>
      </c>
      <c r="BT53" s="49">
        <f t="shared" si="142"/>
        <v>102825.9304</v>
      </c>
      <c r="BU53" s="49">
        <f t="shared" si="143"/>
        <v>0</v>
      </c>
      <c r="BV53" s="49">
        <f t="shared" si="144"/>
        <v>0</v>
      </c>
      <c r="BW53" s="49">
        <f t="shared" si="145"/>
        <v>186243.466437</v>
      </c>
      <c r="BX53" s="49">
        <f t="shared" si="146"/>
        <v>0</v>
      </c>
      <c r="BY53" s="49">
        <f t="shared" si="147"/>
        <v>0</v>
      </c>
      <c r="BZ53" s="49">
        <f t="shared" si="148"/>
        <v>186243.466437</v>
      </c>
      <c r="CA53" s="49">
        <f t="shared" si="149"/>
        <v>0</v>
      </c>
      <c r="CB53" s="49">
        <f t="shared" si="150"/>
        <v>0</v>
      </c>
      <c r="CC53" s="49">
        <f t="shared" si="151"/>
        <v>38559.723899999997</v>
      </c>
      <c r="CD53" s="49">
        <f t="shared" si="152"/>
        <v>0</v>
      </c>
      <c r="CE53" s="49">
        <f t="shared" si="153"/>
        <v>0</v>
      </c>
      <c r="CF53" s="49">
        <f t="shared" si="154"/>
        <v>38559.723899999997</v>
      </c>
      <c r="CG53" s="49">
        <f t="shared" si="155"/>
        <v>0</v>
      </c>
      <c r="CH53" s="49">
        <f t="shared" si="156"/>
        <v>0</v>
      </c>
      <c r="CI53" s="49">
        <f t="shared" si="157"/>
        <v>51412.965199999999</v>
      </c>
      <c r="CJ53" s="49">
        <f t="shared" si="158"/>
        <v>0</v>
      </c>
      <c r="CK53" s="49">
        <f t="shared" si="159"/>
        <v>0</v>
      </c>
      <c r="CL53" s="49">
        <f t="shared" si="160"/>
        <v>51412.965199999999</v>
      </c>
      <c r="CM53" s="49">
        <f t="shared" si="161"/>
        <v>0</v>
      </c>
      <c r="CN53" s="49">
        <f t="shared" si="162"/>
        <v>0</v>
      </c>
      <c r="CO53" s="49">
        <f t="shared" si="163"/>
        <v>436984.49771739997</v>
      </c>
      <c r="CP53" s="49">
        <f t="shared" si="164"/>
        <v>0</v>
      </c>
      <c r="CQ53" s="49">
        <f t="shared" si="165"/>
        <v>0</v>
      </c>
      <c r="CR53" s="81">
        <f t="shared" si="166"/>
        <v>436984.49771739997</v>
      </c>
      <c r="CS53" s="80">
        <f t="shared" si="167"/>
        <v>848339.63228259992</v>
      </c>
      <c r="CT53" s="54"/>
      <c r="CU53" s="3" t="str">
        <f t="shared" si="168"/>
        <v>ARS</v>
      </c>
      <c r="CV53" s="3">
        <f>VLOOKUP(CU53,DF:DG,2,0)</f>
        <v>6.9185169999999997E-4</v>
      </c>
      <c r="CW53" s="23">
        <f t="shared" si="169"/>
        <v>889.25368439152089</v>
      </c>
      <c r="CX53" s="23">
        <f t="shared" si="170"/>
        <v>40.087556092369766</v>
      </c>
      <c r="CY53" s="23">
        <f t="shared" si="171"/>
        <v>71.140294751321676</v>
      </c>
      <c r="CZ53" s="23">
        <f t="shared" si="172"/>
        <v>128.8528588683314</v>
      </c>
      <c r="DA53" s="23">
        <f t="shared" si="173"/>
        <v>26.677610531745628</v>
      </c>
      <c r="DB53" s="23">
        <f t="shared" si="174"/>
        <v>35.570147375660838</v>
      </c>
      <c r="DC53" s="23">
        <f t="shared" si="175"/>
        <v>586.92521677209163</v>
      </c>
      <c r="DD53" s="34" t="str">
        <f>VLOOKUP(A53,'Billing Report'!H:I,2,FALSE)</f>
        <v>WLA_ARG CUMBRES BORRASCOSAS PreLaunch-X CPM Q1_2026</v>
      </c>
      <c r="DE53" s="34"/>
      <c r="DF53" s="61" t="s">
        <v>328</v>
      </c>
      <c r="DG53" s="62">
        <v>0.28275625139999999</v>
      </c>
      <c r="DH53"/>
      <c r="DI53" s="41"/>
      <c r="DJ53" s="41"/>
    </row>
    <row r="54" spans="1:114" ht="14.5" x14ac:dyDescent="0.35">
      <c r="A54" s="63">
        <v>40790186</v>
      </c>
      <c r="B54" s="3" t="s">
        <v>662</v>
      </c>
      <c r="C54" s="3">
        <v>320381103</v>
      </c>
      <c r="D54" s="3" t="s">
        <v>93</v>
      </c>
      <c r="F54" s="35">
        <v>594000</v>
      </c>
      <c r="G54" s="38"/>
      <c r="J54" s="33">
        <f>VLOOKUP($B54,'IMS Commission List'!E:CE,79,0)/100</f>
        <v>0.08</v>
      </c>
      <c r="K54" s="79">
        <f t="shared" si="88"/>
        <v>594000</v>
      </c>
      <c r="L54" s="3" t="str">
        <f>VLOOKUP($B54,'IMS Commission List'!E:V,18,0)</f>
        <v>ARS</v>
      </c>
      <c r="M54" s="3">
        <v>1</v>
      </c>
      <c r="N54" s="3" t="str">
        <f>VLOOKUP($B54,'IMS Commission List'!E:T,16,0)</f>
        <v>MX</v>
      </c>
      <c r="O54" s="54">
        <f>VLOOKUP($B54,'IMS Commission List'!E:CF,80,0)</f>
        <v>4.9000000000000002E-2</v>
      </c>
      <c r="P54" s="54">
        <f>VLOOKUP($B54,'IMS Commission List'!E:CG,81,0)</f>
        <v>0.1575</v>
      </c>
      <c r="Q54" s="54">
        <f>VLOOKUP($B54,'IMS Commission List'!E:CP,90,0)</f>
        <v>0.03</v>
      </c>
      <c r="R54" s="54">
        <f>VLOOKUP($B54,'IMS Commission List'!E:CQ,91,0)</f>
        <v>0.04</v>
      </c>
      <c r="S54" s="47">
        <f t="shared" si="89"/>
        <v>0</v>
      </c>
      <c r="T54" s="48">
        <f t="shared" si="90"/>
        <v>594000</v>
      </c>
      <c r="U54" s="48">
        <f t="shared" si="91"/>
        <v>0</v>
      </c>
      <c r="V54" s="48">
        <f t="shared" si="92"/>
        <v>0</v>
      </c>
      <c r="W54" s="48">
        <f t="shared" si="93"/>
        <v>0</v>
      </c>
      <c r="X54" s="49">
        <f t="shared" si="94"/>
        <v>594000</v>
      </c>
      <c r="Y54" s="49">
        <f t="shared" si="95"/>
        <v>0</v>
      </c>
      <c r="Z54" s="49">
        <f t="shared" si="96"/>
        <v>26777.52</v>
      </c>
      <c r="AA54" s="49">
        <f t="shared" si="97"/>
        <v>0</v>
      </c>
      <c r="AB54" s="49">
        <f t="shared" si="98"/>
        <v>0</v>
      </c>
      <c r="AC54" s="49">
        <f t="shared" si="99"/>
        <v>0</v>
      </c>
      <c r="AD54" s="49">
        <f t="shared" si="100"/>
        <v>26777.52</v>
      </c>
      <c r="AE54" s="49">
        <f t="shared" si="101"/>
        <v>0</v>
      </c>
      <c r="AF54" s="49">
        <f t="shared" si="102"/>
        <v>47520</v>
      </c>
      <c r="AG54" s="49">
        <f t="shared" si="103"/>
        <v>0</v>
      </c>
      <c r="AH54" s="49">
        <f t="shared" si="104"/>
        <v>0</v>
      </c>
      <c r="AI54" s="49">
        <f t="shared" si="105"/>
        <v>0</v>
      </c>
      <c r="AJ54" s="49">
        <f t="shared" si="106"/>
        <v>47520</v>
      </c>
      <c r="AK54" s="49">
        <f t="shared" si="107"/>
        <v>0</v>
      </c>
      <c r="AL54" s="49">
        <f t="shared" si="108"/>
        <v>86070.6</v>
      </c>
      <c r="AM54" s="49">
        <f t="shared" si="109"/>
        <v>0</v>
      </c>
      <c r="AN54" s="49">
        <f t="shared" si="110"/>
        <v>0</v>
      </c>
      <c r="AO54" s="49">
        <f t="shared" si="111"/>
        <v>0</v>
      </c>
      <c r="AP54" s="49">
        <f t="shared" si="112"/>
        <v>86070.6</v>
      </c>
      <c r="AQ54" s="49">
        <f t="shared" si="113"/>
        <v>0</v>
      </c>
      <c r="AR54" s="49">
        <f t="shared" si="114"/>
        <v>17820</v>
      </c>
      <c r="AS54" s="49">
        <f t="shared" si="115"/>
        <v>0</v>
      </c>
      <c r="AT54" s="49">
        <f t="shared" si="116"/>
        <v>0</v>
      </c>
      <c r="AU54" s="49">
        <f t="shared" si="117"/>
        <v>0</v>
      </c>
      <c r="AV54" s="49">
        <f t="shared" si="118"/>
        <v>17820</v>
      </c>
      <c r="AW54" s="49">
        <f t="shared" si="119"/>
        <v>0</v>
      </c>
      <c r="AX54" s="49">
        <f t="shared" si="120"/>
        <v>23760</v>
      </c>
      <c r="AY54" s="49">
        <f t="shared" si="121"/>
        <v>0</v>
      </c>
      <c r="AZ54" s="49">
        <f t="shared" si="122"/>
        <v>0</v>
      </c>
      <c r="BA54" s="49">
        <f t="shared" si="123"/>
        <v>0</v>
      </c>
      <c r="BB54" s="49">
        <f t="shared" si="124"/>
        <v>23760</v>
      </c>
      <c r="BC54" s="49">
        <f t="shared" si="125"/>
        <v>0</v>
      </c>
      <c r="BD54" s="49">
        <f t="shared" si="126"/>
        <v>201948.12</v>
      </c>
      <c r="BE54" s="49">
        <f t="shared" si="127"/>
        <v>0</v>
      </c>
      <c r="BF54" s="49">
        <f t="shared" si="128"/>
        <v>0</v>
      </c>
      <c r="BG54" s="49">
        <f t="shared" si="129"/>
        <v>0</v>
      </c>
      <c r="BH54" s="49">
        <f t="shared" si="130"/>
        <v>201948.12</v>
      </c>
      <c r="BI54" s="49">
        <f t="shared" si="131"/>
        <v>0</v>
      </c>
      <c r="BJ54" s="49">
        <f t="shared" si="132"/>
        <v>26777.52</v>
      </c>
      <c r="BK54" s="49">
        <f t="shared" si="133"/>
        <v>0</v>
      </c>
      <c r="BL54" s="49">
        <f t="shared" si="134"/>
        <v>0</v>
      </c>
      <c r="BM54" s="49">
        <f t="shared" si="135"/>
        <v>0</v>
      </c>
      <c r="BN54" s="49">
        <f t="shared" si="136"/>
        <v>26777.52</v>
      </c>
      <c r="BO54" s="49">
        <f t="shared" si="137"/>
        <v>0</v>
      </c>
      <c r="BP54" s="49">
        <f t="shared" si="138"/>
        <v>47520</v>
      </c>
      <c r="BQ54" s="49">
        <f t="shared" si="139"/>
        <v>0</v>
      </c>
      <c r="BR54" s="49">
        <f t="shared" si="140"/>
        <v>0</v>
      </c>
      <c r="BS54" s="49">
        <f t="shared" si="141"/>
        <v>0</v>
      </c>
      <c r="BT54" s="49">
        <f t="shared" si="142"/>
        <v>47520</v>
      </c>
      <c r="BU54" s="49">
        <f t="shared" si="143"/>
        <v>0</v>
      </c>
      <c r="BV54" s="49">
        <f t="shared" si="144"/>
        <v>86070.6</v>
      </c>
      <c r="BW54" s="49">
        <f t="shared" si="145"/>
        <v>0</v>
      </c>
      <c r="BX54" s="49">
        <f t="shared" si="146"/>
        <v>0</v>
      </c>
      <c r="BY54" s="49">
        <f t="shared" si="147"/>
        <v>0</v>
      </c>
      <c r="BZ54" s="49">
        <f t="shared" si="148"/>
        <v>86070.6</v>
      </c>
      <c r="CA54" s="49">
        <f t="shared" si="149"/>
        <v>0</v>
      </c>
      <c r="CB54" s="49">
        <f t="shared" si="150"/>
        <v>17820</v>
      </c>
      <c r="CC54" s="49">
        <f t="shared" si="151"/>
        <v>0</v>
      </c>
      <c r="CD54" s="49">
        <f t="shared" si="152"/>
        <v>0</v>
      </c>
      <c r="CE54" s="49">
        <f t="shared" si="153"/>
        <v>0</v>
      </c>
      <c r="CF54" s="49">
        <f t="shared" si="154"/>
        <v>17820</v>
      </c>
      <c r="CG54" s="49">
        <f t="shared" si="155"/>
        <v>0</v>
      </c>
      <c r="CH54" s="49">
        <f t="shared" si="156"/>
        <v>23760</v>
      </c>
      <c r="CI54" s="49">
        <f t="shared" si="157"/>
        <v>0</v>
      </c>
      <c r="CJ54" s="49">
        <f t="shared" si="158"/>
        <v>0</v>
      </c>
      <c r="CK54" s="49">
        <f t="shared" si="159"/>
        <v>0</v>
      </c>
      <c r="CL54" s="49">
        <f t="shared" si="160"/>
        <v>23760</v>
      </c>
      <c r="CM54" s="49">
        <f t="shared" si="161"/>
        <v>0</v>
      </c>
      <c r="CN54" s="49">
        <f t="shared" si="162"/>
        <v>201948.12</v>
      </c>
      <c r="CO54" s="49">
        <f t="shared" si="163"/>
        <v>0</v>
      </c>
      <c r="CP54" s="49">
        <f t="shared" si="164"/>
        <v>0</v>
      </c>
      <c r="CQ54" s="49">
        <f t="shared" si="165"/>
        <v>0</v>
      </c>
      <c r="CR54" s="81">
        <f t="shared" si="166"/>
        <v>201948.12</v>
      </c>
      <c r="CS54" s="80">
        <f t="shared" si="167"/>
        <v>392051.88</v>
      </c>
      <c r="CT54" s="54"/>
      <c r="CU54" s="3" t="str">
        <f t="shared" si="168"/>
        <v>ARS</v>
      </c>
      <c r="CV54" s="3">
        <f>VLOOKUP(CU54,DF:DG,2,0)</f>
        <v>6.9185169999999997E-4</v>
      </c>
      <c r="CW54" s="23">
        <f t="shared" si="169"/>
        <v>410.95990979999999</v>
      </c>
      <c r="CX54" s="23">
        <f t="shared" si="170"/>
        <v>18.526072733783998</v>
      </c>
      <c r="CY54" s="23">
        <f t="shared" si="171"/>
        <v>32.876792783999996</v>
      </c>
      <c r="CZ54" s="23">
        <f t="shared" si="172"/>
        <v>59.548090930020003</v>
      </c>
      <c r="DA54" s="23">
        <f t="shared" si="173"/>
        <v>12.328797293999999</v>
      </c>
      <c r="DB54" s="23">
        <f t="shared" si="174"/>
        <v>16.438396391999998</v>
      </c>
      <c r="DC54" s="23">
        <f t="shared" si="175"/>
        <v>271.241759666196</v>
      </c>
      <c r="DD54" s="34" t="str">
        <f>VLOOKUP(A54,'Billing Report'!H:I,2,FALSE)</f>
        <v>MLA   Campaña Verano   Spotlight- 4/Feb</v>
      </c>
      <c r="DE54" s="34"/>
      <c r="DF54" s="61" t="s">
        <v>327</v>
      </c>
      <c r="DG54" s="62">
        <v>0.274365735</v>
      </c>
      <c r="DH54"/>
      <c r="DI54" s="41"/>
      <c r="DJ54" s="41"/>
    </row>
    <row r="55" spans="1:114" ht="14.5" x14ac:dyDescent="0.35">
      <c r="A55" s="63">
        <v>40790180</v>
      </c>
      <c r="B55" s="3" t="s">
        <v>662</v>
      </c>
      <c r="C55" s="3">
        <v>320381104</v>
      </c>
      <c r="D55" s="3" t="s">
        <v>93</v>
      </c>
      <c r="F55" s="35">
        <v>1710000</v>
      </c>
      <c r="G55" s="38"/>
      <c r="J55" s="33">
        <f>VLOOKUP($B55,'IMS Commission List'!E:CE,79,0)/100</f>
        <v>0.08</v>
      </c>
      <c r="K55" s="79">
        <f t="shared" si="88"/>
        <v>1710000</v>
      </c>
      <c r="L55" s="3" t="str">
        <f>VLOOKUP($B55,'IMS Commission List'!E:V,18,0)</f>
        <v>ARS</v>
      </c>
      <c r="M55" s="3">
        <v>1</v>
      </c>
      <c r="N55" s="3" t="str">
        <f>VLOOKUP($B55,'IMS Commission List'!E:T,16,0)</f>
        <v>MX</v>
      </c>
      <c r="O55" s="54">
        <f>VLOOKUP($B55,'IMS Commission List'!E:CF,80,0)</f>
        <v>4.9000000000000002E-2</v>
      </c>
      <c r="P55" s="54">
        <f>VLOOKUP($B55,'IMS Commission List'!E:CG,81,0)</f>
        <v>0.1575</v>
      </c>
      <c r="Q55" s="54">
        <f>VLOOKUP($B55,'IMS Commission List'!E:CP,90,0)</f>
        <v>0.03</v>
      </c>
      <c r="R55" s="54">
        <f>VLOOKUP($B55,'IMS Commission List'!E:CQ,91,0)</f>
        <v>0.04</v>
      </c>
      <c r="S55" s="47">
        <f t="shared" si="89"/>
        <v>0</v>
      </c>
      <c r="T55" s="48">
        <f t="shared" si="90"/>
        <v>1710000</v>
      </c>
      <c r="U55" s="48">
        <f t="shared" si="91"/>
        <v>0</v>
      </c>
      <c r="V55" s="48">
        <f t="shared" si="92"/>
        <v>0</v>
      </c>
      <c r="W55" s="48">
        <f t="shared" si="93"/>
        <v>0</v>
      </c>
      <c r="X55" s="49">
        <f t="shared" si="94"/>
        <v>1710000</v>
      </c>
      <c r="Y55" s="49">
        <f t="shared" si="95"/>
        <v>0</v>
      </c>
      <c r="Z55" s="49">
        <f t="shared" si="96"/>
        <v>77086.8</v>
      </c>
      <c r="AA55" s="49">
        <f t="shared" si="97"/>
        <v>0</v>
      </c>
      <c r="AB55" s="49">
        <f t="shared" si="98"/>
        <v>0</v>
      </c>
      <c r="AC55" s="49">
        <f t="shared" si="99"/>
        <v>0</v>
      </c>
      <c r="AD55" s="49">
        <f t="shared" si="100"/>
        <v>77086.8</v>
      </c>
      <c r="AE55" s="49">
        <f t="shared" si="101"/>
        <v>0</v>
      </c>
      <c r="AF55" s="49">
        <f t="shared" si="102"/>
        <v>136800</v>
      </c>
      <c r="AG55" s="49">
        <f t="shared" si="103"/>
        <v>0</v>
      </c>
      <c r="AH55" s="49">
        <f t="shared" si="104"/>
        <v>0</v>
      </c>
      <c r="AI55" s="49">
        <f t="shared" si="105"/>
        <v>0</v>
      </c>
      <c r="AJ55" s="49">
        <f t="shared" si="106"/>
        <v>136800</v>
      </c>
      <c r="AK55" s="49">
        <f t="shared" si="107"/>
        <v>0</v>
      </c>
      <c r="AL55" s="49">
        <f t="shared" si="108"/>
        <v>247779</v>
      </c>
      <c r="AM55" s="49">
        <f t="shared" si="109"/>
        <v>0</v>
      </c>
      <c r="AN55" s="49">
        <f t="shared" si="110"/>
        <v>0</v>
      </c>
      <c r="AO55" s="49">
        <f t="shared" si="111"/>
        <v>0</v>
      </c>
      <c r="AP55" s="49">
        <f t="shared" si="112"/>
        <v>247779</v>
      </c>
      <c r="AQ55" s="49">
        <f t="shared" si="113"/>
        <v>0</v>
      </c>
      <c r="AR55" s="49">
        <f t="shared" si="114"/>
        <v>51300</v>
      </c>
      <c r="AS55" s="49">
        <f t="shared" si="115"/>
        <v>0</v>
      </c>
      <c r="AT55" s="49">
        <f t="shared" si="116"/>
        <v>0</v>
      </c>
      <c r="AU55" s="49">
        <f t="shared" si="117"/>
        <v>0</v>
      </c>
      <c r="AV55" s="49">
        <f t="shared" si="118"/>
        <v>51300</v>
      </c>
      <c r="AW55" s="49">
        <f t="shared" si="119"/>
        <v>0</v>
      </c>
      <c r="AX55" s="49">
        <f t="shared" si="120"/>
        <v>68400</v>
      </c>
      <c r="AY55" s="49">
        <f t="shared" si="121"/>
        <v>0</v>
      </c>
      <c r="AZ55" s="49">
        <f t="shared" si="122"/>
        <v>0</v>
      </c>
      <c r="BA55" s="49">
        <f t="shared" si="123"/>
        <v>0</v>
      </c>
      <c r="BB55" s="49">
        <f t="shared" si="124"/>
        <v>68400</v>
      </c>
      <c r="BC55" s="49">
        <f t="shared" si="125"/>
        <v>0</v>
      </c>
      <c r="BD55" s="49">
        <f t="shared" si="126"/>
        <v>581365.80000000005</v>
      </c>
      <c r="BE55" s="49">
        <f t="shared" si="127"/>
        <v>0</v>
      </c>
      <c r="BF55" s="49">
        <f t="shared" si="128"/>
        <v>0</v>
      </c>
      <c r="BG55" s="49">
        <f t="shared" si="129"/>
        <v>0</v>
      </c>
      <c r="BH55" s="49">
        <f t="shared" si="130"/>
        <v>581365.80000000005</v>
      </c>
      <c r="BI55" s="49">
        <f t="shared" si="131"/>
        <v>0</v>
      </c>
      <c r="BJ55" s="49">
        <f t="shared" si="132"/>
        <v>77086.8</v>
      </c>
      <c r="BK55" s="49">
        <f t="shared" si="133"/>
        <v>0</v>
      </c>
      <c r="BL55" s="49">
        <f t="shared" si="134"/>
        <v>0</v>
      </c>
      <c r="BM55" s="49">
        <f t="shared" si="135"/>
        <v>0</v>
      </c>
      <c r="BN55" s="49">
        <f t="shared" si="136"/>
        <v>77086.8</v>
      </c>
      <c r="BO55" s="49">
        <f t="shared" si="137"/>
        <v>0</v>
      </c>
      <c r="BP55" s="49">
        <f t="shared" si="138"/>
        <v>136800</v>
      </c>
      <c r="BQ55" s="49">
        <f t="shared" si="139"/>
        <v>0</v>
      </c>
      <c r="BR55" s="49">
        <f t="shared" si="140"/>
        <v>0</v>
      </c>
      <c r="BS55" s="49">
        <f t="shared" si="141"/>
        <v>0</v>
      </c>
      <c r="BT55" s="49">
        <f t="shared" si="142"/>
        <v>136800</v>
      </c>
      <c r="BU55" s="49">
        <f t="shared" si="143"/>
        <v>0</v>
      </c>
      <c r="BV55" s="49">
        <f t="shared" si="144"/>
        <v>247779</v>
      </c>
      <c r="BW55" s="49">
        <f t="shared" si="145"/>
        <v>0</v>
      </c>
      <c r="BX55" s="49">
        <f t="shared" si="146"/>
        <v>0</v>
      </c>
      <c r="BY55" s="49">
        <f t="shared" si="147"/>
        <v>0</v>
      </c>
      <c r="BZ55" s="49">
        <f t="shared" si="148"/>
        <v>247779</v>
      </c>
      <c r="CA55" s="49">
        <f t="shared" si="149"/>
        <v>0</v>
      </c>
      <c r="CB55" s="49">
        <f t="shared" si="150"/>
        <v>51300</v>
      </c>
      <c r="CC55" s="49">
        <f t="shared" si="151"/>
        <v>0</v>
      </c>
      <c r="CD55" s="49">
        <f t="shared" si="152"/>
        <v>0</v>
      </c>
      <c r="CE55" s="49">
        <f t="shared" si="153"/>
        <v>0</v>
      </c>
      <c r="CF55" s="49">
        <f t="shared" si="154"/>
        <v>51300</v>
      </c>
      <c r="CG55" s="49">
        <f t="shared" si="155"/>
        <v>0</v>
      </c>
      <c r="CH55" s="49">
        <f t="shared" si="156"/>
        <v>68400</v>
      </c>
      <c r="CI55" s="49">
        <f t="shared" si="157"/>
        <v>0</v>
      </c>
      <c r="CJ55" s="49">
        <f t="shared" si="158"/>
        <v>0</v>
      </c>
      <c r="CK55" s="49">
        <f t="shared" si="159"/>
        <v>0</v>
      </c>
      <c r="CL55" s="49">
        <f t="shared" si="160"/>
        <v>68400</v>
      </c>
      <c r="CM55" s="49">
        <f t="shared" si="161"/>
        <v>0</v>
      </c>
      <c r="CN55" s="49">
        <f t="shared" si="162"/>
        <v>581365.80000000005</v>
      </c>
      <c r="CO55" s="49">
        <f t="shared" si="163"/>
        <v>0</v>
      </c>
      <c r="CP55" s="49">
        <f t="shared" si="164"/>
        <v>0</v>
      </c>
      <c r="CQ55" s="49">
        <f t="shared" si="165"/>
        <v>0</v>
      </c>
      <c r="CR55" s="81">
        <f t="shared" si="166"/>
        <v>581365.80000000005</v>
      </c>
      <c r="CS55" s="80">
        <f t="shared" si="167"/>
        <v>1128634.2</v>
      </c>
      <c r="CT55" s="54"/>
      <c r="CU55" s="3" t="str">
        <f t="shared" si="168"/>
        <v>ARS</v>
      </c>
      <c r="CV55" s="3">
        <f>VLOOKUP(CU55,DF:DG,2,0)</f>
        <v>6.9185169999999997E-4</v>
      </c>
      <c r="CW55" s="23">
        <f t="shared" si="169"/>
        <v>1183.066407</v>
      </c>
      <c r="CX55" s="23">
        <f t="shared" si="170"/>
        <v>53.33263362756</v>
      </c>
      <c r="CY55" s="23">
        <f t="shared" si="171"/>
        <v>94.645312559999994</v>
      </c>
      <c r="CZ55" s="23">
        <f t="shared" si="172"/>
        <v>171.42632237429999</v>
      </c>
      <c r="DA55" s="23">
        <f t="shared" si="173"/>
        <v>35.491992209999999</v>
      </c>
      <c r="DB55" s="23">
        <f t="shared" si="174"/>
        <v>47.322656279999997</v>
      </c>
      <c r="DC55" s="23">
        <f t="shared" si="175"/>
        <v>780.84748994813992</v>
      </c>
      <c r="DD55" s="34" t="str">
        <f>VLOOKUP(A55,'Billing Report'!H:I,2,FALSE)</f>
        <v>MLA   Campaña Verano   Timeline- 4/Feb</v>
      </c>
      <c r="DE55" s="34"/>
      <c r="DF55" s="61" t="s">
        <v>326</v>
      </c>
      <c r="DG55" s="62">
        <v>0.2336063803</v>
      </c>
      <c r="DH55"/>
      <c r="DI55" s="41"/>
      <c r="DJ55" s="41"/>
    </row>
    <row r="56" spans="1:114" ht="14.5" x14ac:dyDescent="0.35">
      <c r="A56" s="63">
        <v>40980211</v>
      </c>
      <c r="B56" s="3" t="s">
        <v>903</v>
      </c>
      <c r="C56" s="3">
        <v>320750202</v>
      </c>
      <c r="D56" s="3" t="s">
        <v>93</v>
      </c>
      <c r="G56" s="38">
        <v>534603.53</v>
      </c>
      <c r="J56" s="33">
        <f>VLOOKUP($B56,'IMS Commission List'!E:CE,79,0)/100</f>
        <v>0.15</v>
      </c>
      <c r="K56" s="79">
        <f t="shared" si="88"/>
        <v>534603.53</v>
      </c>
      <c r="L56" s="3" t="str">
        <f>VLOOKUP($B56,'IMS Commission List'!E:V,18,0)</f>
        <v>ARS</v>
      </c>
      <c r="M56" s="3">
        <v>1</v>
      </c>
      <c r="N56" s="3" t="str">
        <f>VLOOKUP($B56,'IMS Commission List'!E:T,16,0)</f>
        <v>MX</v>
      </c>
      <c r="O56" s="54">
        <f>VLOOKUP($B56,'IMS Commission List'!E:CF,80,0)</f>
        <v>0</v>
      </c>
      <c r="P56" s="54">
        <f>VLOOKUP($B56,'IMS Commission List'!E:CG,81,0)</f>
        <v>0</v>
      </c>
      <c r="Q56" s="54">
        <f>VLOOKUP($B56,'IMS Commission List'!E:CP,90,0)</f>
        <v>0.03</v>
      </c>
      <c r="R56" s="54">
        <f>VLOOKUP($B56,'IMS Commission List'!E:CQ,91,0)</f>
        <v>0.04</v>
      </c>
      <c r="S56" s="47">
        <f t="shared" si="89"/>
        <v>0</v>
      </c>
      <c r="T56" s="48">
        <f t="shared" si="90"/>
        <v>0</v>
      </c>
      <c r="U56" s="48">
        <f t="shared" si="91"/>
        <v>534603.53</v>
      </c>
      <c r="V56" s="48">
        <f t="shared" si="92"/>
        <v>0</v>
      </c>
      <c r="W56" s="48">
        <f t="shared" si="93"/>
        <v>0</v>
      </c>
      <c r="X56" s="49">
        <f t="shared" si="94"/>
        <v>534603.53</v>
      </c>
      <c r="Y56" s="49">
        <f t="shared" si="95"/>
        <v>0</v>
      </c>
      <c r="Z56" s="49">
        <f t="shared" si="96"/>
        <v>0</v>
      </c>
      <c r="AA56" s="49">
        <f t="shared" si="97"/>
        <v>0</v>
      </c>
      <c r="AB56" s="49">
        <f t="shared" si="98"/>
        <v>0</v>
      </c>
      <c r="AC56" s="49">
        <f t="shared" si="99"/>
        <v>0</v>
      </c>
      <c r="AD56" s="49">
        <f t="shared" si="100"/>
        <v>0</v>
      </c>
      <c r="AE56" s="49">
        <f t="shared" si="101"/>
        <v>0</v>
      </c>
      <c r="AF56" s="49">
        <f t="shared" si="102"/>
        <v>0</v>
      </c>
      <c r="AG56" s="49">
        <f t="shared" si="103"/>
        <v>80190.529500000004</v>
      </c>
      <c r="AH56" s="49">
        <f t="shared" si="104"/>
        <v>0</v>
      </c>
      <c r="AI56" s="49">
        <f t="shared" si="105"/>
        <v>0</v>
      </c>
      <c r="AJ56" s="49">
        <f t="shared" si="106"/>
        <v>80190.529500000004</v>
      </c>
      <c r="AK56" s="49">
        <f t="shared" si="107"/>
        <v>0</v>
      </c>
      <c r="AL56" s="49">
        <f t="shared" si="108"/>
        <v>0</v>
      </c>
      <c r="AM56" s="49">
        <f t="shared" si="109"/>
        <v>0</v>
      </c>
      <c r="AN56" s="49">
        <f t="shared" si="110"/>
        <v>0</v>
      </c>
      <c r="AO56" s="49">
        <f t="shared" si="111"/>
        <v>0</v>
      </c>
      <c r="AP56" s="49">
        <f t="shared" si="112"/>
        <v>0</v>
      </c>
      <c r="AQ56" s="49">
        <f t="shared" si="113"/>
        <v>0</v>
      </c>
      <c r="AR56" s="49">
        <f t="shared" si="114"/>
        <v>0</v>
      </c>
      <c r="AS56" s="49">
        <f t="shared" si="115"/>
        <v>16038.1059</v>
      </c>
      <c r="AT56" s="49">
        <f t="shared" si="116"/>
        <v>0</v>
      </c>
      <c r="AU56" s="49">
        <f t="shared" si="117"/>
        <v>0</v>
      </c>
      <c r="AV56" s="49">
        <f t="shared" si="118"/>
        <v>16038.1059</v>
      </c>
      <c r="AW56" s="49">
        <f t="shared" si="119"/>
        <v>0</v>
      </c>
      <c r="AX56" s="49">
        <f t="shared" si="120"/>
        <v>0</v>
      </c>
      <c r="AY56" s="49">
        <f t="shared" si="121"/>
        <v>21384.141200000002</v>
      </c>
      <c r="AZ56" s="49">
        <f t="shared" si="122"/>
        <v>0</v>
      </c>
      <c r="BA56" s="49">
        <f t="shared" si="123"/>
        <v>0</v>
      </c>
      <c r="BB56" s="49">
        <f t="shared" si="124"/>
        <v>21384.141200000002</v>
      </c>
      <c r="BC56" s="49">
        <f t="shared" si="125"/>
        <v>0</v>
      </c>
      <c r="BD56" s="49">
        <f t="shared" si="126"/>
        <v>0</v>
      </c>
      <c r="BE56" s="49">
        <f t="shared" si="127"/>
        <v>117612.7766</v>
      </c>
      <c r="BF56" s="49">
        <f t="shared" si="128"/>
        <v>0</v>
      </c>
      <c r="BG56" s="49">
        <f t="shared" si="129"/>
        <v>0</v>
      </c>
      <c r="BH56" s="49">
        <f t="shared" si="130"/>
        <v>117612.7766</v>
      </c>
      <c r="BI56" s="49">
        <f t="shared" si="131"/>
        <v>0</v>
      </c>
      <c r="BJ56" s="49">
        <f t="shared" si="132"/>
        <v>0</v>
      </c>
      <c r="BK56" s="49">
        <f t="shared" si="133"/>
        <v>0</v>
      </c>
      <c r="BL56" s="49">
        <f t="shared" si="134"/>
        <v>0</v>
      </c>
      <c r="BM56" s="49">
        <f t="shared" si="135"/>
        <v>0</v>
      </c>
      <c r="BN56" s="49">
        <f t="shared" si="136"/>
        <v>0</v>
      </c>
      <c r="BO56" s="49">
        <f t="shared" si="137"/>
        <v>0</v>
      </c>
      <c r="BP56" s="49">
        <f t="shared" si="138"/>
        <v>0</v>
      </c>
      <c r="BQ56" s="49">
        <f t="shared" si="139"/>
        <v>80190.529500000004</v>
      </c>
      <c r="BR56" s="49">
        <f t="shared" si="140"/>
        <v>0</v>
      </c>
      <c r="BS56" s="49">
        <f t="shared" si="141"/>
        <v>0</v>
      </c>
      <c r="BT56" s="49">
        <f t="shared" si="142"/>
        <v>80190.529500000004</v>
      </c>
      <c r="BU56" s="49">
        <f t="shared" si="143"/>
        <v>0</v>
      </c>
      <c r="BV56" s="49">
        <f t="shared" si="144"/>
        <v>0</v>
      </c>
      <c r="BW56" s="49">
        <f t="shared" si="145"/>
        <v>0</v>
      </c>
      <c r="BX56" s="49">
        <f t="shared" si="146"/>
        <v>0</v>
      </c>
      <c r="BY56" s="49">
        <f t="shared" si="147"/>
        <v>0</v>
      </c>
      <c r="BZ56" s="49">
        <f t="shared" si="148"/>
        <v>0</v>
      </c>
      <c r="CA56" s="49">
        <f t="shared" si="149"/>
        <v>0</v>
      </c>
      <c r="CB56" s="49">
        <f t="shared" si="150"/>
        <v>0</v>
      </c>
      <c r="CC56" s="49">
        <f t="shared" si="151"/>
        <v>16038.1059</v>
      </c>
      <c r="CD56" s="49">
        <f t="shared" si="152"/>
        <v>0</v>
      </c>
      <c r="CE56" s="49">
        <f t="shared" si="153"/>
        <v>0</v>
      </c>
      <c r="CF56" s="49">
        <f t="shared" si="154"/>
        <v>16038.1059</v>
      </c>
      <c r="CG56" s="49">
        <f t="shared" si="155"/>
        <v>0</v>
      </c>
      <c r="CH56" s="49">
        <f t="shared" si="156"/>
        <v>0</v>
      </c>
      <c r="CI56" s="49">
        <f t="shared" si="157"/>
        <v>21384.141200000002</v>
      </c>
      <c r="CJ56" s="49">
        <f t="shared" si="158"/>
        <v>0</v>
      </c>
      <c r="CK56" s="49">
        <f t="shared" si="159"/>
        <v>0</v>
      </c>
      <c r="CL56" s="49">
        <f t="shared" si="160"/>
        <v>21384.141200000002</v>
      </c>
      <c r="CM56" s="49">
        <f t="shared" si="161"/>
        <v>0</v>
      </c>
      <c r="CN56" s="49">
        <f t="shared" si="162"/>
        <v>0</v>
      </c>
      <c r="CO56" s="49">
        <f t="shared" si="163"/>
        <v>117612.7766</v>
      </c>
      <c r="CP56" s="49">
        <f t="shared" si="164"/>
        <v>0</v>
      </c>
      <c r="CQ56" s="49">
        <f t="shared" si="165"/>
        <v>0</v>
      </c>
      <c r="CR56" s="81">
        <f t="shared" si="166"/>
        <v>117612.7766</v>
      </c>
      <c r="CS56" s="80">
        <f t="shared" si="167"/>
        <v>416990.75340000005</v>
      </c>
      <c r="CT56" s="54"/>
      <c r="CU56" s="3" t="str">
        <f t="shared" si="168"/>
        <v>ARS</v>
      </c>
      <c r="CV56" s="3">
        <f>VLOOKUP(CU56,DF:DG,2,0)</f>
        <v>6.9185169999999997E-4</v>
      </c>
      <c r="CW56" s="23">
        <f t="shared" si="169"/>
        <v>369.86636105650098</v>
      </c>
      <c r="CX56" s="23">
        <f t="shared" si="170"/>
        <v>0</v>
      </c>
      <c r="CY56" s="23">
        <f t="shared" si="171"/>
        <v>55.479954158475152</v>
      </c>
      <c r="CZ56" s="23">
        <f t="shared" si="172"/>
        <v>0</v>
      </c>
      <c r="DA56" s="23">
        <f t="shared" si="173"/>
        <v>11.09599083169503</v>
      </c>
      <c r="DB56" s="23">
        <f t="shared" si="174"/>
        <v>14.794654442260041</v>
      </c>
      <c r="DC56" s="23">
        <f t="shared" si="175"/>
        <v>288.49576162407078</v>
      </c>
      <c r="DD56" s="34" t="str">
        <f>VLOOKUP(A56,'Billing Report'!H:I,2,FALSE)</f>
        <v>WLA_ARG LA NOVIA Prelaunch-X CPI Q1_2026</v>
      </c>
      <c r="DE56" s="34"/>
      <c r="DF56" s="61" t="s">
        <v>325</v>
      </c>
      <c r="DG56" s="62">
        <v>1.01390983E-2</v>
      </c>
      <c r="DH56"/>
      <c r="DI56" s="41"/>
      <c r="DJ56" s="41"/>
    </row>
    <row r="57" spans="1:114" ht="14.5" x14ac:dyDescent="0.35">
      <c r="A57" s="63">
        <v>40980003</v>
      </c>
      <c r="B57" s="3" t="s">
        <v>903</v>
      </c>
      <c r="C57" s="3">
        <v>320750202</v>
      </c>
      <c r="D57" s="3" t="s">
        <v>93</v>
      </c>
      <c r="G57" s="38">
        <v>658331.65</v>
      </c>
      <c r="J57" s="33">
        <f>VLOOKUP($B57,'IMS Commission List'!E:CE,79,0)/100</f>
        <v>0.15</v>
      </c>
      <c r="K57" s="79">
        <f t="shared" si="88"/>
        <v>658331.65</v>
      </c>
      <c r="L57" s="3" t="str">
        <f>VLOOKUP($B57,'IMS Commission List'!E:V,18,0)</f>
        <v>ARS</v>
      </c>
      <c r="M57" s="3">
        <v>1</v>
      </c>
      <c r="N57" s="3" t="str">
        <f>VLOOKUP($B57,'IMS Commission List'!E:T,16,0)</f>
        <v>MX</v>
      </c>
      <c r="O57" s="54">
        <f>VLOOKUP($B57,'IMS Commission List'!E:CF,80,0)</f>
        <v>0</v>
      </c>
      <c r="P57" s="54">
        <f>VLOOKUP($B57,'IMS Commission List'!E:CG,81,0)</f>
        <v>0</v>
      </c>
      <c r="Q57" s="54">
        <f>VLOOKUP($B57,'IMS Commission List'!E:CP,90,0)</f>
        <v>0.03</v>
      </c>
      <c r="R57" s="54">
        <f>VLOOKUP($B57,'IMS Commission List'!E:CQ,91,0)</f>
        <v>0.04</v>
      </c>
      <c r="S57" s="47">
        <f t="shared" si="89"/>
        <v>0</v>
      </c>
      <c r="T57" s="48">
        <f t="shared" si="90"/>
        <v>0</v>
      </c>
      <c r="U57" s="48">
        <f t="shared" si="91"/>
        <v>658331.65</v>
      </c>
      <c r="V57" s="48">
        <f t="shared" si="92"/>
        <v>0</v>
      </c>
      <c r="W57" s="48">
        <f t="shared" si="93"/>
        <v>0</v>
      </c>
      <c r="X57" s="49">
        <f t="shared" si="94"/>
        <v>658331.65</v>
      </c>
      <c r="Y57" s="49">
        <f t="shared" si="95"/>
        <v>0</v>
      </c>
      <c r="Z57" s="49">
        <f t="shared" si="96"/>
        <v>0</v>
      </c>
      <c r="AA57" s="49">
        <f t="shared" si="97"/>
        <v>0</v>
      </c>
      <c r="AB57" s="49">
        <f t="shared" si="98"/>
        <v>0</v>
      </c>
      <c r="AC57" s="49">
        <f t="shared" si="99"/>
        <v>0</v>
      </c>
      <c r="AD57" s="49">
        <f t="shared" si="100"/>
        <v>0</v>
      </c>
      <c r="AE57" s="49">
        <f t="shared" si="101"/>
        <v>0</v>
      </c>
      <c r="AF57" s="49">
        <f t="shared" si="102"/>
        <v>0</v>
      </c>
      <c r="AG57" s="49">
        <f t="shared" si="103"/>
        <v>98749.747499999998</v>
      </c>
      <c r="AH57" s="49">
        <f t="shared" si="104"/>
        <v>0</v>
      </c>
      <c r="AI57" s="49">
        <f t="shared" si="105"/>
        <v>0</v>
      </c>
      <c r="AJ57" s="49">
        <f t="shared" si="106"/>
        <v>98749.747499999998</v>
      </c>
      <c r="AK57" s="49">
        <f t="shared" si="107"/>
        <v>0</v>
      </c>
      <c r="AL57" s="49">
        <f t="shared" si="108"/>
        <v>0</v>
      </c>
      <c r="AM57" s="49">
        <f t="shared" si="109"/>
        <v>0</v>
      </c>
      <c r="AN57" s="49">
        <f t="shared" si="110"/>
        <v>0</v>
      </c>
      <c r="AO57" s="49">
        <f t="shared" si="111"/>
        <v>0</v>
      </c>
      <c r="AP57" s="49">
        <f t="shared" si="112"/>
        <v>0</v>
      </c>
      <c r="AQ57" s="49">
        <f t="shared" si="113"/>
        <v>0</v>
      </c>
      <c r="AR57" s="49">
        <f t="shared" si="114"/>
        <v>0</v>
      </c>
      <c r="AS57" s="49">
        <f t="shared" si="115"/>
        <v>19749.949499999999</v>
      </c>
      <c r="AT57" s="49">
        <f t="shared" si="116"/>
        <v>0</v>
      </c>
      <c r="AU57" s="49">
        <f t="shared" si="117"/>
        <v>0</v>
      </c>
      <c r="AV57" s="49">
        <f t="shared" si="118"/>
        <v>19749.949499999999</v>
      </c>
      <c r="AW57" s="49">
        <f t="shared" si="119"/>
        <v>0</v>
      </c>
      <c r="AX57" s="49">
        <f t="shared" si="120"/>
        <v>0</v>
      </c>
      <c r="AY57" s="49">
        <f t="shared" si="121"/>
        <v>26333.266000000003</v>
      </c>
      <c r="AZ57" s="49">
        <f t="shared" si="122"/>
        <v>0</v>
      </c>
      <c r="BA57" s="49">
        <f t="shared" si="123"/>
        <v>0</v>
      </c>
      <c r="BB57" s="49">
        <f t="shared" si="124"/>
        <v>26333.266000000003</v>
      </c>
      <c r="BC57" s="49">
        <f t="shared" si="125"/>
        <v>0</v>
      </c>
      <c r="BD57" s="49">
        <f t="shared" si="126"/>
        <v>0</v>
      </c>
      <c r="BE57" s="49">
        <f t="shared" si="127"/>
        <v>144832.96299999999</v>
      </c>
      <c r="BF57" s="49">
        <f t="shared" si="128"/>
        <v>0</v>
      </c>
      <c r="BG57" s="49">
        <f t="shared" si="129"/>
        <v>0</v>
      </c>
      <c r="BH57" s="49">
        <f t="shared" si="130"/>
        <v>144832.96299999999</v>
      </c>
      <c r="BI57" s="49">
        <f t="shared" si="131"/>
        <v>0</v>
      </c>
      <c r="BJ57" s="49">
        <f t="shared" si="132"/>
        <v>0</v>
      </c>
      <c r="BK57" s="49">
        <f t="shared" si="133"/>
        <v>0</v>
      </c>
      <c r="BL57" s="49">
        <f t="shared" si="134"/>
        <v>0</v>
      </c>
      <c r="BM57" s="49">
        <f t="shared" si="135"/>
        <v>0</v>
      </c>
      <c r="BN57" s="49">
        <f t="shared" si="136"/>
        <v>0</v>
      </c>
      <c r="BO57" s="49">
        <f t="shared" si="137"/>
        <v>0</v>
      </c>
      <c r="BP57" s="49">
        <f t="shared" si="138"/>
        <v>0</v>
      </c>
      <c r="BQ57" s="49">
        <f t="shared" si="139"/>
        <v>98749.747499999998</v>
      </c>
      <c r="BR57" s="49">
        <f t="shared" si="140"/>
        <v>0</v>
      </c>
      <c r="BS57" s="49">
        <f t="shared" si="141"/>
        <v>0</v>
      </c>
      <c r="BT57" s="49">
        <f t="shared" si="142"/>
        <v>98749.747499999998</v>
      </c>
      <c r="BU57" s="49">
        <f t="shared" si="143"/>
        <v>0</v>
      </c>
      <c r="BV57" s="49">
        <f t="shared" si="144"/>
        <v>0</v>
      </c>
      <c r="BW57" s="49">
        <f t="shared" si="145"/>
        <v>0</v>
      </c>
      <c r="BX57" s="49">
        <f t="shared" si="146"/>
        <v>0</v>
      </c>
      <c r="BY57" s="49">
        <f t="shared" si="147"/>
        <v>0</v>
      </c>
      <c r="BZ57" s="49">
        <f t="shared" si="148"/>
        <v>0</v>
      </c>
      <c r="CA57" s="49">
        <f t="shared" si="149"/>
        <v>0</v>
      </c>
      <c r="CB57" s="49">
        <f t="shared" si="150"/>
        <v>0</v>
      </c>
      <c r="CC57" s="49">
        <f t="shared" si="151"/>
        <v>19749.949499999999</v>
      </c>
      <c r="CD57" s="49">
        <f t="shared" si="152"/>
        <v>0</v>
      </c>
      <c r="CE57" s="49">
        <f t="shared" si="153"/>
        <v>0</v>
      </c>
      <c r="CF57" s="49">
        <f t="shared" si="154"/>
        <v>19749.949499999999</v>
      </c>
      <c r="CG57" s="49">
        <f t="shared" si="155"/>
        <v>0</v>
      </c>
      <c r="CH57" s="49">
        <f t="shared" si="156"/>
        <v>0</v>
      </c>
      <c r="CI57" s="49">
        <f t="shared" si="157"/>
        <v>26333.266000000003</v>
      </c>
      <c r="CJ57" s="49">
        <f t="shared" si="158"/>
        <v>0</v>
      </c>
      <c r="CK57" s="49">
        <f t="shared" si="159"/>
        <v>0</v>
      </c>
      <c r="CL57" s="49">
        <f t="shared" si="160"/>
        <v>26333.266000000003</v>
      </c>
      <c r="CM57" s="49">
        <f t="shared" si="161"/>
        <v>0</v>
      </c>
      <c r="CN57" s="49">
        <f t="shared" si="162"/>
        <v>0</v>
      </c>
      <c r="CO57" s="49">
        <f t="shared" si="163"/>
        <v>144832.96299999999</v>
      </c>
      <c r="CP57" s="49">
        <f t="shared" si="164"/>
        <v>0</v>
      </c>
      <c r="CQ57" s="49">
        <f t="shared" si="165"/>
        <v>0</v>
      </c>
      <c r="CR57" s="81">
        <f t="shared" si="166"/>
        <v>144832.96299999999</v>
      </c>
      <c r="CS57" s="80">
        <f t="shared" si="167"/>
        <v>513498.68700000003</v>
      </c>
      <c r="CT57" s="54"/>
      <c r="CU57" s="3" t="str">
        <f t="shared" si="168"/>
        <v>ARS</v>
      </c>
      <c r="CV57" s="3">
        <f>VLOOKUP(CU57,DF:DG,2,0)</f>
        <v>6.9185169999999997E-4</v>
      </c>
      <c r="CW57" s="23">
        <f t="shared" si="169"/>
        <v>455.46787121630501</v>
      </c>
      <c r="CX57" s="23">
        <f t="shared" si="170"/>
        <v>0</v>
      </c>
      <c r="CY57" s="23">
        <f t="shared" si="171"/>
        <v>68.320180682445752</v>
      </c>
      <c r="CZ57" s="23">
        <f t="shared" si="172"/>
        <v>0</v>
      </c>
      <c r="DA57" s="23">
        <f t="shared" si="173"/>
        <v>13.664036136489148</v>
      </c>
      <c r="DB57" s="23">
        <f t="shared" si="174"/>
        <v>18.218714848652201</v>
      </c>
      <c r="DC57" s="23">
        <f t="shared" si="175"/>
        <v>355.2649395487179</v>
      </c>
      <c r="DD57" s="34" t="str">
        <f>VLOOKUP(A57,'Billing Report'!H:I,2,FALSE)</f>
        <v>WLA_ARG LA NOVIA PreLaunch-X CPM Q1_2026</v>
      </c>
      <c r="DE57" s="34"/>
      <c r="DF57" s="61" t="s">
        <v>324</v>
      </c>
      <c r="DG57" s="62">
        <v>1.3218644E-2</v>
      </c>
      <c r="DH57"/>
      <c r="DI57" s="41"/>
      <c r="DJ57" s="41"/>
    </row>
    <row r="58" spans="1:114" ht="14.5" x14ac:dyDescent="0.35">
      <c r="A58" s="63">
        <v>40636269</v>
      </c>
      <c r="B58" s="3" t="s">
        <v>632</v>
      </c>
      <c r="C58" s="3">
        <v>320938401</v>
      </c>
      <c r="D58" s="3" t="s">
        <v>93</v>
      </c>
      <c r="G58" s="38">
        <v>1642611.98</v>
      </c>
      <c r="J58" s="33">
        <f>VLOOKUP($B58,'IMS Commission List'!E:CE,79,0)/100</f>
        <v>0.15</v>
      </c>
      <c r="K58" s="79">
        <f t="shared" si="88"/>
        <v>1642611.98</v>
      </c>
      <c r="L58" s="3" t="str">
        <f>VLOOKUP($B58,'IMS Commission List'!E:V,18,0)</f>
        <v>ARS</v>
      </c>
      <c r="M58" s="3">
        <v>1</v>
      </c>
      <c r="N58" s="3" t="str">
        <f>VLOOKUP($B58,'IMS Commission List'!E:T,16,0)</f>
        <v>MX</v>
      </c>
      <c r="O58" s="54">
        <f>VLOOKUP($B58,'IMS Commission List'!E:CF,80,0)</f>
        <v>4.9000000000000002E-2</v>
      </c>
      <c r="P58" s="54">
        <f>VLOOKUP($B58,'IMS Commission List'!E:CG,81,0)</f>
        <v>0.1575</v>
      </c>
      <c r="Q58" s="54">
        <f>VLOOKUP($B58,'IMS Commission List'!E:CP,90,0)</f>
        <v>0.03</v>
      </c>
      <c r="R58" s="54">
        <f>VLOOKUP($B58,'IMS Commission List'!E:CQ,91,0)</f>
        <v>0.04</v>
      </c>
      <c r="S58" s="47">
        <f t="shared" si="89"/>
        <v>0</v>
      </c>
      <c r="T58" s="48">
        <f t="shared" si="90"/>
        <v>0</v>
      </c>
      <c r="U58" s="48">
        <f t="shared" si="91"/>
        <v>1642611.98</v>
      </c>
      <c r="V58" s="48">
        <f t="shared" si="92"/>
        <v>0</v>
      </c>
      <c r="W58" s="48">
        <f t="shared" si="93"/>
        <v>0</v>
      </c>
      <c r="X58" s="49">
        <f t="shared" si="94"/>
        <v>1642611.98</v>
      </c>
      <c r="Y58" s="49">
        <f t="shared" si="95"/>
        <v>0</v>
      </c>
      <c r="Z58" s="49">
        <f t="shared" si="96"/>
        <v>0</v>
      </c>
      <c r="AA58" s="49">
        <f t="shared" si="97"/>
        <v>68414.788967</v>
      </c>
      <c r="AB58" s="49">
        <f t="shared" si="98"/>
        <v>0</v>
      </c>
      <c r="AC58" s="49">
        <f t="shared" si="99"/>
        <v>0</v>
      </c>
      <c r="AD58" s="49">
        <f t="shared" si="100"/>
        <v>68414.788967</v>
      </c>
      <c r="AE58" s="49">
        <f t="shared" si="101"/>
        <v>0</v>
      </c>
      <c r="AF58" s="49">
        <f t="shared" si="102"/>
        <v>0</v>
      </c>
      <c r="AG58" s="49">
        <f t="shared" si="103"/>
        <v>246391.79699999999</v>
      </c>
      <c r="AH58" s="49">
        <f t="shared" si="104"/>
        <v>0</v>
      </c>
      <c r="AI58" s="49">
        <f t="shared" si="105"/>
        <v>0</v>
      </c>
      <c r="AJ58" s="49">
        <f t="shared" si="106"/>
        <v>246391.79699999999</v>
      </c>
      <c r="AK58" s="49">
        <f t="shared" si="107"/>
        <v>0</v>
      </c>
      <c r="AL58" s="49">
        <f t="shared" si="108"/>
        <v>0</v>
      </c>
      <c r="AM58" s="49">
        <f t="shared" si="109"/>
        <v>219904.67882249999</v>
      </c>
      <c r="AN58" s="49">
        <f t="shared" si="110"/>
        <v>0</v>
      </c>
      <c r="AO58" s="49">
        <f t="shared" si="111"/>
        <v>0</v>
      </c>
      <c r="AP58" s="49">
        <f t="shared" si="112"/>
        <v>219904.67882249999</v>
      </c>
      <c r="AQ58" s="49">
        <f t="shared" si="113"/>
        <v>0</v>
      </c>
      <c r="AR58" s="49">
        <f t="shared" si="114"/>
        <v>0</v>
      </c>
      <c r="AS58" s="49">
        <f t="shared" si="115"/>
        <v>49278.359400000001</v>
      </c>
      <c r="AT58" s="49">
        <f t="shared" si="116"/>
        <v>0</v>
      </c>
      <c r="AU58" s="49">
        <f t="shared" si="117"/>
        <v>0</v>
      </c>
      <c r="AV58" s="49">
        <f t="shared" si="118"/>
        <v>49278.359400000001</v>
      </c>
      <c r="AW58" s="49">
        <f t="shared" si="119"/>
        <v>0</v>
      </c>
      <c r="AX58" s="49">
        <f t="shared" si="120"/>
        <v>0</v>
      </c>
      <c r="AY58" s="49">
        <f t="shared" si="121"/>
        <v>65704.479200000002</v>
      </c>
      <c r="AZ58" s="49">
        <f t="shared" si="122"/>
        <v>0</v>
      </c>
      <c r="BA58" s="49">
        <f t="shared" si="123"/>
        <v>0</v>
      </c>
      <c r="BB58" s="49">
        <f t="shared" si="124"/>
        <v>65704.479200000002</v>
      </c>
      <c r="BC58" s="49">
        <f t="shared" si="125"/>
        <v>0</v>
      </c>
      <c r="BD58" s="49">
        <f t="shared" si="126"/>
        <v>0</v>
      </c>
      <c r="BE58" s="49">
        <f t="shared" si="127"/>
        <v>649694.10338949994</v>
      </c>
      <c r="BF58" s="49">
        <f t="shared" si="128"/>
        <v>0</v>
      </c>
      <c r="BG58" s="49">
        <f t="shared" si="129"/>
        <v>0</v>
      </c>
      <c r="BH58" s="49">
        <f t="shared" si="130"/>
        <v>649694.10338949994</v>
      </c>
      <c r="BI58" s="49">
        <f t="shared" si="131"/>
        <v>0</v>
      </c>
      <c r="BJ58" s="49">
        <f t="shared" si="132"/>
        <v>0</v>
      </c>
      <c r="BK58" s="49">
        <f t="shared" si="133"/>
        <v>68414.788967</v>
      </c>
      <c r="BL58" s="49">
        <f t="shared" si="134"/>
        <v>0</v>
      </c>
      <c r="BM58" s="49">
        <f t="shared" si="135"/>
        <v>0</v>
      </c>
      <c r="BN58" s="49">
        <f t="shared" si="136"/>
        <v>68414.788967</v>
      </c>
      <c r="BO58" s="49">
        <f t="shared" si="137"/>
        <v>0</v>
      </c>
      <c r="BP58" s="49">
        <f t="shared" si="138"/>
        <v>0</v>
      </c>
      <c r="BQ58" s="49">
        <f t="shared" si="139"/>
        <v>246391.79699999999</v>
      </c>
      <c r="BR58" s="49">
        <f t="shared" si="140"/>
        <v>0</v>
      </c>
      <c r="BS58" s="49">
        <f t="shared" si="141"/>
        <v>0</v>
      </c>
      <c r="BT58" s="49">
        <f t="shared" si="142"/>
        <v>246391.79699999999</v>
      </c>
      <c r="BU58" s="49">
        <f t="shared" si="143"/>
        <v>0</v>
      </c>
      <c r="BV58" s="49">
        <f t="shared" si="144"/>
        <v>0</v>
      </c>
      <c r="BW58" s="49">
        <f t="shared" si="145"/>
        <v>219904.67882249999</v>
      </c>
      <c r="BX58" s="49">
        <f t="shared" si="146"/>
        <v>0</v>
      </c>
      <c r="BY58" s="49">
        <f t="shared" si="147"/>
        <v>0</v>
      </c>
      <c r="BZ58" s="49">
        <f t="shared" si="148"/>
        <v>219904.67882249999</v>
      </c>
      <c r="CA58" s="49">
        <f t="shared" si="149"/>
        <v>0</v>
      </c>
      <c r="CB58" s="49">
        <f t="shared" si="150"/>
        <v>0</v>
      </c>
      <c r="CC58" s="49">
        <f t="shared" si="151"/>
        <v>49278.359400000001</v>
      </c>
      <c r="CD58" s="49">
        <f t="shared" si="152"/>
        <v>0</v>
      </c>
      <c r="CE58" s="49">
        <f t="shared" si="153"/>
        <v>0</v>
      </c>
      <c r="CF58" s="49">
        <f t="shared" si="154"/>
        <v>49278.359400000001</v>
      </c>
      <c r="CG58" s="49">
        <f t="shared" si="155"/>
        <v>0</v>
      </c>
      <c r="CH58" s="49">
        <f t="shared" si="156"/>
        <v>0</v>
      </c>
      <c r="CI58" s="49">
        <f t="shared" si="157"/>
        <v>65704.479200000002</v>
      </c>
      <c r="CJ58" s="49">
        <f t="shared" si="158"/>
        <v>0</v>
      </c>
      <c r="CK58" s="49">
        <f t="shared" si="159"/>
        <v>0</v>
      </c>
      <c r="CL58" s="49">
        <f t="shared" si="160"/>
        <v>65704.479200000002</v>
      </c>
      <c r="CM58" s="49">
        <f t="shared" si="161"/>
        <v>0</v>
      </c>
      <c r="CN58" s="49">
        <f t="shared" si="162"/>
        <v>0</v>
      </c>
      <c r="CO58" s="49">
        <f t="shared" si="163"/>
        <v>649694.10338949994</v>
      </c>
      <c r="CP58" s="49">
        <f t="shared" si="164"/>
        <v>0</v>
      </c>
      <c r="CQ58" s="49">
        <f t="shared" si="165"/>
        <v>0</v>
      </c>
      <c r="CR58" s="81">
        <f t="shared" si="166"/>
        <v>649694.10338949994</v>
      </c>
      <c r="CS58" s="80">
        <f t="shared" si="167"/>
        <v>992917.87661050004</v>
      </c>
      <c r="CT58" s="54"/>
      <c r="CU58" s="3" t="str">
        <f t="shared" si="168"/>
        <v>ARS</v>
      </c>
      <c r="CV58" s="3">
        <f>VLOOKUP(CU58,DF:DG,2,0)</f>
        <v>6.9185169999999997E-4</v>
      </c>
      <c r="CW58" s="23">
        <f t="shared" si="169"/>
        <v>1136.443890803366</v>
      </c>
      <c r="CX58" s="23">
        <f t="shared" si="170"/>
        <v>47.33288805196019</v>
      </c>
      <c r="CY58" s="23">
        <f t="shared" si="171"/>
        <v>170.46658362050488</v>
      </c>
      <c r="CZ58" s="23">
        <f t="shared" si="172"/>
        <v>152.14142588130062</v>
      </c>
      <c r="DA58" s="23">
        <f t="shared" si="173"/>
        <v>34.09331672410098</v>
      </c>
      <c r="DB58" s="23">
        <f t="shared" si="174"/>
        <v>45.457755632134642</v>
      </c>
      <c r="DC58" s="23">
        <f t="shared" si="175"/>
        <v>686.95192089336467</v>
      </c>
      <c r="DD58" s="34" t="str">
        <f>VLOOKUP(A58,'Billing Report'!H:I,2,FALSE)</f>
        <v>2025_MODO_BRANDING_PROMO_MAKRO_GEO_TWITTER_NU_AW_DIC</v>
      </c>
      <c r="DE58" s="34"/>
      <c r="DF58" s="61" t="s">
        <v>323</v>
      </c>
      <c r="DG58" s="62">
        <v>0.26661476569999998</v>
      </c>
      <c r="DH58"/>
      <c r="DI58" s="41"/>
      <c r="DJ58" s="41"/>
    </row>
    <row r="59" spans="1:114" ht="14.5" x14ac:dyDescent="0.35">
      <c r="A59" s="63">
        <v>40617267</v>
      </c>
      <c r="B59" s="3" t="s">
        <v>632</v>
      </c>
      <c r="C59" s="3">
        <v>320938401</v>
      </c>
      <c r="D59" s="3" t="s">
        <v>93</v>
      </c>
      <c r="G59" s="38">
        <v>2515517.34</v>
      </c>
      <c r="J59" s="33">
        <f>VLOOKUP($B59,'IMS Commission List'!E:CE,79,0)/100</f>
        <v>0.15</v>
      </c>
      <c r="K59" s="79">
        <f t="shared" si="88"/>
        <v>2515517.34</v>
      </c>
      <c r="L59" s="3" t="str">
        <f>VLOOKUP($B59,'IMS Commission List'!E:V,18,0)</f>
        <v>ARS</v>
      </c>
      <c r="M59" s="3">
        <v>1</v>
      </c>
      <c r="N59" s="3" t="str">
        <f>VLOOKUP($B59,'IMS Commission List'!E:T,16,0)</f>
        <v>MX</v>
      </c>
      <c r="O59" s="54">
        <f>VLOOKUP($B59,'IMS Commission List'!E:CF,80,0)</f>
        <v>4.9000000000000002E-2</v>
      </c>
      <c r="P59" s="54">
        <f>VLOOKUP($B59,'IMS Commission List'!E:CG,81,0)</f>
        <v>0.1575</v>
      </c>
      <c r="Q59" s="54">
        <f>VLOOKUP($B59,'IMS Commission List'!E:CP,90,0)</f>
        <v>0.03</v>
      </c>
      <c r="R59" s="54">
        <f>VLOOKUP($B59,'IMS Commission List'!E:CQ,91,0)</f>
        <v>0.04</v>
      </c>
      <c r="S59" s="47">
        <f t="shared" si="89"/>
        <v>0</v>
      </c>
      <c r="T59" s="48">
        <f t="shared" si="90"/>
        <v>0</v>
      </c>
      <c r="U59" s="48">
        <f t="shared" si="91"/>
        <v>2515517.34</v>
      </c>
      <c r="V59" s="48">
        <f t="shared" si="92"/>
        <v>0</v>
      </c>
      <c r="W59" s="48">
        <f t="shared" si="93"/>
        <v>0</v>
      </c>
      <c r="X59" s="49">
        <f t="shared" si="94"/>
        <v>2515517.34</v>
      </c>
      <c r="Y59" s="49">
        <f t="shared" si="95"/>
        <v>0</v>
      </c>
      <c r="Z59" s="49">
        <f t="shared" si="96"/>
        <v>0</v>
      </c>
      <c r="AA59" s="49">
        <f t="shared" si="97"/>
        <v>104771.297211</v>
      </c>
      <c r="AB59" s="49">
        <f t="shared" si="98"/>
        <v>0</v>
      </c>
      <c r="AC59" s="49">
        <f t="shared" si="99"/>
        <v>0</v>
      </c>
      <c r="AD59" s="49">
        <f t="shared" si="100"/>
        <v>104771.297211</v>
      </c>
      <c r="AE59" s="49">
        <f t="shared" si="101"/>
        <v>0</v>
      </c>
      <c r="AF59" s="49">
        <f t="shared" si="102"/>
        <v>0</v>
      </c>
      <c r="AG59" s="49">
        <f t="shared" si="103"/>
        <v>377327.60099999997</v>
      </c>
      <c r="AH59" s="49">
        <f t="shared" si="104"/>
        <v>0</v>
      </c>
      <c r="AI59" s="49">
        <f t="shared" si="105"/>
        <v>0</v>
      </c>
      <c r="AJ59" s="49">
        <f t="shared" si="106"/>
        <v>377327.60099999997</v>
      </c>
      <c r="AK59" s="49">
        <f t="shared" si="107"/>
        <v>0</v>
      </c>
      <c r="AL59" s="49">
        <f t="shared" si="108"/>
        <v>0</v>
      </c>
      <c r="AM59" s="49">
        <f t="shared" si="109"/>
        <v>336764.88389250002</v>
      </c>
      <c r="AN59" s="49">
        <f t="shared" si="110"/>
        <v>0</v>
      </c>
      <c r="AO59" s="49">
        <f t="shared" si="111"/>
        <v>0</v>
      </c>
      <c r="AP59" s="49">
        <f t="shared" si="112"/>
        <v>336764.88389250002</v>
      </c>
      <c r="AQ59" s="49">
        <f t="shared" si="113"/>
        <v>0</v>
      </c>
      <c r="AR59" s="49">
        <f t="shared" si="114"/>
        <v>0</v>
      </c>
      <c r="AS59" s="49">
        <f t="shared" si="115"/>
        <v>75465.520199999999</v>
      </c>
      <c r="AT59" s="49">
        <f t="shared" si="116"/>
        <v>0</v>
      </c>
      <c r="AU59" s="49">
        <f t="shared" si="117"/>
        <v>0</v>
      </c>
      <c r="AV59" s="49">
        <f t="shared" si="118"/>
        <v>75465.520199999999</v>
      </c>
      <c r="AW59" s="49">
        <f t="shared" si="119"/>
        <v>0</v>
      </c>
      <c r="AX59" s="49">
        <f t="shared" si="120"/>
        <v>0</v>
      </c>
      <c r="AY59" s="49">
        <f t="shared" si="121"/>
        <v>100620.6936</v>
      </c>
      <c r="AZ59" s="49">
        <f t="shared" si="122"/>
        <v>0</v>
      </c>
      <c r="BA59" s="49">
        <f t="shared" si="123"/>
        <v>0</v>
      </c>
      <c r="BB59" s="49">
        <f t="shared" si="124"/>
        <v>100620.6936</v>
      </c>
      <c r="BC59" s="49">
        <f t="shared" si="125"/>
        <v>0</v>
      </c>
      <c r="BD59" s="49">
        <f t="shared" si="126"/>
        <v>0</v>
      </c>
      <c r="BE59" s="49">
        <f t="shared" si="127"/>
        <v>994949.99590350001</v>
      </c>
      <c r="BF59" s="49">
        <f t="shared" si="128"/>
        <v>0</v>
      </c>
      <c r="BG59" s="49">
        <f t="shared" si="129"/>
        <v>0</v>
      </c>
      <c r="BH59" s="49">
        <f t="shared" si="130"/>
        <v>994949.99590350001</v>
      </c>
      <c r="BI59" s="49">
        <f t="shared" si="131"/>
        <v>0</v>
      </c>
      <c r="BJ59" s="49">
        <f t="shared" si="132"/>
        <v>0</v>
      </c>
      <c r="BK59" s="49">
        <f t="shared" si="133"/>
        <v>104771.297211</v>
      </c>
      <c r="BL59" s="49">
        <f t="shared" si="134"/>
        <v>0</v>
      </c>
      <c r="BM59" s="49">
        <f t="shared" si="135"/>
        <v>0</v>
      </c>
      <c r="BN59" s="49">
        <f t="shared" si="136"/>
        <v>104771.297211</v>
      </c>
      <c r="BO59" s="49">
        <f t="shared" si="137"/>
        <v>0</v>
      </c>
      <c r="BP59" s="49">
        <f t="shared" si="138"/>
        <v>0</v>
      </c>
      <c r="BQ59" s="49">
        <f t="shared" si="139"/>
        <v>377327.60099999997</v>
      </c>
      <c r="BR59" s="49">
        <f t="shared" si="140"/>
        <v>0</v>
      </c>
      <c r="BS59" s="49">
        <f t="shared" si="141"/>
        <v>0</v>
      </c>
      <c r="BT59" s="49">
        <f t="shared" si="142"/>
        <v>377327.60099999997</v>
      </c>
      <c r="BU59" s="49">
        <f t="shared" si="143"/>
        <v>0</v>
      </c>
      <c r="BV59" s="49">
        <f t="shared" si="144"/>
        <v>0</v>
      </c>
      <c r="BW59" s="49">
        <f t="shared" si="145"/>
        <v>336764.88389250002</v>
      </c>
      <c r="BX59" s="49">
        <f t="shared" si="146"/>
        <v>0</v>
      </c>
      <c r="BY59" s="49">
        <f t="shared" si="147"/>
        <v>0</v>
      </c>
      <c r="BZ59" s="49">
        <f t="shared" si="148"/>
        <v>336764.88389250002</v>
      </c>
      <c r="CA59" s="49">
        <f t="shared" si="149"/>
        <v>0</v>
      </c>
      <c r="CB59" s="49">
        <f t="shared" si="150"/>
        <v>0</v>
      </c>
      <c r="CC59" s="49">
        <f t="shared" si="151"/>
        <v>75465.520199999999</v>
      </c>
      <c r="CD59" s="49">
        <f t="shared" si="152"/>
        <v>0</v>
      </c>
      <c r="CE59" s="49">
        <f t="shared" si="153"/>
        <v>0</v>
      </c>
      <c r="CF59" s="49">
        <f t="shared" si="154"/>
        <v>75465.520199999999</v>
      </c>
      <c r="CG59" s="49">
        <f t="shared" si="155"/>
        <v>0</v>
      </c>
      <c r="CH59" s="49">
        <f t="shared" si="156"/>
        <v>0</v>
      </c>
      <c r="CI59" s="49">
        <f t="shared" si="157"/>
        <v>100620.6936</v>
      </c>
      <c r="CJ59" s="49">
        <f t="shared" si="158"/>
        <v>0</v>
      </c>
      <c r="CK59" s="49">
        <f t="shared" si="159"/>
        <v>0</v>
      </c>
      <c r="CL59" s="49">
        <f t="shared" si="160"/>
        <v>100620.6936</v>
      </c>
      <c r="CM59" s="49">
        <f t="shared" si="161"/>
        <v>0</v>
      </c>
      <c r="CN59" s="49">
        <f t="shared" si="162"/>
        <v>0</v>
      </c>
      <c r="CO59" s="49">
        <f t="shared" si="163"/>
        <v>994949.99590350001</v>
      </c>
      <c r="CP59" s="49">
        <f t="shared" si="164"/>
        <v>0</v>
      </c>
      <c r="CQ59" s="49">
        <f t="shared" si="165"/>
        <v>0</v>
      </c>
      <c r="CR59" s="81">
        <f t="shared" si="166"/>
        <v>994949.99590350001</v>
      </c>
      <c r="CS59" s="80">
        <f t="shared" si="167"/>
        <v>1520567.3440965</v>
      </c>
      <c r="CT59" s="54"/>
      <c r="CU59" s="3" t="str">
        <f t="shared" si="168"/>
        <v>ARS</v>
      </c>
      <c r="CV59" s="3">
        <f>VLOOKUP(CU59,DF:DG,2,0)</f>
        <v>6.9185169999999997E-4</v>
      </c>
      <c r="CW59" s="23">
        <f t="shared" si="169"/>
        <v>1740.3649480584779</v>
      </c>
      <c r="CX59" s="23">
        <f t="shared" si="170"/>
        <v>72.486200086635606</v>
      </c>
      <c r="CY59" s="23">
        <f t="shared" si="171"/>
        <v>261.05474220877164</v>
      </c>
      <c r="CZ59" s="23">
        <f t="shared" si="172"/>
        <v>232.99135742132873</v>
      </c>
      <c r="DA59" s="23">
        <f t="shared" si="173"/>
        <v>52.21094844175434</v>
      </c>
      <c r="DB59" s="23">
        <f t="shared" si="174"/>
        <v>69.614597922339115</v>
      </c>
      <c r="DC59" s="23">
        <f t="shared" si="175"/>
        <v>1052.0071019776485</v>
      </c>
      <c r="DD59" s="34" t="str">
        <f>VLOOKUP(A59,'Billing Report'!H:I,2,FALSE)</f>
        <v>2025_MODO_BRANDING_PROMO_VEA&amp;DISCO_GEO_TWITTER_NU_AW_DIC</v>
      </c>
      <c r="DE59" s="34"/>
      <c r="DF59" s="61" t="s">
        <v>322</v>
      </c>
      <c r="DG59" s="62">
        <v>0.1128517236</v>
      </c>
      <c r="DH59"/>
      <c r="DI59" s="41"/>
      <c r="DJ59" s="41"/>
    </row>
    <row r="60" spans="1:114" ht="14.5" x14ac:dyDescent="0.35">
      <c r="A60" s="63">
        <v>40613189</v>
      </c>
      <c r="B60" s="3" t="s">
        <v>632</v>
      </c>
      <c r="C60" s="3">
        <v>320938401</v>
      </c>
      <c r="D60" s="3" t="s">
        <v>93</v>
      </c>
      <c r="G60" s="38">
        <v>2052055</v>
      </c>
      <c r="J60" s="33">
        <f>VLOOKUP($B60,'IMS Commission List'!E:CE,79,0)/100</f>
        <v>0.15</v>
      </c>
      <c r="K60" s="79">
        <f t="shared" si="88"/>
        <v>2052055</v>
      </c>
      <c r="L60" s="3" t="str">
        <f>VLOOKUP($B60,'IMS Commission List'!E:V,18,0)</f>
        <v>ARS</v>
      </c>
      <c r="M60" s="3">
        <v>1</v>
      </c>
      <c r="N60" s="3" t="str">
        <f>VLOOKUP($B60,'IMS Commission List'!E:T,16,0)</f>
        <v>MX</v>
      </c>
      <c r="O60" s="54">
        <f>VLOOKUP($B60,'IMS Commission List'!E:CF,80,0)</f>
        <v>4.9000000000000002E-2</v>
      </c>
      <c r="P60" s="54">
        <f>VLOOKUP($B60,'IMS Commission List'!E:CG,81,0)</f>
        <v>0.1575</v>
      </c>
      <c r="Q60" s="54">
        <f>VLOOKUP($B60,'IMS Commission List'!E:CP,90,0)</f>
        <v>0.03</v>
      </c>
      <c r="R60" s="54">
        <f>VLOOKUP($B60,'IMS Commission List'!E:CQ,91,0)</f>
        <v>0.04</v>
      </c>
      <c r="S60" s="47">
        <f t="shared" si="89"/>
        <v>0</v>
      </c>
      <c r="T60" s="48">
        <f t="shared" si="90"/>
        <v>0</v>
      </c>
      <c r="U60" s="48">
        <f t="shared" si="91"/>
        <v>2052055</v>
      </c>
      <c r="V60" s="48">
        <f t="shared" si="92"/>
        <v>0</v>
      </c>
      <c r="W60" s="48">
        <f t="shared" si="93"/>
        <v>0</v>
      </c>
      <c r="X60" s="49">
        <f t="shared" si="94"/>
        <v>2052055</v>
      </c>
      <c r="Y60" s="49">
        <f t="shared" si="95"/>
        <v>0</v>
      </c>
      <c r="Z60" s="49">
        <f t="shared" si="96"/>
        <v>0</v>
      </c>
      <c r="AA60" s="49">
        <f t="shared" si="97"/>
        <v>85468.090750000003</v>
      </c>
      <c r="AB60" s="49">
        <f t="shared" si="98"/>
        <v>0</v>
      </c>
      <c r="AC60" s="49">
        <f t="shared" si="99"/>
        <v>0</v>
      </c>
      <c r="AD60" s="49">
        <f t="shared" si="100"/>
        <v>85468.090750000003</v>
      </c>
      <c r="AE60" s="49">
        <f t="shared" si="101"/>
        <v>0</v>
      </c>
      <c r="AF60" s="49">
        <f t="shared" si="102"/>
        <v>0</v>
      </c>
      <c r="AG60" s="49">
        <f t="shared" si="103"/>
        <v>307808.25</v>
      </c>
      <c r="AH60" s="49">
        <f t="shared" si="104"/>
        <v>0</v>
      </c>
      <c r="AI60" s="49">
        <f t="shared" si="105"/>
        <v>0</v>
      </c>
      <c r="AJ60" s="49">
        <f t="shared" si="106"/>
        <v>307808.25</v>
      </c>
      <c r="AK60" s="49">
        <f t="shared" si="107"/>
        <v>0</v>
      </c>
      <c r="AL60" s="49">
        <f t="shared" si="108"/>
        <v>0</v>
      </c>
      <c r="AM60" s="49">
        <f t="shared" si="109"/>
        <v>274718.86312499997</v>
      </c>
      <c r="AN60" s="49">
        <f t="shared" si="110"/>
        <v>0</v>
      </c>
      <c r="AO60" s="49">
        <f t="shared" si="111"/>
        <v>0</v>
      </c>
      <c r="AP60" s="49">
        <f t="shared" si="112"/>
        <v>274718.86312499997</v>
      </c>
      <c r="AQ60" s="49">
        <f t="shared" si="113"/>
        <v>0</v>
      </c>
      <c r="AR60" s="49">
        <f t="shared" si="114"/>
        <v>0</v>
      </c>
      <c r="AS60" s="49">
        <f t="shared" si="115"/>
        <v>61561.649999999994</v>
      </c>
      <c r="AT60" s="49">
        <f t="shared" si="116"/>
        <v>0</v>
      </c>
      <c r="AU60" s="49">
        <f t="shared" si="117"/>
        <v>0</v>
      </c>
      <c r="AV60" s="49">
        <f t="shared" si="118"/>
        <v>61561.649999999994</v>
      </c>
      <c r="AW60" s="49">
        <f t="shared" si="119"/>
        <v>0</v>
      </c>
      <c r="AX60" s="49">
        <f t="shared" si="120"/>
        <v>0</v>
      </c>
      <c r="AY60" s="49">
        <f t="shared" si="121"/>
        <v>82082.2</v>
      </c>
      <c r="AZ60" s="49">
        <f t="shared" si="122"/>
        <v>0</v>
      </c>
      <c r="BA60" s="49">
        <f t="shared" si="123"/>
        <v>0</v>
      </c>
      <c r="BB60" s="49">
        <f t="shared" si="124"/>
        <v>82082.2</v>
      </c>
      <c r="BC60" s="49">
        <f t="shared" si="125"/>
        <v>0</v>
      </c>
      <c r="BD60" s="49">
        <f t="shared" si="126"/>
        <v>0</v>
      </c>
      <c r="BE60" s="49">
        <f t="shared" si="127"/>
        <v>811639.05387499987</v>
      </c>
      <c r="BF60" s="49">
        <f t="shared" si="128"/>
        <v>0</v>
      </c>
      <c r="BG60" s="49">
        <f t="shared" si="129"/>
        <v>0</v>
      </c>
      <c r="BH60" s="49">
        <f t="shared" si="130"/>
        <v>811639.05387499987</v>
      </c>
      <c r="BI60" s="49">
        <f t="shared" si="131"/>
        <v>0</v>
      </c>
      <c r="BJ60" s="49">
        <f t="shared" si="132"/>
        <v>0</v>
      </c>
      <c r="BK60" s="49">
        <f t="shared" si="133"/>
        <v>85468.090750000003</v>
      </c>
      <c r="BL60" s="49">
        <f t="shared" si="134"/>
        <v>0</v>
      </c>
      <c r="BM60" s="49">
        <f t="shared" si="135"/>
        <v>0</v>
      </c>
      <c r="BN60" s="49">
        <f t="shared" si="136"/>
        <v>85468.090750000003</v>
      </c>
      <c r="BO60" s="49">
        <f t="shared" si="137"/>
        <v>0</v>
      </c>
      <c r="BP60" s="49">
        <f t="shared" si="138"/>
        <v>0</v>
      </c>
      <c r="BQ60" s="49">
        <f t="shared" si="139"/>
        <v>307808.25</v>
      </c>
      <c r="BR60" s="49">
        <f t="shared" si="140"/>
        <v>0</v>
      </c>
      <c r="BS60" s="49">
        <f t="shared" si="141"/>
        <v>0</v>
      </c>
      <c r="BT60" s="49">
        <f t="shared" si="142"/>
        <v>307808.25</v>
      </c>
      <c r="BU60" s="49">
        <f t="shared" si="143"/>
        <v>0</v>
      </c>
      <c r="BV60" s="49">
        <f t="shared" si="144"/>
        <v>0</v>
      </c>
      <c r="BW60" s="49">
        <f t="shared" si="145"/>
        <v>274718.86312499997</v>
      </c>
      <c r="BX60" s="49">
        <f t="shared" si="146"/>
        <v>0</v>
      </c>
      <c r="BY60" s="49">
        <f t="shared" si="147"/>
        <v>0</v>
      </c>
      <c r="BZ60" s="49">
        <f t="shared" si="148"/>
        <v>274718.86312499997</v>
      </c>
      <c r="CA60" s="49">
        <f t="shared" si="149"/>
        <v>0</v>
      </c>
      <c r="CB60" s="49">
        <f t="shared" si="150"/>
        <v>0</v>
      </c>
      <c r="CC60" s="49">
        <f t="shared" si="151"/>
        <v>61561.649999999994</v>
      </c>
      <c r="CD60" s="49">
        <f t="shared" si="152"/>
        <v>0</v>
      </c>
      <c r="CE60" s="49">
        <f t="shared" si="153"/>
        <v>0</v>
      </c>
      <c r="CF60" s="49">
        <f t="shared" si="154"/>
        <v>61561.649999999994</v>
      </c>
      <c r="CG60" s="49">
        <f t="shared" si="155"/>
        <v>0</v>
      </c>
      <c r="CH60" s="49">
        <f t="shared" si="156"/>
        <v>0</v>
      </c>
      <c r="CI60" s="49">
        <f t="shared" si="157"/>
        <v>82082.2</v>
      </c>
      <c r="CJ60" s="49">
        <f t="shared" si="158"/>
        <v>0</v>
      </c>
      <c r="CK60" s="49">
        <f t="shared" si="159"/>
        <v>0</v>
      </c>
      <c r="CL60" s="49">
        <f t="shared" si="160"/>
        <v>82082.2</v>
      </c>
      <c r="CM60" s="49">
        <f t="shared" si="161"/>
        <v>0</v>
      </c>
      <c r="CN60" s="49">
        <f t="shared" si="162"/>
        <v>0</v>
      </c>
      <c r="CO60" s="49">
        <f t="shared" si="163"/>
        <v>811639.05387499987</v>
      </c>
      <c r="CP60" s="49">
        <f t="shared" si="164"/>
        <v>0</v>
      </c>
      <c r="CQ60" s="49">
        <f t="shared" si="165"/>
        <v>0</v>
      </c>
      <c r="CR60" s="81">
        <f t="shared" si="166"/>
        <v>811639.05387499987</v>
      </c>
      <c r="CS60" s="80">
        <f t="shared" si="167"/>
        <v>1240415.9461250002</v>
      </c>
      <c r="CT60" s="54"/>
      <c r="CU60" s="3" t="str">
        <f t="shared" si="168"/>
        <v>ARS</v>
      </c>
      <c r="CV60" s="3">
        <f>VLOOKUP(CU60,DF:DG,2,0)</f>
        <v>6.9185169999999997E-4</v>
      </c>
      <c r="CW60" s="23">
        <f t="shared" si="169"/>
        <v>1419.7177402435</v>
      </c>
      <c r="CX60" s="23">
        <f t="shared" si="170"/>
        <v>59.131243881141778</v>
      </c>
      <c r="CY60" s="23">
        <f t="shared" si="171"/>
        <v>212.957661036525</v>
      </c>
      <c r="CZ60" s="23">
        <f t="shared" si="172"/>
        <v>190.06471247509853</v>
      </c>
      <c r="DA60" s="23">
        <f t="shared" si="173"/>
        <v>42.591532207304994</v>
      </c>
      <c r="DB60" s="23">
        <f t="shared" si="174"/>
        <v>56.788709609739996</v>
      </c>
      <c r="DC60" s="23">
        <f t="shared" si="175"/>
        <v>858.18388103368977</v>
      </c>
      <c r="DD60" s="34" t="str">
        <f>VLOOKUP(A60,'Billing Report'!H:I,2,FALSE)</f>
        <v>2025_MODO_BRANDING_PROMO_JUMBO_GEO_TWITTER_NU_AW_DIC</v>
      </c>
      <c r="DE60" s="34"/>
      <c r="DF60" s="61" t="s">
        <v>321</v>
      </c>
      <c r="DG60" s="62">
        <v>0.7882581072</v>
      </c>
      <c r="DH60"/>
      <c r="DI60" s="41"/>
      <c r="DJ60" s="41"/>
    </row>
    <row r="61" spans="1:114" ht="14.5" x14ac:dyDescent="0.35">
      <c r="A61" s="63">
        <v>40866465</v>
      </c>
      <c r="B61" s="3" t="s">
        <v>663</v>
      </c>
      <c r="C61" s="3">
        <v>321036001</v>
      </c>
      <c r="D61" s="3" t="s">
        <v>93</v>
      </c>
      <c r="G61" s="38">
        <v>4134155.88</v>
      </c>
      <c r="J61" s="33">
        <f>VLOOKUP($B61,'IMS Commission List'!E:CE,79,0)/100</f>
        <v>0.15</v>
      </c>
      <c r="K61" s="79">
        <f t="shared" si="88"/>
        <v>4134155.88</v>
      </c>
      <c r="L61" s="3" t="str">
        <f>VLOOKUP($B61,'IMS Commission List'!E:V,18,0)</f>
        <v>ARS</v>
      </c>
      <c r="M61" s="3">
        <v>1</v>
      </c>
      <c r="N61" s="3" t="str">
        <f>VLOOKUP($B61,'IMS Commission List'!E:T,16,0)</f>
        <v>MX</v>
      </c>
      <c r="O61" s="54">
        <f>VLOOKUP($B61,'IMS Commission List'!E:CF,80,0)</f>
        <v>4.9000000000000002E-2</v>
      </c>
      <c r="P61" s="54">
        <f>VLOOKUP($B61,'IMS Commission List'!E:CG,81,0)</f>
        <v>0.1575</v>
      </c>
      <c r="Q61" s="54">
        <f>VLOOKUP($B61,'IMS Commission List'!E:CP,90,0)</f>
        <v>0.03</v>
      </c>
      <c r="R61" s="54">
        <f>VLOOKUP($B61,'IMS Commission List'!E:CQ,91,0)</f>
        <v>0.04</v>
      </c>
      <c r="S61" s="47">
        <f t="shared" si="89"/>
        <v>0</v>
      </c>
      <c r="T61" s="48">
        <f t="shared" si="90"/>
        <v>0</v>
      </c>
      <c r="U61" s="48">
        <f t="shared" si="91"/>
        <v>4134155.88</v>
      </c>
      <c r="V61" s="48">
        <f t="shared" si="92"/>
        <v>0</v>
      </c>
      <c r="W61" s="48">
        <f t="shared" si="93"/>
        <v>0</v>
      </c>
      <c r="X61" s="49">
        <f t="shared" si="94"/>
        <v>4134155.88</v>
      </c>
      <c r="Y61" s="49">
        <f t="shared" si="95"/>
        <v>0</v>
      </c>
      <c r="Z61" s="49">
        <f t="shared" si="96"/>
        <v>0</v>
      </c>
      <c r="AA61" s="49">
        <f t="shared" si="97"/>
        <v>172187.59240199998</v>
      </c>
      <c r="AB61" s="49">
        <f t="shared" si="98"/>
        <v>0</v>
      </c>
      <c r="AC61" s="49">
        <f t="shared" si="99"/>
        <v>0</v>
      </c>
      <c r="AD61" s="49">
        <f t="shared" si="100"/>
        <v>172187.59240199998</v>
      </c>
      <c r="AE61" s="49">
        <f t="shared" si="101"/>
        <v>0</v>
      </c>
      <c r="AF61" s="49">
        <f t="shared" si="102"/>
        <v>0</v>
      </c>
      <c r="AG61" s="49">
        <f t="shared" si="103"/>
        <v>620123.38199999998</v>
      </c>
      <c r="AH61" s="49">
        <f t="shared" si="104"/>
        <v>0</v>
      </c>
      <c r="AI61" s="49">
        <f t="shared" si="105"/>
        <v>0</v>
      </c>
      <c r="AJ61" s="49">
        <f t="shared" si="106"/>
        <v>620123.38199999998</v>
      </c>
      <c r="AK61" s="49">
        <f t="shared" si="107"/>
        <v>0</v>
      </c>
      <c r="AL61" s="49">
        <f t="shared" si="108"/>
        <v>0</v>
      </c>
      <c r="AM61" s="49">
        <f t="shared" si="109"/>
        <v>553460.11843500007</v>
      </c>
      <c r="AN61" s="49">
        <f t="shared" si="110"/>
        <v>0</v>
      </c>
      <c r="AO61" s="49">
        <f t="shared" si="111"/>
        <v>0</v>
      </c>
      <c r="AP61" s="49">
        <f t="shared" si="112"/>
        <v>553460.11843500007</v>
      </c>
      <c r="AQ61" s="49">
        <f t="shared" si="113"/>
        <v>0</v>
      </c>
      <c r="AR61" s="49">
        <f t="shared" si="114"/>
        <v>0</v>
      </c>
      <c r="AS61" s="49">
        <f t="shared" si="115"/>
        <v>124024.6764</v>
      </c>
      <c r="AT61" s="49">
        <f t="shared" si="116"/>
        <v>0</v>
      </c>
      <c r="AU61" s="49">
        <f t="shared" si="117"/>
        <v>0</v>
      </c>
      <c r="AV61" s="49">
        <f t="shared" si="118"/>
        <v>124024.6764</v>
      </c>
      <c r="AW61" s="49">
        <f t="shared" si="119"/>
        <v>0</v>
      </c>
      <c r="AX61" s="49">
        <f t="shared" si="120"/>
        <v>0</v>
      </c>
      <c r="AY61" s="49">
        <f t="shared" si="121"/>
        <v>165366.2352</v>
      </c>
      <c r="AZ61" s="49">
        <f t="shared" si="122"/>
        <v>0</v>
      </c>
      <c r="BA61" s="49">
        <f t="shared" si="123"/>
        <v>0</v>
      </c>
      <c r="BB61" s="49">
        <f t="shared" si="124"/>
        <v>165366.2352</v>
      </c>
      <c r="BC61" s="49">
        <f t="shared" si="125"/>
        <v>0</v>
      </c>
      <c r="BD61" s="49">
        <f t="shared" si="126"/>
        <v>0</v>
      </c>
      <c r="BE61" s="49">
        <f t="shared" si="127"/>
        <v>1635162.004437</v>
      </c>
      <c r="BF61" s="49">
        <f t="shared" si="128"/>
        <v>0</v>
      </c>
      <c r="BG61" s="49">
        <f t="shared" si="129"/>
        <v>0</v>
      </c>
      <c r="BH61" s="49">
        <f t="shared" si="130"/>
        <v>1635162.004437</v>
      </c>
      <c r="BI61" s="49">
        <f t="shared" si="131"/>
        <v>0</v>
      </c>
      <c r="BJ61" s="49">
        <f t="shared" si="132"/>
        <v>0</v>
      </c>
      <c r="BK61" s="49">
        <f t="shared" si="133"/>
        <v>172187.59240199998</v>
      </c>
      <c r="BL61" s="49">
        <f t="shared" si="134"/>
        <v>0</v>
      </c>
      <c r="BM61" s="49">
        <f t="shared" si="135"/>
        <v>0</v>
      </c>
      <c r="BN61" s="49">
        <f t="shared" si="136"/>
        <v>172187.59240199998</v>
      </c>
      <c r="BO61" s="49">
        <f t="shared" si="137"/>
        <v>0</v>
      </c>
      <c r="BP61" s="49">
        <f t="shared" si="138"/>
        <v>0</v>
      </c>
      <c r="BQ61" s="49">
        <f t="shared" si="139"/>
        <v>620123.38199999998</v>
      </c>
      <c r="BR61" s="49">
        <f t="shared" si="140"/>
        <v>0</v>
      </c>
      <c r="BS61" s="49">
        <f t="shared" si="141"/>
        <v>0</v>
      </c>
      <c r="BT61" s="49">
        <f t="shared" si="142"/>
        <v>620123.38199999998</v>
      </c>
      <c r="BU61" s="49">
        <f t="shared" si="143"/>
        <v>0</v>
      </c>
      <c r="BV61" s="49">
        <f t="shared" si="144"/>
        <v>0</v>
      </c>
      <c r="BW61" s="49">
        <f t="shared" si="145"/>
        <v>553460.11843500007</v>
      </c>
      <c r="BX61" s="49">
        <f t="shared" si="146"/>
        <v>0</v>
      </c>
      <c r="BY61" s="49">
        <f t="shared" si="147"/>
        <v>0</v>
      </c>
      <c r="BZ61" s="49">
        <f t="shared" si="148"/>
        <v>553460.11843500007</v>
      </c>
      <c r="CA61" s="49">
        <f t="shared" si="149"/>
        <v>0</v>
      </c>
      <c r="CB61" s="49">
        <f t="shared" si="150"/>
        <v>0</v>
      </c>
      <c r="CC61" s="49">
        <f t="shared" si="151"/>
        <v>124024.6764</v>
      </c>
      <c r="CD61" s="49">
        <f t="shared" si="152"/>
        <v>0</v>
      </c>
      <c r="CE61" s="49">
        <f t="shared" si="153"/>
        <v>0</v>
      </c>
      <c r="CF61" s="49">
        <f t="shared" si="154"/>
        <v>124024.6764</v>
      </c>
      <c r="CG61" s="49">
        <f t="shared" si="155"/>
        <v>0</v>
      </c>
      <c r="CH61" s="49">
        <f t="shared" si="156"/>
        <v>0</v>
      </c>
      <c r="CI61" s="49">
        <f t="shared" si="157"/>
        <v>165366.2352</v>
      </c>
      <c r="CJ61" s="49">
        <f t="shared" si="158"/>
        <v>0</v>
      </c>
      <c r="CK61" s="49">
        <f t="shared" si="159"/>
        <v>0</v>
      </c>
      <c r="CL61" s="49">
        <f t="shared" si="160"/>
        <v>165366.2352</v>
      </c>
      <c r="CM61" s="49">
        <f t="shared" si="161"/>
        <v>0</v>
      </c>
      <c r="CN61" s="49">
        <f t="shared" si="162"/>
        <v>0</v>
      </c>
      <c r="CO61" s="49">
        <f t="shared" si="163"/>
        <v>1635162.004437</v>
      </c>
      <c r="CP61" s="49">
        <f t="shared" si="164"/>
        <v>0</v>
      </c>
      <c r="CQ61" s="49">
        <f t="shared" si="165"/>
        <v>0</v>
      </c>
      <c r="CR61" s="81">
        <f t="shared" si="166"/>
        <v>1635162.004437</v>
      </c>
      <c r="CS61" s="80">
        <f t="shared" si="167"/>
        <v>2498993.8755629999</v>
      </c>
      <c r="CT61" s="54"/>
      <c r="CU61" s="3" t="str">
        <f t="shared" si="168"/>
        <v>ARS</v>
      </c>
      <c r="CV61" s="3">
        <f>VLOOKUP(CU61,DF:DG,2,0)</f>
        <v>6.9185169999999997E-4</v>
      </c>
      <c r="CW61" s="23">
        <f t="shared" si="169"/>
        <v>2860.2227736429959</v>
      </c>
      <c r="CX61" s="23">
        <f t="shared" si="170"/>
        <v>119.12827852223076</v>
      </c>
      <c r="CY61" s="23">
        <f t="shared" si="171"/>
        <v>429.03341604644936</v>
      </c>
      <c r="CZ61" s="23">
        <f t="shared" si="172"/>
        <v>382.91232382145614</v>
      </c>
      <c r="DA61" s="23">
        <f t="shared" si="173"/>
        <v>85.806683209289872</v>
      </c>
      <c r="DB61" s="23">
        <f t="shared" si="174"/>
        <v>114.40891094571982</v>
      </c>
      <c r="DC61" s="23">
        <f t="shared" si="175"/>
        <v>1728.9331610978497</v>
      </c>
      <c r="DD61" s="34" t="str">
        <f>VLOOKUP(A61,'Billing Report'!H:I,2,FALSE)</f>
        <v>17802_V3_P_2026_ARG_ISEDITION_TOTDIGOTH</v>
      </c>
      <c r="DE61" s="34"/>
      <c r="DF61" s="61" t="s">
        <v>320</v>
      </c>
      <c r="DG61" s="62">
        <v>3.1795173000000003E-2</v>
      </c>
      <c r="DH61"/>
      <c r="DI61" s="41"/>
      <c r="DJ61" s="41"/>
    </row>
    <row r="62" spans="1:114" ht="14.5" x14ac:dyDescent="0.35">
      <c r="A62" s="63">
        <v>40676315</v>
      </c>
      <c r="B62" s="3" t="s">
        <v>663</v>
      </c>
      <c r="C62" s="3">
        <v>321036001</v>
      </c>
      <c r="D62" s="3" t="s">
        <v>93</v>
      </c>
      <c r="G62" s="38">
        <v>1412281.82</v>
      </c>
      <c r="J62" s="33">
        <f>VLOOKUP($B62,'IMS Commission List'!E:CE,79,0)/100</f>
        <v>0.15</v>
      </c>
      <c r="K62" s="79">
        <f t="shared" si="88"/>
        <v>1412281.82</v>
      </c>
      <c r="L62" s="3" t="str">
        <f>VLOOKUP($B62,'IMS Commission List'!E:V,18,0)</f>
        <v>ARS</v>
      </c>
      <c r="M62" s="3">
        <v>1</v>
      </c>
      <c r="N62" s="3" t="str">
        <f>VLOOKUP($B62,'IMS Commission List'!E:T,16,0)</f>
        <v>MX</v>
      </c>
      <c r="O62" s="54">
        <f>VLOOKUP($B62,'IMS Commission List'!E:CF,80,0)</f>
        <v>4.9000000000000002E-2</v>
      </c>
      <c r="P62" s="54">
        <f>VLOOKUP($B62,'IMS Commission List'!E:CG,81,0)</f>
        <v>0.1575</v>
      </c>
      <c r="Q62" s="54">
        <f>VLOOKUP($B62,'IMS Commission List'!E:CP,90,0)</f>
        <v>0.03</v>
      </c>
      <c r="R62" s="54">
        <f>VLOOKUP($B62,'IMS Commission List'!E:CQ,91,0)</f>
        <v>0.04</v>
      </c>
      <c r="S62" s="47">
        <f t="shared" si="89"/>
        <v>0</v>
      </c>
      <c r="T62" s="48">
        <f t="shared" si="90"/>
        <v>0</v>
      </c>
      <c r="U62" s="48">
        <f t="shared" si="91"/>
        <v>1412281.82</v>
      </c>
      <c r="V62" s="48">
        <f t="shared" si="92"/>
        <v>0</v>
      </c>
      <c r="W62" s="48">
        <f t="shared" si="93"/>
        <v>0</v>
      </c>
      <c r="X62" s="49">
        <f t="shared" si="94"/>
        <v>1412281.82</v>
      </c>
      <c r="Y62" s="49">
        <f t="shared" si="95"/>
        <v>0</v>
      </c>
      <c r="Z62" s="49">
        <f t="shared" si="96"/>
        <v>0</v>
      </c>
      <c r="AA62" s="49">
        <f t="shared" si="97"/>
        <v>58821.537803000007</v>
      </c>
      <c r="AB62" s="49">
        <f t="shared" si="98"/>
        <v>0</v>
      </c>
      <c r="AC62" s="49">
        <f t="shared" si="99"/>
        <v>0</v>
      </c>
      <c r="AD62" s="49">
        <f t="shared" si="100"/>
        <v>58821.537803000007</v>
      </c>
      <c r="AE62" s="49">
        <f t="shared" si="101"/>
        <v>0</v>
      </c>
      <c r="AF62" s="49">
        <f t="shared" si="102"/>
        <v>0</v>
      </c>
      <c r="AG62" s="49">
        <f t="shared" si="103"/>
        <v>211842.27300000002</v>
      </c>
      <c r="AH62" s="49">
        <f t="shared" si="104"/>
        <v>0</v>
      </c>
      <c r="AI62" s="49">
        <f t="shared" si="105"/>
        <v>0</v>
      </c>
      <c r="AJ62" s="49">
        <f t="shared" si="106"/>
        <v>211842.27300000002</v>
      </c>
      <c r="AK62" s="49">
        <f t="shared" si="107"/>
        <v>0</v>
      </c>
      <c r="AL62" s="49">
        <f t="shared" si="108"/>
        <v>0</v>
      </c>
      <c r="AM62" s="49">
        <f t="shared" si="109"/>
        <v>189069.22865249999</v>
      </c>
      <c r="AN62" s="49">
        <f t="shared" si="110"/>
        <v>0</v>
      </c>
      <c r="AO62" s="49">
        <f t="shared" si="111"/>
        <v>0</v>
      </c>
      <c r="AP62" s="49">
        <f t="shared" si="112"/>
        <v>189069.22865249999</v>
      </c>
      <c r="AQ62" s="49">
        <f t="shared" si="113"/>
        <v>0</v>
      </c>
      <c r="AR62" s="49">
        <f t="shared" si="114"/>
        <v>0</v>
      </c>
      <c r="AS62" s="49">
        <f t="shared" si="115"/>
        <v>42368.454599999997</v>
      </c>
      <c r="AT62" s="49">
        <f t="shared" si="116"/>
        <v>0</v>
      </c>
      <c r="AU62" s="49">
        <f t="shared" si="117"/>
        <v>0</v>
      </c>
      <c r="AV62" s="49">
        <f t="shared" si="118"/>
        <v>42368.454599999997</v>
      </c>
      <c r="AW62" s="49">
        <f t="shared" si="119"/>
        <v>0</v>
      </c>
      <c r="AX62" s="49">
        <f t="shared" si="120"/>
        <v>0</v>
      </c>
      <c r="AY62" s="49">
        <f t="shared" si="121"/>
        <v>56491.272800000006</v>
      </c>
      <c r="AZ62" s="49">
        <f t="shared" si="122"/>
        <v>0</v>
      </c>
      <c r="BA62" s="49">
        <f t="shared" si="123"/>
        <v>0</v>
      </c>
      <c r="BB62" s="49">
        <f t="shared" si="124"/>
        <v>56491.272800000006</v>
      </c>
      <c r="BC62" s="49">
        <f t="shared" si="125"/>
        <v>0</v>
      </c>
      <c r="BD62" s="49">
        <f t="shared" si="126"/>
        <v>0</v>
      </c>
      <c r="BE62" s="49">
        <f t="shared" si="127"/>
        <v>558592.76685549994</v>
      </c>
      <c r="BF62" s="49">
        <f t="shared" si="128"/>
        <v>0</v>
      </c>
      <c r="BG62" s="49">
        <f t="shared" si="129"/>
        <v>0</v>
      </c>
      <c r="BH62" s="49">
        <f t="shared" si="130"/>
        <v>558592.76685549994</v>
      </c>
      <c r="BI62" s="49">
        <f t="shared" si="131"/>
        <v>0</v>
      </c>
      <c r="BJ62" s="49">
        <f t="shared" si="132"/>
        <v>0</v>
      </c>
      <c r="BK62" s="49">
        <f t="shared" si="133"/>
        <v>58821.537803000007</v>
      </c>
      <c r="BL62" s="49">
        <f t="shared" si="134"/>
        <v>0</v>
      </c>
      <c r="BM62" s="49">
        <f t="shared" si="135"/>
        <v>0</v>
      </c>
      <c r="BN62" s="49">
        <f t="shared" si="136"/>
        <v>58821.537803000007</v>
      </c>
      <c r="BO62" s="49">
        <f t="shared" si="137"/>
        <v>0</v>
      </c>
      <c r="BP62" s="49">
        <f t="shared" si="138"/>
        <v>0</v>
      </c>
      <c r="BQ62" s="49">
        <f t="shared" si="139"/>
        <v>211842.27300000002</v>
      </c>
      <c r="BR62" s="49">
        <f t="shared" si="140"/>
        <v>0</v>
      </c>
      <c r="BS62" s="49">
        <f t="shared" si="141"/>
        <v>0</v>
      </c>
      <c r="BT62" s="49">
        <f t="shared" si="142"/>
        <v>211842.27300000002</v>
      </c>
      <c r="BU62" s="49">
        <f t="shared" si="143"/>
        <v>0</v>
      </c>
      <c r="BV62" s="49">
        <f t="shared" si="144"/>
        <v>0</v>
      </c>
      <c r="BW62" s="49">
        <f t="shared" si="145"/>
        <v>189069.22865249999</v>
      </c>
      <c r="BX62" s="49">
        <f t="shared" si="146"/>
        <v>0</v>
      </c>
      <c r="BY62" s="49">
        <f t="shared" si="147"/>
        <v>0</v>
      </c>
      <c r="BZ62" s="49">
        <f t="shared" si="148"/>
        <v>189069.22865249999</v>
      </c>
      <c r="CA62" s="49">
        <f t="shared" si="149"/>
        <v>0</v>
      </c>
      <c r="CB62" s="49">
        <f t="shared" si="150"/>
        <v>0</v>
      </c>
      <c r="CC62" s="49">
        <f t="shared" si="151"/>
        <v>42368.454599999997</v>
      </c>
      <c r="CD62" s="49">
        <f t="shared" si="152"/>
        <v>0</v>
      </c>
      <c r="CE62" s="49">
        <f t="shared" si="153"/>
        <v>0</v>
      </c>
      <c r="CF62" s="49">
        <f t="shared" si="154"/>
        <v>42368.454599999997</v>
      </c>
      <c r="CG62" s="49">
        <f t="shared" si="155"/>
        <v>0</v>
      </c>
      <c r="CH62" s="49">
        <f t="shared" si="156"/>
        <v>0</v>
      </c>
      <c r="CI62" s="49">
        <f t="shared" si="157"/>
        <v>56491.272800000006</v>
      </c>
      <c r="CJ62" s="49">
        <f t="shared" si="158"/>
        <v>0</v>
      </c>
      <c r="CK62" s="49">
        <f t="shared" si="159"/>
        <v>0</v>
      </c>
      <c r="CL62" s="49">
        <f t="shared" si="160"/>
        <v>56491.272800000006</v>
      </c>
      <c r="CM62" s="49">
        <f t="shared" si="161"/>
        <v>0</v>
      </c>
      <c r="CN62" s="49">
        <f t="shared" si="162"/>
        <v>0</v>
      </c>
      <c r="CO62" s="49">
        <f t="shared" si="163"/>
        <v>558592.76685549994</v>
      </c>
      <c r="CP62" s="49">
        <f t="shared" si="164"/>
        <v>0</v>
      </c>
      <c r="CQ62" s="49">
        <f t="shared" si="165"/>
        <v>0</v>
      </c>
      <c r="CR62" s="81">
        <f t="shared" si="166"/>
        <v>558592.76685549994</v>
      </c>
      <c r="CS62" s="80">
        <f t="shared" si="167"/>
        <v>853689.05314450013</v>
      </c>
      <c r="CT62" s="54"/>
      <c r="CU62" s="3" t="str">
        <f t="shared" si="168"/>
        <v>ARS</v>
      </c>
      <c r="CV62" s="3">
        <f>VLOOKUP(CU62,DF:DG,2,0)</f>
        <v>6.9185169999999997E-4</v>
      </c>
      <c r="CW62" s="23">
        <f t="shared" si="169"/>
        <v>977.08957804609395</v>
      </c>
      <c r="CX62" s="23">
        <f t="shared" si="170"/>
        <v>40.695780925619815</v>
      </c>
      <c r="CY62" s="23">
        <f t="shared" si="171"/>
        <v>146.5634367069141</v>
      </c>
      <c r="CZ62" s="23">
        <f t="shared" si="172"/>
        <v>130.80786726092083</v>
      </c>
      <c r="DA62" s="23">
        <f t="shared" si="173"/>
        <v>29.312687341382816</v>
      </c>
      <c r="DB62" s="23">
        <f t="shared" si="174"/>
        <v>39.083583121843759</v>
      </c>
      <c r="DC62" s="23">
        <f t="shared" si="175"/>
        <v>590.62622268941277</v>
      </c>
      <c r="DD62" s="34" t="str">
        <f>VLOOKUP(A62,'Billing Report'!H:I,2,FALSE)</f>
        <v>17802_V3_P_2026_ARG_ISEDITION_TOTDIGOTH</v>
      </c>
      <c r="DE62" s="34"/>
      <c r="DF62" s="61" t="s">
        <v>319</v>
      </c>
      <c r="DG62" s="62">
        <v>0.35120683450000001</v>
      </c>
      <c r="DH62"/>
      <c r="DI62" s="41"/>
      <c r="DJ62" s="41"/>
    </row>
    <row r="63" spans="1:114" ht="14.5" x14ac:dyDescent="0.35">
      <c r="A63" s="63">
        <v>40888510</v>
      </c>
      <c r="B63" s="3" t="s">
        <v>915</v>
      </c>
      <c r="C63" s="3">
        <v>321793002</v>
      </c>
      <c r="D63" s="3" t="s">
        <v>93</v>
      </c>
      <c r="F63" s="35">
        <v>891000</v>
      </c>
      <c r="G63" s="38"/>
      <c r="J63" s="33">
        <f>VLOOKUP($B63,'IMS Commission List'!E:CE,79,0)/100</f>
        <v>0.15</v>
      </c>
      <c r="K63" s="79">
        <f t="shared" si="88"/>
        <v>891000</v>
      </c>
      <c r="L63" s="3" t="str">
        <f>VLOOKUP($B63,'IMS Commission List'!E:V,18,0)</f>
        <v>ARS</v>
      </c>
      <c r="M63" s="3">
        <v>1</v>
      </c>
      <c r="N63" s="3" t="str">
        <f>VLOOKUP($B63,'IMS Commission List'!E:T,16,0)</f>
        <v>MX</v>
      </c>
      <c r="O63" s="54">
        <f>VLOOKUP($B63,'IMS Commission List'!E:CF,80,0)</f>
        <v>4.9000000000000002E-2</v>
      </c>
      <c r="P63" s="54">
        <f>VLOOKUP($B63,'IMS Commission List'!E:CG,81,0)</f>
        <v>0.1575</v>
      </c>
      <c r="Q63" s="54">
        <f>VLOOKUP($B63,'IMS Commission List'!E:CP,90,0)</f>
        <v>0.03</v>
      </c>
      <c r="R63" s="54">
        <f>VLOOKUP($B63,'IMS Commission List'!E:CQ,91,0)</f>
        <v>0.04</v>
      </c>
      <c r="S63" s="47">
        <f t="shared" si="89"/>
        <v>0</v>
      </c>
      <c r="T63" s="48">
        <f t="shared" si="90"/>
        <v>891000</v>
      </c>
      <c r="U63" s="48">
        <f t="shared" si="91"/>
        <v>0</v>
      </c>
      <c r="V63" s="48">
        <f t="shared" si="92"/>
        <v>0</v>
      </c>
      <c r="W63" s="48">
        <f t="shared" si="93"/>
        <v>0</v>
      </c>
      <c r="X63" s="49">
        <f t="shared" si="94"/>
        <v>891000</v>
      </c>
      <c r="Y63" s="49">
        <f t="shared" si="95"/>
        <v>0</v>
      </c>
      <c r="Z63" s="49">
        <f t="shared" si="96"/>
        <v>37110.15</v>
      </c>
      <c r="AA63" s="49">
        <f t="shared" si="97"/>
        <v>0</v>
      </c>
      <c r="AB63" s="49">
        <f t="shared" si="98"/>
        <v>0</v>
      </c>
      <c r="AC63" s="49">
        <f t="shared" si="99"/>
        <v>0</v>
      </c>
      <c r="AD63" s="49">
        <f t="shared" si="100"/>
        <v>37110.15</v>
      </c>
      <c r="AE63" s="49">
        <f t="shared" si="101"/>
        <v>0</v>
      </c>
      <c r="AF63" s="49">
        <f t="shared" si="102"/>
        <v>133650</v>
      </c>
      <c r="AG63" s="49">
        <f t="shared" si="103"/>
        <v>0</v>
      </c>
      <c r="AH63" s="49">
        <f t="shared" si="104"/>
        <v>0</v>
      </c>
      <c r="AI63" s="49">
        <f t="shared" si="105"/>
        <v>0</v>
      </c>
      <c r="AJ63" s="49">
        <f t="shared" si="106"/>
        <v>133650</v>
      </c>
      <c r="AK63" s="49">
        <f t="shared" si="107"/>
        <v>0</v>
      </c>
      <c r="AL63" s="49">
        <f t="shared" si="108"/>
        <v>119282.625</v>
      </c>
      <c r="AM63" s="49">
        <f t="shared" si="109"/>
        <v>0</v>
      </c>
      <c r="AN63" s="49">
        <f t="shared" si="110"/>
        <v>0</v>
      </c>
      <c r="AO63" s="49">
        <f t="shared" si="111"/>
        <v>0</v>
      </c>
      <c r="AP63" s="49">
        <f t="shared" si="112"/>
        <v>119282.625</v>
      </c>
      <c r="AQ63" s="49">
        <f t="shared" si="113"/>
        <v>0</v>
      </c>
      <c r="AR63" s="49">
        <f t="shared" si="114"/>
        <v>26730</v>
      </c>
      <c r="AS63" s="49">
        <f t="shared" si="115"/>
        <v>0</v>
      </c>
      <c r="AT63" s="49">
        <f t="shared" si="116"/>
        <v>0</v>
      </c>
      <c r="AU63" s="49">
        <f t="shared" si="117"/>
        <v>0</v>
      </c>
      <c r="AV63" s="49">
        <f t="shared" si="118"/>
        <v>26730</v>
      </c>
      <c r="AW63" s="49">
        <f t="shared" si="119"/>
        <v>0</v>
      </c>
      <c r="AX63" s="49">
        <f t="shared" si="120"/>
        <v>35640</v>
      </c>
      <c r="AY63" s="49">
        <f t="shared" si="121"/>
        <v>0</v>
      </c>
      <c r="AZ63" s="49">
        <f t="shared" si="122"/>
        <v>0</v>
      </c>
      <c r="BA63" s="49">
        <f t="shared" si="123"/>
        <v>0</v>
      </c>
      <c r="BB63" s="49">
        <f t="shared" si="124"/>
        <v>35640</v>
      </c>
      <c r="BC63" s="49">
        <f t="shared" si="125"/>
        <v>0</v>
      </c>
      <c r="BD63" s="49">
        <f t="shared" si="126"/>
        <v>352412.77500000002</v>
      </c>
      <c r="BE63" s="49">
        <f t="shared" si="127"/>
        <v>0</v>
      </c>
      <c r="BF63" s="49">
        <f t="shared" si="128"/>
        <v>0</v>
      </c>
      <c r="BG63" s="49">
        <f t="shared" si="129"/>
        <v>0</v>
      </c>
      <c r="BH63" s="49">
        <f t="shared" si="130"/>
        <v>352412.77500000002</v>
      </c>
      <c r="BI63" s="49">
        <f t="shared" si="131"/>
        <v>0</v>
      </c>
      <c r="BJ63" s="49">
        <f t="shared" si="132"/>
        <v>37110.15</v>
      </c>
      <c r="BK63" s="49">
        <f t="shared" si="133"/>
        <v>0</v>
      </c>
      <c r="BL63" s="49">
        <f t="shared" si="134"/>
        <v>0</v>
      </c>
      <c r="BM63" s="49">
        <f t="shared" si="135"/>
        <v>0</v>
      </c>
      <c r="BN63" s="49">
        <f t="shared" si="136"/>
        <v>37110.15</v>
      </c>
      <c r="BO63" s="49">
        <f t="shared" si="137"/>
        <v>0</v>
      </c>
      <c r="BP63" s="49">
        <f t="shared" si="138"/>
        <v>133650</v>
      </c>
      <c r="BQ63" s="49">
        <f t="shared" si="139"/>
        <v>0</v>
      </c>
      <c r="BR63" s="49">
        <f t="shared" si="140"/>
        <v>0</v>
      </c>
      <c r="BS63" s="49">
        <f t="shared" si="141"/>
        <v>0</v>
      </c>
      <c r="BT63" s="49">
        <f t="shared" si="142"/>
        <v>133650</v>
      </c>
      <c r="BU63" s="49">
        <f t="shared" si="143"/>
        <v>0</v>
      </c>
      <c r="BV63" s="49">
        <f t="shared" si="144"/>
        <v>119282.625</v>
      </c>
      <c r="BW63" s="49">
        <f t="shared" si="145"/>
        <v>0</v>
      </c>
      <c r="BX63" s="49">
        <f t="shared" si="146"/>
        <v>0</v>
      </c>
      <c r="BY63" s="49">
        <f t="shared" si="147"/>
        <v>0</v>
      </c>
      <c r="BZ63" s="49">
        <f t="shared" si="148"/>
        <v>119282.625</v>
      </c>
      <c r="CA63" s="49">
        <f t="shared" si="149"/>
        <v>0</v>
      </c>
      <c r="CB63" s="49">
        <f t="shared" si="150"/>
        <v>26730</v>
      </c>
      <c r="CC63" s="49">
        <f t="shared" si="151"/>
        <v>0</v>
      </c>
      <c r="CD63" s="49">
        <f t="shared" si="152"/>
        <v>0</v>
      </c>
      <c r="CE63" s="49">
        <f t="shared" si="153"/>
        <v>0</v>
      </c>
      <c r="CF63" s="49">
        <f t="shared" si="154"/>
        <v>26730</v>
      </c>
      <c r="CG63" s="49">
        <f t="shared" si="155"/>
        <v>0</v>
      </c>
      <c r="CH63" s="49">
        <f t="shared" si="156"/>
        <v>35640</v>
      </c>
      <c r="CI63" s="49">
        <f t="shared" si="157"/>
        <v>0</v>
      </c>
      <c r="CJ63" s="49">
        <f t="shared" si="158"/>
        <v>0</v>
      </c>
      <c r="CK63" s="49">
        <f t="shared" si="159"/>
        <v>0</v>
      </c>
      <c r="CL63" s="49">
        <f t="shared" si="160"/>
        <v>35640</v>
      </c>
      <c r="CM63" s="49">
        <f t="shared" si="161"/>
        <v>0</v>
      </c>
      <c r="CN63" s="49">
        <f t="shared" si="162"/>
        <v>352412.77500000002</v>
      </c>
      <c r="CO63" s="49">
        <f t="shared" si="163"/>
        <v>0</v>
      </c>
      <c r="CP63" s="49">
        <f t="shared" si="164"/>
        <v>0</v>
      </c>
      <c r="CQ63" s="49">
        <f t="shared" si="165"/>
        <v>0</v>
      </c>
      <c r="CR63" s="81">
        <f t="shared" si="166"/>
        <v>352412.77500000002</v>
      </c>
      <c r="CS63" s="80">
        <f t="shared" si="167"/>
        <v>538587.22499999998</v>
      </c>
      <c r="CT63" s="54"/>
      <c r="CU63" s="3" t="str">
        <f t="shared" si="168"/>
        <v>ARS</v>
      </c>
      <c r="CV63" s="3">
        <f>VLOOKUP(CU63,DF:DG,2,0)</f>
        <v>6.9185169999999997E-4</v>
      </c>
      <c r="CW63" s="23">
        <f t="shared" si="169"/>
        <v>616.43986469999993</v>
      </c>
      <c r="CX63" s="23">
        <f t="shared" si="170"/>
        <v>25.674720364755</v>
      </c>
      <c r="CY63" s="23">
        <f t="shared" si="171"/>
        <v>92.465979704999995</v>
      </c>
      <c r="CZ63" s="23">
        <f t="shared" si="172"/>
        <v>82.525886886712499</v>
      </c>
      <c r="DA63" s="23">
        <f t="shared" si="173"/>
        <v>18.493195941</v>
      </c>
      <c r="DB63" s="23">
        <f t="shared" si="174"/>
        <v>24.657594587999998</v>
      </c>
      <c r="DC63" s="23">
        <f t="shared" si="175"/>
        <v>372.62248721453244</v>
      </c>
      <c r="DD63" s="34" t="str">
        <f>VLOOKUP(A63,'Billing Report'!H:I,2,FALSE)</f>
        <v>pedidosya Estándar 2026-02-08</v>
      </c>
      <c r="DE63" s="34"/>
      <c r="DF63" s="61" t="s">
        <v>318</v>
      </c>
      <c r="DG63" s="62">
        <v>2.3000950100000001E-2</v>
      </c>
      <c r="DH63"/>
      <c r="DI63" s="41"/>
      <c r="DJ63" s="41"/>
    </row>
    <row r="64" spans="1:114" ht="14.5" x14ac:dyDescent="0.35">
      <c r="A64" s="63">
        <v>40888507</v>
      </c>
      <c r="B64" s="3" t="s">
        <v>915</v>
      </c>
      <c r="C64" s="3">
        <v>321793003</v>
      </c>
      <c r="D64" s="3" t="s">
        <v>93</v>
      </c>
      <c r="F64" s="35">
        <v>2565000</v>
      </c>
      <c r="G64" s="38"/>
      <c r="J64" s="33">
        <f>VLOOKUP($B64,'IMS Commission List'!E:CE,79,0)/100</f>
        <v>0.15</v>
      </c>
      <c r="K64" s="79">
        <f t="shared" si="88"/>
        <v>2565000</v>
      </c>
      <c r="L64" s="3" t="str">
        <f>VLOOKUP($B64,'IMS Commission List'!E:V,18,0)</f>
        <v>ARS</v>
      </c>
      <c r="M64" s="3">
        <v>1</v>
      </c>
      <c r="N64" s="3" t="str">
        <f>VLOOKUP($B64,'IMS Commission List'!E:T,16,0)</f>
        <v>MX</v>
      </c>
      <c r="O64" s="54">
        <f>VLOOKUP($B64,'IMS Commission List'!E:CF,80,0)</f>
        <v>4.9000000000000002E-2</v>
      </c>
      <c r="P64" s="54">
        <f>VLOOKUP($B64,'IMS Commission List'!E:CG,81,0)</f>
        <v>0.1575</v>
      </c>
      <c r="Q64" s="54">
        <f>VLOOKUP($B64,'IMS Commission List'!E:CP,90,0)</f>
        <v>0.03</v>
      </c>
      <c r="R64" s="54">
        <f>VLOOKUP($B64,'IMS Commission List'!E:CQ,91,0)</f>
        <v>0.04</v>
      </c>
      <c r="S64" s="47">
        <f t="shared" si="89"/>
        <v>0</v>
      </c>
      <c r="T64" s="48">
        <f t="shared" si="90"/>
        <v>2565000</v>
      </c>
      <c r="U64" s="48">
        <f t="shared" si="91"/>
        <v>0</v>
      </c>
      <c r="V64" s="48">
        <f t="shared" si="92"/>
        <v>0</v>
      </c>
      <c r="W64" s="48">
        <f t="shared" si="93"/>
        <v>0</v>
      </c>
      <c r="X64" s="49">
        <f t="shared" si="94"/>
        <v>2565000</v>
      </c>
      <c r="Y64" s="49">
        <f t="shared" si="95"/>
        <v>0</v>
      </c>
      <c r="Z64" s="49">
        <f t="shared" si="96"/>
        <v>106832.25</v>
      </c>
      <c r="AA64" s="49">
        <f t="shared" si="97"/>
        <v>0</v>
      </c>
      <c r="AB64" s="49">
        <f t="shared" si="98"/>
        <v>0</v>
      </c>
      <c r="AC64" s="49">
        <f t="shared" si="99"/>
        <v>0</v>
      </c>
      <c r="AD64" s="49">
        <f t="shared" si="100"/>
        <v>106832.25</v>
      </c>
      <c r="AE64" s="49">
        <f t="shared" si="101"/>
        <v>0</v>
      </c>
      <c r="AF64" s="49">
        <f t="shared" si="102"/>
        <v>384750</v>
      </c>
      <c r="AG64" s="49">
        <f t="shared" si="103"/>
        <v>0</v>
      </c>
      <c r="AH64" s="49">
        <f t="shared" si="104"/>
        <v>0</v>
      </c>
      <c r="AI64" s="49">
        <f t="shared" si="105"/>
        <v>0</v>
      </c>
      <c r="AJ64" s="49">
        <f t="shared" si="106"/>
        <v>384750</v>
      </c>
      <c r="AK64" s="49">
        <f t="shared" si="107"/>
        <v>0</v>
      </c>
      <c r="AL64" s="49">
        <f t="shared" si="108"/>
        <v>343389.375</v>
      </c>
      <c r="AM64" s="49">
        <f t="shared" si="109"/>
        <v>0</v>
      </c>
      <c r="AN64" s="49">
        <f t="shared" si="110"/>
        <v>0</v>
      </c>
      <c r="AO64" s="49">
        <f t="shared" si="111"/>
        <v>0</v>
      </c>
      <c r="AP64" s="49">
        <f t="shared" si="112"/>
        <v>343389.375</v>
      </c>
      <c r="AQ64" s="49">
        <f t="shared" si="113"/>
        <v>0</v>
      </c>
      <c r="AR64" s="49">
        <f t="shared" si="114"/>
        <v>76950</v>
      </c>
      <c r="AS64" s="49">
        <f t="shared" si="115"/>
        <v>0</v>
      </c>
      <c r="AT64" s="49">
        <f t="shared" si="116"/>
        <v>0</v>
      </c>
      <c r="AU64" s="49">
        <f t="shared" si="117"/>
        <v>0</v>
      </c>
      <c r="AV64" s="49">
        <f t="shared" si="118"/>
        <v>76950</v>
      </c>
      <c r="AW64" s="49">
        <f t="shared" si="119"/>
        <v>0</v>
      </c>
      <c r="AX64" s="49">
        <f t="shared" si="120"/>
        <v>102600</v>
      </c>
      <c r="AY64" s="49">
        <f t="shared" si="121"/>
        <v>0</v>
      </c>
      <c r="AZ64" s="49">
        <f t="shared" si="122"/>
        <v>0</v>
      </c>
      <c r="BA64" s="49">
        <f t="shared" si="123"/>
        <v>0</v>
      </c>
      <c r="BB64" s="49">
        <f t="shared" si="124"/>
        <v>102600</v>
      </c>
      <c r="BC64" s="49">
        <f t="shared" si="125"/>
        <v>0</v>
      </c>
      <c r="BD64" s="49">
        <f t="shared" si="126"/>
        <v>1014521.625</v>
      </c>
      <c r="BE64" s="49">
        <f t="shared" si="127"/>
        <v>0</v>
      </c>
      <c r="BF64" s="49">
        <f t="shared" si="128"/>
        <v>0</v>
      </c>
      <c r="BG64" s="49">
        <f t="shared" si="129"/>
        <v>0</v>
      </c>
      <c r="BH64" s="49">
        <f t="shared" si="130"/>
        <v>1014521.625</v>
      </c>
      <c r="BI64" s="49">
        <f t="shared" si="131"/>
        <v>0</v>
      </c>
      <c r="BJ64" s="49">
        <f t="shared" si="132"/>
        <v>106832.25</v>
      </c>
      <c r="BK64" s="49">
        <f t="shared" si="133"/>
        <v>0</v>
      </c>
      <c r="BL64" s="49">
        <f t="shared" si="134"/>
        <v>0</v>
      </c>
      <c r="BM64" s="49">
        <f t="shared" si="135"/>
        <v>0</v>
      </c>
      <c r="BN64" s="49">
        <f t="shared" si="136"/>
        <v>106832.25</v>
      </c>
      <c r="BO64" s="49">
        <f t="shared" si="137"/>
        <v>0</v>
      </c>
      <c r="BP64" s="49">
        <f t="shared" si="138"/>
        <v>384750</v>
      </c>
      <c r="BQ64" s="49">
        <f t="shared" si="139"/>
        <v>0</v>
      </c>
      <c r="BR64" s="49">
        <f t="shared" si="140"/>
        <v>0</v>
      </c>
      <c r="BS64" s="49">
        <f t="shared" si="141"/>
        <v>0</v>
      </c>
      <c r="BT64" s="49">
        <f t="shared" si="142"/>
        <v>384750</v>
      </c>
      <c r="BU64" s="49">
        <f t="shared" si="143"/>
        <v>0</v>
      </c>
      <c r="BV64" s="49">
        <f t="shared" si="144"/>
        <v>343389.375</v>
      </c>
      <c r="BW64" s="49">
        <f t="shared" si="145"/>
        <v>0</v>
      </c>
      <c r="BX64" s="49">
        <f t="shared" si="146"/>
        <v>0</v>
      </c>
      <c r="BY64" s="49">
        <f t="shared" si="147"/>
        <v>0</v>
      </c>
      <c r="BZ64" s="49">
        <f t="shared" si="148"/>
        <v>343389.375</v>
      </c>
      <c r="CA64" s="49">
        <f t="shared" si="149"/>
        <v>0</v>
      </c>
      <c r="CB64" s="49">
        <f t="shared" si="150"/>
        <v>76950</v>
      </c>
      <c r="CC64" s="49">
        <f t="shared" si="151"/>
        <v>0</v>
      </c>
      <c r="CD64" s="49">
        <f t="shared" si="152"/>
        <v>0</v>
      </c>
      <c r="CE64" s="49">
        <f t="shared" si="153"/>
        <v>0</v>
      </c>
      <c r="CF64" s="49">
        <f t="shared" si="154"/>
        <v>76950</v>
      </c>
      <c r="CG64" s="49">
        <f t="shared" si="155"/>
        <v>0</v>
      </c>
      <c r="CH64" s="49">
        <f t="shared" si="156"/>
        <v>102600</v>
      </c>
      <c r="CI64" s="49">
        <f t="shared" si="157"/>
        <v>0</v>
      </c>
      <c r="CJ64" s="49">
        <f t="shared" si="158"/>
        <v>0</v>
      </c>
      <c r="CK64" s="49">
        <f t="shared" si="159"/>
        <v>0</v>
      </c>
      <c r="CL64" s="49">
        <f t="shared" si="160"/>
        <v>102600</v>
      </c>
      <c r="CM64" s="49">
        <f t="shared" si="161"/>
        <v>0</v>
      </c>
      <c r="CN64" s="49">
        <f t="shared" si="162"/>
        <v>1014521.625</v>
      </c>
      <c r="CO64" s="49">
        <f t="shared" si="163"/>
        <v>0</v>
      </c>
      <c r="CP64" s="49">
        <f t="shared" si="164"/>
        <v>0</v>
      </c>
      <c r="CQ64" s="49">
        <f t="shared" si="165"/>
        <v>0</v>
      </c>
      <c r="CR64" s="81">
        <f t="shared" si="166"/>
        <v>1014521.625</v>
      </c>
      <c r="CS64" s="80">
        <f t="shared" si="167"/>
        <v>1550478.375</v>
      </c>
      <c r="CT64" s="54"/>
      <c r="CU64" s="3" t="str">
        <f t="shared" si="168"/>
        <v>ARS</v>
      </c>
      <c r="CV64" s="3">
        <f>VLOOKUP(CU64,DF:DG,2,0)</f>
        <v>6.9185169999999997E-4</v>
      </c>
      <c r="CW64" s="23">
        <f t="shared" si="169"/>
        <v>1774.5996104999999</v>
      </c>
      <c r="CX64" s="23">
        <f t="shared" si="170"/>
        <v>73.912073777324991</v>
      </c>
      <c r="CY64" s="23">
        <f t="shared" si="171"/>
        <v>266.18994157499998</v>
      </c>
      <c r="CZ64" s="23">
        <f t="shared" si="172"/>
        <v>237.57452285568749</v>
      </c>
      <c r="DA64" s="23">
        <f t="shared" si="173"/>
        <v>53.237988314999996</v>
      </c>
      <c r="DB64" s="23">
        <f t="shared" si="174"/>
        <v>70.983984419999999</v>
      </c>
      <c r="DC64" s="23">
        <f t="shared" si="175"/>
        <v>1072.7010995569874</v>
      </c>
      <c r="DD64" s="34" t="str">
        <f>VLOOKUP(A64,'Billing Report'!H:I,2,FALSE)</f>
        <v>pedidosya Timeline Takeover Nivel 1 2026-02-08</v>
      </c>
      <c r="DE64" s="34"/>
      <c r="DF64" s="61" t="s">
        <v>317</v>
      </c>
      <c r="DG64" s="62">
        <v>3.1761973200000002E-2</v>
      </c>
      <c r="DH64"/>
      <c r="DI64" s="41"/>
      <c r="DJ64" s="41"/>
    </row>
    <row r="65" spans="1:114" ht="14.5" x14ac:dyDescent="0.35">
      <c r="A65" s="63">
        <v>40888463</v>
      </c>
      <c r="B65" s="3" t="s">
        <v>915</v>
      </c>
      <c r="C65" s="3">
        <v>321793004</v>
      </c>
      <c r="D65" s="3" t="s">
        <v>93</v>
      </c>
      <c r="F65" s="35">
        <v>891000</v>
      </c>
      <c r="G65" s="38"/>
      <c r="J65" s="33">
        <f>VLOOKUP($B65,'IMS Commission List'!E:CE,79,0)/100</f>
        <v>0.15</v>
      </c>
      <c r="K65" s="79">
        <f t="shared" si="88"/>
        <v>891000</v>
      </c>
      <c r="L65" s="3" t="str">
        <f>VLOOKUP($B65,'IMS Commission List'!E:V,18,0)</f>
        <v>ARS</v>
      </c>
      <c r="M65" s="3">
        <v>1</v>
      </c>
      <c r="N65" s="3" t="str">
        <f>VLOOKUP($B65,'IMS Commission List'!E:T,16,0)</f>
        <v>MX</v>
      </c>
      <c r="O65" s="54">
        <f>VLOOKUP($B65,'IMS Commission List'!E:CF,80,0)</f>
        <v>4.9000000000000002E-2</v>
      </c>
      <c r="P65" s="54">
        <f>VLOOKUP($B65,'IMS Commission List'!E:CG,81,0)</f>
        <v>0.1575</v>
      </c>
      <c r="Q65" s="54">
        <f>VLOOKUP($B65,'IMS Commission List'!E:CP,90,0)</f>
        <v>0.03</v>
      </c>
      <c r="R65" s="54">
        <f>VLOOKUP($B65,'IMS Commission List'!E:CQ,91,0)</f>
        <v>0.04</v>
      </c>
      <c r="S65" s="47">
        <f t="shared" si="89"/>
        <v>0</v>
      </c>
      <c r="T65" s="48">
        <f t="shared" si="90"/>
        <v>891000</v>
      </c>
      <c r="U65" s="48">
        <f t="shared" si="91"/>
        <v>0</v>
      </c>
      <c r="V65" s="48">
        <f t="shared" si="92"/>
        <v>0</v>
      </c>
      <c r="W65" s="48">
        <f t="shared" si="93"/>
        <v>0</v>
      </c>
      <c r="X65" s="49">
        <f t="shared" si="94"/>
        <v>891000</v>
      </c>
      <c r="Y65" s="49">
        <f t="shared" si="95"/>
        <v>0</v>
      </c>
      <c r="Z65" s="49">
        <f t="shared" si="96"/>
        <v>37110.15</v>
      </c>
      <c r="AA65" s="49">
        <f t="shared" si="97"/>
        <v>0</v>
      </c>
      <c r="AB65" s="49">
        <f t="shared" si="98"/>
        <v>0</v>
      </c>
      <c r="AC65" s="49">
        <f t="shared" si="99"/>
        <v>0</v>
      </c>
      <c r="AD65" s="49">
        <f t="shared" si="100"/>
        <v>37110.15</v>
      </c>
      <c r="AE65" s="49">
        <f t="shared" si="101"/>
        <v>0</v>
      </c>
      <c r="AF65" s="49">
        <f t="shared" si="102"/>
        <v>133650</v>
      </c>
      <c r="AG65" s="49">
        <f t="shared" si="103"/>
        <v>0</v>
      </c>
      <c r="AH65" s="49">
        <f t="shared" si="104"/>
        <v>0</v>
      </c>
      <c r="AI65" s="49">
        <f t="shared" si="105"/>
        <v>0</v>
      </c>
      <c r="AJ65" s="49">
        <f t="shared" si="106"/>
        <v>133650</v>
      </c>
      <c r="AK65" s="49">
        <f t="shared" si="107"/>
        <v>0</v>
      </c>
      <c r="AL65" s="49">
        <f t="shared" si="108"/>
        <v>119282.625</v>
      </c>
      <c r="AM65" s="49">
        <f t="shared" si="109"/>
        <v>0</v>
      </c>
      <c r="AN65" s="49">
        <f t="shared" si="110"/>
        <v>0</v>
      </c>
      <c r="AO65" s="49">
        <f t="shared" si="111"/>
        <v>0</v>
      </c>
      <c r="AP65" s="49">
        <f t="shared" si="112"/>
        <v>119282.625</v>
      </c>
      <c r="AQ65" s="49">
        <f t="shared" si="113"/>
        <v>0</v>
      </c>
      <c r="AR65" s="49">
        <f t="shared" si="114"/>
        <v>26730</v>
      </c>
      <c r="AS65" s="49">
        <f t="shared" si="115"/>
        <v>0</v>
      </c>
      <c r="AT65" s="49">
        <f t="shared" si="116"/>
        <v>0</v>
      </c>
      <c r="AU65" s="49">
        <f t="shared" si="117"/>
        <v>0</v>
      </c>
      <c r="AV65" s="49">
        <f t="shared" si="118"/>
        <v>26730</v>
      </c>
      <c r="AW65" s="49">
        <f t="shared" si="119"/>
        <v>0</v>
      </c>
      <c r="AX65" s="49">
        <f t="shared" si="120"/>
        <v>35640</v>
      </c>
      <c r="AY65" s="49">
        <f t="shared" si="121"/>
        <v>0</v>
      </c>
      <c r="AZ65" s="49">
        <f t="shared" si="122"/>
        <v>0</v>
      </c>
      <c r="BA65" s="49">
        <f t="shared" si="123"/>
        <v>0</v>
      </c>
      <c r="BB65" s="49">
        <f t="shared" si="124"/>
        <v>35640</v>
      </c>
      <c r="BC65" s="49">
        <f t="shared" si="125"/>
        <v>0</v>
      </c>
      <c r="BD65" s="49">
        <f t="shared" si="126"/>
        <v>352412.77500000002</v>
      </c>
      <c r="BE65" s="49">
        <f t="shared" si="127"/>
        <v>0</v>
      </c>
      <c r="BF65" s="49">
        <f t="shared" si="128"/>
        <v>0</v>
      </c>
      <c r="BG65" s="49">
        <f t="shared" si="129"/>
        <v>0</v>
      </c>
      <c r="BH65" s="49">
        <f t="shared" si="130"/>
        <v>352412.77500000002</v>
      </c>
      <c r="BI65" s="49">
        <f t="shared" si="131"/>
        <v>0</v>
      </c>
      <c r="BJ65" s="49">
        <f t="shared" si="132"/>
        <v>37110.15</v>
      </c>
      <c r="BK65" s="49">
        <f t="shared" si="133"/>
        <v>0</v>
      </c>
      <c r="BL65" s="49">
        <f t="shared" si="134"/>
        <v>0</v>
      </c>
      <c r="BM65" s="49">
        <f t="shared" si="135"/>
        <v>0</v>
      </c>
      <c r="BN65" s="49">
        <f t="shared" si="136"/>
        <v>37110.15</v>
      </c>
      <c r="BO65" s="49">
        <f t="shared" si="137"/>
        <v>0</v>
      </c>
      <c r="BP65" s="49">
        <f t="shared" si="138"/>
        <v>133650</v>
      </c>
      <c r="BQ65" s="49">
        <f t="shared" si="139"/>
        <v>0</v>
      </c>
      <c r="BR65" s="49">
        <f t="shared" si="140"/>
        <v>0</v>
      </c>
      <c r="BS65" s="49">
        <f t="shared" si="141"/>
        <v>0</v>
      </c>
      <c r="BT65" s="49">
        <f t="shared" si="142"/>
        <v>133650</v>
      </c>
      <c r="BU65" s="49">
        <f t="shared" si="143"/>
        <v>0</v>
      </c>
      <c r="BV65" s="49">
        <f t="shared" si="144"/>
        <v>119282.625</v>
      </c>
      <c r="BW65" s="49">
        <f t="shared" si="145"/>
        <v>0</v>
      </c>
      <c r="BX65" s="49">
        <f t="shared" si="146"/>
        <v>0</v>
      </c>
      <c r="BY65" s="49">
        <f t="shared" si="147"/>
        <v>0</v>
      </c>
      <c r="BZ65" s="49">
        <f t="shared" si="148"/>
        <v>119282.625</v>
      </c>
      <c r="CA65" s="49">
        <f t="shared" si="149"/>
        <v>0</v>
      </c>
      <c r="CB65" s="49">
        <f t="shared" si="150"/>
        <v>26730</v>
      </c>
      <c r="CC65" s="49">
        <f t="shared" si="151"/>
        <v>0</v>
      </c>
      <c r="CD65" s="49">
        <f t="shared" si="152"/>
        <v>0</v>
      </c>
      <c r="CE65" s="49">
        <f t="shared" si="153"/>
        <v>0</v>
      </c>
      <c r="CF65" s="49">
        <f t="shared" si="154"/>
        <v>26730</v>
      </c>
      <c r="CG65" s="49">
        <f t="shared" si="155"/>
        <v>0</v>
      </c>
      <c r="CH65" s="49">
        <f t="shared" si="156"/>
        <v>35640</v>
      </c>
      <c r="CI65" s="49">
        <f t="shared" si="157"/>
        <v>0</v>
      </c>
      <c r="CJ65" s="49">
        <f t="shared" si="158"/>
        <v>0</v>
      </c>
      <c r="CK65" s="49">
        <f t="shared" si="159"/>
        <v>0</v>
      </c>
      <c r="CL65" s="49">
        <f t="shared" si="160"/>
        <v>35640</v>
      </c>
      <c r="CM65" s="49">
        <f t="shared" si="161"/>
        <v>0</v>
      </c>
      <c r="CN65" s="49">
        <f t="shared" si="162"/>
        <v>352412.77500000002</v>
      </c>
      <c r="CO65" s="49">
        <f t="shared" si="163"/>
        <v>0</v>
      </c>
      <c r="CP65" s="49">
        <f t="shared" si="164"/>
        <v>0</v>
      </c>
      <c r="CQ65" s="49">
        <f t="shared" si="165"/>
        <v>0</v>
      </c>
      <c r="CR65" s="81">
        <f t="shared" si="166"/>
        <v>352412.77500000002</v>
      </c>
      <c r="CS65" s="80">
        <f t="shared" si="167"/>
        <v>538587.22499999998</v>
      </c>
      <c r="CT65" s="54"/>
      <c r="CU65" s="3" t="str">
        <f t="shared" si="168"/>
        <v>ARS</v>
      </c>
      <c r="CV65" s="3">
        <f>VLOOKUP(CU65,DF:DG,2,0)</f>
        <v>6.9185169999999997E-4</v>
      </c>
      <c r="CW65" s="23">
        <f t="shared" si="169"/>
        <v>616.43986469999993</v>
      </c>
      <c r="CX65" s="23">
        <f t="shared" si="170"/>
        <v>25.674720364755</v>
      </c>
      <c r="CY65" s="23">
        <f t="shared" si="171"/>
        <v>92.465979704999995</v>
      </c>
      <c r="CZ65" s="23">
        <f t="shared" si="172"/>
        <v>82.525886886712499</v>
      </c>
      <c r="DA65" s="23">
        <f t="shared" si="173"/>
        <v>18.493195941</v>
      </c>
      <c r="DB65" s="23">
        <f t="shared" si="174"/>
        <v>24.657594587999998</v>
      </c>
      <c r="DC65" s="23">
        <f t="shared" si="175"/>
        <v>372.62248721453244</v>
      </c>
      <c r="DD65" s="34" t="str">
        <f>VLOOKUP(A65,'Billing Report'!H:I,2,FALSE)</f>
        <v>pedidosya Estándar 2026-02-05</v>
      </c>
      <c r="DE65" s="34"/>
      <c r="DF65" s="61" t="s">
        <v>316</v>
      </c>
      <c r="DG65" s="62">
        <v>3.897862E-4</v>
      </c>
      <c r="DH65"/>
      <c r="DI65" s="41"/>
      <c r="DJ65" s="41"/>
    </row>
    <row r="66" spans="1:114" ht="14.5" x14ac:dyDescent="0.35">
      <c r="A66" s="63">
        <v>40887941</v>
      </c>
      <c r="B66" s="3" t="s">
        <v>915</v>
      </c>
      <c r="C66" s="3">
        <v>321793001</v>
      </c>
      <c r="D66" s="3" t="s">
        <v>93</v>
      </c>
      <c r="F66" s="35">
        <v>2565000</v>
      </c>
      <c r="G66" s="38"/>
      <c r="J66" s="33">
        <f>VLOOKUP($B66,'IMS Commission List'!E:CE,79,0)/100</f>
        <v>0.15</v>
      </c>
      <c r="K66" s="79">
        <f t="shared" si="88"/>
        <v>2565000</v>
      </c>
      <c r="L66" s="3" t="str">
        <f>VLOOKUP($B66,'IMS Commission List'!E:V,18,0)</f>
        <v>ARS</v>
      </c>
      <c r="M66" s="3">
        <v>1</v>
      </c>
      <c r="N66" s="3" t="str">
        <f>VLOOKUP($B66,'IMS Commission List'!E:T,16,0)</f>
        <v>MX</v>
      </c>
      <c r="O66" s="54">
        <f>VLOOKUP($B66,'IMS Commission List'!E:CF,80,0)</f>
        <v>4.9000000000000002E-2</v>
      </c>
      <c r="P66" s="54">
        <f>VLOOKUP($B66,'IMS Commission List'!E:CG,81,0)</f>
        <v>0.1575</v>
      </c>
      <c r="Q66" s="54">
        <f>VLOOKUP($B66,'IMS Commission List'!E:CP,90,0)</f>
        <v>0.03</v>
      </c>
      <c r="R66" s="54">
        <f>VLOOKUP($B66,'IMS Commission List'!E:CQ,91,0)</f>
        <v>0.04</v>
      </c>
      <c r="S66" s="47">
        <f t="shared" si="89"/>
        <v>0</v>
      </c>
      <c r="T66" s="48">
        <f t="shared" si="90"/>
        <v>2565000</v>
      </c>
      <c r="U66" s="48">
        <f t="shared" si="91"/>
        <v>0</v>
      </c>
      <c r="V66" s="48">
        <f t="shared" si="92"/>
        <v>0</v>
      </c>
      <c r="W66" s="48">
        <f t="shared" si="93"/>
        <v>0</v>
      </c>
      <c r="X66" s="49">
        <f t="shared" si="94"/>
        <v>2565000</v>
      </c>
      <c r="Y66" s="49">
        <f t="shared" si="95"/>
        <v>0</v>
      </c>
      <c r="Z66" s="49">
        <f t="shared" si="96"/>
        <v>106832.25</v>
      </c>
      <c r="AA66" s="49">
        <f t="shared" si="97"/>
        <v>0</v>
      </c>
      <c r="AB66" s="49">
        <f t="shared" si="98"/>
        <v>0</v>
      </c>
      <c r="AC66" s="49">
        <f t="shared" si="99"/>
        <v>0</v>
      </c>
      <c r="AD66" s="49">
        <f t="shared" si="100"/>
        <v>106832.25</v>
      </c>
      <c r="AE66" s="49">
        <f t="shared" si="101"/>
        <v>0</v>
      </c>
      <c r="AF66" s="49">
        <f t="shared" si="102"/>
        <v>384750</v>
      </c>
      <c r="AG66" s="49">
        <f t="shared" si="103"/>
        <v>0</v>
      </c>
      <c r="AH66" s="49">
        <f t="shared" si="104"/>
        <v>0</v>
      </c>
      <c r="AI66" s="49">
        <f t="shared" si="105"/>
        <v>0</v>
      </c>
      <c r="AJ66" s="49">
        <f t="shared" si="106"/>
        <v>384750</v>
      </c>
      <c r="AK66" s="49">
        <f t="shared" si="107"/>
        <v>0</v>
      </c>
      <c r="AL66" s="49">
        <f t="shared" si="108"/>
        <v>343389.375</v>
      </c>
      <c r="AM66" s="49">
        <f t="shared" si="109"/>
        <v>0</v>
      </c>
      <c r="AN66" s="49">
        <f t="shared" si="110"/>
        <v>0</v>
      </c>
      <c r="AO66" s="49">
        <f t="shared" si="111"/>
        <v>0</v>
      </c>
      <c r="AP66" s="49">
        <f t="shared" si="112"/>
        <v>343389.375</v>
      </c>
      <c r="AQ66" s="49">
        <f t="shared" si="113"/>
        <v>0</v>
      </c>
      <c r="AR66" s="49">
        <f t="shared" si="114"/>
        <v>76950</v>
      </c>
      <c r="AS66" s="49">
        <f t="shared" si="115"/>
        <v>0</v>
      </c>
      <c r="AT66" s="49">
        <f t="shared" si="116"/>
        <v>0</v>
      </c>
      <c r="AU66" s="49">
        <f t="shared" si="117"/>
        <v>0</v>
      </c>
      <c r="AV66" s="49">
        <f t="shared" si="118"/>
        <v>76950</v>
      </c>
      <c r="AW66" s="49">
        <f t="shared" si="119"/>
        <v>0</v>
      </c>
      <c r="AX66" s="49">
        <f t="shared" si="120"/>
        <v>102600</v>
      </c>
      <c r="AY66" s="49">
        <f t="shared" si="121"/>
        <v>0</v>
      </c>
      <c r="AZ66" s="49">
        <f t="shared" si="122"/>
        <v>0</v>
      </c>
      <c r="BA66" s="49">
        <f t="shared" si="123"/>
        <v>0</v>
      </c>
      <c r="BB66" s="49">
        <f t="shared" si="124"/>
        <v>102600</v>
      </c>
      <c r="BC66" s="49">
        <f t="shared" si="125"/>
        <v>0</v>
      </c>
      <c r="BD66" s="49">
        <f t="shared" si="126"/>
        <v>1014521.625</v>
      </c>
      <c r="BE66" s="49">
        <f t="shared" si="127"/>
        <v>0</v>
      </c>
      <c r="BF66" s="49">
        <f t="shared" si="128"/>
        <v>0</v>
      </c>
      <c r="BG66" s="49">
        <f t="shared" si="129"/>
        <v>0</v>
      </c>
      <c r="BH66" s="49">
        <f t="shared" si="130"/>
        <v>1014521.625</v>
      </c>
      <c r="BI66" s="49">
        <f t="shared" si="131"/>
        <v>0</v>
      </c>
      <c r="BJ66" s="49">
        <f t="shared" si="132"/>
        <v>106832.25</v>
      </c>
      <c r="BK66" s="49">
        <f t="shared" si="133"/>
        <v>0</v>
      </c>
      <c r="BL66" s="49">
        <f t="shared" si="134"/>
        <v>0</v>
      </c>
      <c r="BM66" s="49">
        <f t="shared" si="135"/>
        <v>0</v>
      </c>
      <c r="BN66" s="49">
        <f t="shared" si="136"/>
        <v>106832.25</v>
      </c>
      <c r="BO66" s="49">
        <f t="shared" si="137"/>
        <v>0</v>
      </c>
      <c r="BP66" s="49">
        <f t="shared" si="138"/>
        <v>384750</v>
      </c>
      <c r="BQ66" s="49">
        <f t="shared" si="139"/>
        <v>0</v>
      </c>
      <c r="BR66" s="49">
        <f t="shared" si="140"/>
        <v>0</v>
      </c>
      <c r="BS66" s="49">
        <f t="shared" si="141"/>
        <v>0</v>
      </c>
      <c r="BT66" s="49">
        <f t="shared" si="142"/>
        <v>384750</v>
      </c>
      <c r="BU66" s="49">
        <f t="shared" si="143"/>
        <v>0</v>
      </c>
      <c r="BV66" s="49">
        <f t="shared" si="144"/>
        <v>343389.375</v>
      </c>
      <c r="BW66" s="49">
        <f t="shared" si="145"/>
        <v>0</v>
      </c>
      <c r="BX66" s="49">
        <f t="shared" si="146"/>
        <v>0</v>
      </c>
      <c r="BY66" s="49">
        <f t="shared" si="147"/>
        <v>0</v>
      </c>
      <c r="BZ66" s="49">
        <f t="shared" si="148"/>
        <v>343389.375</v>
      </c>
      <c r="CA66" s="49">
        <f t="shared" si="149"/>
        <v>0</v>
      </c>
      <c r="CB66" s="49">
        <f t="shared" si="150"/>
        <v>76950</v>
      </c>
      <c r="CC66" s="49">
        <f t="shared" si="151"/>
        <v>0</v>
      </c>
      <c r="CD66" s="49">
        <f t="shared" si="152"/>
        <v>0</v>
      </c>
      <c r="CE66" s="49">
        <f t="shared" si="153"/>
        <v>0</v>
      </c>
      <c r="CF66" s="49">
        <f t="shared" si="154"/>
        <v>76950</v>
      </c>
      <c r="CG66" s="49">
        <f t="shared" si="155"/>
        <v>0</v>
      </c>
      <c r="CH66" s="49">
        <f t="shared" si="156"/>
        <v>102600</v>
      </c>
      <c r="CI66" s="49">
        <f t="shared" si="157"/>
        <v>0</v>
      </c>
      <c r="CJ66" s="49">
        <f t="shared" si="158"/>
        <v>0</v>
      </c>
      <c r="CK66" s="49">
        <f t="shared" si="159"/>
        <v>0</v>
      </c>
      <c r="CL66" s="49">
        <f t="shared" si="160"/>
        <v>102600</v>
      </c>
      <c r="CM66" s="49">
        <f t="shared" si="161"/>
        <v>0</v>
      </c>
      <c r="CN66" s="49">
        <f t="shared" si="162"/>
        <v>1014521.625</v>
      </c>
      <c r="CO66" s="49">
        <f t="shared" si="163"/>
        <v>0</v>
      </c>
      <c r="CP66" s="49">
        <f t="shared" si="164"/>
        <v>0</v>
      </c>
      <c r="CQ66" s="49">
        <f t="shared" si="165"/>
        <v>0</v>
      </c>
      <c r="CR66" s="81">
        <f t="shared" si="166"/>
        <v>1014521.625</v>
      </c>
      <c r="CS66" s="80">
        <f t="shared" si="167"/>
        <v>1550478.375</v>
      </c>
      <c r="CT66" s="54"/>
      <c r="CU66" s="3" t="str">
        <f t="shared" si="168"/>
        <v>ARS</v>
      </c>
      <c r="CV66" s="3">
        <f>VLOOKUP(CU66,DF:DG,2,0)</f>
        <v>6.9185169999999997E-4</v>
      </c>
      <c r="CW66" s="23">
        <f t="shared" si="169"/>
        <v>1774.5996104999999</v>
      </c>
      <c r="CX66" s="23">
        <f t="shared" si="170"/>
        <v>73.912073777324991</v>
      </c>
      <c r="CY66" s="23">
        <f t="shared" si="171"/>
        <v>266.18994157499998</v>
      </c>
      <c r="CZ66" s="23">
        <f t="shared" si="172"/>
        <v>237.57452285568749</v>
      </c>
      <c r="DA66" s="23">
        <f t="shared" si="173"/>
        <v>53.237988314999996</v>
      </c>
      <c r="DB66" s="23">
        <f t="shared" si="174"/>
        <v>70.983984419999999</v>
      </c>
      <c r="DC66" s="23">
        <f t="shared" si="175"/>
        <v>1072.7010995569874</v>
      </c>
      <c r="DD66" s="34" t="str">
        <f>VLOOKUP(A66,'Billing Report'!H:I,2,FALSE)</f>
        <v>pedidosya Timeline Takeover Nivel 1 2026-02-05</v>
      </c>
      <c r="DE66" s="34"/>
      <c r="DF66" s="61" t="s">
        <v>315</v>
      </c>
      <c r="DG66" s="62">
        <v>2.33181113E-2</v>
      </c>
      <c r="DH66"/>
      <c r="DI66" s="41"/>
      <c r="DJ66" s="41"/>
    </row>
    <row r="67" spans="1:114" ht="14.5" x14ac:dyDescent="0.35">
      <c r="A67" s="63">
        <v>40700854</v>
      </c>
      <c r="B67" s="3" t="s">
        <v>633</v>
      </c>
      <c r="C67" s="3">
        <v>321819001</v>
      </c>
      <c r="D67" s="3" t="s">
        <v>93</v>
      </c>
      <c r="G67" s="38">
        <v>9005104.1400000006</v>
      </c>
      <c r="J67" s="33">
        <f>VLOOKUP($B67,'IMS Commission List'!E:CE,79,0)/100</f>
        <v>0.15</v>
      </c>
      <c r="K67" s="79">
        <f t="shared" si="88"/>
        <v>9005104.1400000006</v>
      </c>
      <c r="L67" s="3" t="str">
        <f>VLOOKUP($B67,'IMS Commission List'!E:V,18,0)</f>
        <v>ARS</v>
      </c>
      <c r="M67" s="3">
        <v>1</v>
      </c>
      <c r="N67" s="3" t="str">
        <f>VLOOKUP($B67,'IMS Commission List'!E:T,16,0)</f>
        <v>MX</v>
      </c>
      <c r="O67" s="54">
        <f>VLOOKUP($B67,'IMS Commission List'!E:CF,80,0)</f>
        <v>4.9000000000000002E-2</v>
      </c>
      <c r="P67" s="54">
        <f>VLOOKUP($B67,'IMS Commission List'!E:CG,81,0)</f>
        <v>0.1575</v>
      </c>
      <c r="Q67" s="54">
        <f>VLOOKUP($B67,'IMS Commission List'!E:CP,90,0)</f>
        <v>0.03</v>
      </c>
      <c r="R67" s="54">
        <f>VLOOKUP($B67,'IMS Commission List'!E:CQ,91,0)</f>
        <v>0.04</v>
      </c>
      <c r="S67" s="47">
        <f t="shared" si="89"/>
        <v>0</v>
      </c>
      <c r="T67" s="48">
        <f t="shared" si="90"/>
        <v>0</v>
      </c>
      <c r="U67" s="48">
        <f t="shared" si="91"/>
        <v>9005104.1400000006</v>
      </c>
      <c r="V67" s="48">
        <f t="shared" si="92"/>
        <v>0</v>
      </c>
      <c r="W67" s="48">
        <f t="shared" si="93"/>
        <v>0</v>
      </c>
      <c r="X67" s="49">
        <f t="shared" si="94"/>
        <v>9005104.1400000006</v>
      </c>
      <c r="Y67" s="49">
        <f t="shared" si="95"/>
        <v>0</v>
      </c>
      <c r="Z67" s="49">
        <f t="shared" si="96"/>
        <v>0</v>
      </c>
      <c r="AA67" s="49">
        <f t="shared" si="97"/>
        <v>375062.58743100002</v>
      </c>
      <c r="AB67" s="49">
        <f t="shared" si="98"/>
        <v>0</v>
      </c>
      <c r="AC67" s="49">
        <f t="shared" si="99"/>
        <v>0</v>
      </c>
      <c r="AD67" s="49">
        <f t="shared" si="100"/>
        <v>375062.58743100002</v>
      </c>
      <c r="AE67" s="49">
        <f t="shared" si="101"/>
        <v>0</v>
      </c>
      <c r="AF67" s="49">
        <f t="shared" si="102"/>
        <v>0</v>
      </c>
      <c r="AG67" s="49">
        <f t="shared" si="103"/>
        <v>1350765.621</v>
      </c>
      <c r="AH67" s="49">
        <f t="shared" si="104"/>
        <v>0</v>
      </c>
      <c r="AI67" s="49">
        <f t="shared" si="105"/>
        <v>0</v>
      </c>
      <c r="AJ67" s="49">
        <f t="shared" si="106"/>
        <v>1350765.621</v>
      </c>
      <c r="AK67" s="49">
        <f t="shared" si="107"/>
        <v>0</v>
      </c>
      <c r="AL67" s="49">
        <f t="shared" si="108"/>
        <v>0</v>
      </c>
      <c r="AM67" s="49">
        <f t="shared" si="109"/>
        <v>1205558.3167425001</v>
      </c>
      <c r="AN67" s="49">
        <f t="shared" si="110"/>
        <v>0</v>
      </c>
      <c r="AO67" s="49">
        <f t="shared" si="111"/>
        <v>0</v>
      </c>
      <c r="AP67" s="49">
        <f t="shared" si="112"/>
        <v>1205558.3167425001</v>
      </c>
      <c r="AQ67" s="49">
        <f t="shared" si="113"/>
        <v>0</v>
      </c>
      <c r="AR67" s="49">
        <f t="shared" si="114"/>
        <v>0</v>
      </c>
      <c r="AS67" s="49">
        <f t="shared" si="115"/>
        <v>270153.12420000002</v>
      </c>
      <c r="AT67" s="49">
        <f t="shared" si="116"/>
        <v>0</v>
      </c>
      <c r="AU67" s="49">
        <f t="shared" si="117"/>
        <v>0</v>
      </c>
      <c r="AV67" s="49">
        <f t="shared" si="118"/>
        <v>270153.12420000002</v>
      </c>
      <c r="AW67" s="49">
        <f t="shared" si="119"/>
        <v>0</v>
      </c>
      <c r="AX67" s="49">
        <f t="shared" si="120"/>
        <v>0</v>
      </c>
      <c r="AY67" s="49">
        <f t="shared" si="121"/>
        <v>360204.16560000001</v>
      </c>
      <c r="AZ67" s="49">
        <f t="shared" si="122"/>
        <v>0</v>
      </c>
      <c r="BA67" s="49">
        <f t="shared" si="123"/>
        <v>0</v>
      </c>
      <c r="BB67" s="49">
        <f t="shared" si="124"/>
        <v>360204.16560000001</v>
      </c>
      <c r="BC67" s="49">
        <f t="shared" si="125"/>
        <v>0</v>
      </c>
      <c r="BD67" s="49">
        <f t="shared" si="126"/>
        <v>0</v>
      </c>
      <c r="BE67" s="49">
        <f t="shared" si="127"/>
        <v>3561743.8149735001</v>
      </c>
      <c r="BF67" s="49">
        <f t="shared" si="128"/>
        <v>0</v>
      </c>
      <c r="BG67" s="49">
        <f t="shared" si="129"/>
        <v>0</v>
      </c>
      <c r="BH67" s="49">
        <f t="shared" si="130"/>
        <v>3561743.8149735001</v>
      </c>
      <c r="BI67" s="49">
        <f t="shared" si="131"/>
        <v>0</v>
      </c>
      <c r="BJ67" s="49">
        <f t="shared" si="132"/>
        <v>0</v>
      </c>
      <c r="BK67" s="49">
        <f t="shared" si="133"/>
        <v>375062.58743100002</v>
      </c>
      <c r="BL67" s="49">
        <f t="shared" si="134"/>
        <v>0</v>
      </c>
      <c r="BM67" s="49">
        <f t="shared" si="135"/>
        <v>0</v>
      </c>
      <c r="BN67" s="49">
        <f t="shared" si="136"/>
        <v>375062.58743100002</v>
      </c>
      <c r="BO67" s="49">
        <f t="shared" si="137"/>
        <v>0</v>
      </c>
      <c r="BP67" s="49">
        <f t="shared" si="138"/>
        <v>0</v>
      </c>
      <c r="BQ67" s="49">
        <f t="shared" si="139"/>
        <v>1350765.621</v>
      </c>
      <c r="BR67" s="49">
        <f t="shared" si="140"/>
        <v>0</v>
      </c>
      <c r="BS67" s="49">
        <f t="shared" si="141"/>
        <v>0</v>
      </c>
      <c r="BT67" s="49">
        <f t="shared" si="142"/>
        <v>1350765.621</v>
      </c>
      <c r="BU67" s="49">
        <f t="shared" si="143"/>
        <v>0</v>
      </c>
      <c r="BV67" s="49">
        <f t="shared" si="144"/>
        <v>0</v>
      </c>
      <c r="BW67" s="49">
        <f t="shared" si="145"/>
        <v>1205558.3167425001</v>
      </c>
      <c r="BX67" s="49">
        <f t="shared" si="146"/>
        <v>0</v>
      </c>
      <c r="BY67" s="49">
        <f t="shared" si="147"/>
        <v>0</v>
      </c>
      <c r="BZ67" s="49">
        <f t="shared" si="148"/>
        <v>1205558.3167425001</v>
      </c>
      <c r="CA67" s="49">
        <f t="shared" si="149"/>
        <v>0</v>
      </c>
      <c r="CB67" s="49">
        <f t="shared" si="150"/>
        <v>0</v>
      </c>
      <c r="CC67" s="49">
        <f t="shared" si="151"/>
        <v>270153.12420000002</v>
      </c>
      <c r="CD67" s="49">
        <f t="shared" si="152"/>
        <v>0</v>
      </c>
      <c r="CE67" s="49">
        <f t="shared" si="153"/>
        <v>0</v>
      </c>
      <c r="CF67" s="49">
        <f t="shared" si="154"/>
        <v>270153.12420000002</v>
      </c>
      <c r="CG67" s="49">
        <f t="shared" si="155"/>
        <v>0</v>
      </c>
      <c r="CH67" s="49">
        <f t="shared" si="156"/>
        <v>0</v>
      </c>
      <c r="CI67" s="49">
        <f t="shared" si="157"/>
        <v>360204.16560000001</v>
      </c>
      <c r="CJ67" s="49">
        <f t="shared" si="158"/>
        <v>0</v>
      </c>
      <c r="CK67" s="49">
        <f t="shared" si="159"/>
        <v>0</v>
      </c>
      <c r="CL67" s="49">
        <f t="shared" si="160"/>
        <v>360204.16560000001</v>
      </c>
      <c r="CM67" s="49">
        <f t="shared" si="161"/>
        <v>0</v>
      </c>
      <c r="CN67" s="49">
        <f t="shared" si="162"/>
        <v>0</v>
      </c>
      <c r="CO67" s="49">
        <f t="shared" si="163"/>
        <v>3561743.8149735001</v>
      </c>
      <c r="CP67" s="49">
        <f t="shared" si="164"/>
        <v>0</v>
      </c>
      <c r="CQ67" s="49">
        <f t="shared" si="165"/>
        <v>0</v>
      </c>
      <c r="CR67" s="81">
        <f t="shared" si="166"/>
        <v>3561743.8149735001</v>
      </c>
      <c r="CS67" s="80">
        <f t="shared" si="167"/>
        <v>5443360.325026501</v>
      </c>
      <c r="CT67" s="54"/>
      <c r="CU67" s="3" t="str">
        <f t="shared" si="168"/>
        <v>ARS</v>
      </c>
      <c r="CV67" s="3">
        <f>VLOOKUP(CU67,DF:DG,2,0)</f>
        <v>6.9185169999999997E-4</v>
      </c>
      <c r="CW67" s="23">
        <f t="shared" si="169"/>
        <v>6230.1966079360382</v>
      </c>
      <c r="CX67" s="23">
        <f t="shared" si="170"/>
        <v>259.48768872053597</v>
      </c>
      <c r="CY67" s="23">
        <f t="shared" si="171"/>
        <v>934.52949119040568</v>
      </c>
      <c r="CZ67" s="23">
        <f t="shared" si="172"/>
        <v>834.06757088743711</v>
      </c>
      <c r="DA67" s="23">
        <f t="shared" si="173"/>
        <v>186.90589823808114</v>
      </c>
      <c r="DB67" s="23">
        <f t="shared" si="174"/>
        <v>249.2078643174415</v>
      </c>
      <c r="DC67" s="23">
        <f t="shared" si="175"/>
        <v>3765.9980945821371</v>
      </c>
      <c r="DD67" s="34" t="str">
        <f>VLOOKUP(A67,'Billing Report'!H:I,2,FALSE)</f>
        <v>AR_DCB_OTH_OINV_FY25Q3_SSN_VERANO-2026_BAW_BRA_PSOC_TW_ALI-NA_AWA_B0005T5S</v>
      </c>
      <c r="DE67" s="34"/>
      <c r="DF67" s="61" t="s">
        <v>314</v>
      </c>
      <c r="DG67" s="62">
        <v>2.8026210000000001E-4</v>
      </c>
      <c r="DH67"/>
      <c r="DI67" s="41"/>
      <c r="DJ67" s="41"/>
    </row>
    <row r="68" spans="1:114" ht="14.5" x14ac:dyDescent="0.35">
      <c r="A68" s="63">
        <v>40983659</v>
      </c>
      <c r="B68" s="3" t="s">
        <v>932</v>
      </c>
      <c r="C68" s="3">
        <v>321854805</v>
      </c>
      <c r="D68" s="3" t="s">
        <v>93</v>
      </c>
      <c r="G68" s="38">
        <v>241926.19</v>
      </c>
      <c r="J68" s="33">
        <f>VLOOKUP($B68,'IMS Commission List'!E:CE,79,0)/100</f>
        <v>0.15</v>
      </c>
      <c r="K68" s="79">
        <f t="shared" si="88"/>
        <v>241926.19</v>
      </c>
      <c r="L68" s="3" t="str">
        <f>VLOOKUP($B68,'IMS Commission List'!E:V,18,0)</f>
        <v>ARS</v>
      </c>
      <c r="M68" s="3">
        <v>1</v>
      </c>
      <c r="N68" s="3" t="str">
        <f>VLOOKUP($B68,'IMS Commission List'!E:T,16,0)</f>
        <v>MX</v>
      </c>
      <c r="O68" s="54">
        <f>VLOOKUP($B68,'IMS Commission List'!E:CF,80,0)</f>
        <v>0</v>
      </c>
      <c r="P68" s="54">
        <f>VLOOKUP($B68,'IMS Commission List'!E:CG,81,0)</f>
        <v>0</v>
      </c>
      <c r="Q68" s="54">
        <f>VLOOKUP($B68,'IMS Commission List'!E:CP,90,0)</f>
        <v>0.03</v>
      </c>
      <c r="R68" s="54">
        <f>VLOOKUP($B68,'IMS Commission List'!E:CQ,91,0)</f>
        <v>0.04</v>
      </c>
      <c r="S68" s="47">
        <f t="shared" si="89"/>
        <v>0</v>
      </c>
      <c r="T68" s="48">
        <f t="shared" si="90"/>
        <v>0</v>
      </c>
      <c r="U68" s="48">
        <f t="shared" si="91"/>
        <v>241926.19</v>
      </c>
      <c r="V68" s="48">
        <f t="shared" si="92"/>
        <v>0</v>
      </c>
      <c r="W68" s="48">
        <f t="shared" si="93"/>
        <v>0</v>
      </c>
      <c r="X68" s="49">
        <f t="shared" si="94"/>
        <v>241926.19</v>
      </c>
      <c r="Y68" s="49">
        <f t="shared" si="95"/>
        <v>0</v>
      </c>
      <c r="Z68" s="49">
        <f t="shared" si="96"/>
        <v>0</v>
      </c>
      <c r="AA68" s="49">
        <f t="shared" si="97"/>
        <v>0</v>
      </c>
      <c r="AB68" s="49">
        <f t="shared" si="98"/>
        <v>0</v>
      </c>
      <c r="AC68" s="49">
        <f t="shared" si="99"/>
        <v>0</v>
      </c>
      <c r="AD68" s="49">
        <f t="shared" si="100"/>
        <v>0</v>
      </c>
      <c r="AE68" s="49">
        <f t="shared" si="101"/>
        <v>0</v>
      </c>
      <c r="AF68" s="49">
        <f t="shared" si="102"/>
        <v>0</v>
      </c>
      <c r="AG68" s="49">
        <f t="shared" si="103"/>
        <v>36288.928500000002</v>
      </c>
      <c r="AH68" s="49">
        <f t="shared" si="104"/>
        <v>0</v>
      </c>
      <c r="AI68" s="49">
        <f t="shared" si="105"/>
        <v>0</v>
      </c>
      <c r="AJ68" s="49">
        <f t="shared" si="106"/>
        <v>36288.928500000002</v>
      </c>
      <c r="AK68" s="49">
        <f t="shared" si="107"/>
        <v>0</v>
      </c>
      <c r="AL68" s="49">
        <f t="shared" si="108"/>
        <v>0</v>
      </c>
      <c r="AM68" s="49">
        <f t="shared" si="109"/>
        <v>0</v>
      </c>
      <c r="AN68" s="49">
        <f t="shared" si="110"/>
        <v>0</v>
      </c>
      <c r="AO68" s="49">
        <f t="shared" si="111"/>
        <v>0</v>
      </c>
      <c r="AP68" s="49">
        <f t="shared" si="112"/>
        <v>0</v>
      </c>
      <c r="AQ68" s="49">
        <f t="shared" si="113"/>
        <v>0</v>
      </c>
      <c r="AR68" s="49">
        <f t="shared" si="114"/>
        <v>0</v>
      </c>
      <c r="AS68" s="49">
        <f t="shared" si="115"/>
        <v>7257.7856999999995</v>
      </c>
      <c r="AT68" s="49">
        <f t="shared" si="116"/>
        <v>0</v>
      </c>
      <c r="AU68" s="49">
        <f t="shared" si="117"/>
        <v>0</v>
      </c>
      <c r="AV68" s="49">
        <f t="shared" si="118"/>
        <v>7257.7856999999995</v>
      </c>
      <c r="AW68" s="49">
        <f t="shared" si="119"/>
        <v>0</v>
      </c>
      <c r="AX68" s="49">
        <f t="shared" si="120"/>
        <v>0</v>
      </c>
      <c r="AY68" s="49">
        <f t="shared" si="121"/>
        <v>9677.0475999999999</v>
      </c>
      <c r="AZ68" s="49">
        <f t="shared" si="122"/>
        <v>0</v>
      </c>
      <c r="BA68" s="49">
        <f t="shared" si="123"/>
        <v>0</v>
      </c>
      <c r="BB68" s="49">
        <f t="shared" si="124"/>
        <v>9677.0475999999999</v>
      </c>
      <c r="BC68" s="49">
        <f t="shared" si="125"/>
        <v>0</v>
      </c>
      <c r="BD68" s="49">
        <f t="shared" si="126"/>
        <v>0</v>
      </c>
      <c r="BE68" s="49">
        <f t="shared" si="127"/>
        <v>53223.7618</v>
      </c>
      <c r="BF68" s="49">
        <f t="shared" si="128"/>
        <v>0</v>
      </c>
      <c r="BG68" s="49">
        <f t="shared" si="129"/>
        <v>0</v>
      </c>
      <c r="BH68" s="49">
        <f t="shared" si="130"/>
        <v>53223.7618</v>
      </c>
      <c r="BI68" s="49">
        <f t="shared" si="131"/>
        <v>0</v>
      </c>
      <c r="BJ68" s="49">
        <f t="shared" si="132"/>
        <v>0</v>
      </c>
      <c r="BK68" s="49">
        <f t="shared" si="133"/>
        <v>0</v>
      </c>
      <c r="BL68" s="49">
        <f t="shared" si="134"/>
        <v>0</v>
      </c>
      <c r="BM68" s="49">
        <f t="shared" si="135"/>
        <v>0</v>
      </c>
      <c r="BN68" s="49">
        <f t="shared" si="136"/>
        <v>0</v>
      </c>
      <c r="BO68" s="49">
        <f t="shared" si="137"/>
        <v>0</v>
      </c>
      <c r="BP68" s="49">
        <f t="shared" si="138"/>
        <v>0</v>
      </c>
      <c r="BQ68" s="49">
        <f t="shared" si="139"/>
        <v>36288.928500000002</v>
      </c>
      <c r="BR68" s="49">
        <f t="shared" si="140"/>
        <v>0</v>
      </c>
      <c r="BS68" s="49">
        <f t="shared" si="141"/>
        <v>0</v>
      </c>
      <c r="BT68" s="49">
        <f t="shared" si="142"/>
        <v>36288.928500000002</v>
      </c>
      <c r="BU68" s="49">
        <f t="shared" si="143"/>
        <v>0</v>
      </c>
      <c r="BV68" s="49">
        <f t="shared" si="144"/>
        <v>0</v>
      </c>
      <c r="BW68" s="49">
        <f t="shared" si="145"/>
        <v>0</v>
      </c>
      <c r="BX68" s="49">
        <f t="shared" si="146"/>
        <v>0</v>
      </c>
      <c r="BY68" s="49">
        <f t="shared" si="147"/>
        <v>0</v>
      </c>
      <c r="BZ68" s="49">
        <f t="shared" si="148"/>
        <v>0</v>
      </c>
      <c r="CA68" s="49">
        <f t="shared" si="149"/>
        <v>0</v>
      </c>
      <c r="CB68" s="49">
        <f t="shared" si="150"/>
        <v>0</v>
      </c>
      <c r="CC68" s="49">
        <f t="shared" si="151"/>
        <v>7257.7856999999995</v>
      </c>
      <c r="CD68" s="49">
        <f t="shared" si="152"/>
        <v>0</v>
      </c>
      <c r="CE68" s="49">
        <f t="shared" si="153"/>
        <v>0</v>
      </c>
      <c r="CF68" s="49">
        <f t="shared" si="154"/>
        <v>7257.7856999999995</v>
      </c>
      <c r="CG68" s="49">
        <f t="shared" si="155"/>
        <v>0</v>
      </c>
      <c r="CH68" s="49">
        <f t="shared" si="156"/>
        <v>0</v>
      </c>
      <c r="CI68" s="49">
        <f t="shared" si="157"/>
        <v>9677.0475999999999</v>
      </c>
      <c r="CJ68" s="49">
        <f t="shared" si="158"/>
        <v>0</v>
      </c>
      <c r="CK68" s="49">
        <f t="shared" si="159"/>
        <v>0</v>
      </c>
      <c r="CL68" s="49">
        <f t="shared" si="160"/>
        <v>9677.0475999999999</v>
      </c>
      <c r="CM68" s="49">
        <f t="shared" si="161"/>
        <v>0</v>
      </c>
      <c r="CN68" s="49">
        <f t="shared" si="162"/>
        <v>0</v>
      </c>
      <c r="CO68" s="49">
        <f t="shared" si="163"/>
        <v>53223.7618</v>
      </c>
      <c r="CP68" s="49">
        <f t="shared" si="164"/>
        <v>0</v>
      </c>
      <c r="CQ68" s="49">
        <f t="shared" si="165"/>
        <v>0</v>
      </c>
      <c r="CR68" s="81">
        <f t="shared" si="166"/>
        <v>53223.7618</v>
      </c>
      <c r="CS68" s="80">
        <f t="shared" si="167"/>
        <v>188702.42819999999</v>
      </c>
      <c r="CT68" s="54"/>
      <c r="CU68" s="3" t="str">
        <f t="shared" si="168"/>
        <v>ARS</v>
      </c>
      <c r="CV68" s="3">
        <f>VLOOKUP(CU68,DF:DG,2,0)</f>
        <v>6.9185169999999997E-4</v>
      </c>
      <c r="CW68" s="23">
        <f t="shared" si="169"/>
        <v>167.37704582602299</v>
      </c>
      <c r="CX68" s="23">
        <f t="shared" si="170"/>
        <v>0</v>
      </c>
      <c r="CY68" s="23">
        <f t="shared" si="171"/>
        <v>25.10655687390345</v>
      </c>
      <c r="CZ68" s="23">
        <f t="shared" si="172"/>
        <v>0</v>
      </c>
      <c r="DA68" s="23">
        <f t="shared" si="173"/>
        <v>5.021311374780689</v>
      </c>
      <c r="DB68" s="23">
        <f t="shared" si="174"/>
        <v>6.6950818330409199</v>
      </c>
      <c r="DC68" s="23">
        <f t="shared" si="175"/>
        <v>130.55409574429794</v>
      </c>
      <c r="DD68" s="34" t="str">
        <f>VLOOKUP(A68,'Billing Report'!H:I,2,FALSE)</f>
        <v>FW_MSC_LOLLA_EXBRD_BRD_NAC_REACH_X</v>
      </c>
      <c r="DE68" s="34"/>
      <c r="DF68" s="61" t="s">
        <v>369</v>
      </c>
      <c r="DG68" s="62">
        <v>2.7400000000000001E-8</v>
      </c>
      <c r="DH68"/>
      <c r="DI68" s="41"/>
      <c r="DJ68" s="41"/>
    </row>
    <row r="69" spans="1:114" ht="14.5" x14ac:dyDescent="0.35">
      <c r="A69" s="63">
        <v>40734151</v>
      </c>
      <c r="B69" s="3" t="s">
        <v>637</v>
      </c>
      <c r="C69" s="3">
        <v>321925201</v>
      </c>
      <c r="D69" s="3" t="s">
        <v>93</v>
      </c>
      <c r="G69" s="38">
        <v>296060.78000000003</v>
      </c>
      <c r="J69" s="33">
        <f>VLOOKUP($B69,'IMS Commission List'!E:CE,79,0)/100</f>
        <v>0.15</v>
      </c>
      <c r="K69" s="79">
        <f t="shared" si="88"/>
        <v>296060.78000000003</v>
      </c>
      <c r="L69" s="3" t="str">
        <f>VLOOKUP($B69,'IMS Commission List'!E:V,18,0)</f>
        <v>ARS</v>
      </c>
      <c r="M69" s="3">
        <v>1</v>
      </c>
      <c r="N69" s="3" t="str">
        <f>VLOOKUP($B69,'IMS Commission List'!E:T,16,0)</f>
        <v>MX</v>
      </c>
      <c r="O69" s="54">
        <f>VLOOKUP($B69,'IMS Commission List'!E:CF,80,0)</f>
        <v>4.9000000000000002E-2</v>
      </c>
      <c r="P69" s="54">
        <f>VLOOKUP($B69,'IMS Commission List'!E:CG,81,0)</f>
        <v>0.1575</v>
      </c>
      <c r="Q69" s="54">
        <f>VLOOKUP($B69,'IMS Commission List'!E:CP,90,0)</f>
        <v>0.03</v>
      </c>
      <c r="R69" s="54">
        <f>VLOOKUP($B69,'IMS Commission List'!E:CQ,91,0)</f>
        <v>0.04</v>
      </c>
      <c r="S69" s="47">
        <f t="shared" si="89"/>
        <v>0</v>
      </c>
      <c r="T69" s="48">
        <f t="shared" si="90"/>
        <v>0</v>
      </c>
      <c r="U69" s="48">
        <f t="shared" si="91"/>
        <v>296060.78000000003</v>
      </c>
      <c r="V69" s="48">
        <f t="shared" si="92"/>
        <v>0</v>
      </c>
      <c r="W69" s="48">
        <f t="shared" si="93"/>
        <v>0</v>
      </c>
      <c r="X69" s="49">
        <f t="shared" si="94"/>
        <v>296060.78000000003</v>
      </c>
      <c r="Y69" s="49">
        <f t="shared" si="95"/>
        <v>0</v>
      </c>
      <c r="Z69" s="49">
        <f t="shared" si="96"/>
        <v>0</v>
      </c>
      <c r="AA69" s="49">
        <f t="shared" si="97"/>
        <v>12330.931487000002</v>
      </c>
      <c r="AB69" s="49">
        <f t="shared" si="98"/>
        <v>0</v>
      </c>
      <c r="AC69" s="49">
        <f t="shared" si="99"/>
        <v>0</v>
      </c>
      <c r="AD69" s="49">
        <f t="shared" si="100"/>
        <v>12330.931487000002</v>
      </c>
      <c r="AE69" s="49">
        <f t="shared" si="101"/>
        <v>0</v>
      </c>
      <c r="AF69" s="49">
        <f t="shared" si="102"/>
        <v>0</v>
      </c>
      <c r="AG69" s="49">
        <f t="shared" si="103"/>
        <v>44409.117000000006</v>
      </c>
      <c r="AH69" s="49">
        <f t="shared" si="104"/>
        <v>0</v>
      </c>
      <c r="AI69" s="49">
        <f t="shared" si="105"/>
        <v>0</v>
      </c>
      <c r="AJ69" s="49">
        <f t="shared" si="106"/>
        <v>44409.117000000006</v>
      </c>
      <c r="AK69" s="49">
        <f t="shared" si="107"/>
        <v>0</v>
      </c>
      <c r="AL69" s="49">
        <f t="shared" si="108"/>
        <v>0</v>
      </c>
      <c r="AM69" s="49">
        <f t="shared" si="109"/>
        <v>39635.136922500002</v>
      </c>
      <c r="AN69" s="49">
        <f t="shared" si="110"/>
        <v>0</v>
      </c>
      <c r="AO69" s="49">
        <f t="shared" si="111"/>
        <v>0</v>
      </c>
      <c r="AP69" s="49">
        <f t="shared" si="112"/>
        <v>39635.136922500002</v>
      </c>
      <c r="AQ69" s="49">
        <f t="shared" si="113"/>
        <v>0</v>
      </c>
      <c r="AR69" s="49">
        <f t="shared" si="114"/>
        <v>0</v>
      </c>
      <c r="AS69" s="49">
        <f t="shared" si="115"/>
        <v>8881.8234000000011</v>
      </c>
      <c r="AT69" s="49">
        <f t="shared" si="116"/>
        <v>0</v>
      </c>
      <c r="AU69" s="49">
        <f t="shared" si="117"/>
        <v>0</v>
      </c>
      <c r="AV69" s="49">
        <f t="shared" si="118"/>
        <v>8881.8234000000011</v>
      </c>
      <c r="AW69" s="49">
        <f t="shared" si="119"/>
        <v>0</v>
      </c>
      <c r="AX69" s="49">
        <f t="shared" si="120"/>
        <v>0</v>
      </c>
      <c r="AY69" s="49">
        <f t="shared" si="121"/>
        <v>11842.431200000001</v>
      </c>
      <c r="AZ69" s="49">
        <f t="shared" si="122"/>
        <v>0</v>
      </c>
      <c r="BA69" s="49">
        <f t="shared" si="123"/>
        <v>0</v>
      </c>
      <c r="BB69" s="49">
        <f t="shared" si="124"/>
        <v>11842.431200000001</v>
      </c>
      <c r="BC69" s="49">
        <f t="shared" si="125"/>
        <v>0</v>
      </c>
      <c r="BD69" s="49">
        <f t="shared" si="126"/>
        <v>0</v>
      </c>
      <c r="BE69" s="49">
        <f t="shared" si="127"/>
        <v>117099.4400095</v>
      </c>
      <c r="BF69" s="49">
        <f t="shared" si="128"/>
        <v>0</v>
      </c>
      <c r="BG69" s="49">
        <f t="shared" si="129"/>
        <v>0</v>
      </c>
      <c r="BH69" s="49">
        <f t="shared" si="130"/>
        <v>117099.4400095</v>
      </c>
      <c r="BI69" s="49">
        <f t="shared" si="131"/>
        <v>0</v>
      </c>
      <c r="BJ69" s="49">
        <f t="shared" si="132"/>
        <v>0</v>
      </c>
      <c r="BK69" s="49">
        <f t="shared" si="133"/>
        <v>12330.931487000002</v>
      </c>
      <c r="BL69" s="49">
        <f t="shared" si="134"/>
        <v>0</v>
      </c>
      <c r="BM69" s="49">
        <f t="shared" si="135"/>
        <v>0</v>
      </c>
      <c r="BN69" s="49">
        <f t="shared" si="136"/>
        <v>12330.931487000002</v>
      </c>
      <c r="BO69" s="49">
        <f t="shared" si="137"/>
        <v>0</v>
      </c>
      <c r="BP69" s="49">
        <f t="shared" si="138"/>
        <v>0</v>
      </c>
      <c r="BQ69" s="49">
        <f t="shared" si="139"/>
        <v>44409.117000000006</v>
      </c>
      <c r="BR69" s="49">
        <f t="shared" si="140"/>
        <v>0</v>
      </c>
      <c r="BS69" s="49">
        <f t="shared" si="141"/>
        <v>0</v>
      </c>
      <c r="BT69" s="49">
        <f t="shared" si="142"/>
        <v>44409.117000000006</v>
      </c>
      <c r="BU69" s="49">
        <f t="shared" si="143"/>
        <v>0</v>
      </c>
      <c r="BV69" s="49">
        <f t="shared" si="144"/>
        <v>0</v>
      </c>
      <c r="BW69" s="49">
        <f t="shared" si="145"/>
        <v>39635.136922500002</v>
      </c>
      <c r="BX69" s="49">
        <f t="shared" si="146"/>
        <v>0</v>
      </c>
      <c r="BY69" s="49">
        <f t="shared" si="147"/>
        <v>0</v>
      </c>
      <c r="BZ69" s="49">
        <f t="shared" si="148"/>
        <v>39635.136922500002</v>
      </c>
      <c r="CA69" s="49">
        <f t="shared" si="149"/>
        <v>0</v>
      </c>
      <c r="CB69" s="49">
        <f t="shared" si="150"/>
        <v>0</v>
      </c>
      <c r="CC69" s="49">
        <f t="shared" si="151"/>
        <v>8881.8234000000011</v>
      </c>
      <c r="CD69" s="49">
        <f t="shared" si="152"/>
        <v>0</v>
      </c>
      <c r="CE69" s="49">
        <f t="shared" si="153"/>
        <v>0</v>
      </c>
      <c r="CF69" s="49">
        <f t="shared" si="154"/>
        <v>8881.8234000000011</v>
      </c>
      <c r="CG69" s="49">
        <f t="shared" si="155"/>
        <v>0</v>
      </c>
      <c r="CH69" s="49">
        <f t="shared" si="156"/>
        <v>0</v>
      </c>
      <c r="CI69" s="49">
        <f t="shared" si="157"/>
        <v>11842.431200000001</v>
      </c>
      <c r="CJ69" s="49">
        <f t="shared" si="158"/>
        <v>0</v>
      </c>
      <c r="CK69" s="49">
        <f t="shared" si="159"/>
        <v>0</v>
      </c>
      <c r="CL69" s="49">
        <f t="shared" si="160"/>
        <v>11842.431200000001</v>
      </c>
      <c r="CM69" s="49">
        <f t="shared" si="161"/>
        <v>0</v>
      </c>
      <c r="CN69" s="49">
        <f t="shared" si="162"/>
        <v>0</v>
      </c>
      <c r="CO69" s="49">
        <f t="shared" si="163"/>
        <v>117099.4400095</v>
      </c>
      <c r="CP69" s="49">
        <f t="shared" si="164"/>
        <v>0</v>
      </c>
      <c r="CQ69" s="49">
        <f t="shared" si="165"/>
        <v>0</v>
      </c>
      <c r="CR69" s="81">
        <f t="shared" si="166"/>
        <v>117099.4400095</v>
      </c>
      <c r="CS69" s="80">
        <f t="shared" si="167"/>
        <v>178961.33999050001</v>
      </c>
      <c r="CT69" s="54"/>
      <c r="CU69" s="3" t="str">
        <f t="shared" si="168"/>
        <v>ARS</v>
      </c>
      <c r="CV69" s="3">
        <f>VLOOKUP(CU69,DF:DG,2,0)</f>
        <v>6.9185169999999997E-4</v>
      </c>
      <c r="CW69" s="23">
        <f t="shared" si="169"/>
        <v>204.83015394632602</v>
      </c>
      <c r="CX69" s="23">
        <f t="shared" si="170"/>
        <v>8.5311759118644783</v>
      </c>
      <c r="CY69" s="23">
        <f t="shared" si="171"/>
        <v>30.724523091948903</v>
      </c>
      <c r="CZ69" s="23">
        <f t="shared" si="172"/>
        <v>27.421636859564394</v>
      </c>
      <c r="DA69" s="23">
        <f t="shared" si="173"/>
        <v>6.1449046183897806</v>
      </c>
      <c r="DB69" s="23">
        <f t="shared" si="174"/>
        <v>8.1932061578530408</v>
      </c>
      <c r="DC69" s="23">
        <f t="shared" si="175"/>
        <v>123.81470730670542</v>
      </c>
      <c r="DD69" s="34" t="str">
        <f>VLOOKUP(A69,'Billing Report'!H:I,2,FALSE)</f>
        <v>ypf_combustibles-tw-alcance-season-verano2026_bdd-2025-dic</v>
      </c>
      <c r="DE69" s="34"/>
      <c r="DF69" s="61" t="s">
        <v>313</v>
      </c>
      <c r="DG69" s="62">
        <v>3.85582E-5</v>
      </c>
      <c r="DH69"/>
      <c r="DI69" s="41"/>
      <c r="DJ69" s="41"/>
    </row>
    <row r="70" spans="1:114" ht="14.5" x14ac:dyDescent="0.35">
      <c r="A70" s="63">
        <v>40734032</v>
      </c>
      <c r="B70" s="3" t="s">
        <v>637</v>
      </c>
      <c r="C70" s="3">
        <v>321925201</v>
      </c>
      <c r="D70" s="3" t="s">
        <v>93</v>
      </c>
      <c r="G70" s="38">
        <v>1381796.3800000001</v>
      </c>
      <c r="J70" s="33">
        <f>VLOOKUP($B70,'IMS Commission List'!E:CE,79,0)/100</f>
        <v>0.15</v>
      </c>
      <c r="K70" s="79">
        <f t="shared" si="88"/>
        <v>1381796.3800000001</v>
      </c>
      <c r="L70" s="3" t="str">
        <f>VLOOKUP($B70,'IMS Commission List'!E:V,18,0)</f>
        <v>ARS</v>
      </c>
      <c r="M70" s="3">
        <v>1</v>
      </c>
      <c r="N70" s="3" t="str">
        <f>VLOOKUP($B70,'IMS Commission List'!E:T,16,0)</f>
        <v>MX</v>
      </c>
      <c r="O70" s="54">
        <f>VLOOKUP($B70,'IMS Commission List'!E:CF,80,0)</f>
        <v>4.9000000000000002E-2</v>
      </c>
      <c r="P70" s="54">
        <f>VLOOKUP($B70,'IMS Commission List'!E:CG,81,0)</f>
        <v>0.1575</v>
      </c>
      <c r="Q70" s="54">
        <f>VLOOKUP($B70,'IMS Commission List'!E:CP,90,0)</f>
        <v>0.03</v>
      </c>
      <c r="R70" s="54">
        <f>VLOOKUP($B70,'IMS Commission List'!E:CQ,91,0)</f>
        <v>0.04</v>
      </c>
      <c r="S70" s="47">
        <f t="shared" si="89"/>
        <v>0</v>
      </c>
      <c r="T70" s="48">
        <f t="shared" si="90"/>
        <v>0</v>
      </c>
      <c r="U70" s="48">
        <f t="shared" si="91"/>
        <v>1381796.3800000001</v>
      </c>
      <c r="V70" s="48">
        <f t="shared" si="92"/>
        <v>0</v>
      </c>
      <c r="W70" s="48">
        <f t="shared" si="93"/>
        <v>0</v>
      </c>
      <c r="X70" s="49">
        <f t="shared" si="94"/>
        <v>1381796.3800000001</v>
      </c>
      <c r="Y70" s="49">
        <f t="shared" si="95"/>
        <v>0</v>
      </c>
      <c r="Z70" s="49">
        <f t="shared" si="96"/>
        <v>0</v>
      </c>
      <c r="AA70" s="49">
        <f t="shared" si="97"/>
        <v>57551.819227</v>
      </c>
      <c r="AB70" s="49">
        <f t="shared" si="98"/>
        <v>0</v>
      </c>
      <c r="AC70" s="49">
        <f t="shared" si="99"/>
        <v>0</v>
      </c>
      <c r="AD70" s="49">
        <f t="shared" si="100"/>
        <v>57551.819227</v>
      </c>
      <c r="AE70" s="49">
        <f t="shared" si="101"/>
        <v>0</v>
      </c>
      <c r="AF70" s="49">
        <f t="shared" si="102"/>
        <v>0</v>
      </c>
      <c r="AG70" s="49">
        <f t="shared" si="103"/>
        <v>207269.45700000002</v>
      </c>
      <c r="AH70" s="49">
        <f t="shared" si="104"/>
        <v>0</v>
      </c>
      <c r="AI70" s="49">
        <f t="shared" si="105"/>
        <v>0</v>
      </c>
      <c r="AJ70" s="49">
        <f t="shared" si="106"/>
        <v>207269.45700000002</v>
      </c>
      <c r="AK70" s="49">
        <f t="shared" si="107"/>
        <v>0</v>
      </c>
      <c r="AL70" s="49">
        <f t="shared" si="108"/>
        <v>0</v>
      </c>
      <c r="AM70" s="49">
        <f t="shared" si="109"/>
        <v>184987.9903725</v>
      </c>
      <c r="AN70" s="49">
        <f t="shared" si="110"/>
        <v>0</v>
      </c>
      <c r="AO70" s="49">
        <f t="shared" si="111"/>
        <v>0</v>
      </c>
      <c r="AP70" s="49">
        <f t="shared" si="112"/>
        <v>184987.9903725</v>
      </c>
      <c r="AQ70" s="49">
        <f t="shared" si="113"/>
        <v>0</v>
      </c>
      <c r="AR70" s="49">
        <f t="shared" si="114"/>
        <v>0</v>
      </c>
      <c r="AS70" s="49">
        <f t="shared" si="115"/>
        <v>41453.8914</v>
      </c>
      <c r="AT70" s="49">
        <f t="shared" si="116"/>
        <v>0</v>
      </c>
      <c r="AU70" s="49">
        <f t="shared" si="117"/>
        <v>0</v>
      </c>
      <c r="AV70" s="49">
        <f t="shared" si="118"/>
        <v>41453.8914</v>
      </c>
      <c r="AW70" s="49">
        <f t="shared" si="119"/>
        <v>0</v>
      </c>
      <c r="AX70" s="49">
        <f t="shared" si="120"/>
        <v>0</v>
      </c>
      <c r="AY70" s="49">
        <f t="shared" si="121"/>
        <v>55271.855200000005</v>
      </c>
      <c r="AZ70" s="49">
        <f t="shared" si="122"/>
        <v>0</v>
      </c>
      <c r="BA70" s="49">
        <f t="shared" si="123"/>
        <v>0</v>
      </c>
      <c r="BB70" s="49">
        <f t="shared" si="124"/>
        <v>55271.855200000005</v>
      </c>
      <c r="BC70" s="49">
        <f t="shared" si="125"/>
        <v>0</v>
      </c>
      <c r="BD70" s="49">
        <f t="shared" si="126"/>
        <v>0</v>
      </c>
      <c r="BE70" s="49">
        <f t="shared" si="127"/>
        <v>546535.01319950016</v>
      </c>
      <c r="BF70" s="49">
        <f t="shared" si="128"/>
        <v>0</v>
      </c>
      <c r="BG70" s="49">
        <f t="shared" si="129"/>
        <v>0</v>
      </c>
      <c r="BH70" s="49">
        <f t="shared" si="130"/>
        <v>546535.01319950016</v>
      </c>
      <c r="BI70" s="49">
        <f t="shared" si="131"/>
        <v>0</v>
      </c>
      <c r="BJ70" s="49">
        <f t="shared" si="132"/>
        <v>0</v>
      </c>
      <c r="BK70" s="49">
        <f t="shared" si="133"/>
        <v>57551.819227</v>
      </c>
      <c r="BL70" s="49">
        <f t="shared" si="134"/>
        <v>0</v>
      </c>
      <c r="BM70" s="49">
        <f t="shared" si="135"/>
        <v>0</v>
      </c>
      <c r="BN70" s="49">
        <f t="shared" si="136"/>
        <v>57551.819227</v>
      </c>
      <c r="BO70" s="49">
        <f t="shared" si="137"/>
        <v>0</v>
      </c>
      <c r="BP70" s="49">
        <f t="shared" si="138"/>
        <v>0</v>
      </c>
      <c r="BQ70" s="49">
        <f t="shared" si="139"/>
        <v>207269.45700000002</v>
      </c>
      <c r="BR70" s="49">
        <f t="shared" si="140"/>
        <v>0</v>
      </c>
      <c r="BS70" s="49">
        <f t="shared" si="141"/>
        <v>0</v>
      </c>
      <c r="BT70" s="49">
        <f t="shared" si="142"/>
        <v>207269.45700000002</v>
      </c>
      <c r="BU70" s="49">
        <f t="shared" si="143"/>
        <v>0</v>
      </c>
      <c r="BV70" s="49">
        <f t="shared" si="144"/>
        <v>0</v>
      </c>
      <c r="BW70" s="49">
        <f t="shared" si="145"/>
        <v>184987.9903725</v>
      </c>
      <c r="BX70" s="49">
        <f t="shared" si="146"/>
        <v>0</v>
      </c>
      <c r="BY70" s="49">
        <f t="shared" si="147"/>
        <v>0</v>
      </c>
      <c r="BZ70" s="49">
        <f t="shared" si="148"/>
        <v>184987.9903725</v>
      </c>
      <c r="CA70" s="49">
        <f t="shared" si="149"/>
        <v>0</v>
      </c>
      <c r="CB70" s="49">
        <f t="shared" si="150"/>
        <v>0</v>
      </c>
      <c r="CC70" s="49">
        <f t="shared" si="151"/>
        <v>41453.8914</v>
      </c>
      <c r="CD70" s="49">
        <f t="shared" si="152"/>
        <v>0</v>
      </c>
      <c r="CE70" s="49">
        <f t="shared" si="153"/>
        <v>0</v>
      </c>
      <c r="CF70" s="49">
        <f t="shared" si="154"/>
        <v>41453.8914</v>
      </c>
      <c r="CG70" s="49">
        <f t="shared" si="155"/>
        <v>0</v>
      </c>
      <c r="CH70" s="49">
        <f t="shared" si="156"/>
        <v>0</v>
      </c>
      <c r="CI70" s="49">
        <f t="shared" si="157"/>
        <v>55271.855200000005</v>
      </c>
      <c r="CJ70" s="49">
        <f t="shared" si="158"/>
        <v>0</v>
      </c>
      <c r="CK70" s="49">
        <f t="shared" si="159"/>
        <v>0</v>
      </c>
      <c r="CL70" s="49">
        <f t="shared" si="160"/>
        <v>55271.855200000005</v>
      </c>
      <c r="CM70" s="49">
        <f t="shared" si="161"/>
        <v>0</v>
      </c>
      <c r="CN70" s="49">
        <f t="shared" si="162"/>
        <v>0</v>
      </c>
      <c r="CO70" s="49">
        <f t="shared" si="163"/>
        <v>546535.01319950016</v>
      </c>
      <c r="CP70" s="49">
        <f t="shared" si="164"/>
        <v>0</v>
      </c>
      <c r="CQ70" s="49">
        <f t="shared" si="165"/>
        <v>0</v>
      </c>
      <c r="CR70" s="81">
        <f t="shared" si="166"/>
        <v>546535.01319950016</v>
      </c>
      <c r="CS70" s="80">
        <f t="shared" si="167"/>
        <v>835261.36680049996</v>
      </c>
      <c r="CT70" s="54"/>
      <c r="CU70" s="3" t="str">
        <f t="shared" si="168"/>
        <v>ARS</v>
      </c>
      <c r="CV70" s="3">
        <f>VLOOKUP(CU70,DF:DG,2,0)</f>
        <v>6.9185169999999997E-4</v>
      </c>
      <c r="CW70" s="23">
        <f t="shared" si="169"/>
        <v>955.99817455684604</v>
      </c>
      <c r="CX70" s="23">
        <f t="shared" si="170"/>
        <v>39.817323970292634</v>
      </c>
      <c r="CY70" s="23">
        <f t="shared" si="171"/>
        <v>143.39972618352692</v>
      </c>
      <c r="CZ70" s="23">
        <f t="shared" si="172"/>
        <v>127.98425561879776</v>
      </c>
      <c r="DA70" s="23">
        <f t="shared" si="173"/>
        <v>28.679945236705379</v>
      </c>
      <c r="DB70" s="23">
        <f t="shared" si="174"/>
        <v>38.239926982273843</v>
      </c>
      <c r="DC70" s="23">
        <f t="shared" si="175"/>
        <v>577.87699656524944</v>
      </c>
      <c r="DD70" s="34" t="str">
        <f>VLOOKUP(A70,'Billing Report'!H:I,2,FALSE)</f>
        <v>ypf_combustibles-tw-alcance-season-verano2026_intereses-2025-dic</v>
      </c>
      <c r="DE70" s="34"/>
      <c r="DF70" s="61" t="s">
        <v>241</v>
      </c>
      <c r="DG70" s="62">
        <v>6.26223484E-2</v>
      </c>
      <c r="DH70"/>
      <c r="DI70" s="41"/>
      <c r="DJ70" s="41"/>
    </row>
    <row r="71" spans="1:114" ht="14.5" x14ac:dyDescent="0.35">
      <c r="A71" s="63">
        <v>40734874</v>
      </c>
      <c r="B71" s="3" t="s">
        <v>666</v>
      </c>
      <c r="C71" s="3">
        <v>321953101</v>
      </c>
      <c r="D71" s="3" t="s">
        <v>93</v>
      </c>
      <c r="G71" s="38">
        <v>1952420.44</v>
      </c>
      <c r="J71" s="33">
        <f>VLOOKUP($B71,'IMS Commission List'!E:CE,79,0)/100</f>
        <v>0.08</v>
      </c>
      <c r="K71" s="79">
        <f t="shared" ref="K71:K102" si="176">SUM(E71:I71)</f>
        <v>1952420.44</v>
      </c>
      <c r="L71" s="3" t="str">
        <f>VLOOKUP($B71,'IMS Commission List'!E:V,18,0)</f>
        <v>ARS</v>
      </c>
      <c r="M71" s="3">
        <v>1</v>
      </c>
      <c r="N71" s="3" t="str">
        <f>VLOOKUP($B71,'IMS Commission List'!E:T,16,0)</f>
        <v>MX</v>
      </c>
      <c r="O71" s="54">
        <f>VLOOKUP($B71,'IMS Commission List'!E:CF,80,0)</f>
        <v>4.9000000000000002E-2</v>
      </c>
      <c r="P71" s="54">
        <f>VLOOKUP($B71,'IMS Commission List'!E:CG,81,0)</f>
        <v>0.1575</v>
      </c>
      <c r="Q71" s="54">
        <f>VLOOKUP($B71,'IMS Commission List'!E:CP,90,0)</f>
        <v>0.03</v>
      </c>
      <c r="R71" s="54">
        <f>VLOOKUP($B71,'IMS Commission List'!E:CQ,91,0)</f>
        <v>0.04</v>
      </c>
      <c r="S71" s="47">
        <f t="shared" ref="S71:S102" si="177">$E71*$M71</f>
        <v>0</v>
      </c>
      <c r="T71" s="48">
        <f t="shared" ref="T71:T102" si="178">$F71*$M71</f>
        <v>0</v>
      </c>
      <c r="U71" s="48">
        <f t="shared" ref="U71:U102" si="179">$G71*$M71</f>
        <v>1952420.44</v>
      </c>
      <c r="V71" s="48">
        <f t="shared" ref="V71:V102" si="180">$H71*$M71</f>
        <v>0</v>
      </c>
      <c r="W71" s="48">
        <f t="shared" ref="W71:W102" si="181">$I71*$M71</f>
        <v>0</v>
      </c>
      <c r="X71" s="49">
        <f t="shared" ref="X71:X102" si="182">$K71*$M71</f>
        <v>1952420.44</v>
      </c>
      <c r="Y71" s="49">
        <f t="shared" ref="Y71:Y102" si="183">(S71*$O71)*(1-J71)</f>
        <v>0</v>
      </c>
      <c r="Z71" s="49">
        <f t="shared" ref="Z71:Z102" si="184">(T71*$O71)*(1-J71)</f>
        <v>0</v>
      </c>
      <c r="AA71" s="49">
        <f t="shared" ref="AA71:AA102" si="185">(U71*$O71)*(1-J71)</f>
        <v>88015.113435199994</v>
      </c>
      <c r="AB71" s="49">
        <f t="shared" ref="AB71:AB102" si="186">(V71*$O71)*(1-J71)</f>
        <v>0</v>
      </c>
      <c r="AC71" s="49">
        <f t="shared" ref="AC71:AC102" si="187">(W71*$O71)*(1-J71)</f>
        <v>0</v>
      </c>
      <c r="AD71" s="49">
        <f t="shared" ref="AD71:AD102" si="188">SUM(Y71:AC71)</f>
        <v>88015.113435199994</v>
      </c>
      <c r="AE71" s="49">
        <f t="shared" ref="AE71:AE102" si="189">S71*$J71</f>
        <v>0</v>
      </c>
      <c r="AF71" s="49">
        <f t="shared" ref="AF71:AF102" si="190">T71*$J71</f>
        <v>0</v>
      </c>
      <c r="AG71" s="49">
        <f t="shared" ref="AG71:AG102" si="191">U71*$J71</f>
        <v>156193.63519999999</v>
      </c>
      <c r="AH71" s="49">
        <f t="shared" ref="AH71:AH102" si="192">V71*$J71</f>
        <v>0</v>
      </c>
      <c r="AI71" s="49">
        <f t="shared" ref="AI71:AI102" si="193">W71*$J71</f>
        <v>0</v>
      </c>
      <c r="AJ71" s="49">
        <f t="shared" ref="AJ71:AJ102" si="194">SUM(AE71:AI71)</f>
        <v>156193.63519999999</v>
      </c>
      <c r="AK71" s="49">
        <f t="shared" ref="AK71:AK102" si="195">($P71*S71)*(1-$J71)</f>
        <v>0</v>
      </c>
      <c r="AL71" s="49">
        <f t="shared" ref="AL71:AL102" si="196">($P71*T71)*(1-$J71)</f>
        <v>0</v>
      </c>
      <c r="AM71" s="49">
        <f t="shared" ref="AM71:AM102" si="197">($P71*U71)*(1-$J71)</f>
        <v>282905.72175600001</v>
      </c>
      <c r="AN71" s="49">
        <f t="shared" ref="AN71:AN102" si="198">($P71*V71)*(1-$J71)</f>
        <v>0</v>
      </c>
      <c r="AO71" s="49">
        <f t="shared" ref="AO71:AO102" si="199">($P71*W71)*(1-$J71)</f>
        <v>0</v>
      </c>
      <c r="AP71" s="49">
        <f t="shared" ref="AP71:AP102" si="200">SUM(AK71:AO71)</f>
        <v>282905.72175600001</v>
      </c>
      <c r="AQ71" s="49">
        <f t="shared" ref="AQ71:AQ102" si="201">S71*$Q71</f>
        <v>0</v>
      </c>
      <c r="AR71" s="49">
        <f t="shared" ref="AR71:AR102" si="202">T71*$Q71</f>
        <v>0</v>
      </c>
      <c r="AS71" s="49">
        <f t="shared" ref="AS71:AS102" si="203">U71*$Q71</f>
        <v>58572.6132</v>
      </c>
      <c r="AT71" s="49">
        <f t="shared" ref="AT71:AT102" si="204">V71*$Q71</f>
        <v>0</v>
      </c>
      <c r="AU71" s="49">
        <f t="shared" ref="AU71:AU102" si="205">W71*$Q71</f>
        <v>0</v>
      </c>
      <c r="AV71" s="49">
        <f t="shared" ref="AV71:AV102" si="206">SUM(AQ71:AU71)</f>
        <v>58572.6132</v>
      </c>
      <c r="AW71" s="49">
        <f t="shared" ref="AW71:AW102" si="207">S71*$R71</f>
        <v>0</v>
      </c>
      <c r="AX71" s="49">
        <f t="shared" ref="AX71:AX102" si="208">T71*$R71</f>
        <v>0</v>
      </c>
      <c r="AY71" s="49">
        <f t="shared" ref="AY71:AY102" si="209">U71*$R71</f>
        <v>78096.817599999995</v>
      </c>
      <c r="AZ71" s="49">
        <f t="shared" ref="AZ71:AZ102" si="210">V71*$R71</f>
        <v>0</v>
      </c>
      <c r="BA71" s="49">
        <f t="shared" ref="BA71:BA102" si="211">W71*$R71</f>
        <v>0</v>
      </c>
      <c r="BB71" s="49">
        <f t="shared" ref="BB71:BB102" si="212">SUM(AW71:BA71)</f>
        <v>78096.817599999995</v>
      </c>
      <c r="BC71" s="49">
        <f t="shared" ref="BC71:BC102" si="213">$Y71+$AE71+$AK71+$AQ71+AW71</f>
        <v>0</v>
      </c>
      <c r="BD71" s="49">
        <f t="shared" ref="BD71:BD102" si="214">$Z71+$AF71+$AL71+AR71+AX71</f>
        <v>0</v>
      </c>
      <c r="BE71" s="49">
        <f t="shared" ref="BE71:BE102" si="215">$AA71+$AG71+$AM71+AS71+AY71</f>
        <v>663783.9011911999</v>
      </c>
      <c r="BF71" s="49">
        <f t="shared" ref="BF71:BF102" si="216">$AB71+$AH71+$AN71+AT71+AZ71</f>
        <v>0</v>
      </c>
      <c r="BG71" s="49">
        <f t="shared" ref="BG71:BG102" si="217">$AC71+$AI71+$AO71+AU71+BA71</f>
        <v>0</v>
      </c>
      <c r="BH71" s="49">
        <f t="shared" ref="BH71:BH102" si="218">SUM(BC71:BG71)</f>
        <v>663783.9011911999</v>
      </c>
      <c r="BI71" s="49">
        <f t="shared" ref="BI71:BI102" si="219">$Y71/$M71</f>
        <v>0</v>
      </c>
      <c r="BJ71" s="49">
        <f t="shared" ref="BJ71:BJ102" si="220">$Z71/$M71</f>
        <v>0</v>
      </c>
      <c r="BK71" s="49">
        <f t="shared" ref="BK71:BK102" si="221">$AA71/$M71</f>
        <v>88015.113435199994</v>
      </c>
      <c r="BL71" s="49">
        <f t="shared" ref="BL71:BL102" si="222">$AB71/$M71</f>
        <v>0</v>
      </c>
      <c r="BM71" s="49">
        <f t="shared" ref="BM71:BM102" si="223">$AC71/$M71</f>
        <v>0</v>
      </c>
      <c r="BN71" s="49">
        <f t="shared" ref="BN71:BN102" si="224">$AD71/$M71</f>
        <v>88015.113435199994</v>
      </c>
      <c r="BO71" s="49">
        <f t="shared" ref="BO71:BO102" si="225">$AE71/$M71</f>
        <v>0</v>
      </c>
      <c r="BP71" s="49">
        <f t="shared" ref="BP71:BP102" si="226">$AF71/$M71</f>
        <v>0</v>
      </c>
      <c r="BQ71" s="49">
        <f t="shared" ref="BQ71:BQ102" si="227">$AG71/$M71</f>
        <v>156193.63519999999</v>
      </c>
      <c r="BR71" s="49">
        <f t="shared" ref="BR71:BR102" si="228">$AH71/$M71</f>
        <v>0</v>
      </c>
      <c r="BS71" s="49">
        <f t="shared" ref="BS71:BS102" si="229">$AI71/$M71</f>
        <v>0</v>
      </c>
      <c r="BT71" s="49">
        <f t="shared" ref="BT71:BT102" si="230">$AJ71/$M71</f>
        <v>156193.63519999999</v>
      </c>
      <c r="BU71" s="49">
        <f t="shared" ref="BU71:BU102" si="231">$AK71/$M71</f>
        <v>0</v>
      </c>
      <c r="BV71" s="49">
        <f t="shared" ref="BV71:BV102" si="232">$AL71/$M71</f>
        <v>0</v>
      </c>
      <c r="BW71" s="49">
        <f t="shared" ref="BW71:BW102" si="233">$AM71/$M71</f>
        <v>282905.72175600001</v>
      </c>
      <c r="BX71" s="49">
        <f t="shared" ref="BX71:BX102" si="234">$AN71/$M71</f>
        <v>0</v>
      </c>
      <c r="BY71" s="49">
        <f t="shared" ref="BY71:BY102" si="235">$AO71/$M71</f>
        <v>0</v>
      </c>
      <c r="BZ71" s="49">
        <f t="shared" ref="BZ71:BZ102" si="236">$AP71/$M71</f>
        <v>282905.72175600001</v>
      </c>
      <c r="CA71" s="49">
        <f t="shared" ref="CA71:CA102" si="237">AQ71/$M71</f>
        <v>0</v>
      </c>
      <c r="CB71" s="49">
        <f t="shared" ref="CB71:CB102" si="238">AR71/$M71</f>
        <v>0</v>
      </c>
      <c r="CC71" s="49">
        <f t="shared" ref="CC71:CC102" si="239">AS71/$M71</f>
        <v>58572.6132</v>
      </c>
      <c r="CD71" s="49">
        <f t="shared" ref="CD71:CD102" si="240">AT71/$M71</f>
        <v>0</v>
      </c>
      <c r="CE71" s="49">
        <f t="shared" ref="CE71:CE102" si="241">AU71/$M71</f>
        <v>0</v>
      </c>
      <c r="CF71" s="49">
        <f t="shared" ref="CF71:CF102" si="242">AV71/$M71</f>
        <v>58572.6132</v>
      </c>
      <c r="CG71" s="49">
        <f t="shared" ref="CG71:CG102" si="243">AW71/$M71</f>
        <v>0</v>
      </c>
      <c r="CH71" s="49">
        <f t="shared" ref="CH71:CH102" si="244">AX71/$M71</f>
        <v>0</v>
      </c>
      <c r="CI71" s="49">
        <f t="shared" ref="CI71:CI102" si="245">AY71/$M71</f>
        <v>78096.817599999995</v>
      </c>
      <c r="CJ71" s="49">
        <f t="shared" ref="CJ71:CJ102" si="246">AZ71/$M71</f>
        <v>0</v>
      </c>
      <c r="CK71" s="49">
        <f t="shared" ref="CK71:CK102" si="247">BA71/$M71</f>
        <v>0</v>
      </c>
      <c r="CL71" s="49">
        <f t="shared" ref="CL71:CL102" si="248">BB71/$M71</f>
        <v>78096.817599999995</v>
      </c>
      <c r="CM71" s="49">
        <f t="shared" ref="CM71:CM102" si="249">$BC71/$M71</f>
        <v>0</v>
      </c>
      <c r="CN71" s="49">
        <f t="shared" ref="CN71:CN102" si="250">$BD71/$M71</f>
        <v>0</v>
      </c>
      <c r="CO71" s="49">
        <f t="shared" ref="CO71:CO102" si="251">$BE71/$M71</f>
        <v>663783.9011911999</v>
      </c>
      <c r="CP71" s="49">
        <f t="shared" ref="CP71:CP102" si="252">$BF71/$M71</f>
        <v>0</v>
      </c>
      <c r="CQ71" s="49">
        <f t="shared" ref="CQ71:CQ102" si="253">$BG71/$M71</f>
        <v>0</v>
      </c>
      <c r="CR71" s="81">
        <f t="shared" ref="CR71:CR102" si="254">SUM(CM71:CQ71)</f>
        <v>663783.9011911999</v>
      </c>
      <c r="CS71" s="80">
        <f t="shared" ref="CS71:CS102" si="255">K71-CR71</f>
        <v>1288636.5388088</v>
      </c>
      <c r="CT71" s="54"/>
      <c r="CU71" s="3" t="str">
        <f t="shared" ref="CU71:CU102" si="256">D71</f>
        <v>ARS</v>
      </c>
      <c r="CV71" s="3">
        <f>VLOOKUP(CU71,DF:DG,2,0)</f>
        <v>6.9185169999999997E-4</v>
      </c>
      <c r="CW71" s="23">
        <f t="shared" ref="CW71:CW102" si="257">K71*CV71</f>
        <v>1350.7854005287479</v>
      </c>
      <c r="CX71" s="23">
        <f t="shared" ref="CX71:CX102" si="258">BN71*CV71</f>
        <v>60.893405855835951</v>
      </c>
      <c r="CY71" s="23">
        <f t="shared" ref="CY71:CY102" si="259">BT71*CV71</f>
        <v>108.06283204229983</v>
      </c>
      <c r="CZ71" s="23">
        <f t="shared" ref="CZ71:CZ102" si="260">BZ71*CV71</f>
        <v>195.7288045366156</v>
      </c>
      <c r="DA71" s="23">
        <f t="shared" ref="DA71:DA102" si="261">CF71*CV71</f>
        <v>40.523562015862439</v>
      </c>
      <c r="DB71" s="23">
        <f t="shared" ref="DB71:DB102" si="262">CL71*CV71</f>
        <v>54.031416021149916</v>
      </c>
      <c r="DC71" s="23">
        <f t="shared" ref="DC71:DC102" si="263">CS71*CV71</f>
        <v>891.5453800569843</v>
      </c>
      <c r="DD71" s="34" t="str">
        <f>VLOOKUP(A71,'Billing Report'!H:I,2,FALSE)</f>
        <v>MLA_ML_TW-TWT_GEN_X_BRD-F-GEN-X_ALL_REACH_SUMMER-26_X_36235263</v>
      </c>
      <c r="DE71" s="34"/>
      <c r="DF71" s="61" t="s">
        <v>312</v>
      </c>
      <c r="DG71" s="62">
        <v>5.0676904100000003E-2</v>
      </c>
      <c r="DH71"/>
      <c r="DI71" s="41"/>
      <c r="DJ71" s="41"/>
    </row>
    <row r="72" spans="1:114" ht="14.5" x14ac:dyDescent="0.35">
      <c r="A72" s="63">
        <v>40788989</v>
      </c>
      <c r="B72" s="3" t="s">
        <v>669</v>
      </c>
      <c r="C72" s="3">
        <v>322149801</v>
      </c>
      <c r="D72" s="3" t="s">
        <v>93</v>
      </c>
      <c r="G72" s="38">
        <v>474511.63</v>
      </c>
      <c r="J72" s="33">
        <f>VLOOKUP($B72,'IMS Commission List'!E:CE,79,0)/100</f>
        <v>0.15</v>
      </c>
      <c r="K72" s="79">
        <f t="shared" si="176"/>
        <v>474511.63</v>
      </c>
      <c r="L72" s="3" t="str">
        <f>VLOOKUP($B72,'IMS Commission List'!E:V,18,0)</f>
        <v>ARS</v>
      </c>
      <c r="M72" s="3">
        <v>1</v>
      </c>
      <c r="N72" s="3" t="str">
        <f>VLOOKUP($B72,'IMS Commission List'!E:T,16,0)</f>
        <v>MX</v>
      </c>
      <c r="O72" s="54">
        <f>VLOOKUP($B72,'IMS Commission List'!E:CF,80,0)</f>
        <v>4.9000000000000002E-2</v>
      </c>
      <c r="P72" s="54">
        <f>VLOOKUP($B72,'IMS Commission List'!E:CG,81,0)</f>
        <v>0.1575</v>
      </c>
      <c r="Q72" s="54">
        <f>VLOOKUP($B72,'IMS Commission List'!E:CP,90,0)</f>
        <v>0.03</v>
      </c>
      <c r="R72" s="54">
        <f>VLOOKUP($B72,'IMS Commission List'!E:CQ,91,0)</f>
        <v>0.04</v>
      </c>
      <c r="S72" s="47">
        <f t="shared" si="177"/>
        <v>0</v>
      </c>
      <c r="T72" s="48">
        <f t="shared" si="178"/>
        <v>0</v>
      </c>
      <c r="U72" s="48">
        <f t="shared" si="179"/>
        <v>474511.63</v>
      </c>
      <c r="V72" s="48">
        <f t="shared" si="180"/>
        <v>0</v>
      </c>
      <c r="W72" s="48">
        <f t="shared" si="181"/>
        <v>0</v>
      </c>
      <c r="X72" s="49">
        <f t="shared" si="182"/>
        <v>474511.63</v>
      </c>
      <c r="Y72" s="49">
        <f t="shared" si="183"/>
        <v>0</v>
      </c>
      <c r="Z72" s="49">
        <f t="shared" si="184"/>
        <v>0</v>
      </c>
      <c r="AA72" s="49">
        <f t="shared" si="185"/>
        <v>19763.409389500001</v>
      </c>
      <c r="AB72" s="49">
        <f t="shared" si="186"/>
        <v>0</v>
      </c>
      <c r="AC72" s="49">
        <f t="shared" si="187"/>
        <v>0</v>
      </c>
      <c r="AD72" s="49">
        <f t="shared" si="188"/>
        <v>19763.409389500001</v>
      </c>
      <c r="AE72" s="49">
        <f t="shared" si="189"/>
        <v>0</v>
      </c>
      <c r="AF72" s="49">
        <f t="shared" si="190"/>
        <v>0</v>
      </c>
      <c r="AG72" s="49">
        <f t="shared" si="191"/>
        <v>71176.744500000001</v>
      </c>
      <c r="AH72" s="49">
        <f t="shared" si="192"/>
        <v>0</v>
      </c>
      <c r="AI72" s="49">
        <f t="shared" si="193"/>
        <v>0</v>
      </c>
      <c r="AJ72" s="49">
        <f t="shared" si="194"/>
        <v>71176.744500000001</v>
      </c>
      <c r="AK72" s="49">
        <f t="shared" si="195"/>
        <v>0</v>
      </c>
      <c r="AL72" s="49">
        <f t="shared" si="196"/>
        <v>0</v>
      </c>
      <c r="AM72" s="49">
        <f t="shared" si="197"/>
        <v>63525.244466249998</v>
      </c>
      <c r="AN72" s="49">
        <f t="shared" si="198"/>
        <v>0</v>
      </c>
      <c r="AO72" s="49">
        <f t="shared" si="199"/>
        <v>0</v>
      </c>
      <c r="AP72" s="49">
        <f t="shared" si="200"/>
        <v>63525.244466249998</v>
      </c>
      <c r="AQ72" s="49">
        <f t="shared" si="201"/>
        <v>0</v>
      </c>
      <c r="AR72" s="49">
        <f t="shared" si="202"/>
        <v>0</v>
      </c>
      <c r="AS72" s="49">
        <f t="shared" si="203"/>
        <v>14235.348899999999</v>
      </c>
      <c r="AT72" s="49">
        <f t="shared" si="204"/>
        <v>0</v>
      </c>
      <c r="AU72" s="49">
        <f t="shared" si="205"/>
        <v>0</v>
      </c>
      <c r="AV72" s="49">
        <f t="shared" si="206"/>
        <v>14235.348899999999</v>
      </c>
      <c r="AW72" s="49">
        <f t="shared" si="207"/>
        <v>0</v>
      </c>
      <c r="AX72" s="49">
        <f t="shared" si="208"/>
        <v>0</v>
      </c>
      <c r="AY72" s="49">
        <f t="shared" si="209"/>
        <v>18980.465200000002</v>
      </c>
      <c r="AZ72" s="49">
        <f t="shared" si="210"/>
        <v>0</v>
      </c>
      <c r="BA72" s="49">
        <f t="shared" si="211"/>
        <v>0</v>
      </c>
      <c r="BB72" s="49">
        <f t="shared" si="212"/>
        <v>18980.465200000002</v>
      </c>
      <c r="BC72" s="49">
        <f t="shared" si="213"/>
        <v>0</v>
      </c>
      <c r="BD72" s="49">
        <f t="shared" si="214"/>
        <v>0</v>
      </c>
      <c r="BE72" s="49">
        <f t="shared" si="215"/>
        <v>187681.21245575001</v>
      </c>
      <c r="BF72" s="49">
        <f t="shared" si="216"/>
        <v>0</v>
      </c>
      <c r="BG72" s="49">
        <f t="shared" si="217"/>
        <v>0</v>
      </c>
      <c r="BH72" s="49">
        <f t="shared" si="218"/>
        <v>187681.21245575001</v>
      </c>
      <c r="BI72" s="49">
        <f t="shared" si="219"/>
        <v>0</v>
      </c>
      <c r="BJ72" s="49">
        <f t="shared" si="220"/>
        <v>0</v>
      </c>
      <c r="BK72" s="49">
        <f t="shared" si="221"/>
        <v>19763.409389500001</v>
      </c>
      <c r="BL72" s="49">
        <f t="shared" si="222"/>
        <v>0</v>
      </c>
      <c r="BM72" s="49">
        <f t="shared" si="223"/>
        <v>0</v>
      </c>
      <c r="BN72" s="49">
        <f t="shared" si="224"/>
        <v>19763.409389500001</v>
      </c>
      <c r="BO72" s="49">
        <f t="shared" si="225"/>
        <v>0</v>
      </c>
      <c r="BP72" s="49">
        <f t="shared" si="226"/>
        <v>0</v>
      </c>
      <c r="BQ72" s="49">
        <f t="shared" si="227"/>
        <v>71176.744500000001</v>
      </c>
      <c r="BR72" s="49">
        <f t="shared" si="228"/>
        <v>0</v>
      </c>
      <c r="BS72" s="49">
        <f t="shared" si="229"/>
        <v>0</v>
      </c>
      <c r="BT72" s="49">
        <f t="shared" si="230"/>
        <v>71176.744500000001</v>
      </c>
      <c r="BU72" s="49">
        <f t="shared" si="231"/>
        <v>0</v>
      </c>
      <c r="BV72" s="49">
        <f t="shared" si="232"/>
        <v>0</v>
      </c>
      <c r="BW72" s="49">
        <f t="shared" si="233"/>
        <v>63525.244466249998</v>
      </c>
      <c r="BX72" s="49">
        <f t="shared" si="234"/>
        <v>0</v>
      </c>
      <c r="BY72" s="49">
        <f t="shared" si="235"/>
        <v>0</v>
      </c>
      <c r="BZ72" s="49">
        <f t="shared" si="236"/>
        <v>63525.244466249998</v>
      </c>
      <c r="CA72" s="49">
        <f t="shared" si="237"/>
        <v>0</v>
      </c>
      <c r="CB72" s="49">
        <f t="shared" si="238"/>
        <v>0</v>
      </c>
      <c r="CC72" s="49">
        <f t="shared" si="239"/>
        <v>14235.348899999999</v>
      </c>
      <c r="CD72" s="49">
        <f t="shared" si="240"/>
        <v>0</v>
      </c>
      <c r="CE72" s="49">
        <f t="shared" si="241"/>
        <v>0</v>
      </c>
      <c r="CF72" s="49">
        <f t="shared" si="242"/>
        <v>14235.348899999999</v>
      </c>
      <c r="CG72" s="49">
        <f t="shared" si="243"/>
        <v>0</v>
      </c>
      <c r="CH72" s="49">
        <f t="shared" si="244"/>
        <v>0</v>
      </c>
      <c r="CI72" s="49">
        <f t="shared" si="245"/>
        <v>18980.465200000002</v>
      </c>
      <c r="CJ72" s="49">
        <f t="shared" si="246"/>
        <v>0</v>
      </c>
      <c r="CK72" s="49">
        <f t="shared" si="247"/>
        <v>0</v>
      </c>
      <c r="CL72" s="49">
        <f t="shared" si="248"/>
        <v>18980.465200000002</v>
      </c>
      <c r="CM72" s="49">
        <f t="shared" si="249"/>
        <v>0</v>
      </c>
      <c r="CN72" s="49">
        <f t="shared" si="250"/>
        <v>0</v>
      </c>
      <c r="CO72" s="49">
        <f t="shared" si="251"/>
        <v>187681.21245575001</v>
      </c>
      <c r="CP72" s="49">
        <f t="shared" si="252"/>
        <v>0</v>
      </c>
      <c r="CQ72" s="49">
        <f t="shared" si="253"/>
        <v>0</v>
      </c>
      <c r="CR72" s="81">
        <f t="shared" si="254"/>
        <v>187681.21245575001</v>
      </c>
      <c r="CS72" s="80">
        <f t="shared" si="255"/>
        <v>286830.41754425003</v>
      </c>
      <c r="CT72" s="54"/>
      <c r="CU72" s="3" t="str">
        <f t="shared" si="256"/>
        <v>ARS</v>
      </c>
      <c r="CV72" s="3">
        <f>VLOOKUP(CU72,DF:DG,2,0)</f>
        <v>6.9185169999999997E-4</v>
      </c>
      <c r="CW72" s="23">
        <f t="shared" si="257"/>
        <v>328.29167788527099</v>
      </c>
      <c r="CX72" s="23">
        <f t="shared" si="258"/>
        <v>13.673348383921537</v>
      </c>
      <c r="CY72" s="23">
        <f t="shared" si="259"/>
        <v>49.243751682790645</v>
      </c>
      <c r="CZ72" s="23">
        <f t="shared" si="260"/>
        <v>43.950048376890649</v>
      </c>
      <c r="DA72" s="23">
        <f t="shared" si="261"/>
        <v>9.8487503365581297</v>
      </c>
      <c r="DB72" s="23">
        <f t="shared" si="262"/>
        <v>13.13166711541084</v>
      </c>
      <c r="DC72" s="23">
        <f t="shared" si="263"/>
        <v>198.44411198969919</v>
      </c>
      <c r="DD72" s="34" t="str">
        <f>VLOOKUP(A72,'Billing Report'!H:I,2,FALSE)</f>
        <v>ARG_BRD_BRA_SEDDEBRAHMA_VERANO_NON_ENG_BEY_2026_NOA</v>
      </c>
      <c r="DE72" s="34"/>
      <c r="DF72" s="61" t="s">
        <v>70</v>
      </c>
      <c r="DG72" s="62">
        <v>1</v>
      </c>
      <c r="DH72"/>
      <c r="DI72" s="41"/>
      <c r="DJ72" s="41"/>
    </row>
    <row r="73" spans="1:114" ht="14.5" x14ac:dyDescent="0.35">
      <c r="A73" s="63">
        <v>40745375</v>
      </c>
      <c r="B73" s="3" t="s">
        <v>669</v>
      </c>
      <c r="C73" s="3">
        <v>322149801</v>
      </c>
      <c r="D73" s="3" t="s">
        <v>93</v>
      </c>
      <c r="G73" s="38">
        <v>3703283.35</v>
      </c>
      <c r="J73" s="33">
        <f>VLOOKUP($B73,'IMS Commission List'!E:CE,79,0)/100</f>
        <v>0.15</v>
      </c>
      <c r="K73" s="79">
        <f t="shared" si="176"/>
        <v>3703283.35</v>
      </c>
      <c r="L73" s="3" t="str">
        <f>VLOOKUP($B73,'IMS Commission List'!E:V,18,0)</f>
        <v>ARS</v>
      </c>
      <c r="M73" s="3">
        <v>1</v>
      </c>
      <c r="N73" s="3" t="str">
        <f>VLOOKUP($B73,'IMS Commission List'!E:T,16,0)</f>
        <v>MX</v>
      </c>
      <c r="O73" s="54">
        <f>VLOOKUP($B73,'IMS Commission List'!E:CF,80,0)</f>
        <v>4.9000000000000002E-2</v>
      </c>
      <c r="P73" s="54">
        <f>VLOOKUP($B73,'IMS Commission List'!E:CG,81,0)</f>
        <v>0.1575</v>
      </c>
      <c r="Q73" s="54">
        <f>VLOOKUP($B73,'IMS Commission List'!E:CP,90,0)</f>
        <v>0.03</v>
      </c>
      <c r="R73" s="54">
        <f>VLOOKUP($B73,'IMS Commission List'!E:CQ,91,0)</f>
        <v>0.04</v>
      </c>
      <c r="S73" s="47">
        <f t="shared" si="177"/>
        <v>0</v>
      </c>
      <c r="T73" s="48">
        <f t="shared" si="178"/>
        <v>0</v>
      </c>
      <c r="U73" s="48">
        <f t="shared" si="179"/>
        <v>3703283.35</v>
      </c>
      <c r="V73" s="48">
        <f t="shared" si="180"/>
        <v>0</v>
      </c>
      <c r="W73" s="48">
        <f t="shared" si="181"/>
        <v>0</v>
      </c>
      <c r="X73" s="49">
        <f t="shared" si="182"/>
        <v>3703283.35</v>
      </c>
      <c r="Y73" s="49">
        <f t="shared" si="183"/>
        <v>0</v>
      </c>
      <c r="Z73" s="49">
        <f t="shared" si="184"/>
        <v>0</v>
      </c>
      <c r="AA73" s="49">
        <f t="shared" si="185"/>
        <v>154241.75152749999</v>
      </c>
      <c r="AB73" s="49">
        <f t="shared" si="186"/>
        <v>0</v>
      </c>
      <c r="AC73" s="49">
        <f t="shared" si="187"/>
        <v>0</v>
      </c>
      <c r="AD73" s="49">
        <f t="shared" si="188"/>
        <v>154241.75152749999</v>
      </c>
      <c r="AE73" s="49">
        <f t="shared" si="189"/>
        <v>0</v>
      </c>
      <c r="AF73" s="49">
        <f t="shared" si="190"/>
        <v>0</v>
      </c>
      <c r="AG73" s="49">
        <f t="shared" si="191"/>
        <v>555492.50249999994</v>
      </c>
      <c r="AH73" s="49">
        <f t="shared" si="192"/>
        <v>0</v>
      </c>
      <c r="AI73" s="49">
        <f t="shared" si="193"/>
        <v>0</v>
      </c>
      <c r="AJ73" s="49">
        <f t="shared" si="194"/>
        <v>555492.50249999994</v>
      </c>
      <c r="AK73" s="49">
        <f t="shared" si="195"/>
        <v>0</v>
      </c>
      <c r="AL73" s="49">
        <f t="shared" si="196"/>
        <v>0</v>
      </c>
      <c r="AM73" s="49">
        <f t="shared" si="197"/>
        <v>495777.05848124996</v>
      </c>
      <c r="AN73" s="49">
        <f t="shared" si="198"/>
        <v>0</v>
      </c>
      <c r="AO73" s="49">
        <f t="shared" si="199"/>
        <v>0</v>
      </c>
      <c r="AP73" s="49">
        <f t="shared" si="200"/>
        <v>495777.05848124996</v>
      </c>
      <c r="AQ73" s="49">
        <f t="shared" si="201"/>
        <v>0</v>
      </c>
      <c r="AR73" s="49">
        <f t="shared" si="202"/>
        <v>0</v>
      </c>
      <c r="AS73" s="49">
        <f t="shared" si="203"/>
        <v>111098.50049999999</v>
      </c>
      <c r="AT73" s="49">
        <f t="shared" si="204"/>
        <v>0</v>
      </c>
      <c r="AU73" s="49">
        <f t="shared" si="205"/>
        <v>0</v>
      </c>
      <c r="AV73" s="49">
        <f t="shared" si="206"/>
        <v>111098.50049999999</v>
      </c>
      <c r="AW73" s="49">
        <f t="shared" si="207"/>
        <v>0</v>
      </c>
      <c r="AX73" s="49">
        <f t="shared" si="208"/>
        <v>0</v>
      </c>
      <c r="AY73" s="49">
        <f t="shared" si="209"/>
        <v>148131.334</v>
      </c>
      <c r="AZ73" s="49">
        <f t="shared" si="210"/>
        <v>0</v>
      </c>
      <c r="BA73" s="49">
        <f t="shared" si="211"/>
        <v>0</v>
      </c>
      <c r="BB73" s="49">
        <f t="shared" si="212"/>
        <v>148131.334</v>
      </c>
      <c r="BC73" s="49">
        <f t="shared" si="213"/>
        <v>0</v>
      </c>
      <c r="BD73" s="49">
        <f t="shared" si="214"/>
        <v>0</v>
      </c>
      <c r="BE73" s="49">
        <f t="shared" si="215"/>
        <v>1464741.1470087499</v>
      </c>
      <c r="BF73" s="49">
        <f t="shared" si="216"/>
        <v>0</v>
      </c>
      <c r="BG73" s="49">
        <f t="shared" si="217"/>
        <v>0</v>
      </c>
      <c r="BH73" s="49">
        <f t="shared" si="218"/>
        <v>1464741.1470087499</v>
      </c>
      <c r="BI73" s="49">
        <f t="shared" si="219"/>
        <v>0</v>
      </c>
      <c r="BJ73" s="49">
        <f t="shared" si="220"/>
        <v>0</v>
      </c>
      <c r="BK73" s="49">
        <f t="shared" si="221"/>
        <v>154241.75152749999</v>
      </c>
      <c r="BL73" s="49">
        <f t="shared" si="222"/>
        <v>0</v>
      </c>
      <c r="BM73" s="49">
        <f t="shared" si="223"/>
        <v>0</v>
      </c>
      <c r="BN73" s="49">
        <f t="shared" si="224"/>
        <v>154241.75152749999</v>
      </c>
      <c r="BO73" s="49">
        <f t="shared" si="225"/>
        <v>0</v>
      </c>
      <c r="BP73" s="49">
        <f t="shared" si="226"/>
        <v>0</v>
      </c>
      <c r="BQ73" s="49">
        <f t="shared" si="227"/>
        <v>555492.50249999994</v>
      </c>
      <c r="BR73" s="49">
        <f t="shared" si="228"/>
        <v>0</v>
      </c>
      <c r="BS73" s="49">
        <f t="shared" si="229"/>
        <v>0</v>
      </c>
      <c r="BT73" s="49">
        <f t="shared" si="230"/>
        <v>555492.50249999994</v>
      </c>
      <c r="BU73" s="49">
        <f t="shared" si="231"/>
        <v>0</v>
      </c>
      <c r="BV73" s="49">
        <f t="shared" si="232"/>
        <v>0</v>
      </c>
      <c r="BW73" s="49">
        <f t="shared" si="233"/>
        <v>495777.05848124996</v>
      </c>
      <c r="BX73" s="49">
        <f t="shared" si="234"/>
        <v>0</v>
      </c>
      <c r="BY73" s="49">
        <f t="shared" si="235"/>
        <v>0</v>
      </c>
      <c r="BZ73" s="49">
        <f t="shared" si="236"/>
        <v>495777.05848124996</v>
      </c>
      <c r="CA73" s="49">
        <f t="shared" si="237"/>
        <v>0</v>
      </c>
      <c r="CB73" s="49">
        <f t="shared" si="238"/>
        <v>0</v>
      </c>
      <c r="CC73" s="49">
        <f t="shared" si="239"/>
        <v>111098.50049999999</v>
      </c>
      <c r="CD73" s="49">
        <f t="shared" si="240"/>
        <v>0</v>
      </c>
      <c r="CE73" s="49">
        <f t="shared" si="241"/>
        <v>0</v>
      </c>
      <c r="CF73" s="49">
        <f t="shared" si="242"/>
        <v>111098.50049999999</v>
      </c>
      <c r="CG73" s="49">
        <f t="shared" si="243"/>
        <v>0</v>
      </c>
      <c r="CH73" s="49">
        <f t="shared" si="244"/>
        <v>0</v>
      </c>
      <c r="CI73" s="49">
        <f t="shared" si="245"/>
        <v>148131.334</v>
      </c>
      <c r="CJ73" s="49">
        <f t="shared" si="246"/>
        <v>0</v>
      </c>
      <c r="CK73" s="49">
        <f t="shared" si="247"/>
        <v>0</v>
      </c>
      <c r="CL73" s="49">
        <f t="shared" si="248"/>
        <v>148131.334</v>
      </c>
      <c r="CM73" s="49">
        <f t="shared" si="249"/>
        <v>0</v>
      </c>
      <c r="CN73" s="49">
        <f t="shared" si="250"/>
        <v>0</v>
      </c>
      <c r="CO73" s="49">
        <f t="shared" si="251"/>
        <v>1464741.1470087499</v>
      </c>
      <c r="CP73" s="49">
        <f t="shared" si="252"/>
        <v>0</v>
      </c>
      <c r="CQ73" s="49">
        <f t="shared" si="253"/>
        <v>0</v>
      </c>
      <c r="CR73" s="81">
        <f t="shared" si="254"/>
        <v>1464741.1470087499</v>
      </c>
      <c r="CS73" s="80">
        <f t="shared" si="255"/>
        <v>2238542.20299125</v>
      </c>
      <c r="CT73" s="54"/>
      <c r="CU73" s="3" t="str">
        <f t="shared" si="256"/>
        <v>ARS</v>
      </c>
      <c r="CV73" s="3">
        <f>VLOOKUP(CU73,DF:DG,2,0)</f>
        <v>6.9185169999999997E-4</v>
      </c>
      <c r="CW73" s="23">
        <f t="shared" si="257"/>
        <v>2562.1228812791951</v>
      </c>
      <c r="CX73" s="23">
        <f t="shared" si="258"/>
        <v>106.71241800527847</v>
      </c>
      <c r="CY73" s="23">
        <f t="shared" si="259"/>
        <v>384.3184321918792</v>
      </c>
      <c r="CZ73" s="23">
        <f t="shared" si="260"/>
        <v>343.00420073125218</v>
      </c>
      <c r="DA73" s="23">
        <f t="shared" si="261"/>
        <v>76.863686438375836</v>
      </c>
      <c r="DB73" s="23">
        <f t="shared" si="262"/>
        <v>102.48491525116779</v>
      </c>
      <c r="DC73" s="23">
        <f t="shared" si="263"/>
        <v>1548.7392286612412</v>
      </c>
      <c r="DD73" s="34" t="str">
        <f>VLOOKUP(A73,'Billing Report'!H:I,2,FALSE)</f>
        <v>ARG_BRD_BRA_SEDDEBRAHMA_VERANO_NON_ENG_BEY_2026_AMBA_COSTA_CBA</v>
      </c>
      <c r="DE73" s="34"/>
      <c r="DF73" s="61"/>
      <c r="DG73" s="62"/>
      <c r="DH73"/>
      <c r="DI73" s="41"/>
      <c r="DJ73" s="41"/>
    </row>
    <row r="74" spans="1:114" ht="14.5" x14ac:dyDescent="0.35">
      <c r="A74" s="63">
        <v>40745359</v>
      </c>
      <c r="B74" s="3" t="s">
        <v>669</v>
      </c>
      <c r="C74" s="3">
        <v>322149801</v>
      </c>
      <c r="D74" s="3" t="s">
        <v>93</v>
      </c>
      <c r="G74" s="38">
        <v>1293559.94</v>
      </c>
      <c r="J74" s="33">
        <f>VLOOKUP($B74,'IMS Commission List'!E:CE,79,0)/100</f>
        <v>0.15</v>
      </c>
      <c r="K74" s="79">
        <f t="shared" si="176"/>
        <v>1293559.94</v>
      </c>
      <c r="L74" s="3" t="str">
        <f>VLOOKUP($B74,'IMS Commission List'!E:V,18,0)</f>
        <v>ARS</v>
      </c>
      <c r="M74" s="3">
        <v>1</v>
      </c>
      <c r="N74" s="3" t="str">
        <f>VLOOKUP($B74,'IMS Commission List'!E:T,16,0)</f>
        <v>MX</v>
      </c>
      <c r="O74" s="54">
        <f>VLOOKUP($B74,'IMS Commission List'!E:CF,80,0)</f>
        <v>4.9000000000000002E-2</v>
      </c>
      <c r="P74" s="54">
        <f>VLOOKUP($B74,'IMS Commission List'!E:CG,81,0)</f>
        <v>0.1575</v>
      </c>
      <c r="Q74" s="54">
        <f>VLOOKUP($B74,'IMS Commission List'!E:CP,90,0)</f>
        <v>0.03</v>
      </c>
      <c r="R74" s="54">
        <f>VLOOKUP($B74,'IMS Commission List'!E:CQ,91,0)</f>
        <v>0.04</v>
      </c>
      <c r="S74" s="47">
        <f t="shared" si="177"/>
        <v>0</v>
      </c>
      <c r="T74" s="48">
        <f t="shared" si="178"/>
        <v>0</v>
      </c>
      <c r="U74" s="48">
        <f t="shared" si="179"/>
        <v>1293559.94</v>
      </c>
      <c r="V74" s="48">
        <f t="shared" si="180"/>
        <v>0</v>
      </c>
      <c r="W74" s="48">
        <f t="shared" si="181"/>
        <v>0</v>
      </c>
      <c r="X74" s="49">
        <f t="shared" si="182"/>
        <v>1293559.94</v>
      </c>
      <c r="Y74" s="49">
        <f t="shared" si="183"/>
        <v>0</v>
      </c>
      <c r="Z74" s="49">
        <f t="shared" si="184"/>
        <v>0</v>
      </c>
      <c r="AA74" s="49">
        <f t="shared" si="185"/>
        <v>53876.771500999996</v>
      </c>
      <c r="AB74" s="49">
        <f t="shared" si="186"/>
        <v>0</v>
      </c>
      <c r="AC74" s="49">
        <f t="shared" si="187"/>
        <v>0</v>
      </c>
      <c r="AD74" s="49">
        <f t="shared" si="188"/>
        <v>53876.771500999996</v>
      </c>
      <c r="AE74" s="49">
        <f t="shared" si="189"/>
        <v>0</v>
      </c>
      <c r="AF74" s="49">
        <f t="shared" si="190"/>
        <v>0</v>
      </c>
      <c r="AG74" s="49">
        <f t="shared" si="191"/>
        <v>194033.99099999998</v>
      </c>
      <c r="AH74" s="49">
        <f t="shared" si="192"/>
        <v>0</v>
      </c>
      <c r="AI74" s="49">
        <f t="shared" si="193"/>
        <v>0</v>
      </c>
      <c r="AJ74" s="49">
        <f t="shared" si="194"/>
        <v>194033.99099999998</v>
      </c>
      <c r="AK74" s="49">
        <f t="shared" si="195"/>
        <v>0</v>
      </c>
      <c r="AL74" s="49">
        <f t="shared" si="196"/>
        <v>0</v>
      </c>
      <c r="AM74" s="49">
        <f t="shared" si="197"/>
        <v>173175.33696749998</v>
      </c>
      <c r="AN74" s="49">
        <f t="shared" si="198"/>
        <v>0</v>
      </c>
      <c r="AO74" s="49">
        <f t="shared" si="199"/>
        <v>0</v>
      </c>
      <c r="AP74" s="49">
        <f t="shared" si="200"/>
        <v>173175.33696749998</v>
      </c>
      <c r="AQ74" s="49">
        <f t="shared" si="201"/>
        <v>0</v>
      </c>
      <c r="AR74" s="49">
        <f t="shared" si="202"/>
        <v>0</v>
      </c>
      <c r="AS74" s="49">
        <f t="shared" si="203"/>
        <v>38806.798199999997</v>
      </c>
      <c r="AT74" s="49">
        <f t="shared" si="204"/>
        <v>0</v>
      </c>
      <c r="AU74" s="49">
        <f t="shared" si="205"/>
        <v>0</v>
      </c>
      <c r="AV74" s="49">
        <f t="shared" si="206"/>
        <v>38806.798199999997</v>
      </c>
      <c r="AW74" s="49">
        <f t="shared" si="207"/>
        <v>0</v>
      </c>
      <c r="AX74" s="49">
        <f t="shared" si="208"/>
        <v>0</v>
      </c>
      <c r="AY74" s="49">
        <f t="shared" si="209"/>
        <v>51742.397599999997</v>
      </c>
      <c r="AZ74" s="49">
        <f t="shared" si="210"/>
        <v>0</v>
      </c>
      <c r="BA74" s="49">
        <f t="shared" si="211"/>
        <v>0</v>
      </c>
      <c r="BB74" s="49">
        <f t="shared" si="212"/>
        <v>51742.397599999997</v>
      </c>
      <c r="BC74" s="49">
        <f t="shared" si="213"/>
        <v>0</v>
      </c>
      <c r="BD74" s="49">
        <f t="shared" si="214"/>
        <v>0</v>
      </c>
      <c r="BE74" s="49">
        <f t="shared" si="215"/>
        <v>511635.29526849999</v>
      </c>
      <c r="BF74" s="49">
        <f t="shared" si="216"/>
        <v>0</v>
      </c>
      <c r="BG74" s="49">
        <f t="shared" si="217"/>
        <v>0</v>
      </c>
      <c r="BH74" s="49">
        <f t="shared" si="218"/>
        <v>511635.29526849999</v>
      </c>
      <c r="BI74" s="49">
        <f t="shared" si="219"/>
        <v>0</v>
      </c>
      <c r="BJ74" s="49">
        <f t="shared" si="220"/>
        <v>0</v>
      </c>
      <c r="BK74" s="49">
        <f t="shared" si="221"/>
        <v>53876.771500999996</v>
      </c>
      <c r="BL74" s="49">
        <f t="shared" si="222"/>
        <v>0</v>
      </c>
      <c r="BM74" s="49">
        <f t="shared" si="223"/>
        <v>0</v>
      </c>
      <c r="BN74" s="49">
        <f t="shared" si="224"/>
        <v>53876.771500999996</v>
      </c>
      <c r="BO74" s="49">
        <f t="shared" si="225"/>
        <v>0</v>
      </c>
      <c r="BP74" s="49">
        <f t="shared" si="226"/>
        <v>0</v>
      </c>
      <c r="BQ74" s="49">
        <f t="shared" si="227"/>
        <v>194033.99099999998</v>
      </c>
      <c r="BR74" s="49">
        <f t="shared" si="228"/>
        <v>0</v>
      </c>
      <c r="BS74" s="49">
        <f t="shared" si="229"/>
        <v>0</v>
      </c>
      <c r="BT74" s="49">
        <f t="shared" si="230"/>
        <v>194033.99099999998</v>
      </c>
      <c r="BU74" s="49">
        <f t="shared" si="231"/>
        <v>0</v>
      </c>
      <c r="BV74" s="49">
        <f t="shared" si="232"/>
        <v>0</v>
      </c>
      <c r="BW74" s="49">
        <f t="shared" si="233"/>
        <v>173175.33696749998</v>
      </c>
      <c r="BX74" s="49">
        <f t="shared" si="234"/>
        <v>0</v>
      </c>
      <c r="BY74" s="49">
        <f t="shared" si="235"/>
        <v>0</v>
      </c>
      <c r="BZ74" s="49">
        <f t="shared" si="236"/>
        <v>173175.33696749998</v>
      </c>
      <c r="CA74" s="49">
        <f t="shared" si="237"/>
        <v>0</v>
      </c>
      <c r="CB74" s="49">
        <f t="shared" si="238"/>
        <v>0</v>
      </c>
      <c r="CC74" s="49">
        <f t="shared" si="239"/>
        <v>38806.798199999997</v>
      </c>
      <c r="CD74" s="49">
        <f t="shared" si="240"/>
        <v>0</v>
      </c>
      <c r="CE74" s="49">
        <f t="shared" si="241"/>
        <v>0</v>
      </c>
      <c r="CF74" s="49">
        <f t="shared" si="242"/>
        <v>38806.798199999997</v>
      </c>
      <c r="CG74" s="49">
        <f t="shared" si="243"/>
        <v>0</v>
      </c>
      <c r="CH74" s="49">
        <f t="shared" si="244"/>
        <v>0</v>
      </c>
      <c r="CI74" s="49">
        <f t="shared" si="245"/>
        <v>51742.397599999997</v>
      </c>
      <c r="CJ74" s="49">
        <f t="shared" si="246"/>
        <v>0</v>
      </c>
      <c r="CK74" s="49">
        <f t="shared" si="247"/>
        <v>0</v>
      </c>
      <c r="CL74" s="49">
        <f t="shared" si="248"/>
        <v>51742.397599999997</v>
      </c>
      <c r="CM74" s="49">
        <f t="shared" si="249"/>
        <v>0</v>
      </c>
      <c r="CN74" s="49">
        <f t="shared" si="250"/>
        <v>0</v>
      </c>
      <c r="CO74" s="49">
        <f t="shared" si="251"/>
        <v>511635.29526849999</v>
      </c>
      <c r="CP74" s="49">
        <f t="shared" si="252"/>
        <v>0</v>
      </c>
      <c r="CQ74" s="49">
        <f t="shared" si="253"/>
        <v>0</v>
      </c>
      <c r="CR74" s="81">
        <f t="shared" si="254"/>
        <v>511635.29526849999</v>
      </c>
      <c r="CS74" s="80">
        <f t="shared" si="255"/>
        <v>781924.64473149995</v>
      </c>
      <c r="CT74" s="54"/>
      <c r="CU74" s="3" t="str">
        <f t="shared" si="256"/>
        <v>ARS</v>
      </c>
      <c r="CV74" s="3">
        <f>VLOOKUP(CU74,DF:DG,2,0)</f>
        <v>6.9185169999999997E-4</v>
      </c>
      <c r="CW74" s="23">
        <f t="shared" si="257"/>
        <v>894.95164354089798</v>
      </c>
      <c r="CX74" s="23">
        <f t="shared" si="258"/>
        <v>37.274735953478398</v>
      </c>
      <c r="CY74" s="23">
        <f t="shared" si="259"/>
        <v>134.24274653113469</v>
      </c>
      <c r="CZ74" s="23">
        <f t="shared" si="260"/>
        <v>119.8116512790377</v>
      </c>
      <c r="DA74" s="23">
        <f t="shared" si="261"/>
        <v>26.848549306226936</v>
      </c>
      <c r="DB74" s="23">
        <f t="shared" si="262"/>
        <v>35.798065741635916</v>
      </c>
      <c r="DC74" s="23">
        <f t="shared" si="263"/>
        <v>540.97589472938421</v>
      </c>
      <c r="DD74" s="34" t="str">
        <f>VLOOKUP(A74,'Billing Report'!H:I,2,FALSE)</f>
        <v>ARG_BRD_BRA_SEDDEBRAHMA_VERANO_NON_ENG_BEY_2026_STAFE_LAPAMPA_ER</v>
      </c>
      <c r="DE74" s="34"/>
      <c r="DF74" s="61"/>
      <c r="DG74" s="62"/>
      <c r="DH74"/>
      <c r="DI74" s="41"/>
      <c r="DJ74" s="41"/>
    </row>
    <row r="75" spans="1:114" ht="14.5" x14ac:dyDescent="0.35">
      <c r="A75" s="63">
        <v>40745354</v>
      </c>
      <c r="B75" s="3" t="s">
        <v>669</v>
      </c>
      <c r="C75" s="3">
        <v>322149801</v>
      </c>
      <c r="D75" s="3" t="s">
        <v>93</v>
      </c>
      <c r="G75" s="38">
        <v>2735581.56</v>
      </c>
      <c r="J75" s="33">
        <f>VLOOKUP($B75,'IMS Commission List'!E:CE,79,0)/100</f>
        <v>0.15</v>
      </c>
      <c r="K75" s="79">
        <f t="shared" si="176"/>
        <v>2735581.56</v>
      </c>
      <c r="L75" s="3" t="str">
        <f>VLOOKUP($B75,'IMS Commission List'!E:V,18,0)</f>
        <v>ARS</v>
      </c>
      <c r="M75" s="3">
        <v>1</v>
      </c>
      <c r="N75" s="3" t="str">
        <f>VLOOKUP($B75,'IMS Commission List'!E:T,16,0)</f>
        <v>MX</v>
      </c>
      <c r="O75" s="54">
        <f>VLOOKUP($B75,'IMS Commission List'!E:CF,80,0)</f>
        <v>4.9000000000000002E-2</v>
      </c>
      <c r="P75" s="54">
        <f>VLOOKUP($B75,'IMS Commission List'!E:CG,81,0)</f>
        <v>0.1575</v>
      </c>
      <c r="Q75" s="54">
        <f>VLOOKUP($B75,'IMS Commission List'!E:CP,90,0)</f>
        <v>0.03</v>
      </c>
      <c r="R75" s="54">
        <f>VLOOKUP($B75,'IMS Commission List'!E:CQ,91,0)</f>
        <v>0.04</v>
      </c>
      <c r="S75" s="47">
        <f t="shared" si="177"/>
        <v>0</v>
      </c>
      <c r="T75" s="48">
        <f t="shared" si="178"/>
        <v>0</v>
      </c>
      <c r="U75" s="48">
        <f t="shared" si="179"/>
        <v>2735581.56</v>
      </c>
      <c r="V75" s="48">
        <f t="shared" si="180"/>
        <v>0</v>
      </c>
      <c r="W75" s="48">
        <f t="shared" si="181"/>
        <v>0</v>
      </c>
      <c r="X75" s="49">
        <f t="shared" si="182"/>
        <v>2735581.56</v>
      </c>
      <c r="Y75" s="49">
        <f t="shared" si="183"/>
        <v>0</v>
      </c>
      <c r="Z75" s="49">
        <f t="shared" si="184"/>
        <v>0</v>
      </c>
      <c r="AA75" s="49">
        <f t="shared" si="185"/>
        <v>113936.97197400001</v>
      </c>
      <c r="AB75" s="49">
        <f t="shared" si="186"/>
        <v>0</v>
      </c>
      <c r="AC75" s="49">
        <f t="shared" si="187"/>
        <v>0</v>
      </c>
      <c r="AD75" s="49">
        <f t="shared" si="188"/>
        <v>113936.97197400001</v>
      </c>
      <c r="AE75" s="49">
        <f t="shared" si="189"/>
        <v>0</v>
      </c>
      <c r="AF75" s="49">
        <f t="shared" si="190"/>
        <v>0</v>
      </c>
      <c r="AG75" s="49">
        <f t="shared" si="191"/>
        <v>410337.234</v>
      </c>
      <c r="AH75" s="49">
        <f t="shared" si="192"/>
        <v>0</v>
      </c>
      <c r="AI75" s="49">
        <f t="shared" si="193"/>
        <v>0</v>
      </c>
      <c r="AJ75" s="49">
        <f t="shared" si="194"/>
        <v>410337.234</v>
      </c>
      <c r="AK75" s="49">
        <f t="shared" si="195"/>
        <v>0</v>
      </c>
      <c r="AL75" s="49">
        <f t="shared" si="196"/>
        <v>0</v>
      </c>
      <c r="AM75" s="49">
        <f t="shared" si="197"/>
        <v>366225.98134499998</v>
      </c>
      <c r="AN75" s="49">
        <f t="shared" si="198"/>
        <v>0</v>
      </c>
      <c r="AO75" s="49">
        <f t="shared" si="199"/>
        <v>0</v>
      </c>
      <c r="AP75" s="49">
        <f t="shared" si="200"/>
        <v>366225.98134499998</v>
      </c>
      <c r="AQ75" s="49">
        <f t="shared" si="201"/>
        <v>0</v>
      </c>
      <c r="AR75" s="49">
        <f t="shared" si="202"/>
        <v>0</v>
      </c>
      <c r="AS75" s="49">
        <f t="shared" si="203"/>
        <v>82067.446800000005</v>
      </c>
      <c r="AT75" s="49">
        <f t="shared" si="204"/>
        <v>0</v>
      </c>
      <c r="AU75" s="49">
        <f t="shared" si="205"/>
        <v>0</v>
      </c>
      <c r="AV75" s="49">
        <f t="shared" si="206"/>
        <v>82067.446800000005</v>
      </c>
      <c r="AW75" s="49">
        <f t="shared" si="207"/>
        <v>0</v>
      </c>
      <c r="AX75" s="49">
        <f t="shared" si="208"/>
        <v>0</v>
      </c>
      <c r="AY75" s="49">
        <f t="shared" si="209"/>
        <v>109423.26240000001</v>
      </c>
      <c r="AZ75" s="49">
        <f t="shared" si="210"/>
        <v>0</v>
      </c>
      <c r="BA75" s="49">
        <f t="shared" si="211"/>
        <v>0</v>
      </c>
      <c r="BB75" s="49">
        <f t="shared" si="212"/>
        <v>109423.26240000001</v>
      </c>
      <c r="BC75" s="49">
        <f t="shared" si="213"/>
        <v>0</v>
      </c>
      <c r="BD75" s="49">
        <f t="shared" si="214"/>
        <v>0</v>
      </c>
      <c r="BE75" s="49">
        <f t="shared" si="215"/>
        <v>1081990.8965190002</v>
      </c>
      <c r="BF75" s="49">
        <f t="shared" si="216"/>
        <v>0</v>
      </c>
      <c r="BG75" s="49">
        <f t="shared" si="217"/>
        <v>0</v>
      </c>
      <c r="BH75" s="49">
        <f t="shared" si="218"/>
        <v>1081990.8965190002</v>
      </c>
      <c r="BI75" s="49">
        <f t="shared" si="219"/>
        <v>0</v>
      </c>
      <c r="BJ75" s="49">
        <f t="shared" si="220"/>
        <v>0</v>
      </c>
      <c r="BK75" s="49">
        <f t="shared" si="221"/>
        <v>113936.97197400001</v>
      </c>
      <c r="BL75" s="49">
        <f t="shared" si="222"/>
        <v>0</v>
      </c>
      <c r="BM75" s="49">
        <f t="shared" si="223"/>
        <v>0</v>
      </c>
      <c r="BN75" s="49">
        <f t="shared" si="224"/>
        <v>113936.97197400001</v>
      </c>
      <c r="BO75" s="49">
        <f t="shared" si="225"/>
        <v>0</v>
      </c>
      <c r="BP75" s="49">
        <f t="shared" si="226"/>
        <v>0</v>
      </c>
      <c r="BQ75" s="49">
        <f t="shared" si="227"/>
        <v>410337.234</v>
      </c>
      <c r="BR75" s="49">
        <f t="shared" si="228"/>
        <v>0</v>
      </c>
      <c r="BS75" s="49">
        <f t="shared" si="229"/>
        <v>0</v>
      </c>
      <c r="BT75" s="49">
        <f t="shared" si="230"/>
        <v>410337.234</v>
      </c>
      <c r="BU75" s="49">
        <f t="shared" si="231"/>
        <v>0</v>
      </c>
      <c r="BV75" s="49">
        <f t="shared" si="232"/>
        <v>0</v>
      </c>
      <c r="BW75" s="49">
        <f t="shared" si="233"/>
        <v>366225.98134499998</v>
      </c>
      <c r="BX75" s="49">
        <f t="shared" si="234"/>
        <v>0</v>
      </c>
      <c r="BY75" s="49">
        <f t="shared" si="235"/>
        <v>0</v>
      </c>
      <c r="BZ75" s="49">
        <f t="shared" si="236"/>
        <v>366225.98134499998</v>
      </c>
      <c r="CA75" s="49">
        <f t="shared" si="237"/>
        <v>0</v>
      </c>
      <c r="CB75" s="49">
        <f t="shared" si="238"/>
        <v>0</v>
      </c>
      <c r="CC75" s="49">
        <f t="shared" si="239"/>
        <v>82067.446800000005</v>
      </c>
      <c r="CD75" s="49">
        <f t="shared" si="240"/>
        <v>0</v>
      </c>
      <c r="CE75" s="49">
        <f t="shared" si="241"/>
        <v>0</v>
      </c>
      <c r="CF75" s="49">
        <f t="shared" si="242"/>
        <v>82067.446800000005</v>
      </c>
      <c r="CG75" s="49">
        <f t="shared" si="243"/>
        <v>0</v>
      </c>
      <c r="CH75" s="49">
        <f t="shared" si="244"/>
        <v>0</v>
      </c>
      <c r="CI75" s="49">
        <f t="shared" si="245"/>
        <v>109423.26240000001</v>
      </c>
      <c r="CJ75" s="49">
        <f t="shared" si="246"/>
        <v>0</v>
      </c>
      <c r="CK75" s="49">
        <f t="shared" si="247"/>
        <v>0</v>
      </c>
      <c r="CL75" s="49">
        <f t="shared" si="248"/>
        <v>109423.26240000001</v>
      </c>
      <c r="CM75" s="49">
        <f t="shared" si="249"/>
        <v>0</v>
      </c>
      <c r="CN75" s="49">
        <f t="shared" si="250"/>
        <v>0</v>
      </c>
      <c r="CO75" s="49">
        <f t="shared" si="251"/>
        <v>1081990.8965190002</v>
      </c>
      <c r="CP75" s="49">
        <f t="shared" si="252"/>
        <v>0</v>
      </c>
      <c r="CQ75" s="49">
        <f t="shared" si="253"/>
        <v>0</v>
      </c>
      <c r="CR75" s="81">
        <f t="shared" si="254"/>
        <v>1081990.8965190002</v>
      </c>
      <c r="CS75" s="80">
        <f t="shared" si="255"/>
        <v>1653590.6634809999</v>
      </c>
      <c r="CT75" s="54"/>
      <c r="CU75" s="3" t="str">
        <f t="shared" si="256"/>
        <v>ARS</v>
      </c>
      <c r="CV75" s="3">
        <f>VLOOKUP(CU75,DF:DG,2,0)</f>
        <v>6.9185169999999997E-4</v>
      </c>
      <c r="CW75" s="23">
        <f t="shared" si="257"/>
        <v>1892.616752774652</v>
      </c>
      <c r="CX75" s="23">
        <f t="shared" si="258"/>
        <v>78.827487753064261</v>
      </c>
      <c r="CY75" s="23">
        <f t="shared" si="259"/>
        <v>283.8925129161978</v>
      </c>
      <c r="CZ75" s="23">
        <f t="shared" si="260"/>
        <v>253.3740677777065</v>
      </c>
      <c r="DA75" s="23">
        <f t="shared" si="261"/>
        <v>56.778502583239558</v>
      </c>
      <c r="DB75" s="23">
        <f t="shared" si="262"/>
        <v>75.704670110986086</v>
      </c>
      <c r="DC75" s="23">
        <f t="shared" si="263"/>
        <v>1144.0395116334576</v>
      </c>
      <c r="DD75" s="34" t="str">
        <f>VLOOKUP(A75,'Billing Report'!H:I,2,FALSE)</f>
        <v>ARG_BRD_BRA_SEDDEBRAHMA_VERANO_NON_AWA_BEY_2026_AMBA_COSTA_CBA</v>
      </c>
      <c r="DE75" s="34"/>
      <c r="DF75" s="61"/>
      <c r="DG75" s="62"/>
      <c r="DH75"/>
      <c r="DI75" s="41"/>
      <c r="DJ75" s="41"/>
    </row>
    <row r="76" spans="1:114" ht="14.5" x14ac:dyDescent="0.35">
      <c r="A76" s="63">
        <v>40745349</v>
      </c>
      <c r="B76" s="3" t="s">
        <v>669</v>
      </c>
      <c r="C76" s="3">
        <v>322149801</v>
      </c>
      <c r="D76" s="3" t="s">
        <v>93</v>
      </c>
      <c r="G76" s="38">
        <v>74846.17</v>
      </c>
      <c r="J76" s="33">
        <f>VLOOKUP($B76,'IMS Commission List'!E:CE,79,0)/100</f>
        <v>0.15</v>
      </c>
      <c r="K76" s="79">
        <f t="shared" si="176"/>
        <v>74846.17</v>
      </c>
      <c r="L76" s="3" t="str">
        <f>VLOOKUP($B76,'IMS Commission List'!E:V,18,0)</f>
        <v>ARS</v>
      </c>
      <c r="M76" s="3">
        <v>1</v>
      </c>
      <c r="N76" s="3" t="str">
        <f>VLOOKUP($B76,'IMS Commission List'!E:T,16,0)</f>
        <v>MX</v>
      </c>
      <c r="O76" s="54">
        <f>VLOOKUP($B76,'IMS Commission List'!E:CF,80,0)</f>
        <v>4.9000000000000002E-2</v>
      </c>
      <c r="P76" s="54">
        <f>VLOOKUP($B76,'IMS Commission List'!E:CG,81,0)</f>
        <v>0.1575</v>
      </c>
      <c r="Q76" s="54">
        <f>VLOOKUP($B76,'IMS Commission List'!E:CP,90,0)</f>
        <v>0.03</v>
      </c>
      <c r="R76" s="54">
        <f>VLOOKUP($B76,'IMS Commission List'!E:CQ,91,0)</f>
        <v>0.04</v>
      </c>
      <c r="S76" s="47">
        <f t="shared" si="177"/>
        <v>0</v>
      </c>
      <c r="T76" s="48">
        <f t="shared" si="178"/>
        <v>0</v>
      </c>
      <c r="U76" s="48">
        <f t="shared" si="179"/>
        <v>74846.17</v>
      </c>
      <c r="V76" s="48">
        <f t="shared" si="180"/>
        <v>0</v>
      </c>
      <c r="W76" s="48">
        <f t="shared" si="181"/>
        <v>0</v>
      </c>
      <c r="X76" s="49">
        <f t="shared" si="182"/>
        <v>74846.17</v>
      </c>
      <c r="Y76" s="49">
        <f t="shared" si="183"/>
        <v>0</v>
      </c>
      <c r="Z76" s="49">
        <f t="shared" si="184"/>
        <v>0</v>
      </c>
      <c r="AA76" s="49">
        <f t="shared" si="185"/>
        <v>3117.3429804999996</v>
      </c>
      <c r="AB76" s="49">
        <f t="shared" si="186"/>
        <v>0</v>
      </c>
      <c r="AC76" s="49">
        <f t="shared" si="187"/>
        <v>0</v>
      </c>
      <c r="AD76" s="49">
        <f t="shared" si="188"/>
        <v>3117.3429804999996</v>
      </c>
      <c r="AE76" s="49">
        <f t="shared" si="189"/>
        <v>0</v>
      </c>
      <c r="AF76" s="49">
        <f t="shared" si="190"/>
        <v>0</v>
      </c>
      <c r="AG76" s="49">
        <f t="shared" si="191"/>
        <v>11226.925499999999</v>
      </c>
      <c r="AH76" s="49">
        <f t="shared" si="192"/>
        <v>0</v>
      </c>
      <c r="AI76" s="49">
        <f t="shared" si="193"/>
        <v>0</v>
      </c>
      <c r="AJ76" s="49">
        <f t="shared" si="194"/>
        <v>11226.925499999999</v>
      </c>
      <c r="AK76" s="49">
        <f t="shared" si="195"/>
        <v>0</v>
      </c>
      <c r="AL76" s="49">
        <f t="shared" si="196"/>
        <v>0</v>
      </c>
      <c r="AM76" s="49">
        <f t="shared" si="197"/>
        <v>10020.031008749998</v>
      </c>
      <c r="AN76" s="49">
        <f t="shared" si="198"/>
        <v>0</v>
      </c>
      <c r="AO76" s="49">
        <f t="shared" si="199"/>
        <v>0</v>
      </c>
      <c r="AP76" s="49">
        <f t="shared" si="200"/>
        <v>10020.031008749998</v>
      </c>
      <c r="AQ76" s="49">
        <f t="shared" si="201"/>
        <v>0</v>
      </c>
      <c r="AR76" s="49">
        <f t="shared" si="202"/>
        <v>0</v>
      </c>
      <c r="AS76" s="49">
        <f t="shared" si="203"/>
        <v>2245.3851</v>
      </c>
      <c r="AT76" s="49">
        <f t="shared" si="204"/>
        <v>0</v>
      </c>
      <c r="AU76" s="49">
        <f t="shared" si="205"/>
        <v>0</v>
      </c>
      <c r="AV76" s="49">
        <f t="shared" si="206"/>
        <v>2245.3851</v>
      </c>
      <c r="AW76" s="49">
        <f t="shared" si="207"/>
        <v>0</v>
      </c>
      <c r="AX76" s="49">
        <f t="shared" si="208"/>
        <v>0</v>
      </c>
      <c r="AY76" s="49">
        <f t="shared" si="209"/>
        <v>2993.8467999999998</v>
      </c>
      <c r="AZ76" s="49">
        <f t="shared" si="210"/>
        <v>0</v>
      </c>
      <c r="BA76" s="49">
        <f t="shared" si="211"/>
        <v>0</v>
      </c>
      <c r="BB76" s="49">
        <f t="shared" si="212"/>
        <v>2993.8467999999998</v>
      </c>
      <c r="BC76" s="49">
        <f t="shared" si="213"/>
        <v>0</v>
      </c>
      <c r="BD76" s="49">
        <f t="shared" si="214"/>
        <v>0</v>
      </c>
      <c r="BE76" s="49">
        <f t="shared" si="215"/>
        <v>29603.531389249998</v>
      </c>
      <c r="BF76" s="49">
        <f t="shared" si="216"/>
        <v>0</v>
      </c>
      <c r="BG76" s="49">
        <f t="shared" si="217"/>
        <v>0</v>
      </c>
      <c r="BH76" s="49">
        <f t="shared" si="218"/>
        <v>29603.531389249998</v>
      </c>
      <c r="BI76" s="49">
        <f t="shared" si="219"/>
        <v>0</v>
      </c>
      <c r="BJ76" s="49">
        <f t="shared" si="220"/>
        <v>0</v>
      </c>
      <c r="BK76" s="49">
        <f t="shared" si="221"/>
        <v>3117.3429804999996</v>
      </c>
      <c r="BL76" s="49">
        <f t="shared" si="222"/>
        <v>0</v>
      </c>
      <c r="BM76" s="49">
        <f t="shared" si="223"/>
        <v>0</v>
      </c>
      <c r="BN76" s="49">
        <f t="shared" si="224"/>
        <v>3117.3429804999996</v>
      </c>
      <c r="BO76" s="49">
        <f t="shared" si="225"/>
        <v>0</v>
      </c>
      <c r="BP76" s="49">
        <f t="shared" si="226"/>
        <v>0</v>
      </c>
      <c r="BQ76" s="49">
        <f t="shared" si="227"/>
        <v>11226.925499999999</v>
      </c>
      <c r="BR76" s="49">
        <f t="shared" si="228"/>
        <v>0</v>
      </c>
      <c r="BS76" s="49">
        <f t="shared" si="229"/>
        <v>0</v>
      </c>
      <c r="BT76" s="49">
        <f t="shared" si="230"/>
        <v>11226.925499999999</v>
      </c>
      <c r="BU76" s="49">
        <f t="shared" si="231"/>
        <v>0</v>
      </c>
      <c r="BV76" s="49">
        <f t="shared" si="232"/>
        <v>0</v>
      </c>
      <c r="BW76" s="49">
        <f t="shared" si="233"/>
        <v>10020.031008749998</v>
      </c>
      <c r="BX76" s="49">
        <f t="shared" si="234"/>
        <v>0</v>
      </c>
      <c r="BY76" s="49">
        <f t="shared" si="235"/>
        <v>0</v>
      </c>
      <c r="BZ76" s="49">
        <f t="shared" si="236"/>
        <v>10020.031008749998</v>
      </c>
      <c r="CA76" s="49">
        <f t="shared" si="237"/>
        <v>0</v>
      </c>
      <c r="CB76" s="49">
        <f t="shared" si="238"/>
        <v>0</v>
      </c>
      <c r="CC76" s="49">
        <f t="shared" si="239"/>
        <v>2245.3851</v>
      </c>
      <c r="CD76" s="49">
        <f t="shared" si="240"/>
        <v>0</v>
      </c>
      <c r="CE76" s="49">
        <f t="shared" si="241"/>
        <v>0</v>
      </c>
      <c r="CF76" s="49">
        <f t="shared" si="242"/>
        <v>2245.3851</v>
      </c>
      <c r="CG76" s="49">
        <f t="shared" si="243"/>
        <v>0</v>
      </c>
      <c r="CH76" s="49">
        <f t="shared" si="244"/>
        <v>0</v>
      </c>
      <c r="CI76" s="49">
        <f t="shared" si="245"/>
        <v>2993.8467999999998</v>
      </c>
      <c r="CJ76" s="49">
        <f t="shared" si="246"/>
        <v>0</v>
      </c>
      <c r="CK76" s="49">
        <f t="shared" si="247"/>
        <v>0</v>
      </c>
      <c r="CL76" s="49">
        <f t="shared" si="248"/>
        <v>2993.8467999999998</v>
      </c>
      <c r="CM76" s="49">
        <f t="shared" si="249"/>
        <v>0</v>
      </c>
      <c r="CN76" s="49">
        <f t="shared" si="250"/>
        <v>0</v>
      </c>
      <c r="CO76" s="49">
        <f t="shared" si="251"/>
        <v>29603.531389249998</v>
      </c>
      <c r="CP76" s="49">
        <f t="shared" si="252"/>
        <v>0</v>
      </c>
      <c r="CQ76" s="49">
        <f t="shared" si="253"/>
        <v>0</v>
      </c>
      <c r="CR76" s="81">
        <f t="shared" si="254"/>
        <v>29603.531389249998</v>
      </c>
      <c r="CS76" s="80">
        <f t="shared" si="255"/>
        <v>45242.63861075</v>
      </c>
      <c r="CT76" s="54"/>
      <c r="CU76" s="3" t="str">
        <f t="shared" si="256"/>
        <v>ARS</v>
      </c>
      <c r="CV76" s="3">
        <f>VLOOKUP(CU76,DF:DG,2,0)</f>
        <v>6.9185169999999997E-4</v>
      </c>
      <c r="CW76" s="23">
        <f t="shared" si="257"/>
        <v>51.782449952988998</v>
      </c>
      <c r="CX76" s="23">
        <f t="shared" si="258"/>
        <v>2.1567390405419915</v>
      </c>
      <c r="CY76" s="23">
        <f t="shared" si="259"/>
        <v>7.7673674929483489</v>
      </c>
      <c r="CZ76" s="23">
        <f t="shared" si="260"/>
        <v>6.932375487456401</v>
      </c>
      <c r="DA76" s="23">
        <f t="shared" si="261"/>
        <v>1.5534734985896699</v>
      </c>
      <c r="DB76" s="23">
        <f t="shared" si="262"/>
        <v>2.0712979981195598</v>
      </c>
      <c r="DC76" s="23">
        <f t="shared" si="263"/>
        <v>31.301196435333026</v>
      </c>
      <c r="DD76" s="34" t="str">
        <f>VLOOKUP(A76,'Billing Report'!H:I,2,FALSE)</f>
        <v>ARG_BRD_BRA_SEDDEBRAHMA_VERANO_NON_AWA_BEY_2026_NOA</v>
      </c>
      <c r="DE76" s="34"/>
      <c r="DF76" s="61"/>
      <c r="DG76" s="62"/>
      <c r="DH76"/>
      <c r="DI76" s="41"/>
      <c r="DJ76" s="41"/>
    </row>
    <row r="77" spans="1:114" ht="14.5" x14ac:dyDescent="0.35">
      <c r="A77" s="63">
        <v>40745339</v>
      </c>
      <c r="B77" s="3" t="s">
        <v>669</v>
      </c>
      <c r="C77" s="3">
        <v>322149801</v>
      </c>
      <c r="D77" s="3" t="s">
        <v>93</v>
      </c>
      <c r="G77" s="38">
        <v>480031.53</v>
      </c>
      <c r="J77" s="33">
        <f>VLOOKUP($B77,'IMS Commission List'!E:CE,79,0)/100</f>
        <v>0.15</v>
      </c>
      <c r="K77" s="79">
        <f t="shared" si="176"/>
        <v>480031.53</v>
      </c>
      <c r="L77" s="3" t="str">
        <f>VLOOKUP($B77,'IMS Commission List'!E:V,18,0)</f>
        <v>ARS</v>
      </c>
      <c r="M77" s="3">
        <v>1</v>
      </c>
      <c r="N77" s="3" t="str">
        <f>VLOOKUP($B77,'IMS Commission List'!E:T,16,0)</f>
        <v>MX</v>
      </c>
      <c r="O77" s="54">
        <f>VLOOKUP($B77,'IMS Commission List'!E:CF,80,0)</f>
        <v>4.9000000000000002E-2</v>
      </c>
      <c r="P77" s="54">
        <f>VLOOKUP($B77,'IMS Commission List'!E:CG,81,0)</f>
        <v>0.1575</v>
      </c>
      <c r="Q77" s="54">
        <f>VLOOKUP($B77,'IMS Commission List'!E:CP,90,0)</f>
        <v>0.03</v>
      </c>
      <c r="R77" s="54">
        <f>VLOOKUP($B77,'IMS Commission List'!E:CQ,91,0)</f>
        <v>0.04</v>
      </c>
      <c r="S77" s="47">
        <f t="shared" si="177"/>
        <v>0</v>
      </c>
      <c r="T77" s="48">
        <f t="shared" si="178"/>
        <v>0</v>
      </c>
      <c r="U77" s="48">
        <f t="shared" si="179"/>
        <v>480031.53</v>
      </c>
      <c r="V77" s="48">
        <f t="shared" si="180"/>
        <v>0</v>
      </c>
      <c r="W77" s="48">
        <f t="shared" si="181"/>
        <v>0</v>
      </c>
      <c r="X77" s="49">
        <f t="shared" si="182"/>
        <v>480031.53</v>
      </c>
      <c r="Y77" s="49">
        <f t="shared" si="183"/>
        <v>0</v>
      </c>
      <c r="Z77" s="49">
        <f t="shared" si="184"/>
        <v>0</v>
      </c>
      <c r="AA77" s="49">
        <f t="shared" si="185"/>
        <v>19993.313224500002</v>
      </c>
      <c r="AB77" s="49">
        <f t="shared" si="186"/>
        <v>0</v>
      </c>
      <c r="AC77" s="49">
        <f t="shared" si="187"/>
        <v>0</v>
      </c>
      <c r="AD77" s="49">
        <f t="shared" si="188"/>
        <v>19993.313224500002</v>
      </c>
      <c r="AE77" s="49">
        <f t="shared" si="189"/>
        <v>0</v>
      </c>
      <c r="AF77" s="49">
        <f t="shared" si="190"/>
        <v>0</v>
      </c>
      <c r="AG77" s="49">
        <f t="shared" si="191"/>
        <v>72004.729500000001</v>
      </c>
      <c r="AH77" s="49">
        <f t="shared" si="192"/>
        <v>0</v>
      </c>
      <c r="AI77" s="49">
        <f t="shared" si="193"/>
        <v>0</v>
      </c>
      <c r="AJ77" s="49">
        <f t="shared" si="194"/>
        <v>72004.729500000001</v>
      </c>
      <c r="AK77" s="49">
        <f t="shared" si="195"/>
        <v>0</v>
      </c>
      <c r="AL77" s="49">
        <f t="shared" si="196"/>
        <v>0</v>
      </c>
      <c r="AM77" s="49">
        <f t="shared" si="197"/>
        <v>64264.221078750001</v>
      </c>
      <c r="AN77" s="49">
        <f t="shared" si="198"/>
        <v>0</v>
      </c>
      <c r="AO77" s="49">
        <f t="shared" si="199"/>
        <v>0</v>
      </c>
      <c r="AP77" s="49">
        <f t="shared" si="200"/>
        <v>64264.221078750001</v>
      </c>
      <c r="AQ77" s="49">
        <f t="shared" si="201"/>
        <v>0</v>
      </c>
      <c r="AR77" s="49">
        <f t="shared" si="202"/>
        <v>0</v>
      </c>
      <c r="AS77" s="49">
        <f t="shared" si="203"/>
        <v>14400.945900000001</v>
      </c>
      <c r="AT77" s="49">
        <f t="shared" si="204"/>
        <v>0</v>
      </c>
      <c r="AU77" s="49">
        <f t="shared" si="205"/>
        <v>0</v>
      </c>
      <c r="AV77" s="49">
        <f t="shared" si="206"/>
        <v>14400.945900000001</v>
      </c>
      <c r="AW77" s="49">
        <f t="shared" si="207"/>
        <v>0</v>
      </c>
      <c r="AX77" s="49">
        <f t="shared" si="208"/>
        <v>0</v>
      </c>
      <c r="AY77" s="49">
        <f t="shared" si="209"/>
        <v>19201.261200000001</v>
      </c>
      <c r="AZ77" s="49">
        <f t="shared" si="210"/>
        <v>0</v>
      </c>
      <c r="BA77" s="49">
        <f t="shared" si="211"/>
        <v>0</v>
      </c>
      <c r="BB77" s="49">
        <f t="shared" si="212"/>
        <v>19201.261200000001</v>
      </c>
      <c r="BC77" s="49">
        <f t="shared" si="213"/>
        <v>0</v>
      </c>
      <c r="BD77" s="49">
        <f t="shared" si="214"/>
        <v>0</v>
      </c>
      <c r="BE77" s="49">
        <f t="shared" si="215"/>
        <v>189864.47090325001</v>
      </c>
      <c r="BF77" s="49">
        <f t="shared" si="216"/>
        <v>0</v>
      </c>
      <c r="BG77" s="49">
        <f t="shared" si="217"/>
        <v>0</v>
      </c>
      <c r="BH77" s="49">
        <f t="shared" si="218"/>
        <v>189864.47090325001</v>
      </c>
      <c r="BI77" s="49">
        <f t="shared" si="219"/>
        <v>0</v>
      </c>
      <c r="BJ77" s="49">
        <f t="shared" si="220"/>
        <v>0</v>
      </c>
      <c r="BK77" s="49">
        <f t="shared" si="221"/>
        <v>19993.313224500002</v>
      </c>
      <c r="BL77" s="49">
        <f t="shared" si="222"/>
        <v>0</v>
      </c>
      <c r="BM77" s="49">
        <f t="shared" si="223"/>
        <v>0</v>
      </c>
      <c r="BN77" s="49">
        <f t="shared" si="224"/>
        <v>19993.313224500002</v>
      </c>
      <c r="BO77" s="49">
        <f t="shared" si="225"/>
        <v>0</v>
      </c>
      <c r="BP77" s="49">
        <f t="shared" si="226"/>
        <v>0</v>
      </c>
      <c r="BQ77" s="49">
        <f t="shared" si="227"/>
        <v>72004.729500000001</v>
      </c>
      <c r="BR77" s="49">
        <f t="shared" si="228"/>
        <v>0</v>
      </c>
      <c r="BS77" s="49">
        <f t="shared" si="229"/>
        <v>0</v>
      </c>
      <c r="BT77" s="49">
        <f t="shared" si="230"/>
        <v>72004.729500000001</v>
      </c>
      <c r="BU77" s="49">
        <f t="shared" si="231"/>
        <v>0</v>
      </c>
      <c r="BV77" s="49">
        <f t="shared" si="232"/>
        <v>0</v>
      </c>
      <c r="BW77" s="49">
        <f t="shared" si="233"/>
        <v>64264.221078750001</v>
      </c>
      <c r="BX77" s="49">
        <f t="shared" si="234"/>
        <v>0</v>
      </c>
      <c r="BY77" s="49">
        <f t="shared" si="235"/>
        <v>0</v>
      </c>
      <c r="BZ77" s="49">
        <f t="shared" si="236"/>
        <v>64264.221078750001</v>
      </c>
      <c r="CA77" s="49">
        <f t="shared" si="237"/>
        <v>0</v>
      </c>
      <c r="CB77" s="49">
        <f t="shared" si="238"/>
        <v>0</v>
      </c>
      <c r="CC77" s="49">
        <f t="shared" si="239"/>
        <v>14400.945900000001</v>
      </c>
      <c r="CD77" s="49">
        <f t="shared" si="240"/>
        <v>0</v>
      </c>
      <c r="CE77" s="49">
        <f t="shared" si="241"/>
        <v>0</v>
      </c>
      <c r="CF77" s="49">
        <f t="shared" si="242"/>
        <v>14400.945900000001</v>
      </c>
      <c r="CG77" s="49">
        <f t="shared" si="243"/>
        <v>0</v>
      </c>
      <c r="CH77" s="49">
        <f t="shared" si="244"/>
        <v>0</v>
      </c>
      <c r="CI77" s="49">
        <f t="shared" si="245"/>
        <v>19201.261200000001</v>
      </c>
      <c r="CJ77" s="49">
        <f t="shared" si="246"/>
        <v>0</v>
      </c>
      <c r="CK77" s="49">
        <f t="shared" si="247"/>
        <v>0</v>
      </c>
      <c r="CL77" s="49">
        <f t="shared" si="248"/>
        <v>19201.261200000001</v>
      </c>
      <c r="CM77" s="49">
        <f t="shared" si="249"/>
        <v>0</v>
      </c>
      <c r="CN77" s="49">
        <f t="shared" si="250"/>
        <v>0</v>
      </c>
      <c r="CO77" s="49">
        <f t="shared" si="251"/>
        <v>189864.47090325001</v>
      </c>
      <c r="CP77" s="49">
        <f t="shared" si="252"/>
        <v>0</v>
      </c>
      <c r="CQ77" s="49">
        <f t="shared" si="253"/>
        <v>0</v>
      </c>
      <c r="CR77" s="81">
        <f t="shared" si="254"/>
        <v>189864.47090325001</v>
      </c>
      <c r="CS77" s="80">
        <f t="shared" si="255"/>
        <v>290167.05909674999</v>
      </c>
      <c r="CT77" s="54"/>
      <c r="CU77" s="3" t="str">
        <f t="shared" si="256"/>
        <v>ARS</v>
      </c>
      <c r="CV77" s="3">
        <f>VLOOKUP(CU77,DF:DG,2,0)</f>
        <v>6.9185169999999997E-4</v>
      </c>
      <c r="CW77" s="23">
        <f t="shared" si="257"/>
        <v>332.11063008410099</v>
      </c>
      <c r="CX77" s="23">
        <f t="shared" si="258"/>
        <v>13.832407743002808</v>
      </c>
      <c r="CY77" s="23">
        <f t="shared" si="259"/>
        <v>49.816594512615147</v>
      </c>
      <c r="CZ77" s="23">
        <f t="shared" si="260"/>
        <v>44.461310602509023</v>
      </c>
      <c r="DA77" s="23">
        <f t="shared" si="261"/>
        <v>9.9633189025230298</v>
      </c>
      <c r="DB77" s="23">
        <f t="shared" si="262"/>
        <v>13.284425203364039</v>
      </c>
      <c r="DC77" s="23">
        <f t="shared" si="263"/>
        <v>200.75257312008694</v>
      </c>
      <c r="DD77" s="34" t="str">
        <f>VLOOKUP(A77,'Billing Report'!H:I,2,FALSE)</f>
        <v>ARG_BRD_BRA_SEDDEBRAHMA_VERANO_NON_AWA_BEY_2026_STAFE_LAPAMPA_ER</v>
      </c>
      <c r="DE77" s="34"/>
      <c r="DF77" s="61"/>
      <c r="DG77" s="62"/>
      <c r="DH77"/>
      <c r="DI77" s="41"/>
      <c r="DJ77" s="41"/>
    </row>
    <row r="78" spans="1:114" ht="14.5" x14ac:dyDescent="0.35">
      <c r="A78" s="63">
        <v>40745273</v>
      </c>
      <c r="B78" s="3" t="s">
        <v>669</v>
      </c>
      <c r="C78" s="3">
        <v>322149801</v>
      </c>
      <c r="D78" s="3" t="s">
        <v>93</v>
      </c>
      <c r="G78" s="38">
        <v>815704.5</v>
      </c>
      <c r="J78" s="33">
        <f>VLOOKUP($B78,'IMS Commission List'!E:CE,79,0)/100</f>
        <v>0.15</v>
      </c>
      <c r="K78" s="79">
        <f t="shared" si="176"/>
        <v>815704.5</v>
      </c>
      <c r="L78" s="3" t="str">
        <f>VLOOKUP($B78,'IMS Commission List'!E:V,18,0)</f>
        <v>ARS</v>
      </c>
      <c r="M78" s="3">
        <v>1</v>
      </c>
      <c r="N78" s="3" t="str">
        <f>VLOOKUP($B78,'IMS Commission List'!E:T,16,0)</f>
        <v>MX</v>
      </c>
      <c r="O78" s="54">
        <f>VLOOKUP($B78,'IMS Commission List'!E:CF,80,0)</f>
        <v>4.9000000000000002E-2</v>
      </c>
      <c r="P78" s="54">
        <f>VLOOKUP($B78,'IMS Commission List'!E:CG,81,0)</f>
        <v>0.1575</v>
      </c>
      <c r="Q78" s="54">
        <f>VLOOKUP($B78,'IMS Commission List'!E:CP,90,0)</f>
        <v>0.03</v>
      </c>
      <c r="R78" s="54">
        <f>VLOOKUP($B78,'IMS Commission List'!E:CQ,91,0)</f>
        <v>0.04</v>
      </c>
      <c r="S78" s="47">
        <f t="shared" si="177"/>
        <v>0</v>
      </c>
      <c r="T78" s="48">
        <f t="shared" si="178"/>
        <v>0</v>
      </c>
      <c r="U78" s="48">
        <f t="shared" si="179"/>
        <v>815704.5</v>
      </c>
      <c r="V78" s="48">
        <f t="shared" si="180"/>
        <v>0</v>
      </c>
      <c r="W78" s="48">
        <f t="shared" si="181"/>
        <v>0</v>
      </c>
      <c r="X78" s="49">
        <f t="shared" si="182"/>
        <v>815704.5</v>
      </c>
      <c r="Y78" s="49">
        <f t="shared" si="183"/>
        <v>0</v>
      </c>
      <c r="Z78" s="49">
        <f t="shared" si="184"/>
        <v>0</v>
      </c>
      <c r="AA78" s="49">
        <f t="shared" si="185"/>
        <v>33974.092424999995</v>
      </c>
      <c r="AB78" s="49">
        <f t="shared" si="186"/>
        <v>0</v>
      </c>
      <c r="AC78" s="49">
        <f t="shared" si="187"/>
        <v>0</v>
      </c>
      <c r="AD78" s="49">
        <f t="shared" si="188"/>
        <v>33974.092424999995</v>
      </c>
      <c r="AE78" s="49">
        <f t="shared" si="189"/>
        <v>0</v>
      </c>
      <c r="AF78" s="49">
        <f t="shared" si="190"/>
        <v>0</v>
      </c>
      <c r="AG78" s="49">
        <f t="shared" si="191"/>
        <v>122355.67499999999</v>
      </c>
      <c r="AH78" s="49">
        <f t="shared" si="192"/>
        <v>0</v>
      </c>
      <c r="AI78" s="49">
        <f t="shared" si="193"/>
        <v>0</v>
      </c>
      <c r="AJ78" s="49">
        <f t="shared" si="194"/>
        <v>122355.67499999999</v>
      </c>
      <c r="AK78" s="49">
        <f t="shared" si="195"/>
        <v>0</v>
      </c>
      <c r="AL78" s="49">
        <f t="shared" si="196"/>
        <v>0</v>
      </c>
      <c r="AM78" s="49">
        <f t="shared" si="197"/>
        <v>109202.43993750001</v>
      </c>
      <c r="AN78" s="49">
        <f t="shared" si="198"/>
        <v>0</v>
      </c>
      <c r="AO78" s="49">
        <f t="shared" si="199"/>
        <v>0</v>
      </c>
      <c r="AP78" s="49">
        <f t="shared" si="200"/>
        <v>109202.43993750001</v>
      </c>
      <c r="AQ78" s="49">
        <f t="shared" si="201"/>
        <v>0</v>
      </c>
      <c r="AR78" s="49">
        <f t="shared" si="202"/>
        <v>0</v>
      </c>
      <c r="AS78" s="49">
        <f t="shared" si="203"/>
        <v>24471.134999999998</v>
      </c>
      <c r="AT78" s="49">
        <f t="shared" si="204"/>
        <v>0</v>
      </c>
      <c r="AU78" s="49">
        <f t="shared" si="205"/>
        <v>0</v>
      </c>
      <c r="AV78" s="49">
        <f t="shared" si="206"/>
        <v>24471.134999999998</v>
      </c>
      <c r="AW78" s="49">
        <f t="shared" si="207"/>
        <v>0</v>
      </c>
      <c r="AX78" s="49">
        <f t="shared" si="208"/>
        <v>0</v>
      </c>
      <c r="AY78" s="49">
        <f t="shared" si="209"/>
        <v>32628.18</v>
      </c>
      <c r="AZ78" s="49">
        <f t="shared" si="210"/>
        <v>0</v>
      </c>
      <c r="BA78" s="49">
        <f t="shared" si="211"/>
        <v>0</v>
      </c>
      <c r="BB78" s="49">
        <f t="shared" si="212"/>
        <v>32628.18</v>
      </c>
      <c r="BC78" s="49">
        <f t="shared" si="213"/>
        <v>0</v>
      </c>
      <c r="BD78" s="49">
        <f t="shared" si="214"/>
        <v>0</v>
      </c>
      <c r="BE78" s="49">
        <f t="shared" si="215"/>
        <v>322631.52236249996</v>
      </c>
      <c r="BF78" s="49">
        <f t="shared" si="216"/>
        <v>0</v>
      </c>
      <c r="BG78" s="49">
        <f t="shared" si="217"/>
        <v>0</v>
      </c>
      <c r="BH78" s="49">
        <f t="shared" si="218"/>
        <v>322631.52236249996</v>
      </c>
      <c r="BI78" s="49">
        <f t="shared" si="219"/>
        <v>0</v>
      </c>
      <c r="BJ78" s="49">
        <f t="shared" si="220"/>
        <v>0</v>
      </c>
      <c r="BK78" s="49">
        <f t="shared" si="221"/>
        <v>33974.092424999995</v>
      </c>
      <c r="BL78" s="49">
        <f t="shared" si="222"/>
        <v>0</v>
      </c>
      <c r="BM78" s="49">
        <f t="shared" si="223"/>
        <v>0</v>
      </c>
      <c r="BN78" s="49">
        <f t="shared" si="224"/>
        <v>33974.092424999995</v>
      </c>
      <c r="BO78" s="49">
        <f t="shared" si="225"/>
        <v>0</v>
      </c>
      <c r="BP78" s="49">
        <f t="shared" si="226"/>
        <v>0</v>
      </c>
      <c r="BQ78" s="49">
        <f t="shared" si="227"/>
        <v>122355.67499999999</v>
      </c>
      <c r="BR78" s="49">
        <f t="shared" si="228"/>
        <v>0</v>
      </c>
      <c r="BS78" s="49">
        <f t="shared" si="229"/>
        <v>0</v>
      </c>
      <c r="BT78" s="49">
        <f t="shared" si="230"/>
        <v>122355.67499999999</v>
      </c>
      <c r="BU78" s="49">
        <f t="shared" si="231"/>
        <v>0</v>
      </c>
      <c r="BV78" s="49">
        <f t="shared" si="232"/>
        <v>0</v>
      </c>
      <c r="BW78" s="49">
        <f t="shared" si="233"/>
        <v>109202.43993750001</v>
      </c>
      <c r="BX78" s="49">
        <f t="shared" si="234"/>
        <v>0</v>
      </c>
      <c r="BY78" s="49">
        <f t="shared" si="235"/>
        <v>0</v>
      </c>
      <c r="BZ78" s="49">
        <f t="shared" si="236"/>
        <v>109202.43993750001</v>
      </c>
      <c r="CA78" s="49">
        <f t="shared" si="237"/>
        <v>0</v>
      </c>
      <c r="CB78" s="49">
        <f t="shared" si="238"/>
        <v>0</v>
      </c>
      <c r="CC78" s="49">
        <f t="shared" si="239"/>
        <v>24471.134999999998</v>
      </c>
      <c r="CD78" s="49">
        <f t="shared" si="240"/>
        <v>0</v>
      </c>
      <c r="CE78" s="49">
        <f t="shared" si="241"/>
        <v>0</v>
      </c>
      <c r="CF78" s="49">
        <f t="shared" si="242"/>
        <v>24471.134999999998</v>
      </c>
      <c r="CG78" s="49">
        <f t="shared" si="243"/>
        <v>0</v>
      </c>
      <c r="CH78" s="49">
        <f t="shared" si="244"/>
        <v>0</v>
      </c>
      <c r="CI78" s="49">
        <f t="shared" si="245"/>
        <v>32628.18</v>
      </c>
      <c r="CJ78" s="49">
        <f t="shared" si="246"/>
        <v>0</v>
      </c>
      <c r="CK78" s="49">
        <f t="shared" si="247"/>
        <v>0</v>
      </c>
      <c r="CL78" s="49">
        <f t="shared" si="248"/>
        <v>32628.18</v>
      </c>
      <c r="CM78" s="49">
        <f t="shared" si="249"/>
        <v>0</v>
      </c>
      <c r="CN78" s="49">
        <f t="shared" si="250"/>
        <v>0</v>
      </c>
      <c r="CO78" s="49">
        <f t="shared" si="251"/>
        <v>322631.52236249996</v>
      </c>
      <c r="CP78" s="49">
        <f t="shared" si="252"/>
        <v>0</v>
      </c>
      <c r="CQ78" s="49">
        <f t="shared" si="253"/>
        <v>0</v>
      </c>
      <c r="CR78" s="81">
        <f t="shared" si="254"/>
        <v>322631.52236249996</v>
      </c>
      <c r="CS78" s="80">
        <f t="shared" si="255"/>
        <v>493072.97763750004</v>
      </c>
      <c r="CT78" s="54"/>
      <c r="CU78" s="3" t="str">
        <f t="shared" si="256"/>
        <v>ARS</v>
      </c>
      <c r="CV78" s="3">
        <f>VLOOKUP(CU78,DF:DG,2,0)</f>
        <v>6.9185169999999997E-4</v>
      </c>
      <c r="CW78" s="23">
        <f t="shared" si="257"/>
        <v>564.34654502264993</v>
      </c>
      <c r="CX78" s="23">
        <f t="shared" si="258"/>
        <v>23.505033600193368</v>
      </c>
      <c r="CY78" s="23">
        <f t="shared" si="259"/>
        <v>84.651981753397493</v>
      </c>
      <c r="CZ78" s="23">
        <f t="shared" si="260"/>
        <v>75.551893714907266</v>
      </c>
      <c r="DA78" s="23">
        <f t="shared" si="261"/>
        <v>16.930396350679498</v>
      </c>
      <c r="DB78" s="23">
        <f t="shared" si="262"/>
        <v>22.573861800905998</v>
      </c>
      <c r="DC78" s="23">
        <f t="shared" si="263"/>
        <v>341.13337780256637</v>
      </c>
      <c r="DD78" s="34" t="str">
        <f>VLOOKUP(A78,'Billing Report'!H:I,2,FALSE)</f>
        <v>ARG_BRD_BRA_SEDDEBRAHMA_VERANO_NON_AWA_BEY_2026_LDA</v>
      </c>
      <c r="DE78" s="34"/>
      <c r="DF78" s="61"/>
      <c r="DG78" s="62"/>
      <c r="DH78"/>
      <c r="DI78" s="41"/>
      <c r="DJ78" s="41"/>
    </row>
    <row r="79" spans="1:114" ht="14.5" x14ac:dyDescent="0.35">
      <c r="A79" s="63">
        <v>40776297</v>
      </c>
      <c r="B79" s="3" t="s">
        <v>671</v>
      </c>
      <c r="C79" s="3">
        <v>322149901</v>
      </c>
      <c r="D79" s="3" t="s">
        <v>93</v>
      </c>
      <c r="G79" s="38">
        <v>158098.96</v>
      </c>
      <c r="J79" s="33">
        <f>VLOOKUP($B79,'IMS Commission List'!E:CE,79,0)/100</f>
        <v>0.15</v>
      </c>
      <c r="K79" s="79">
        <f t="shared" si="176"/>
        <v>158098.96</v>
      </c>
      <c r="L79" s="3" t="str">
        <f>VLOOKUP($B79,'IMS Commission List'!E:V,18,0)</f>
        <v>ARS</v>
      </c>
      <c r="M79" s="3">
        <v>1</v>
      </c>
      <c r="N79" s="3" t="str">
        <f>VLOOKUP($B79,'IMS Commission List'!E:T,16,0)</f>
        <v>MX</v>
      </c>
      <c r="O79" s="54">
        <f>VLOOKUP($B79,'IMS Commission List'!E:CF,80,0)</f>
        <v>4.9000000000000002E-2</v>
      </c>
      <c r="P79" s="54">
        <f>VLOOKUP($B79,'IMS Commission List'!E:CG,81,0)</f>
        <v>0.1575</v>
      </c>
      <c r="Q79" s="54">
        <f>VLOOKUP($B79,'IMS Commission List'!E:CP,90,0)</f>
        <v>0.03</v>
      </c>
      <c r="R79" s="54">
        <f>VLOOKUP($B79,'IMS Commission List'!E:CQ,91,0)</f>
        <v>0.04</v>
      </c>
      <c r="S79" s="47">
        <f t="shared" si="177"/>
        <v>0</v>
      </c>
      <c r="T79" s="48">
        <f t="shared" si="178"/>
        <v>0</v>
      </c>
      <c r="U79" s="48">
        <f t="shared" si="179"/>
        <v>158098.96</v>
      </c>
      <c r="V79" s="48">
        <f t="shared" si="180"/>
        <v>0</v>
      </c>
      <c r="W79" s="48">
        <f t="shared" si="181"/>
        <v>0</v>
      </c>
      <c r="X79" s="49">
        <f t="shared" si="182"/>
        <v>158098.96</v>
      </c>
      <c r="Y79" s="49">
        <f t="shared" si="183"/>
        <v>0</v>
      </c>
      <c r="Z79" s="49">
        <f t="shared" si="184"/>
        <v>0</v>
      </c>
      <c r="AA79" s="49">
        <f t="shared" si="185"/>
        <v>6584.8216839999995</v>
      </c>
      <c r="AB79" s="49">
        <f t="shared" si="186"/>
        <v>0</v>
      </c>
      <c r="AC79" s="49">
        <f t="shared" si="187"/>
        <v>0</v>
      </c>
      <c r="AD79" s="49">
        <f t="shared" si="188"/>
        <v>6584.8216839999995</v>
      </c>
      <c r="AE79" s="49">
        <f t="shared" si="189"/>
        <v>0</v>
      </c>
      <c r="AF79" s="49">
        <f t="shared" si="190"/>
        <v>0</v>
      </c>
      <c r="AG79" s="49">
        <f t="shared" si="191"/>
        <v>23714.843999999997</v>
      </c>
      <c r="AH79" s="49">
        <f t="shared" si="192"/>
        <v>0</v>
      </c>
      <c r="AI79" s="49">
        <f t="shared" si="193"/>
        <v>0</v>
      </c>
      <c r="AJ79" s="49">
        <f t="shared" si="194"/>
        <v>23714.843999999997</v>
      </c>
      <c r="AK79" s="49">
        <f t="shared" si="195"/>
        <v>0</v>
      </c>
      <c r="AL79" s="49">
        <f t="shared" si="196"/>
        <v>0</v>
      </c>
      <c r="AM79" s="49">
        <f t="shared" si="197"/>
        <v>21165.498269999996</v>
      </c>
      <c r="AN79" s="49">
        <f t="shared" si="198"/>
        <v>0</v>
      </c>
      <c r="AO79" s="49">
        <f t="shared" si="199"/>
        <v>0</v>
      </c>
      <c r="AP79" s="49">
        <f t="shared" si="200"/>
        <v>21165.498269999996</v>
      </c>
      <c r="AQ79" s="49">
        <f t="shared" si="201"/>
        <v>0</v>
      </c>
      <c r="AR79" s="49">
        <f t="shared" si="202"/>
        <v>0</v>
      </c>
      <c r="AS79" s="49">
        <f t="shared" si="203"/>
        <v>4742.9687999999996</v>
      </c>
      <c r="AT79" s="49">
        <f t="shared" si="204"/>
        <v>0</v>
      </c>
      <c r="AU79" s="49">
        <f t="shared" si="205"/>
        <v>0</v>
      </c>
      <c r="AV79" s="49">
        <f t="shared" si="206"/>
        <v>4742.9687999999996</v>
      </c>
      <c r="AW79" s="49">
        <f t="shared" si="207"/>
        <v>0</v>
      </c>
      <c r="AX79" s="49">
        <f t="shared" si="208"/>
        <v>0</v>
      </c>
      <c r="AY79" s="49">
        <f t="shared" si="209"/>
        <v>6323.9583999999995</v>
      </c>
      <c r="AZ79" s="49">
        <f t="shared" si="210"/>
        <v>0</v>
      </c>
      <c r="BA79" s="49">
        <f t="shared" si="211"/>
        <v>0</v>
      </c>
      <c r="BB79" s="49">
        <f t="shared" si="212"/>
        <v>6323.9583999999995</v>
      </c>
      <c r="BC79" s="49">
        <f t="shared" si="213"/>
        <v>0</v>
      </c>
      <c r="BD79" s="49">
        <f t="shared" si="214"/>
        <v>0</v>
      </c>
      <c r="BE79" s="49">
        <f t="shared" si="215"/>
        <v>62532.091153999994</v>
      </c>
      <c r="BF79" s="49">
        <f t="shared" si="216"/>
        <v>0</v>
      </c>
      <c r="BG79" s="49">
        <f t="shared" si="217"/>
        <v>0</v>
      </c>
      <c r="BH79" s="49">
        <f t="shared" si="218"/>
        <v>62532.091153999994</v>
      </c>
      <c r="BI79" s="49">
        <f t="shared" si="219"/>
        <v>0</v>
      </c>
      <c r="BJ79" s="49">
        <f t="shared" si="220"/>
        <v>0</v>
      </c>
      <c r="BK79" s="49">
        <f t="shared" si="221"/>
        <v>6584.8216839999995</v>
      </c>
      <c r="BL79" s="49">
        <f t="shared" si="222"/>
        <v>0</v>
      </c>
      <c r="BM79" s="49">
        <f t="shared" si="223"/>
        <v>0</v>
      </c>
      <c r="BN79" s="49">
        <f t="shared" si="224"/>
        <v>6584.8216839999995</v>
      </c>
      <c r="BO79" s="49">
        <f t="shared" si="225"/>
        <v>0</v>
      </c>
      <c r="BP79" s="49">
        <f t="shared" si="226"/>
        <v>0</v>
      </c>
      <c r="BQ79" s="49">
        <f t="shared" si="227"/>
        <v>23714.843999999997</v>
      </c>
      <c r="BR79" s="49">
        <f t="shared" si="228"/>
        <v>0</v>
      </c>
      <c r="BS79" s="49">
        <f t="shared" si="229"/>
        <v>0</v>
      </c>
      <c r="BT79" s="49">
        <f t="shared" si="230"/>
        <v>23714.843999999997</v>
      </c>
      <c r="BU79" s="49">
        <f t="shared" si="231"/>
        <v>0</v>
      </c>
      <c r="BV79" s="49">
        <f t="shared" si="232"/>
        <v>0</v>
      </c>
      <c r="BW79" s="49">
        <f t="shared" si="233"/>
        <v>21165.498269999996</v>
      </c>
      <c r="BX79" s="49">
        <f t="shared" si="234"/>
        <v>0</v>
      </c>
      <c r="BY79" s="49">
        <f t="shared" si="235"/>
        <v>0</v>
      </c>
      <c r="BZ79" s="49">
        <f t="shared" si="236"/>
        <v>21165.498269999996</v>
      </c>
      <c r="CA79" s="49">
        <f t="shared" si="237"/>
        <v>0</v>
      </c>
      <c r="CB79" s="49">
        <f t="shared" si="238"/>
        <v>0</v>
      </c>
      <c r="CC79" s="49">
        <f t="shared" si="239"/>
        <v>4742.9687999999996</v>
      </c>
      <c r="CD79" s="49">
        <f t="shared" si="240"/>
        <v>0</v>
      </c>
      <c r="CE79" s="49">
        <f t="shared" si="241"/>
        <v>0</v>
      </c>
      <c r="CF79" s="49">
        <f t="shared" si="242"/>
        <v>4742.9687999999996</v>
      </c>
      <c r="CG79" s="49">
        <f t="shared" si="243"/>
        <v>0</v>
      </c>
      <c r="CH79" s="49">
        <f t="shared" si="244"/>
        <v>0</v>
      </c>
      <c r="CI79" s="49">
        <f t="shared" si="245"/>
        <v>6323.9583999999995</v>
      </c>
      <c r="CJ79" s="49">
        <f t="shared" si="246"/>
        <v>0</v>
      </c>
      <c r="CK79" s="49">
        <f t="shared" si="247"/>
        <v>0</v>
      </c>
      <c r="CL79" s="49">
        <f t="shared" si="248"/>
        <v>6323.9583999999995</v>
      </c>
      <c r="CM79" s="49">
        <f t="shared" si="249"/>
        <v>0</v>
      </c>
      <c r="CN79" s="49">
        <f t="shared" si="250"/>
        <v>0</v>
      </c>
      <c r="CO79" s="49">
        <f t="shared" si="251"/>
        <v>62532.091153999994</v>
      </c>
      <c r="CP79" s="49">
        <f t="shared" si="252"/>
        <v>0</v>
      </c>
      <c r="CQ79" s="49">
        <f t="shared" si="253"/>
        <v>0</v>
      </c>
      <c r="CR79" s="81">
        <f t="shared" si="254"/>
        <v>62532.091153999994</v>
      </c>
      <c r="CS79" s="80">
        <f t="shared" si="255"/>
        <v>95566.868845999998</v>
      </c>
      <c r="CT79" s="54"/>
      <c r="CU79" s="3" t="str">
        <f t="shared" si="256"/>
        <v>ARS</v>
      </c>
      <c r="CV79" s="3">
        <f>VLOOKUP(CU79,DF:DG,2,0)</f>
        <v>6.9185169999999997E-4</v>
      </c>
      <c r="CW79" s="23">
        <f t="shared" si="257"/>
        <v>109.38103424423198</v>
      </c>
      <c r="CX79" s="23">
        <f t="shared" si="258"/>
        <v>4.5557200762722623</v>
      </c>
      <c r="CY79" s="23">
        <f t="shared" si="259"/>
        <v>16.407155136634799</v>
      </c>
      <c r="CZ79" s="23">
        <f t="shared" si="260"/>
        <v>14.643385959446556</v>
      </c>
      <c r="DA79" s="23">
        <f t="shared" si="261"/>
        <v>3.2814310273269598</v>
      </c>
      <c r="DB79" s="23">
        <f t="shared" si="262"/>
        <v>4.3752413697692791</v>
      </c>
      <c r="DC79" s="23">
        <f t="shared" si="263"/>
        <v>66.118100674782127</v>
      </c>
      <c r="DD79" s="34" t="str">
        <f>VLOOKUP(A79,'Billing Report'!H:I,2,FALSE)</f>
        <v>ARG_BRD_BRA_SEDDEBRAHMA_CARNAVAL_NON_RCH_BEY_2026_LDA</v>
      </c>
      <c r="DE79" s="34"/>
      <c r="DF79" s="61"/>
      <c r="DG79" s="62"/>
      <c r="DH79"/>
      <c r="DI79" s="41"/>
      <c r="DJ79" s="41"/>
    </row>
    <row r="80" spans="1:114" ht="14.5" x14ac:dyDescent="0.35">
      <c r="A80" s="63">
        <v>40776264</v>
      </c>
      <c r="B80" s="3" t="s">
        <v>671</v>
      </c>
      <c r="C80" s="3">
        <v>322149901</v>
      </c>
      <c r="D80" s="3" t="s">
        <v>93</v>
      </c>
      <c r="G80" s="38">
        <v>221426.17</v>
      </c>
      <c r="J80" s="33">
        <f>VLOOKUP($B80,'IMS Commission List'!E:CE,79,0)/100</f>
        <v>0.15</v>
      </c>
      <c r="K80" s="79">
        <f t="shared" si="176"/>
        <v>221426.17</v>
      </c>
      <c r="L80" s="3" t="str">
        <f>VLOOKUP($B80,'IMS Commission List'!E:V,18,0)</f>
        <v>ARS</v>
      </c>
      <c r="M80" s="3">
        <v>1</v>
      </c>
      <c r="N80" s="3" t="str">
        <f>VLOOKUP($B80,'IMS Commission List'!E:T,16,0)</f>
        <v>MX</v>
      </c>
      <c r="O80" s="54">
        <f>VLOOKUP($B80,'IMS Commission List'!E:CF,80,0)</f>
        <v>4.9000000000000002E-2</v>
      </c>
      <c r="P80" s="54">
        <f>VLOOKUP($B80,'IMS Commission List'!E:CG,81,0)</f>
        <v>0.1575</v>
      </c>
      <c r="Q80" s="54">
        <f>VLOOKUP($B80,'IMS Commission List'!E:CP,90,0)</f>
        <v>0.03</v>
      </c>
      <c r="R80" s="54">
        <f>VLOOKUP($B80,'IMS Commission List'!E:CQ,91,0)</f>
        <v>0.04</v>
      </c>
      <c r="S80" s="47">
        <f t="shared" si="177"/>
        <v>0</v>
      </c>
      <c r="T80" s="48">
        <f t="shared" si="178"/>
        <v>0</v>
      </c>
      <c r="U80" s="48">
        <f t="shared" si="179"/>
        <v>221426.17</v>
      </c>
      <c r="V80" s="48">
        <f t="shared" si="180"/>
        <v>0</v>
      </c>
      <c r="W80" s="48">
        <f t="shared" si="181"/>
        <v>0</v>
      </c>
      <c r="X80" s="49">
        <f t="shared" si="182"/>
        <v>221426.17</v>
      </c>
      <c r="Y80" s="49">
        <f t="shared" si="183"/>
        <v>0</v>
      </c>
      <c r="Z80" s="49">
        <f t="shared" si="184"/>
        <v>0</v>
      </c>
      <c r="AA80" s="49">
        <f t="shared" si="185"/>
        <v>9222.3999805000003</v>
      </c>
      <c r="AB80" s="49">
        <f t="shared" si="186"/>
        <v>0</v>
      </c>
      <c r="AC80" s="49">
        <f t="shared" si="187"/>
        <v>0</v>
      </c>
      <c r="AD80" s="49">
        <f t="shared" si="188"/>
        <v>9222.3999805000003</v>
      </c>
      <c r="AE80" s="49">
        <f t="shared" si="189"/>
        <v>0</v>
      </c>
      <c r="AF80" s="49">
        <f t="shared" si="190"/>
        <v>0</v>
      </c>
      <c r="AG80" s="49">
        <f t="shared" si="191"/>
        <v>33213.925499999998</v>
      </c>
      <c r="AH80" s="49">
        <f t="shared" si="192"/>
        <v>0</v>
      </c>
      <c r="AI80" s="49">
        <f t="shared" si="193"/>
        <v>0</v>
      </c>
      <c r="AJ80" s="49">
        <f t="shared" si="194"/>
        <v>33213.925499999998</v>
      </c>
      <c r="AK80" s="49">
        <f t="shared" si="195"/>
        <v>0</v>
      </c>
      <c r="AL80" s="49">
        <f t="shared" si="196"/>
        <v>0</v>
      </c>
      <c r="AM80" s="49">
        <f t="shared" si="197"/>
        <v>29643.428508749999</v>
      </c>
      <c r="AN80" s="49">
        <f t="shared" si="198"/>
        <v>0</v>
      </c>
      <c r="AO80" s="49">
        <f t="shared" si="199"/>
        <v>0</v>
      </c>
      <c r="AP80" s="49">
        <f t="shared" si="200"/>
        <v>29643.428508749999</v>
      </c>
      <c r="AQ80" s="49">
        <f t="shared" si="201"/>
        <v>0</v>
      </c>
      <c r="AR80" s="49">
        <f t="shared" si="202"/>
        <v>0</v>
      </c>
      <c r="AS80" s="49">
        <f t="shared" si="203"/>
        <v>6642.7851000000001</v>
      </c>
      <c r="AT80" s="49">
        <f t="shared" si="204"/>
        <v>0</v>
      </c>
      <c r="AU80" s="49">
        <f t="shared" si="205"/>
        <v>0</v>
      </c>
      <c r="AV80" s="49">
        <f t="shared" si="206"/>
        <v>6642.7851000000001</v>
      </c>
      <c r="AW80" s="49">
        <f t="shared" si="207"/>
        <v>0</v>
      </c>
      <c r="AX80" s="49">
        <f t="shared" si="208"/>
        <v>0</v>
      </c>
      <c r="AY80" s="49">
        <f t="shared" si="209"/>
        <v>8857.0468000000001</v>
      </c>
      <c r="AZ80" s="49">
        <f t="shared" si="210"/>
        <v>0</v>
      </c>
      <c r="BA80" s="49">
        <f t="shared" si="211"/>
        <v>0</v>
      </c>
      <c r="BB80" s="49">
        <f t="shared" si="212"/>
        <v>8857.0468000000001</v>
      </c>
      <c r="BC80" s="49">
        <f t="shared" si="213"/>
        <v>0</v>
      </c>
      <c r="BD80" s="49">
        <f t="shared" si="214"/>
        <v>0</v>
      </c>
      <c r="BE80" s="49">
        <f t="shared" si="215"/>
        <v>87579.585889249982</v>
      </c>
      <c r="BF80" s="49">
        <f t="shared" si="216"/>
        <v>0</v>
      </c>
      <c r="BG80" s="49">
        <f t="shared" si="217"/>
        <v>0</v>
      </c>
      <c r="BH80" s="49">
        <f t="shared" si="218"/>
        <v>87579.585889249982</v>
      </c>
      <c r="BI80" s="49">
        <f t="shared" si="219"/>
        <v>0</v>
      </c>
      <c r="BJ80" s="49">
        <f t="shared" si="220"/>
        <v>0</v>
      </c>
      <c r="BK80" s="49">
        <f t="shared" si="221"/>
        <v>9222.3999805000003</v>
      </c>
      <c r="BL80" s="49">
        <f t="shared" si="222"/>
        <v>0</v>
      </c>
      <c r="BM80" s="49">
        <f t="shared" si="223"/>
        <v>0</v>
      </c>
      <c r="BN80" s="49">
        <f t="shared" si="224"/>
        <v>9222.3999805000003</v>
      </c>
      <c r="BO80" s="49">
        <f t="shared" si="225"/>
        <v>0</v>
      </c>
      <c r="BP80" s="49">
        <f t="shared" si="226"/>
        <v>0</v>
      </c>
      <c r="BQ80" s="49">
        <f t="shared" si="227"/>
        <v>33213.925499999998</v>
      </c>
      <c r="BR80" s="49">
        <f t="shared" si="228"/>
        <v>0</v>
      </c>
      <c r="BS80" s="49">
        <f t="shared" si="229"/>
        <v>0</v>
      </c>
      <c r="BT80" s="49">
        <f t="shared" si="230"/>
        <v>33213.925499999998</v>
      </c>
      <c r="BU80" s="49">
        <f t="shared" si="231"/>
        <v>0</v>
      </c>
      <c r="BV80" s="49">
        <f t="shared" si="232"/>
        <v>0</v>
      </c>
      <c r="BW80" s="49">
        <f t="shared" si="233"/>
        <v>29643.428508749999</v>
      </c>
      <c r="BX80" s="49">
        <f t="shared" si="234"/>
        <v>0</v>
      </c>
      <c r="BY80" s="49">
        <f t="shared" si="235"/>
        <v>0</v>
      </c>
      <c r="BZ80" s="49">
        <f t="shared" si="236"/>
        <v>29643.428508749999</v>
      </c>
      <c r="CA80" s="49">
        <f t="shared" si="237"/>
        <v>0</v>
      </c>
      <c r="CB80" s="49">
        <f t="shared" si="238"/>
        <v>0</v>
      </c>
      <c r="CC80" s="49">
        <f t="shared" si="239"/>
        <v>6642.7851000000001</v>
      </c>
      <c r="CD80" s="49">
        <f t="shared" si="240"/>
        <v>0</v>
      </c>
      <c r="CE80" s="49">
        <f t="shared" si="241"/>
        <v>0</v>
      </c>
      <c r="CF80" s="49">
        <f t="shared" si="242"/>
        <v>6642.7851000000001</v>
      </c>
      <c r="CG80" s="49">
        <f t="shared" si="243"/>
        <v>0</v>
      </c>
      <c r="CH80" s="49">
        <f t="shared" si="244"/>
        <v>0</v>
      </c>
      <c r="CI80" s="49">
        <f t="shared" si="245"/>
        <v>8857.0468000000001</v>
      </c>
      <c r="CJ80" s="49">
        <f t="shared" si="246"/>
        <v>0</v>
      </c>
      <c r="CK80" s="49">
        <f t="shared" si="247"/>
        <v>0</v>
      </c>
      <c r="CL80" s="49">
        <f t="shared" si="248"/>
        <v>8857.0468000000001</v>
      </c>
      <c r="CM80" s="49">
        <f t="shared" si="249"/>
        <v>0</v>
      </c>
      <c r="CN80" s="49">
        <f t="shared" si="250"/>
        <v>0</v>
      </c>
      <c r="CO80" s="49">
        <f t="shared" si="251"/>
        <v>87579.585889249982</v>
      </c>
      <c r="CP80" s="49">
        <f t="shared" si="252"/>
        <v>0</v>
      </c>
      <c r="CQ80" s="49">
        <f t="shared" si="253"/>
        <v>0</v>
      </c>
      <c r="CR80" s="81">
        <f t="shared" si="254"/>
        <v>87579.585889249982</v>
      </c>
      <c r="CS80" s="80">
        <f t="shared" si="255"/>
        <v>133846.58411075003</v>
      </c>
      <c r="CT80" s="54"/>
      <c r="CU80" s="3" t="str">
        <f t="shared" si="256"/>
        <v>ARS</v>
      </c>
      <c r="CV80" s="3">
        <f>VLOOKUP(CU80,DF:DG,2,0)</f>
        <v>6.9185169999999997E-4</v>
      </c>
      <c r="CW80" s="23">
        <f t="shared" si="257"/>
        <v>153.19407213898901</v>
      </c>
      <c r="CX80" s="23">
        <f t="shared" si="258"/>
        <v>6.380533104588892</v>
      </c>
      <c r="CY80" s="23">
        <f t="shared" si="259"/>
        <v>22.979110820848348</v>
      </c>
      <c r="CZ80" s="23">
        <f t="shared" si="260"/>
        <v>20.508856407607151</v>
      </c>
      <c r="DA80" s="23">
        <f t="shared" si="261"/>
        <v>4.5958221641696699</v>
      </c>
      <c r="DB80" s="23">
        <f t="shared" si="262"/>
        <v>6.1277628855595596</v>
      </c>
      <c r="DC80" s="23">
        <f t="shared" si="263"/>
        <v>92.601986756215396</v>
      </c>
      <c r="DD80" s="34" t="str">
        <f>VLOOKUP(A80,'Billing Report'!H:I,2,FALSE)</f>
        <v>ARG_BRD_BRA_SEDDEBRAHMA_CARNAVAL_NON_RCH_BEY_2026_BARRIALES</v>
      </c>
      <c r="DE80" s="34"/>
      <c r="DF80" s="61"/>
      <c r="DG80" s="62"/>
      <c r="DH80"/>
      <c r="DI80" s="41"/>
      <c r="DJ80" s="41"/>
    </row>
    <row r="81" spans="1:114" ht="14.5" x14ac:dyDescent="0.35">
      <c r="A81" s="63">
        <v>40776253</v>
      </c>
      <c r="B81" s="3" t="s">
        <v>671</v>
      </c>
      <c r="C81" s="3">
        <v>322149901</v>
      </c>
      <c r="D81" s="3" t="s">
        <v>93</v>
      </c>
      <c r="G81" s="38">
        <v>213624.01</v>
      </c>
      <c r="J81" s="33">
        <f>VLOOKUP($B81,'IMS Commission List'!E:CE,79,0)/100</f>
        <v>0.15</v>
      </c>
      <c r="K81" s="79">
        <f t="shared" si="176"/>
        <v>213624.01</v>
      </c>
      <c r="L81" s="3" t="str">
        <f>VLOOKUP($B81,'IMS Commission List'!E:V,18,0)</f>
        <v>ARS</v>
      </c>
      <c r="M81" s="3">
        <v>1</v>
      </c>
      <c r="N81" s="3" t="str">
        <f>VLOOKUP($B81,'IMS Commission List'!E:T,16,0)</f>
        <v>MX</v>
      </c>
      <c r="O81" s="54">
        <f>VLOOKUP($B81,'IMS Commission List'!E:CF,80,0)</f>
        <v>4.9000000000000002E-2</v>
      </c>
      <c r="P81" s="54">
        <f>VLOOKUP($B81,'IMS Commission List'!E:CG,81,0)</f>
        <v>0.1575</v>
      </c>
      <c r="Q81" s="54">
        <f>VLOOKUP($B81,'IMS Commission List'!E:CP,90,0)</f>
        <v>0.03</v>
      </c>
      <c r="R81" s="54">
        <f>VLOOKUP($B81,'IMS Commission List'!E:CQ,91,0)</f>
        <v>0.04</v>
      </c>
      <c r="S81" s="47">
        <f t="shared" si="177"/>
        <v>0</v>
      </c>
      <c r="T81" s="48">
        <f t="shared" si="178"/>
        <v>0</v>
      </c>
      <c r="U81" s="48">
        <f t="shared" si="179"/>
        <v>213624.01</v>
      </c>
      <c r="V81" s="48">
        <f t="shared" si="180"/>
        <v>0</v>
      </c>
      <c r="W81" s="48">
        <f t="shared" si="181"/>
        <v>0</v>
      </c>
      <c r="X81" s="49">
        <f t="shared" si="182"/>
        <v>213624.01</v>
      </c>
      <c r="Y81" s="49">
        <f t="shared" si="183"/>
        <v>0</v>
      </c>
      <c r="Z81" s="49">
        <f t="shared" si="184"/>
        <v>0</v>
      </c>
      <c r="AA81" s="49">
        <f t="shared" si="185"/>
        <v>8897.4400165000006</v>
      </c>
      <c r="AB81" s="49">
        <f t="shared" si="186"/>
        <v>0</v>
      </c>
      <c r="AC81" s="49">
        <f t="shared" si="187"/>
        <v>0</v>
      </c>
      <c r="AD81" s="49">
        <f t="shared" si="188"/>
        <v>8897.4400165000006</v>
      </c>
      <c r="AE81" s="49">
        <f t="shared" si="189"/>
        <v>0</v>
      </c>
      <c r="AF81" s="49">
        <f t="shared" si="190"/>
        <v>0</v>
      </c>
      <c r="AG81" s="49">
        <f t="shared" si="191"/>
        <v>32043.601500000001</v>
      </c>
      <c r="AH81" s="49">
        <f t="shared" si="192"/>
        <v>0</v>
      </c>
      <c r="AI81" s="49">
        <f t="shared" si="193"/>
        <v>0</v>
      </c>
      <c r="AJ81" s="49">
        <f t="shared" si="194"/>
        <v>32043.601500000001</v>
      </c>
      <c r="AK81" s="49">
        <f t="shared" si="195"/>
        <v>0</v>
      </c>
      <c r="AL81" s="49">
        <f t="shared" si="196"/>
        <v>0</v>
      </c>
      <c r="AM81" s="49">
        <f t="shared" si="197"/>
        <v>28598.914338750001</v>
      </c>
      <c r="AN81" s="49">
        <f t="shared" si="198"/>
        <v>0</v>
      </c>
      <c r="AO81" s="49">
        <f t="shared" si="199"/>
        <v>0</v>
      </c>
      <c r="AP81" s="49">
        <f t="shared" si="200"/>
        <v>28598.914338750001</v>
      </c>
      <c r="AQ81" s="49">
        <f t="shared" si="201"/>
        <v>0</v>
      </c>
      <c r="AR81" s="49">
        <f t="shared" si="202"/>
        <v>0</v>
      </c>
      <c r="AS81" s="49">
        <f t="shared" si="203"/>
        <v>6408.7203</v>
      </c>
      <c r="AT81" s="49">
        <f t="shared" si="204"/>
        <v>0</v>
      </c>
      <c r="AU81" s="49">
        <f t="shared" si="205"/>
        <v>0</v>
      </c>
      <c r="AV81" s="49">
        <f t="shared" si="206"/>
        <v>6408.7203</v>
      </c>
      <c r="AW81" s="49">
        <f t="shared" si="207"/>
        <v>0</v>
      </c>
      <c r="AX81" s="49">
        <f t="shared" si="208"/>
        <v>0</v>
      </c>
      <c r="AY81" s="49">
        <f t="shared" si="209"/>
        <v>8544.9603999999999</v>
      </c>
      <c r="AZ81" s="49">
        <f t="shared" si="210"/>
        <v>0</v>
      </c>
      <c r="BA81" s="49">
        <f t="shared" si="211"/>
        <v>0</v>
      </c>
      <c r="BB81" s="49">
        <f t="shared" si="212"/>
        <v>8544.9603999999999</v>
      </c>
      <c r="BC81" s="49">
        <f t="shared" si="213"/>
        <v>0</v>
      </c>
      <c r="BD81" s="49">
        <f t="shared" si="214"/>
        <v>0</v>
      </c>
      <c r="BE81" s="49">
        <f t="shared" si="215"/>
        <v>84493.636555250006</v>
      </c>
      <c r="BF81" s="49">
        <f t="shared" si="216"/>
        <v>0</v>
      </c>
      <c r="BG81" s="49">
        <f t="shared" si="217"/>
        <v>0</v>
      </c>
      <c r="BH81" s="49">
        <f t="shared" si="218"/>
        <v>84493.636555250006</v>
      </c>
      <c r="BI81" s="49">
        <f t="shared" si="219"/>
        <v>0</v>
      </c>
      <c r="BJ81" s="49">
        <f t="shared" si="220"/>
        <v>0</v>
      </c>
      <c r="BK81" s="49">
        <f t="shared" si="221"/>
        <v>8897.4400165000006</v>
      </c>
      <c r="BL81" s="49">
        <f t="shared" si="222"/>
        <v>0</v>
      </c>
      <c r="BM81" s="49">
        <f t="shared" si="223"/>
        <v>0</v>
      </c>
      <c r="BN81" s="49">
        <f t="shared" si="224"/>
        <v>8897.4400165000006</v>
      </c>
      <c r="BO81" s="49">
        <f t="shared" si="225"/>
        <v>0</v>
      </c>
      <c r="BP81" s="49">
        <f t="shared" si="226"/>
        <v>0</v>
      </c>
      <c r="BQ81" s="49">
        <f t="shared" si="227"/>
        <v>32043.601500000001</v>
      </c>
      <c r="BR81" s="49">
        <f t="shared" si="228"/>
        <v>0</v>
      </c>
      <c r="BS81" s="49">
        <f t="shared" si="229"/>
        <v>0</v>
      </c>
      <c r="BT81" s="49">
        <f t="shared" si="230"/>
        <v>32043.601500000001</v>
      </c>
      <c r="BU81" s="49">
        <f t="shared" si="231"/>
        <v>0</v>
      </c>
      <c r="BV81" s="49">
        <f t="shared" si="232"/>
        <v>0</v>
      </c>
      <c r="BW81" s="49">
        <f t="shared" si="233"/>
        <v>28598.914338750001</v>
      </c>
      <c r="BX81" s="49">
        <f t="shared" si="234"/>
        <v>0</v>
      </c>
      <c r="BY81" s="49">
        <f t="shared" si="235"/>
        <v>0</v>
      </c>
      <c r="BZ81" s="49">
        <f t="shared" si="236"/>
        <v>28598.914338750001</v>
      </c>
      <c r="CA81" s="49">
        <f t="shared" si="237"/>
        <v>0</v>
      </c>
      <c r="CB81" s="49">
        <f t="shared" si="238"/>
        <v>0</v>
      </c>
      <c r="CC81" s="49">
        <f t="shared" si="239"/>
        <v>6408.7203</v>
      </c>
      <c r="CD81" s="49">
        <f t="shared" si="240"/>
        <v>0</v>
      </c>
      <c r="CE81" s="49">
        <f t="shared" si="241"/>
        <v>0</v>
      </c>
      <c r="CF81" s="49">
        <f t="shared" si="242"/>
        <v>6408.7203</v>
      </c>
      <c r="CG81" s="49">
        <f t="shared" si="243"/>
        <v>0</v>
      </c>
      <c r="CH81" s="49">
        <f t="shared" si="244"/>
        <v>0</v>
      </c>
      <c r="CI81" s="49">
        <f t="shared" si="245"/>
        <v>8544.9603999999999</v>
      </c>
      <c r="CJ81" s="49">
        <f t="shared" si="246"/>
        <v>0</v>
      </c>
      <c r="CK81" s="49">
        <f t="shared" si="247"/>
        <v>0</v>
      </c>
      <c r="CL81" s="49">
        <f t="shared" si="248"/>
        <v>8544.9603999999999</v>
      </c>
      <c r="CM81" s="49">
        <f t="shared" si="249"/>
        <v>0</v>
      </c>
      <c r="CN81" s="49">
        <f t="shared" si="250"/>
        <v>0</v>
      </c>
      <c r="CO81" s="49">
        <f t="shared" si="251"/>
        <v>84493.636555250006</v>
      </c>
      <c r="CP81" s="49">
        <f t="shared" si="252"/>
        <v>0</v>
      </c>
      <c r="CQ81" s="49">
        <f t="shared" si="253"/>
        <v>0</v>
      </c>
      <c r="CR81" s="81">
        <f t="shared" si="254"/>
        <v>84493.636555250006</v>
      </c>
      <c r="CS81" s="80">
        <f t="shared" si="255"/>
        <v>129130.37344475</v>
      </c>
      <c r="CT81" s="54"/>
      <c r="CU81" s="3" t="str">
        <f t="shared" si="256"/>
        <v>ARS</v>
      </c>
      <c r="CV81" s="3">
        <f>VLOOKUP(CU81,DF:DG,2,0)</f>
        <v>6.9185169999999997E-4</v>
      </c>
      <c r="CW81" s="23">
        <f t="shared" si="257"/>
        <v>147.796134479317</v>
      </c>
      <c r="CX81" s="23">
        <f t="shared" si="258"/>
        <v>6.1557090010635536</v>
      </c>
      <c r="CY81" s="23">
        <f t="shared" si="259"/>
        <v>22.169420171897549</v>
      </c>
      <c r="CZ81" s="23">
        <f t="shared" si="260"/>
        <v>19.786207503418563</v>
      </c>
      <c r="DA81" s="23">
        <f t="shared" si="261"/>
        <v>4.4338840343795098</v>
      </c>
      <c r="DB81" s="23">
        <f t="shared" si="262"/>
        <v>5.9118453791726795</v>
      </c>
      <c r="DC81" s="23">
        <f t="shared" si="263"/>
        <v>89.339068389385147</v>
      </c>
      <c r="DD81" s="34" t="str">
        <f>VLOOKUP(A81,'Billing Report'!H:I,2,FALSE)</f>
        <v>ARG_BRD_BRA_SEDDEBRAHMA_CARNAVAL_NON_RCH_BEY_2026_GUALEGUAYCHU</v>
      </c>
      <c r="DE81" s="34"/>
      <c r="DF81" s="61"/>
      <c r="DG81" s="62"/>
      <c r="DH81"/>
      <c r="DI81" s="41"/>
      <c r="DJ81" s="41"/>
    </row>
    <row r="82" spans="1:114" ht="14.5" x14ac:dyDescent="0.35">
      <c r="A82" s="63">
        <v>40776231</v>
      </c>
      <c r="B82" s="3" t="s">
        <v>671</v>
      </c>
      <c r="C82" s="3">
        <v>322149901</v>
      </c>
      <c r="D82" s="3" t="s">
        <v>93</v>
      </c>
      <c r="G82" s="38">
        <v>301607.77</v>
      </c>
      <c r="J82" s="33">
        <f>VLOOKUP($B82,'IMS Commission List'!E:CE,79,0)/100</f>
        <v>0.15</v>
      </c>
      <c r="K82" s="79">
        <f t="shared" si="176"/>
        <v>301607.77</v>
      </c>
      <c r="L82" s="3" t="str">
        <f>VLOOKUP($B82,'IMS Commission List'!E:V,18,0)</f>
        <v>ARS</v>
      </c>
      <c r="M82" s="3">
        <v>1</v>
      </c>
      <c r="N82" s="3" t="str">
        <f>VLOOKUP($B82,'IMS Commission List'!E:T,16,0)</f>
        <v>MX</v>
      </c>
      <c r="O82" s="54">
        <f>VLOOKUP($B82,'IMS Commission List'!E:CF,80,0)</f>
        <v>4.9000000000000002E-2</v>
      </c>
      <c r="P82" s="54">
        <f>VLOOKUP($B82,'IMS Commission List'!E:CG,81,0)</f>
        <v>0.1575</v>
      </c>
      <c r="Q82" s="54">
        <f>VLOOKUP($B82,'IMS Commission List'!E:CP,90,0)</f>
        <v>0.03</v>
      </c>
      <c r="R82" s="54">
        <f>VLOOKUP($B82,'IMS Commission List'!E:CQ,91,0)</f>
        <v>0.04</v>
      </c>
      <c r="S82" s="47">
        <f t="shared" si="177"/>
        <v>0</v>
      </c>
      <c r="T82" s="48">
        <f t="shared" si="178"/>
        <v>0</v>
      </c>
      <c r="U82" s="48">
        <f t="shared" si="179"/>
        <v>301607.77</v>
      </c>
      <c r="V82" s="48">
        <f t="shared" si="180"/>
        <v>0</v>
      </c>
      <c r="W82" s="48">
        <f t="shared" si="181"/>
        <v>0</v>
      </c>
      <c r="X82" s="49">
        <f t="shared" si="182"/>
        <v>301607.77</v>
      </c>
      <c r="Y82" s="49">
        <f t="shared" si="183"/>
        <v>0</v>
      </c>
      <c r="Z82" s="49">
        <f t="shared" si="184"/>
        <v>0</v>
      </c>
      <c r="AA82" s="49">
        <f t="shared" si="185"/>
        <v>12561.963620500002</v>
      </c>
      <c r="AB82" s="49">
        <f t="shared" si="186"/>
        <v>0</v>
      </c>
      <c r="AC82" s="49">
        <f t="shared" si="187"/>
        <v>0</v>
      </c>
      <c r="AD82" s="49">
        <f t="shared" si="188"/>
        <v>12561.963620500002</v>
      </c>
      <c r="AE82" s="49">
        <f t="shared" si="189"/>
        <v>0</v>
      </c>
      <c r="AF82" s="49">
        <f t="shared" si="190"/>
        <v>0</v>
      </c>
      <c r="AG82" s="49">
        <f t="shared" si="191"/>
        <v>45241.165500000003</v>
      </c>
      <c r="AH82" s="49">
        <f t="shared" si="192"/>
        <v>0</v>
      </c>
      <c r="AI82" s="49">
        <f t="shared" si="193"/>
        <v>0</v>
      </c>
      <c r="AJ82" s="49">
        <f t="shared" si="194"/>
        <v>45241.165500000003</v>
      </c>
      <c r="AK82" s="49">
        <f t="shared" si="195"/>
        <v>0</v>
      </c>
      <c r="AL82" s="49">
        <f t="shared" si="196"/>
        <v>0</v>
      </c>
      <c r="AM82" s="49">
        <f t="shared" si="197"/>
        <v>40377.740208750001</v>
      </c>
      <c r="AN82" s="49">
        <f t="shared" si="198"/>
        <v>0</v>
      </c>
      <c r="AO82" s="49">
        <f t="shared" si="199"/>
        <v>0</v>
      </c>
      <c r="AP82" s="49">
        <f t="shared" si="200"/>
        <v>40377.740208750001</v>
      </c>
      <c r="AQ82" s="49">
        <f t="shared" si="201"/>
        <v>0</v>
      </c>
      <c r="AR82" s="49">
        <f t="shared" si="202"/>
        <v>0</v>
      </c>
      <c r="AS82" s="49">
        <f t="shared" si="203"/>
        <v>9048.2330999999995</v>
      </c>
      <c r="AT82" s="49">
        <f t="shared" si="204"/>
        <v>0</v>
      </c>
      <c r="AU82" s="49">
        <f t="shared" si="205"/>
        <v>0</v>
      </c>
      <c r="AV82" s="49">
        <f t="shared" si="206"/>
        <v>9048.2330999999995</v>
      </c>
      <c r="AW82" s="49">
        <f t="shared" si="207"/>
        <v>0</v>
      </c>
      <c r="AX82" s="49">
        <f t="shared" si="208"/>
        <v>0</v>
      </c>
      <c r="AY82" s="49">
        <f t="shared" si="209"/>
        <v>12064.310800000001</v>
      </c>
      <c r="AZ82" s="49">
        <f t="shared" si="210"/>
        <v>0</v>
      </c>
      <c r="BA82" s="49">
        <f t="shared" si="211"/>
        <v>0</v>
      </c>
      <c r="BB82" s="49">
        <f t="shared" si="212"/>
        <v>12064.310800000001</v>
      </c>
      <c r="BC82" s="49">
        <f t="shared" si="213"/>
        <v>0</v>
      </c>
      <c r="BD82" s="49">
        <f t="shared" si="214"/>
        <v>0</v>
      </c>
      <c r="BE82" s="49">
        <f t="shared" si="215"/>
        <v>119293.41322925001</v>
      </c>
      <c r="BF82" s="49">
        <f t="shared" si="216"/>
        <v>0</v>
      </c>
      <c r="BG82" s="49">
        <f t="shared" si="217"/>
        <v>0</v>
      </c>
      <c r="BH82" s="49">
        <f t="shared" si="218"/>
        <v>119293.41322925001</v>
      </c>
      <c r="BI82" s="49">
        <f t="shared" si="219"/>
        <v>0</v>
      </c>
      <c r="BJ82" s="49">
        <f t="shared" si="220"/>
        <v>0</v>
      </c>
      <c r="BK82" s="49">
        <f t="shared" si="221"/>
        <v>12561.963620500002</v>
      </c>
      <c r="BL82" s="49">
        <f t="shared" si="222"/>
        <v>0</v>
      </c>
      <c r="BM82" s="49">
        <f t="shared" si="223"/>
        <v>0</v>
      </c>
      <c r="BN82" s="49">
        <f t="shared" si="224"/>
        <v>12561.963620500002</v>
      </c>
      <c r="BO82" s="49">
        <f t="shared" si="225"/>
        <v>0</v>
      </c>
      <c r="BP82" s="49">
        <f t="shared" si="226"/>
        <v>0</v>
      </c>
      <c r="BQ82" s="49">
        <f t="shared" si="227"/>
        <v>45241.165500000003</v>
      </c>
      <c r="BR82" s="49">
        <f t="shared" si="228"/>
        <v>0</v>
      </c>
      <c r="BS82" s="49">
        <f t="shared" si="229"/>
        <v>0</v>
      </c>
      <c r="BT82" s="49">
        <f t="shared" si="230"/>
        <v>45241.165500000003</v>
      </c>
      <c r="BU82" s="49">
        <f t="shared" si="231"/>
        <v>0</v>
      </c>
      <c r="BV82" s="49">
        <f t="shared" si="232"/>
        <v>0</v>
      </c>
      <c r="BW82" s="49">
        <f t="shared" si="233"/>
        <v>40377.740208750001</v>
      </c>
      <c r="BX82" s="49">
        <f t="shared" si="234"/>
        <v>0</v>
      </c>
      <c r="BY82" s="49">
        <f t="shared" si="235"/>
        <v>0</v>
      </c>
      <c r="BZ82" s="49">
        <f t="shared" si="236"/>
        <v>40377.740208750001</v>
      </c>
      <c r="CA82" s="49">
        <f t="shared" si="237"/>
        <v>0</v>
      </c>
      <c r="CB82" s="49">
        <f t="shared" si="238"/>
        <v>0</v>
      </c>
      <c r="CC82" s="49">
        <f t="shared" si="239"/>
        <v>9048.2330999999995</v>
      </c>
      <c r="CD82" s="49">
        <f t="shared" si="240"/>
        <v>0</v>
      </c>
      <c r="CE82" s="49">
        <f t="shared" si="241"/>
        <v>0</v>
      </c>
      <c r="CF82" s="49">
        <f t="shared" si="242"/>
        <v>9048.2330999999995</v>
      </c>
      <c r="CG82" s="49">
        <f t="shared" si="243"/>
        <v>0</v>
      </c>
      <c r="CH82" s="49">
        <f t="shared" si="244"/>
        <v>0</v>
      </c>
      <c r="CI82" s="49">
        <f t="shared" si="245"/>
        <v>12064.310800000001</v>
      </c>
      <c r="CJ82" s="49">
        <f t="shared" si="246"/>
        <v>0</v>
      </c>
      <c r="CK82" s="49">
        <f t="shared" si="247"/>
        <v>0</v>
      </c>
      <c r="CL82" s="49">
        <f t="shared" si="248"/>
        <v>12064.310800000001</v>
      </c>
      <c r="CM82" s="49">
        <f t="shared" si="249"/>
        <v>0</v>
      </c>
      <c r="CN82" s="49">
        <f t="shared" si="250"/>
        <v>0</v>
      </c>
      <c r="CO82" s="49">
        <f t="shared" si="251"/>
        <v>119293.41322925001</v>
      </c>
      <c r="CP82" s="49">
        <f t="shared" si="252"/>
        <v>0</v>
      </c>
      <c r="CQ82" s="49">
        <f t="shared" si="253"/>
        <v>0</v>
      </c>
      <c r="CR82" s="81">
        <f t="shared" si="254"/>
        <v>119293.41322925001</v>
      </c>
      <c r="CS82" s="80">
        <f t="shared" si="255"/>
        <v>182314.35677075002</v>
      </c>
      <c r="CT82" s="54"/>
      <c r="CU82" s="3" t="str">
        <f t="shared" si="256"/>
        <v>ARS</v>
      </c>
      <c r="CV82" s="3">
        <f>VLOOKUP(CU82,DF:DG,2,0)</f>
        <v>6.9185169999999997E-4</v>
      </c>
      <c r="CW82" s="23">
        <f t="shared" si="257"/>
        <v>208.66784840770902</v>
      </c>
      <c r="CX82" s="23">
        <f t="shared" si="258"/>
        <v>8.6910158861810807</v>
      </c>
      <c r="CY82" s="23">
        <f t="shared" si="259"/>
        <v>31.30017726115635</v>
      </c>
      <c r="CZ82" s="23">
        <f t="shared" si="260"/>
        <v>27.935408205582043</v>
      </c>
      <c r="DA82" s="23">
        <f t="shared" si="261"/>
        <v>6.2600354522312696</v>
      </c>
      <c r="DB82" s="23">
        <f t="shared" si="262"/>
        <v>8.34671393630836</v>
      </c>
      <c r="DC82" s="23">
        <f t="shared" si="263"/>
        <v>126.1344976662499</v>
      </c>
      <c r="DD82" s="34" t="str">
        <f>VLOOKUP(A82,'Billing Report'!H:I,2,FALSE)</f>
        <v>ARG_BRD_BRA_SEDDEBRAHMA_CARNAVAL_NON_RCH_BEY_2026_CORRIENTES</v>
      </c>
      <c r="DE82" s="34"/>
      <c r="DF82" s="61"/>
      <c r="DG82" s="62"/>
      <c r="DH82"/>
      <c r="DI82" s="41"/>
      <c r="DJ82" s="41"/>
    </row>
    <row r="83" spans="1:114" ht="14.5" x14ac:dyDescent="0.35">
      <c r="A83" s="63">
        <v>40881967</v>
      </c>
      <c r="B83" s="3" t="s">
        <v>673</v>
      </c>
      <c r="C83" s="3">
        <v>322158001</v>
      </c>
      <c r="D83" s="3" t="s">
        <v>93</v>
      </c>
      <c r="G83" s="38">
        <v>1185638.18</v>
      </c>
      <c r="J83" s="33">
        <f>VLOOKUP($B83,'IMS Commission List'!E:CE,79,0)/100</f>
        <v>0.08</v>
      </c>
      <c r="K83" s="79">
        <f t="shared" si="176"/>
        <v>1185638.18</v>
      </c>
      <c r="L83" s="3" t="str">
        <f>VLOOKUP($B83,'IMS Commission List'!E:V,18,0)</f>
        <v>ARS</v>
      </c>
      <c r="M83" s="3">
        <v>1</v>
      </c>
      <c r="N83" s="3" t="str">
        <f>VLOOKUP($B83,'IMS Commission List'!E:T,16,0)</f>
        <v>MX</v>
      </c>
      <c r="O83" s="54">
        <f>VLOOKUP($B83,'IMS Commission List'!E:CF,80,0)</f>
        <v>4.9000000000000002E-2</v>
      </c>
      <c r="P83" s="54">
        <f>VLOOKUP($B83,'IMS Commission List'!E:CG,81,0)</f>
        <v>0.1575</v>
      </c>
      <c r="Q83" s="54">
        <f>VLOOKUP($B83,'IMS Commission List'!E:CP,90,0)</f>
        <v>0.03</v>
      </c>
      <c r="R83" s="54">
        <f>VLOOKUP($B83,'IMS Commission List'!E:CQ,91,0)</f>
        <v>0.04</v>
      </c>
      <c r="S83" s="47">
        <f t="shared" si="177"/>
        <v>0</v>
      </c>
      <c r="T83" s="48">
        <f t="shared" si="178"/>
        <v>0</v>
      </c>
      <c r="U83" s="48">
        <f t="shared" si="179"/>
        <v>1185638.18</v>
      </c>
      <c r="V83" s="48">
        <f t="shared" si="180"/>
        <v>0</v>
      </c>
      <c r="W83" s="48">
        <f t="shared" si="181"/>
        <v>0</v>
      </c>
      <c r="X83" s="49">
        <f t="shared" si="182"/>
        <v>1185638.18</v>
      </c>
      <c r="Y83" s="49">
        <f t="shared" si="183"/>
        <v>0</v>
      </c>
      <c r="Z83" s="49">
        <f t="shared" si="184"/>
        <v>0</v>
      </c>
      <c r="AA83" s="49">
        <f t="shared" si="185"/>
        <v>53448.5691544</v>
      </c>
      <c r="AB83" s="49">
        <f t="shared" si="186"/>
        <v>0</v>
      </c>
      <c r="AC83" s="49">
        <f t="shared" si="187"/>
        <v>0</v>
      </c>
      <c r="AD83" s="49">
        <f t="shared" si="188"/>
        <v>53448.5691544</v>
      </c>
      <c r="AE83" s="49">
        <f t="shared" si="189"/>
        <v>0</v>
      </c>
      <c r="AF83" s="49">
        <f t="shared" si="190"/>
        <v>0</v>
      </c>
      <c r="AG83" s="49">
        <f t="shared" si="191"/>
        <v>94851.054399999994</v>
      </c>
      <c r="AH83" s="49">
        <f t="shared" si="192"/>
        <v>0</v>
      </c>
      <c r="AI83" s="49">
        <f t="shared" si="193"/>
        <v>0</v>
      </c>
      <c r="AJ83" s="49">
        <f t="shared" si="194"/>
        <v>94851.054399999994</v>
      </c>
      <c r="AK83" s="49">
        <f t="shared" si="195"/>
        <v>0</v>
      </c>
      <c r="AL83" s="49">
        <f t="shared" si="196"/>
        <v>0</v>
      </c>
      <c r="AM83" s="49">
        <f t="shared" si="197"/>
        <v>171798.972282</v>
      </c>
      <c r="AN83" s="49">
        <f t="shared" si="198"/>
        <v>0</v>
      </c>
      <c r="AO83" s="49">
        <f t="shared" si="199"/>
        <v>0</v>
      </c>
      <c r="AP83" s="49">
        <f t="shared" si="200"/>
        <v>171798.972282</v>
      </c>
      <c r="AQ83" s="49">
        <f t="shared" si="201"/>
        <v>0</v>
      </c>
      <c r="AR83" s="49">
        <f t="shared" si="202"/>
        <v>0</v>
      </c>
      <c r="AS83" s="49">
        <f t="shared" si="203"/>
        <v>35569.145399999994</v>
      </c>
      <c r="AT83" s="49">
        <f t="shared" si="204"/>
        <v>0</v>
      </c>
      <c r="AU83" s="49">
        <f t="shared" si="205"/>
        <v>0</v>
      </c>
      <c r="AV83" s="49">
        <f t="shared" si="206"/>
        <v>35569.145399999994</v>
      </c>
      <c r="AW83" s="49">
        <f t="shared" si="207"/>
        <v>0</v>
      </c>
      <c r="AX83" s="49">
        <f t="shared" si="208"/>
        <v>0</v>
      </c>
      <c r="AY83" s="49">
        <f t="shared" si="209"/>
        <v>47425.527199999997</v>
      </c>
      <c r="AZ83" s="49">
        <f t="shared" si="210"/>
        <v>0</v>
      </c>
      <c r="BA83" s="49">
        <f t="shared" si="211"/>
        <v>0</v>
      </c>
      <c r="BB83" s="49">
        <f t="shared" si="212"/>
        <v>47425.527199999997</v>
      </c>
      <c r="BC83" s="49">
        <f t="shared" si="213"/>
        <v>0</v>
      </c>
      <c r="BD83" s="49">
        <f t="shared" si="214"/>
        <v>0</v>
      </c>
      <c r="BE83" s="49">
        <f t="shared" si="215"/>
        <v>403093.26843639999</v>
      </c>
      <c r="BF83" s="49">
        <f t="shared" si="216"/>
        <v>0</v>
      </c>
      <c r="BG83" s="49">
        <f t="shared" si="217"/>
        <v>0</v>
      </c>
      <c r="BH83" s="49">
        <f t="shared" si="218"/>
        <v>403093.26843639999</v>
      </c>
      <c r="BI83" s="49">
        <f t="shared" si="219"/>
        <v>0</v>
      </c>
      <c r="BJ83" s="49">
        <f t="shared" si="220"/>
        <v>0</v>
      </c>
      <c r="BK83" s="49">
        <f t="shared" si="221"/>
        <v>53448.5691544</v>
      </c>
      <c r="BL83" s="49">
        <f t="shared" si="222"/>
        <v>0</v>
      </c>
      <c r="BM83" s="49">
        <f t="shared" si="223"/>
        <v>0</v>
      </c>
      <c r="BN83" s="49">
        <f t="shared" si="224"/>
        <v>53448.5691544</v>
      </c>
      <c r="BO83" s="49">
        <f t="shared" si="225"/>
        <v>0</v>
      </c>
      <c r="BP83" s="49">
        <f t="shared" si="226"/>
        <v>0</v>
      </c>
      <c r="BQ83" s="49">
        <f t="shared" si="227"/>
        <v>94851.054399999994</v>
      </c>
      <c r="BR83" s="49">
        <f t="shared" si="228"/>
        <v>0</v>
      </c>
      <c r="BS83" s="49">
        <f t="shared" si="229"/>
        <v>0</v>
      </c>
      <c r="BT83" s="49">
        <f t="shared" si="230"/>
        <v>94851.054399999994</v>
      </c>
      <c r="BU83" s="49">
        <f t="shared" si="231"/>
        <v>0</v>
      </c>
      <c r="BV83" s="49">
        <f t="shared" si="232"/>
        <v>0</v>
      </c>
      <c r="BW83" s="49">
        <f t="shared" si="233"/>
        <v>171798.972282</v>
      </c>
      <c r="BX83" s="49">
        <f t="shared" si="234"/>
        <v>0</v>
      </c>
      <c r="BY83" s="49">
        <f t="shared" si="235"/>
        <v>0</v>
      </c>
      <c r="BZ83" s="49">
        <f t="shared" si="236"/>
        <v>171798.972282</v>
      </c>
      <c r="CA83" s="49">
        <f t="shared" si="237"/>
        <v>0</v>
      </c>
      <c r="CB83" s="49">
        <f t="shared" si="238"/>
        <v>0</v>
      </c>
      <c r="CC83" s="49">
        <f t="shared" si="239"/>
        <v>35569.145399999994</v>
      </c>
      <c r="CD83" s="49">
        <f t="shared" si="240"/>
        <v>0</v>
      </c>
      <c r="CE83" s="49">
        <f t="shared" si="241"/>
        <v>0</v>
      </c>
      <c r="CF83" s="49">
        <f t="shared" si="242"/>
        <v>35569.145399999994</v>
      </c>
      <c r="CG83" s="49">
        <f t="shared" si="243"/>
        <v>0</v>
      </c>
      <c r="CH83" s="49">
        <f t="shared" si="244"/>
        <v>0</v>
      </c>
      <c r="CI83" s="49">
        <f t="shared" si="245"/>
        <v>47425.527199999997</v>
      </c>
      <c r="CJ83" s="49">
        <f t="shared" si="246"/>
        <v>0</v>
      </c>
      <c r="CK83" s="49">
        <f t="shared" si="247"/>
        <v>0</v>
      </c>
      <c r="CL83" s="49">
        <f t="shared" si="248"/>
        <v>47425.527199999997</v>
      </c>
      <c r="CM83" s="49">
        <f t="shared" si="249"/>
        <v>0</v>
      </c>
      <c r="CN83" s="49">
        <f t="shared" si="250"/>
        <v>0</v>
      </c>
      <c r="CO83" s="49">
        <f t="shared" si="251"/>
        <v>403093.26843639999</v>
      </c>
      <c r="CP83" s="49">
        <f t="shared" si="252"/>
        <v>0</v>
      </c>
      <c r="CQ83" s="49">
        <f t="shared" si="253"/>
        <v>0</v>
      </c>
      <c r="CR83" s="81">
        <f t="shared" si="254"/>
        <v>403093.26843639999</v>
      </c>
      <c r="CS83" s="80">
        <f t="shared" si="255"/>
        <v>782544.91156359995</v>
      </c>
      <c r="CT83" s="54"/>
      <c r="CU83" s="3" t="str">
        <f t="shared" si="256"/>
        <v>ARS</v>
      </c>
      <c r="CV83" s="3">
        <f>VLOOKUP(CU83,DF:DG,2,0)</f>
        <v>6.9185169999999997E-4</v>
      </c>
      <c r="CW83" s="23">
        <f t="shared" si="257"/>
        <v>820.2857904179059</v>
      </c>
      <c r="CX83" s="23">
        <f t="shared" si="258"/>
        <v>36.978483432039198</v>
      </c>
      <c r="CY83" s="23">
        <f t="shared" si="259"/>
        <v>65.622863233432469</v>
      </c>
      <c r="CZ83" s="23">
        <f t="shared" si="260"/>
        <v>118.85941103155457</v>
      </c>
      <c r="DA83" s="23">
        <f t="shared" si="261"/>
        <v>24.608573712537176</v>
      </c>
      <c r="DB83" s="23">
        <f t="shared" si="262"/>
        <v>32.811431616716234</v>
      </c>
      <c r="DC83" s="23">
        <f t="shared" si="263"/>
        <v>541.40502739162628</v>
      </c>
      <c r="DD83" s="34" t="str">
        <f>VLOOKUP(A83,'Billing Report'!H:I,2,FALSE)</f>
        <v>UIP_UNIVERSAL-HAMNET-SOLOENCINES-TWITTER-TOTAL-TRAFICO-INTERESES-CLICKS-OP_504180</v>
      </c>
      <c r="DE83" s="34"/>
      <c r="DF83" s="61"/>
      <c r="DG83" s="62"/>
      <c r="DH83"/>
      <c r="DI83" s="41"/>
      <c r="DJ83" s="41"/>
    </row>
    <row r="84" spans="1:114" ht="14.5" x14ac:dyDescent="0.35">
      <c r="A84" s="63">
        <v>40745025</v>
      </c>
      <c r="B84" s="3" t="s">
        <v>673</v>
      </c>
      <c r="C84" s="3">
        <v>322158001</v>
      </c>
      <c r="D84" s="3" t="s">
        <v>93</v>
      </c>
      <c r="G84" s="38">
        <v>167565.26</v>
      </c>
      <c r="J84" s="33">
        <f>VLOOKUP($B84,'IMS Commission List'!E:CE,79,0)/100</f>
        <v>0.08</v>
      </c>
      <c r="K84" s="79">
        <f t="shared" si="176"/>
        <v>167565.26</v>
      </c>
      <c r="L84" s="3" t="str">
        <f>VLOOKUP($B84,'IMS Commission List'!E:V,18,0)</f>
        <v>ARS</v>
      </c>
      <c r="M84" s="3">
        <v>1</v>
      </c>
      <c r="N84" s="3" t="str">
        <f>VLOOKUP($B84,'IMS Commission List'!E:T,16,0)</f>
        <v>MX</v>
      </c>
      <c r="O84" s="54">
        <f>VLOOKUP($B84,'IMS Commission List'!E:CF,80,0)</f>
        <v>4.9000000000000002E-2</v>
      </c>
      <c r="P84" s="54">
        <f>VLOOKUP($B84,'IMS Commission List'!E:CG,81,0)</f>
        <v>0.1575</v>
      </c>
      <c r="Q84" s="54">
        <f>VLOOKUP($B84,'IMS Commission List'!E:CP,90,0)</f>
        <v>0.03</v>
      </c>
      <c r="R84" s="54">
        <f>VLOOKUP($B84,'IMS Commission List'!E:CQ,91,0)</f>
        <v>0.04</v>
      </c>
      <c r="S84" s="47">
        <f t="shared" si="177"/>
        <v>0</v>
      </c>
      <c r="T84" s="48">
        <f t="shared" si="178"/>
        <v>0</v>
      </c>
      <c r="U84" s="48">
        <f t="shared" si="179"/>
        <v>167565.26</v>
      </c>
      <c r="V84" s="48">
        <f t="shared" si="180"/>
        <v>0</v>
      </c>
      <c r="W84" s="48">
        <f t="shared" si="181"/>
        <v>0</v>
      </c>
      <c r="X84" s="49">
        <f t="shared" si="182"/>
        <v>167565.26</v>
      </c>
      <c r="Y84" s="49">
        <f t="shared" si="183"/>
        <v>0</v>
      </c>
      <c r="Z84" s="49">
        <f t="shared" si="184"/>
        <v>0</v>
      </c>
      <c r="AA84" s="49">
        <f t="shared" si="185"/>
        <v>7553.8419208000014</v>
      </c>
      <c r="AB84" s="49">
        <f t="shared" si="186"/>
        <v>0</v>
      </c>
      <c r="AC84" s="49">
        <f t="shared" si="187"/>
        <v>0</v>
      </c>
      <c r="AD84" s="49">
        <f t="shared" si="188"/>
        <v>7553.8419208000014</v>
      </c>
      <c r="AE84" s="49">
        <f t="shared" si="189"/>
        <v>0</v>
      </c>
      <c r="AF84" s="49">
        <f t="shared" si="190"/>
        <v>0</v>
      </c>
      <c r="AG84" s="49">
        <f t="shared" si="191"/>
        <v>13405.220800000001</v>
      </c>
      <c r="AH84" s="49">
        <f t="shared" si="192"/>
        <v>0</v>
      </c>
      <c r="AI84" s="49">
        <f t="shared" si="193"/>
        <v>0</v>
      </c>
      <c r="AJ84" s="49">
        <f t="shared" si="194"/>
        <v>13405.220800000001</v>
      </c>
      <c r="AK84" s="49">
        <f t="shared" si="195"/>
        <v>0</v>
      </c>
      <c r="AL84" s="49">
        <f t="shared" si="196"/>
        <v>0</v>
      </c>
      <c r="AM84" s="49">
        <f t="shared" si="197"/>
        <v>24280.206174000003</v>
      </c>
      <c r="AN84" s="49">
        <f t="shared" si="198"/>
        <v>0</v>
      </c>
      <c r="AO84" s="49">
        <f t="shared" si="199"/>
        <v>0</v>
      </c>
      <c r="AP84" s="49">
        <f t="shared" si="200"/>
        <v>24280.206174000003</v>
      </c>
      <c r="AQ84" s="49">
        <f t="shared" si="201"/>
        <v>0</v>
      </c>
      <c r="AR84" s="49">
        <f t="shared" si="202"/>
        <v>0</v>
      </c>
      <c r="AS84" s="49">
        <f t="shared" si="203"/>
        <v>5026.9578000000001</v>
      </c>
      <c r="AT84" s="49">
        <f t="shared" si="204"/>
        <v>0</v>
      </c>
      <c r="AU84" s="49">
        <f t="shared" si="205"/>
        <v>0</v>
      </c>
      <c r="AV84" s="49">
        <f t="shared" si="206"/>
        <v>5026.9578000000001</v>
      </c>
      <c r="AW84" s="49">
        <f t="shared" si="207"/>
        <v>0</v>
      </c>
      <c r="AX84" s="49">
        <f t="shared" si="208"/>
        <v>0</v>
      </c>
      <c r="AY84" s="49">
        <f t="shared" si="209"/>
        <v>6702.6104000000005</v>
      </c>
      <c r="AZ84" s="49">
        <f t="shared" si="210"/>
        <v>0</v>
      </c>
      <c r="BA84" s="49">
        <f t="shared" si="211"/>
        <v>0</v>
      </c>
      <c r="BB84" s="49">
        <f t="shared" si="212"/>
        <v>6702.6104000000005</v>
      </c>
      <c r="BC84" s="49">
        <f t="shared" si="213"/>
        <v>0</v>
      </c>
      <c r="BD84" s="49">
        <f t="shared" si="214"/>
        <v>0</v>
      </c>
      <c r="BE84" s="49">
        <f t="shared" si="215"/>
        <v>56968.837094800001</v>
      </c>
      <c r="BF84" s="49">
        <f t="shared" si="216"/>
        <v>0</v>
      </c>
      <c r="BG84" s="49">
        <f t="shared" si="217"/>
        <v>0</v>
      </c>
      <c r="BH84" s="49">
        <f t="shared" si="218"/>
        <v>56968.837094800001</v>
      </c>
      <c r="BI84" s="49">
        <f t="shared" si="219"/>
        <v>0</v>
      </c>
      <c r="BJ84" s="49">
        <f t="shared" si="220"/>
        <v>0</v>
      </c>
      <c r="BK84" s="49">
        <f t="shared" si="221"/>
        <v>7553.8419208000014</v>
      </c>
      <c r="BL84" s="49">
        <f t="shared" si="222"/>
        <v>0</v>
      </c>
      <c r="BM84" s="49">
        <f t="shared" si="223"/>
        <v>0</v>
      </c>
      <c r="BN84" s="49">
        <f t="shared" si="224"/>
        <v>7553.8419208000014</v>
      </c>
      <c r="BO84" s="49">
        <f t="shared" si="225"/>
        <v>0</v>
      </c>
      <c r="BP84" s="49">
        <f t="shared" si="226"/>
        <v>0</v>
      </c>
      <c r="BQ84" s="49">
        <f t="shared" si="227"/>
        <v>13405.220800000001</v>
      </c>
      <c r="BR84" s="49">
        <f t="shared" si="228"/>
        <v>0</v>
      </c>
      <c r="BS84" s="49">
        <f t="shared" si="229"/>
        <v>0</v>
      </c>
      <c r="BT84" s="49">
        <f t="shared" si="230"/>
        <v>13405.220800000001</v>
      </c>
      <c r="BU84" s="49">
        <f t="shared" si="231"/>
        <v>0</v>
      </c>
      <c r="BV84" s="49">
        <f t="shared" si="232"/>
        <v>0</v>
      </c>
      <c r="BW84" s="49">
        <f t="shared" si="233"/>
        <v>24280.206174000003</v>
      </c>
      <c r="BX84" s="49">
        <f t="shared" si="234"/>
        <v>0</v>
      </c>
      <c r="BY84" s="49">
        <f t="shared" si="235"/>
        <v>0</v>
      </c>
      <c r="BZ84" s="49">
        <f t="shared" si="236"/>
        <v>24280.206174000003</v>
      </c>
      <c r="CA84" s="49">
        <f t="shared" si="237"/>
        <v>0</v>
      </c>
      <c r="CB84" s="49">
        <f t="shared" si="238"/>
        <v>0</v>
      </c>
      <c r="CC84" s="49">
        <f t="shared" si="239"/>
        <v>5026.9578000000001</v>
      </c>
      <c r="CD84" s="49">
        <f t="shared" si="240"/>
        <v>0</v>
      </c>
      <c r="CE84" s="49">
        <f t="shared" si="241"/>
        <v>0</v>
      </c>
      <c r="CF84" s="49">
        <f t="shared" si="242"/>
        <v>5026.9578000000001</v>
      </c>
      <c r="CG84" s="49">
        <f t="shared" si="243"/>
        <v>0</v>
      </c>
      <c r="CH84" s="49">
        <f t="shared" si="244"/>
        <v>0</v>
      </c>
      <c r="CI84" s="49">
        <f t="shared" si="245"/>
        <v>6702.6104000000005</v>
      </c>
      <c r="CJ84" s="49">
        <f t="shared" si="246"/>
        <v>0</v>
      </c>
      <c r="CK84" s="49">
        <f t="shared" si="247"/>
        <v>0</v>
      </c>
      <c r="CL84" s="49">
        <f t="shared" si="248"/>
        <v>6702.6104000000005</v>
      </c>
      <c r="CM84" s="49">
        <f t="shared" si="249"/>
        <v>0</v>
      </c>
      <c r="CN84" s="49">
        <f t="shared" si="250"/>
        <v>0</v>
      </c>
      <c r="CO84" s="49">
        <f t="shared" si="251"/>
        <v>56968.837094800001</v>
      </c>
      <c r="CP84" s="49">
        <f t="shared" si="252"/>
        <v>0</v>
      </c>
      <c r="CQ84" s="49">
        <f t="shared" si="253"/>
        <v>0</v>
      </c>
      <c r="CR84" s="81">
        <f t="shared" si="254"/>
        <v>56968.837094800001</v>
      </c>
      <c r="CS84" s="80">
        <f t="shared" si="255"/>
        <v>110596.42290520002</v>
      </c>
      <c r="CT84" s="54"/>
      <c r="CU84" s="3" t="str">
        <f t="shared" si="256"/>
        <v>ARS</v>
      </c>
      <c r="CV84" s="3">
        <f>VLOOKUP(CU84,DF:DG,2,0)</f>
        <v>6.9185169999999997E-4</v>
      </c>
      <c r="CW84" s="23">
        <f t="shared" si="257"/>
        <v>115.930309991942</v>
      </c>
      <c r="CX84" s="23">
        <f t="shared" si="258"/>
        <v>5.2261383744367462</v>
      </c>
      <c r="CY84" s="23">
        <f t="shared" si="259"/>
        <v>9.2744247993553603</v>
      </c>
      <c r="CZ84" s="23">
        <f t="shared" si="260"/>
        <v>16.798301917832397</v>
      </c>
      <c r="DA84" s="23">
        <f t="shared" si="261"/>
        <v>3.4779092997582599</v>
      </c>
      <c r="DB84" s="23">
        <f t="shared" si="262"/>
        <v>4.6372123996776802</v>
      </c>
      <c r="DC84" s="23">
        <f t="shared" si="263"/>
        <v>76.516323200881573</v>
      </c>
      <c r="DD84" s="34" t="str">
        <f>VLOOKUP(A84,'Billing Report'!H:I,2,FALSE)</f>
        <v>UIP_UNIVERSAL-HAMNET-PROXIMAMENTE-TWITTER-TOTAL-AWARENESS-INTERESES-IMPRESIONES-OP_PENDIENTE</v>
      </c>
      <c r="DE84" s="34"/>
      <c r="DF84" s="61"/>
      <c r="DG84" s="62"/>
      <c r="DH84"/>
      <c r="DI84" s="41"/>
      <c r="DJ84" s="41"/>
    </row>
    <row r="85" spans="1:114" ht="14.5" x14ac:dyDescent="0.35">
      <c r="A85" s="63">
        <v>40887371</v>
      </c>
      <c r="B85" s="3" t="s">
        <v>676</v>
      </c>
      <c r="C85" s="3">
        <v>322158401</v>
      </c>
      <c r="D85" s="3" t="s">
        <v>93</v>
      </c>
      <c r="G85" s="38">
        <v>218706.63</v>
      </c>
      <c r="J85" s="33">
        <f>VLOOKUP($B85,'IMS Commission List'!E:CE,79,0)/100</f>
        <v>0.15</v>
      </c>
      <c r="K85" s="79">
        <f t="shared" si="176"/>
        <v>218706.63</v>
      </c>
      <c r="L85" s="3" t="str">
        <f>VLOOKUP($B85,'IMS Commission List'!E:V,18,0)</f>
        <v>ARS</v>
      </c>
      <c r="M85" s="3">
        <v>1</v>
      </c>
      <c r="N85" s="3" t="str">
        <f>VLOOKUP($B85,'IMS Commission List'!E:T,16,0)</f>
        <v>MX</v>
      </c>
      <c r="O85" s="54">
        <f>VLOOKUP($B85,'IMS Commission List'!E:CF,80,0)</f>
        <v>4.9000000000000002E-2</v>
      </c>
      <c r="P85" s="54">
        <f>VLOOKUP($B85,'IMS Commission List'!E:CG,81,0)</f>
        <v>0.1575</v>
      </c>
      <c r="Q85" s="54">
        <f>VLOOKUP($B85,'IMS Commission List'!E:CP,90,0)</f>
        <v>0.03</v>
      </c>
      <c r="R85" s="54">
        <f>VLOOKUP($B85,'IMS Commission List'!E:CQ,91,0)</f>
        <v>0.04</v>
      </c>
      <c r="S85" s="47">
        <f t="shared" si="177"/>
        <v>0</v>
      </c>
      <c r="T85" s="48">
        <f t="shared" si="178"/>
        <v>0</v>
      </c>
      <c r="U85" s="48">
        <f t="shared" si="179"/>
        <v>218706.63</v>
      </c>
      <c r="V85" s="48">
        <f t="shared" si="180"/>
        <v>0</v>
      </c>
      <c r="W85" s="48">
        <f t="shared" si="181"/>
        <v>0</v>
      </c>
      <c r="X85" s="49">
        <f t="shared" si="182"/>
        <v>218706.63</v>
      </c>
      <c r="Y85" s="49">
        <f t="shared" si="183"/>
        <v>0</v>
      </c>
      <c r="Z85" s="49">
        <f t="shared" si="184"/>
        <v>0</v>
      </c>
      <c r="AA85" s="49">
        <f t="shared" si="185"/>
        <v>9109.1311395000012</v>
      </c>
      <c r="AB85" s="49">
        <f t="shared" si="186"/>
        <v>0</v>
      </c>
      <c r="AC85" s="49">
        <f t="shared" si="187"/>
        <v>0</v>
      </c>
      <c r="AD85" s="49">
        <f t="shared" si="188"/>
        <v>9109.1311395000012</v>
      </c>
      <c r="AE85" s="49">
        <f t="shared" si="189"/>
        <v>0</v>
      </c>
      <c r="AF85" s="49">
        <f t="shared" si="190"/>
        <v>0</v>
      </c>
      <c r="AG85" s="49">
        <f t="shared" si="191"/>
        <v>32805.994500000001</v>
      </c>
      <c r="AH85" s="49">
        <f t="shared" si="192"/>
        <v>0</v>
      </c>
      <c r="AI85" s="49">
        <f t="shared" si="193"/>
        <v>0</v>
      </c>
      <c r="AJ85" s="49">
        <f t="shared" si="194"/>
        <v>32805.994500000001</v>
      </c>
      <c r="AK85" s="49">
        <f t="shared" si="195"/>
        <v>0</v>
      </c>
      <c r="AL85" s="49">
        <f t="shared" si="196"/>
        <v>0</v>
      </c>
      <c r="AM85" s="49">
        <f t="shared" si="197"/>
        <v>29279.350091249999</v>
      </c>
      <c r="AN85" s="49">
        <f t="shared" si="198"/>
        <v>0</v>
      </c>
      <c r="AO85" s="49">
        <f t="shared" si="199"/>
        <v>0</v>
      </c>
      <c r="AP85" s="49">
        <f t="shared" si="200"/>
        <v>29279.350091249999</v>
      </c>
      <c r="AQ85" s="49">
        <f t="shared" si="201"/>
        <v>0</v>
      </c>
      <c r="AR85" s="49">
        <f t="shared" si="202"/>
        <v>0</v>
      </c>
      <c r="AS85" s="49">
        <f t="shared" si="203"/>
        <v>6561.1989000000003</v>
      </c>
      <c r="AT85" s="49">
        <f t="shared" si="204"/>
        <v>0</v>
      </c>
      <c r="AU85" s="49">
        <f t="shared" si="205"/>
        <v>0</v>
      </c>
      <c r="AV85" s="49">
        <f t="shared" si="206"/>
        <v>6561.1989000000003</v>
      </c>
      <c r="AW85" s="49">
        <f t="shared" si="207"/>
        <v>0</v>
      </c>
      <c r="AX85" s="49">
        <f t="shared" si="208"/>
        <v>0</v>
      </c>
      <c r="AY85" s="49">
        <f t="shared" si="209"/>
        <v>8748.2651999999998</v>
      </c>
      <c r="AZ85" s="49">
        <f t="shared" si="210"/>
        <v>0</v>
      </c>
      <c r="BA85" s="49">
        <f t="shared" si="211"/>
        <v>0</v>
      </c>
      <c r="BB85" s="49">
        <f t="shared" si="212"/>
        <v>8748.2651999999998</v>
      </c>
      <c r="BC85" s="49">
        <f t="shared" si="213"/>
        <v>0</v>
      </c>
      <c r="BD85" s="49">
        <f t="shared" si="214"/>
        <v>0</v>
      </c>
      <c r="BE85" s="49">
        <f t="shared" si="215"/>
        <v>86503.939830749994</v>
      </c>
      <c r="BF85" s="49">
        <f t="shared" si="216"/>
        <v>0</v>
      </c>
      <c r="BG85" s="49">
        <f t="shared" si="217"/>
        <v>0</v>
      </c>
      <c r="BH85" s="49">
        <f t="shared" si="218"/>
        <v>86503.939830749994</v>
      </c>
      <c r="BI85" s="49">
        <f t="shared" si="219"/>
        <v>0</v>
      </c>
      <c r="BJ85" s="49">
        <f t="shared" si="220"/>
        <v>0</v>
      </c>
      <c r="BK85" s="49">
        <f t="shared" si="221"/>
        <v>9109.1311395000012</v>
      </c>
      <c r="BL85" s="49">
        <f t="shared" si="222"/>
        <v>0</v>
      </c>
      <c r="BM85" s="49">
        <f t="shared" si="223"/>
        <v>0</v>
      </c>
      <c r="BN85" s="49">
        <f t="shared" si="224"/>
        <v>9109.1311395000012</v>
      </c>
      <c r="BO85" s="49">
        <f t="shared" si="225"/>
        <v>0</v>
      </c>
      <c r="BP85" s="49">
        <f t="shared" si="226"/>
        <v>0</v>
      </c>
      <c r="BQ85" s="49">
        <f t="shared" si="227"/>
        <v>32805.994500000001</v>
      </c>
      <c r="BR85" s="49">
        <f t="shared" si="228"/>
        <v>0</v>
      </c>
      <c r="BS85" s="49">
        <f t="shared" si="229"/>
        <v>0</v>
      </c>
      <c r="BT85" s="49">
        <f t="shared" si="230"/>
        <v>32805.994500000001</v>
      </c>
      <c r="BU85" s="49">
        <f t="shared" si="231"/>
        <v>0</v>
      </c>
      <c r="BV85" s="49">
        <f t="shared" si="232"/>
        <v>0</v>
      </c>
      <c r="BW85" s="49">
        <f t="shared" si="233"/>
        <v>29279.350091249999</v>
      </c>
      <c r="BX85" s="49">
        <f t="shared" si="234"/>
        <v>0</v>
      </c>
      <c r="BY85" s="49">
        <f t="shared" si="235"/>
        <v>0</v>
      </c>
      <c r="BZ85" s="49">
        <f t="shared" si="236"/>
        <v>29279.350091249999</v>
      </c>
      <c r="CA85" s="49">
        <f t="shared" si="237"/>
        <v>0</v>
      </c>
      <c r="CB85" s="49">
        <f t="shared" si="238"/>
        <v>0</v>
      </c>
      <c r="CC85" s="49">
        <f t="shared" si="239"/>
        <v>6561.1989000000003</v>
      </c>
      <c r="CD85" s="49">
        <f t="shared" si="240"/>
        <v>0</v>
      </c>
      <c r="CE85" s="49">
        <f t="shared" si="241"/>
        <v>0</v>
      </c>
      <c r="CF85" s="49">
        <f t="shared" si="242"/>
        <v>6561.1989000000003</v>
      </c>
      <c r="CG85" s="49">
        <f t="shared" si="243"/>
        <v>0</v>
      </c>
      <c r="CH85" s="49">
        <f t="shared" si="244"/>
        <v>0</v>
      </c>
      <c r="CI85" s="49">
        <f t="shared" si="245"/>
        <v>8748.2651999999998</v>
      </c>
      <c r="CJ85" s="49">
        <f t="shared" si="246"/>
        <v>0</v>
      </c>
      <c r="CK85" s="49">
        <f t="shared" si="247"/>
        <v>0</v>
      </c>
      <c r="CL85" s="49">
        <f t="shared" si="248"/>
        <v>8748.2651999999998</v>
      </c>
      <c r="CM85" s="49">
        <f t="shared" si="249"/>
        <v>0</v>
      </c>
      <c r="CN85" s="49">
        <f t="shared" si="250"/>
        <v>0</v>
      </c>
      <c r="CO85" s="49">
        <f t="shared" si="251"/>
        <v>86503.939830749994</v>
      </c>
      <c r="CP85" s="49">
        <f t="shared" si="252"/>
        <v>0</v>
      </c>
      <c r="CQ85" s="49">
        <f t="shared" si="253"/>
        <v>0</v>
      </c>
      <c r="CR85" s="81">
        <f t="shared" si="254"/>
        <v>86503.939830749994</v>
      </c>
      <c r="CS85" s="80">
        <f t="shared" si="255"/>
        <v>132202.69016925001</v>
      </c>
      <c r="CT85" s="54"/>
      <c r="CU85" s="3" t="str">
        <f t="shared" si="256"/>
        <v>ARS</v>
      </c>
      <c r="CV85" s="3">
        <f>VLOOKUP(CU85,DF:DG,2,0)</f>
        <v>6.9185169999999997E-4</v>
      </c>
      <c r="CW85" s="23">
        <f t="shared" si="257"/>
        <v>151.312553766771</v>
      </c>
      <c r="CX85" s="23">
        <f t="shared" si="258"/>
        <v>6.3021678643860124</v>
      </c>
      <c r="CY85" s="23">
        <f t="shared" si="259"/>
        <v>22.696883065015648</v>
      </c>
      <c r="CZ85" s="23">
        <f t="shared" si="260"/>
        <v>20.256968135526467</v>
      </c>
      <c r="DA85" s="23">
        <f t="shared" si="261"/>
        <v>4.5393766130031299</v>
      </c>
      <c r="DB85" s="23">
        <f t="shared" si="262"/>
        <v>6.0525021506708399</v>
      </c>
      <c r="DC85" s="23">
        <f t="shared" si="263"/>
        <v>91.464655938168903</v>
      </c>
      <c r="DD85" s="34" t="str">
        <f>VLOOKUP(A85,'Billing Report'!H:I,2,FALSE)</f>
        <v>2026_MODO_PERFORMANCE_PERFO_AO_ACTIVACION-IOS-INTERIOR_TWITTER_NU_TX_FEB</v>
      </c>
      <c r="DE85" s="34"/>
      <c r="DF85" s="61"/>
      <c r="DG85" s="62"/>
      <c r="DH85"/>
      <c r="DI85" s="41"/>
      <c r="DJ85" s="41"/>
    </row>
    <row r="86" spans="1:114" ht="14.5" x14ac:dyDescent="0.35">
      <c r="A86" s="63">
        <v>40887248</v>
      </c>
      <c r="B86" s="3" t="s">
        <v>676</v>
      </c>
      <c r="C86" s="3">
        <v>322158401</v>
      </c>
      <c r="D86" s="3" t="s">
        <v>93</v>
      </c>
      <c r="G86" s="38">
        <v>960776.9</v>
      </c>
      <c r="J86" s="33">
        <f>VLOOKUP($B86,'IMS Commission List'!E:CE,79,0)/100</f>
        <v>0.15</v>
      </c>
      <c r="K86" s="79">
        <f t="shared" si="176"/>
        <v>960776.9</v>
      </c>
      <c r="L86" s="3" t="str">
        <f>VLOOKUP($B86,'IMS Commission List'!E:V,18,0)</f>
        <v>ARS</v>
      </c>
      <c r="M86" s="3">
        <v>1</v>
      </c>
      <c r="N86" s="3" t="str">
        <f>VLOOKUP($B86,'IMS Commission List'!E:T,16,0)</f>
        <v>MX</v>
      </c>
      <c r="O86" s="54">
        <f>VLOOKUP($B86,'IMS Commission List'!E:CF,80,0)</f>
        <v>4.9000000000000002E-2</v>
      </c>
      <c r="P86" s="54">
        <f>VLOOKUP($B86,'IMS Commission List'!E:CG,81,0)</f>
        <v>0.1575</v>
      </c>
      <c r="Q86" s="54">
        <f>VLOOKUP($B86,'IMS Commission List'!E:CP,90,0)</f>
        <v>0.03</v>
      </c>
      <c r="R86" s="54">
        <f>VLOOKUP($B86,'IMS Commission List'!E:CQ,91,0)</f>
        <v>0.04</v>
      </c>
      <c r="S86" s="47">
        <f t="shared" si="177"/>
        <v>0</v>
      </c>
      <c r="T86" s="48">
        <f t="shared" si="178"/>
        <v>0</v>
      </c>
      <c r="U86" s="48">
        <f t="shared" si="179"/>
        <v>960776.9</v>
      </c>
      <c r="V86" s="48">
        <f t="shared" si="180"/>
        <v>0</v>
      </c>
      <c r="W86" s="48">
        <f t="shared" si="181"/>
        <v>0</v>
      </c>
      <c r="X86" s="49">
        <f t="shared" si="182"/>
        <v>960776.9</v>
      </c>
      <c r="Y86" s="49">
        <f t="shared" si="183"/>
        <v>0</v>
      </c>
      <c r="Z86" s="49">
        <f t="shared" si="184"/>
        <v>0</v>
      </c>
      <c r="AA86" s="49">
        <f t="shared" si="185"/>
        <v>40016.357885000005</v>
      </c>
      <c r="AB86" s="49">
        <f t="shared" si="186"/>
        <v>0</v>
      </c>
      <c r="AC86" s="49">
        <f t="shared" si="187"/>
        <v>0</v>
      </c>
      <c r="AD86" s="49">
        <f t="shared" si="188"/>
        <v>40016.357885000005</v>
      </c>
      <c r="AE86" s="49">
        <f t="shared" si="189"/>
        <v>0</v>
      </c>
      <c r="AF86" s="49">
        <f t="shared" si="190"/>
        <v>0</v>
      </c>
      <c r="AG86" s="49">
        <f t="shared" si="191"/>
        <v>144116.535</v>
      </c>
      <c r="AH86" s="49">
        <f t="shared" si="192"/>
        <v>0</v>
      </c>
      <c r="AI86" s="49">
        <f t="shared" si="193"/>
        <v>0</v>
      </c>
      <c r="AJ86" s="49">
        <f t="shared" si="194"/>
        <v>144116.535</v>
      </c>
      <c r="AK86" s="49">
        <f t="shared" si="195"/>
        <v>0</v>
      </c>
      <c r="AL86" s="49">
        <f t="shared" si="196"/>
        <v>0</v>
      </c>
      <c r="AM86" s="49">
        <f t="shared" si="197"/>
        <v>128624.0074875</v>
      </c>
      <c r="AN86" s="49">
        <f t="shared" si="198"/>
        <v>0</v>
      </c>
      <c r="AO86" s="49">
        <f t="shared" si="199"/>
        <v>0</v>
      </c>
      <c r="AP86" s="49">
        <f t="shared" si="200"/>
        <v>128624.0074875</v>
      </c>
      <c r="AQ86" s="49">
        <f t="shared" si="201"/>
        <v>0</v>
      </c>
      <c r="AR86" s="49">
        <f t="shared" si="202"/>
        <v>0</v>
      </c>
      <c r="AS86" s="49">
        <f t="shared" si="203"/>
        <v>28823.307000000001</v>
      </c>
      <c r="AT86" s="49">
        <f t="shared" si="204"/>
        <v>0</v>
      </c>
      <c r="AU86" s="49">
        <f t="shared" si="205"/>
        <v>0</v>
      </c>
      <c r="AV86" s="49">
        <f t="shared" si="206"/>
        <v>28823.307000000001</v>
      </c>
      <c r="AW86" s="49">
        <f t="shared" si="207"/>
        <v>0</v>
      </c>
      <c r="AX86" s="49">
        <f t="shared" si="208"/>
        <v>0</v>
      </c>
      <c r="AY86" s="49">
        <f t="shared" si="209"/>
        <v>38431.076000000001</v>
      </c>
      <c r="AZ86" s="49">
        <f t="shared" si="210"/>
        <v>0</v>
      </c>
      <c r="BA86" s="49">
        <f t="shared" si="211"/>
        <v>0</v>
      </c>
      <c r="BB86" s="49">
        <f t="shared" si="212"/>
        <v>38431.076000000001</v>
      </c>
      <c r="BC86" s="49">
        <f t="shared" si="213"/>
        <v>0</v>
      </c>
      <c r="BD86" s="49">
        <f t="shared" si="214"/>
        <v>0</v>
      </c>
      <c r="BE86" s="49">
        <f t="shared" si="215"/>
        <v>380011.28337249998</v>
      </c>
      <c r="BF86" s="49">
        <f t="shared" si="216"/>
        <v>0</v>
      </c>
      <c r="BG86" s="49">
        <f t="shared" si="217"/>
        <v>0</v>
      </c>
      <c r="BH86" s="49">
        <f t="shared" si="218"/>
        <v>380011.28337249998</v>
      </c>
      <c r="BI86" s="49">
        <f t="shared" si="219"/>
        <v>0</v>
      </c>
      <c r="BJ86" s="49">
        <f t="shared" si="220"/>
        <v>0</v>
      </c>
      <c r="BK86" s="49">
        <f t="shared" si="221"/>
        <v>40016.357885000005</v>
      </c>
      <c r="BL86" s="49">
        <f t="shared" si="222"/>
        <v>0</v>
      </c>
      <c r="BM86" s="49">
        <f t="shared" si="223"/>
        <v>0</v>
      </c>
      <c r="BN86" s="49">
        <f t="shared" si="224"/>
        <v>40016.357885000005</v>
      </c>
      <c r="BO86" s="49">
        <f t="shared" si="225"/>
        <v>0</v>
      </c>
      <c r="BP86" s="49">
        <f t="shared" si="226"/>
        <v>0</v>
      </c>
      <c r="BQ86" s="49">
        <f t="shared" si="227"/>
        <v>144116.535</v>
      </c>
      <c r="BR86" s="49">
        <f t="shared" si="228"/>
        <v>0</v>
      </c>
      <c r="BS86" s="49">
        <f t="shared" si="229"/>
        <v>0</v>
      </c>
      <c r="BT86" s="49">
        <f t="shared" si="230"/>
        <v>144116.535</v>
      </c>
      <c r="BU86" s="49">
        <f t="shared" si="231"/>
        <v>0</v>
      </c>
      <c r="BV86" s="49">
        <f t="shared" si="232"/>
        <v>0</v>
      </c>
      <c r="BW86" s="49">
        <f t="shared" si="233"/>
        <v>128624.0074875</v>
      </c>
      <c r="BX86" s="49">
        <f t="shared" si="234"/>
        <v>0</v>
      </c>
      <c r="BY86" s="49">
        <f t="shared" si="235"/>
        <v>0</v>
      </c>
      <c r="BZ86" s="49">
        <f t="shared" si="236"/>
        <v>128624.0074875</v>
      </c>
      <c r="CA86" s="49">
        <f t="shared" si="237"/>
        <v>0</v>
      </c>
      <c r="CB86" s="49">
        <f t="shared" si="238"/>
        <v>0</v>
      </c>
      <c r="CC86" s="49">
        <f t="shared" si="239"/>
        <v>28823.307000000001</v>
      </c>
      <c r="CD86" s="49">
        <f t="shared" si="240"/>
        <v>0</v>
      </c>
      <c r="CE86" s="49">
        <f t="shared" si="241"/>
        <v>0</v>
      </c>
      <c r="CF86" s="49">
        <f t="shared" si="242"/>
        <v>28823.307000000001</v>
      </c>
      <c r="CG86" s="49">
        <f t="shared" si="243"/>
        <v>0</v>
      </c>
      <c r="CH86" s="49">
        <f t="shared" si="244"/>
        <v>0</v>
      </c>
      <c r="CI86" s="49">
        <f t="shared" si="245"/>
        <v>38431.076000000001</v>
      </c>
      <c r="CJ86" s="49">
        <f t="shared" si="246"/>
        <v>0</v>
      </c>
      <c r="CK86" s="49">
        <f t="shared" si="247"/>
        <v>0</v>
      </c>
      <c r="CL86" s="49">
        <f t="shared" si="248"/>
        <v>38431.076000000001</v>
      </c>
      <c r="CM86" s="49">
        <f t="shared" si="249"/>
        <v>0</v>
      </c>
      <c r="CN86" s="49">
        <f t="shared" si="250"/>
        <v>0</v>
      </c>
      <c r="CO86" s="49">
        <f t="shared" si="251"/>
        <v>380011.28337249998</v>
      </c>
      <c r="CP86" s="49">
        <f t="shared" si="252"/>
        <v>0</v>
      </c>
      <c r="CQ86" s="49">
        <f t="shared" si="253"/>
        <v>0</v>
      </c>
      <c r="CR86" s="81">
        <f t="shared" si="254"/>
        <v>380011.28337249998</v>
      </c>
      <c r="CS86" s="80">
        <f t="shared" si="255"/>
        <v>580765.61662750004</v>
      </c>
      <c r="CT86" s="54"/>
      <c r="CU86" s="3" t="str">
        <f t="shared" si="256"/>
        <v>ARS</v>
      </c>
      <c r="CV86" s="3">
        <f>VLOOKUP(CU86,DF:DG,2,0)</f>
        <v>6.9185169999999997E-4</v>
      </c>
      <c r="CW86" s="23">
        <f t="shared" si="257"/>
        <v>664.71513158572998</v>
      </c>
      <c r="CX86" s="23">
        <f t="shared" si="258"/>
        <v>27.685385230545656</v>
      </c>
      <c r="CY86" s="23">
        <f t="shared" si="259"/>
        <v>99.707269737859491</v>
      </c>
      <c r="CZ86" s="23">
        <f t="shared" si="260"/>
        <v>88.988738241039599</v>
      </c>
      <c r="DA86" s="23">
        <f t="shared" si="261"/>
        <v>19.941453947571901</v>
      </c>
      <c r="DB86" s="23">
        <f t="shared" si="262"/>
        <v>26.588605263429198</v>
      </c>
      <c r="DC86" s="23">
        <f t="shared" si="263"/>
        <v>401.80367916528417</v>
      </c>
      <c r="DD86" s="34" t="str">
        <f>VLOOKUP(A86,'Billing Report'!H:I,2,FALSE)</f>
        <v>2026_MODO_PERFORMANCE_PERFO_AO_ACTIVACION-ANDROID-INTERIOR_TWITTER_NU_TX_FEB</v>
      </c>
      <c r="DE86" s="34"/>
      <c r="DF86" s="61"/>
      <c r="DG86" s="62"/>
      <c r="DH86"/>
      <c r="DI86" s="41"/>
      <c r="DJ86" s="41"/>
    </row>
    <row r="87" spans="1:114" ht="14.5" x14ac:dyDescent="0.35">
      <c r="A87" s="63">
        <v>40744945</v>
      </c>
      <c r="B87" s="3" t="s">
        <v>676</v>
      </c>
      <c r="C87" s="3">
        <v>322158401</v>
      </c>
      <c r="D87" s="3" t="s">
        <v>93</v>
      </c>
      <c r="G87" s="38">
        <v>237367.58</v>
      </c>
      <c r="J87" s="33">
        <f>VLOOKUP($B87,'IMS Commission List'!E:CE,79,0)/100</f>
        <v>0.15</v>
      </c>
      <c r="K87" s="79">
        <f t="shared" si="176"/>
        <v>237367.58</v>
      </c>
      <c r="L87" s="3" t="str">
        <f>VLOOKUP($B87,'IMS Commission List'!E:V,18,0)</f>
        <v>ARS</v>
      </c>
      <c r="M87" s="3">
        <v>1</v>
      </c>
      <c r="N87" s="3" t="str">
        <f>VLOOKUP($B87,'IMS Commission List'!E:T,16,0)</f>
        <v>MX</v>
      </c>
      <c r="O87" s="54">
        <f>VLOOKUP($B87,'IMS Commission List'!E:CF,80,0)</f>
        <v>4.9000000000000002E-2</v>
      </c>
      <c r="P87" s="54">
        <f>VLOOKUP($B87,'IMS Commission List'!E:CG,81,0)</f>
        <v>0.1575</v>
      </c>
      <c r="Q87" s="54">
        <f>VLOOKUP($B87,'IMS Commission List'!E:CP,90,0)</f>
        <v>0.03</v>
      </c>
      <c r="R87" s="54">
        <f>VLOOKUP($B87,'IMS Commission List'!E:CQ,91,0)</f>
        <v>0.04</v>
      </c>
      <c r="S87" s="47">
        <f t="shared" si="177"/>
        <v>0</v>
      </c>
      <c r="T87" s="48">
        <f t="shared" si="178"/>
        <v>0</v>
      </c>
      <c r="U87" s="48">
        <f t="shared" si="179"/>
        <v>237367.58</v>
      </c>
      <c r="V87" s="48">
        <f t="shared" si="180"/>
        <v>0</v>
      </c>
      <c r="W87" s="48">
        <f t="shared" si="181"/>
        <v>0</v>
      </c>
      <c r="X87" s="49">
        <f t="shared" si="182"/>
        <v>237367.58</v>
      </c>
      <c r="Y87" s="49">
        <f t="shared" si="183"/>
        <v>0</v>
      </c>
      <c r="Z87" s="49">
        <f t="shared" si="184"/>
        <v>0</v>
      </c>
      <c r="AA87" s="49">
        <f t="shared" si="185"/>
        <v>9886.3597069999996</v>
      </c>
      <c r="AB87" s="49">
        <f t="shared" si="186"/>
        <v>0</v>
      </c>
      <c r="AC87" s="49">
        <f t="shared" si="187"/>
        <v>0</v>
      </c>
      <c r="AD87" s="49">
        <f t="shared" si="188"/>
        <v>9886.3597069999996</v>
      </c>
      <c r="AE87" s="49">
        <f t="shared" si="189"/>
        <v>0</v>
      </c>
      <c r="AF87" s="49">
        <f t="shared" si="190"/>
        <v>0</v>
      </c>
      <c r="AG87" s="49">
        <f t="shared" si="191"/>
        <v>35605.136999999995</v>
      </c>
      <c r="AH87" s="49">
        <f t="shared" si="192"/>
        <v>0</v>
      </c>
      <c r="AI87" s="49">
        <f t="shared" si="193"/>
        <v>0</v>
      </c>
      <c r="AJ87" s="49">
        <f t="shared" si="194"/>
        <v>35605.136999999995</v>
      </c>
      <c r="AK87" s="49">
        <f t="shared" si="195"/>
        <v>0</v>
      </c>
      <c r="AL87" s="49">
        <f t="shared" si="196"/>
        <v>0</v>
      </c>
      <c r="AM87" s="49">
        <f t="shared" si="197"/>
        <v>31777.584772499999</v>
      </c>
      <c r="AN87" s="49">
        <f t="shared" si="198"/>
        <v>0</v>
      </c>
      <c r="AO87" s="49">
        <f t="shared" si="199"/>
        <v>0</v>
      </c>
      <c r="AP87" s="49">
        <f t="shared" si="200"/>
        <v>31777.584772499999</v>
      </c>
      <c r="AQ87" s="49">
        <f t="shared" si="201"/>
        <v>0</v>
      </c>
      <c r="AR87" s="49">
        <f t="shared" si="202"/>
        <v>0</v>
      </c>
      <c r="AS87" s="49">
        <f t="shared" si="203"/>
        <v>7121.027399999999</v>
      </c>
      <c r="AT87" s="49">
        <f t="shared" si="204"/>
        <v>0</v>
      </c>
      <c r="AU87" s="49">
        <f t="shared" si="205"/>
        <v>0</v>
      </c>
      <c r="AV87" s="49">
        <f t="shared" si="206"/>
        <v>7121.027399999999</v>
      </c>
      <c r="AW87" s="49">
        <f t="shared" si="207"/>
        <v>0</v>
      </c>
      <c r="AX87" s="49">
        <f t="shared" si="208"/>
        <v>0</v>
      </c>
      <c r="AY87" s="49">
        <f t="shared" si="209"/>
        <v>9494.7031999999999</v>
      </c>
      <c r="AZ87" s="49">
        <f t="shared" si="210"/>
        <v>0</v>
      </c>
      <c r="BA87" s="49">
        <f t="shared" si="211"/>
        <v>0</v>
      </c>
      <c r="BB87" s="49">
        <f t="shared" si="212"/>
        <v>9494.7031999999999</v>
      </c>
      <c r="BC87" s="49">
        <f t="shared" si="213"/>
        <v>0</v>
      </c>
      <c r="BD87" s="49">
        <f t="shared" si="214"/>
        <v>0</v>
      </c>
      <c r="BE87" s="49">
        <f t="shared" si="215"/>
        <v>93884.812079499985</v>
      </c>
      <c r="BF87" s="49">
        <f t="shared" si="216"/>
        <v>0</v>
      </c>
      <c r="BG87" s="49">
        <f t="shared" si="217"/>
        <v>0</v>
      </c>
      <c r="BH87" s="49">
        <f t="shared" si="218"/>
        <v>93884.812079499985</v>
      </c>
      <c r="BI87" s="49">
        <f t="shared" si="219"/>
        <v>0</v>
      </c>
      <c r="BJ87" s="49">
        <f t="shared" si="220"/>
        <v>0</v>
      </c>
      <c r="BK87" s="49">
        <f t="shared" si="221"/>
        <v>9886.3597069999996</v>
      </c>
      <c r="BL87" s="49">
        <f t="shared" si="222"/>
        <v>0</v>
      </c>
      <c r="BM87" s="49">
        <f t="shared" si="223"/>
        <v>0</v>
      </c>
      <c r="BN87" s="49">
        <f t="shared" si="224"/>
        <v>9886.3597069999996</v>
      </c>
      <c r="BO87" s="49">
        <f t="shared" si="225"/>
        <v>0</v>
      </c>
      <c r="BP87" s="49">
        <f t="shared" si="226"/>
        <v>0</v>
      </c>
      <c r="BQ87" s="49">
        <f t="shared" si="227"/>
        <v>35605.136999999995</v>
      </c>
      <c r="BR87" s="49">
        <f t="shared" si="228"/>
        <v>0</v>
      </c>
      <c r="BS87" s="49">
        <f t="shared" si="229"/>
        <v>0</v>
      </c>
      <c r="BT87" s="49">
        <f t="shared" si="230"/>
        <v>35605.136999999995</v>
      </c>
      <c r="BU87" s="49">
        <f t="shared" si="231"/>
        <v>0</v>
      </c>
      <c r="BV87" s="49">
        <f t="shared" si="232"/>
        <v>0</v>
      </c>
      <c r="BW87" s="49">
        <f t="shared" si="233"/>
        <v>31777.584772499999</v>
      </c>
      <c r="BX87" s="49">
        <f t="shared" si="234"/>
        <v>0</v>
      </c>
      <c r="BY87" s="49">
        <f t="shared" si="235"/>
        <v>0</v>
      </c>
      <c r="BZ87" s="49">
        <f t="shared" si="236"/>
        <v>31777.584772499999</v>
      </c>
      <c r="CA87" s="49">
        <f t="shared" si="237"/>
        <v>0</v>
      </c>
      <c r="CB87" s="49">
        <f t="shared" si="238"/>
        <v>0</v>
      </c>
      <c r="CC87" s="49">
        <f t="shared" si="239"/>
        <v>7121.027399999999</v>
      </c>
      <c r="CD87" s="49">
        <f t="shared" si="240"/>
        <v>0</v>
      </c>
      <c r="CE87" s="49">
        <f t="shared" si="241"/>
        <v>0</v>
      </c>
      <c r="CF87" s="49">
        <f t="shared" si="242"/>
        <v>7121.027399999999</v>
      </c>
      <c r="CG87" s="49">
        <f t="shared" si="243"/>
        <v>0</v>
      </c>
      <c r="CH87" s="49">
        <f t="shared" si="244"/>
        <v>0</v>
      </c>
      <c r="CI87" s="49">
        <f t="shared" si="245"/>
        <v>9494.7031999999999</v>
      </c>
      <c r="CJ87" s="49">
        <f t="shared" si="246"/>
        <v>0</v>
      </c>
      <c r="CK87" s="49">
        <f t="shared" si="247"/>
        <v>0</v>
      </c>
      <c r="CL87" s="49">
        <f t="shared" si="248"/>
        <v>9494.7031999999999</v>
      </c>
      <c r="CM87" s="49">
        <f t="shared" si="249"/>
        <v>0</v>
      </c>
      <c r="CN87" s="49">
        <f t="shared" si="250"/>
        <v>0</v>
      </c>
      <c r="CO87" s="49">
        <f t="shared" si="251"/>
        <v>93884.812079499985</v>
      </c>
      <c r="CP87" s="49">
        <f t="shared" si="252"/>
        <v>0</v>
      </c>
      <c r="CQ87" s="49">
        <f t="shared" si="253"/>
        <v>0</v>
      </c>
      <c r="CR87" s="81">
        <f t="shared" si="254"/>
        <v>93884.812079499985</v>
      </c>
      <c r="CS87" s="80">
        <f t="shared" si="255"/>
        <v>143482.76792050002</v>
      </c>
      <c r="CT87" s="54"/>
      <c r="CU87" s="3" t="str">
        <f t="shared" si="256"/>
        <v>ARS</v>
      </c>
      <c r="CV87" s="3">
        <f>VLOOKUP(CU87,DF:DG,2,0)</f>
        <v>6.9185169999999997E-4</v>
      </c>
      <c r="CW87" s="23">
        <f t="shared" si="257"/>
        <v>164.22316374788599</v>
      </c>
      <c r="CX87" s="23">
        <f t="shared" si="258"/>
        <v>6.839894770099451</v>
      </c>
      <c r="CY87" s="23">
        <f t="shared" si="259"/>
        <v>24.633474562182897</v>
      </c>
      <c r="CZ87" s="23">
        <f t="shared" si="260"/>
        <v>21.985376046748236</v>
      </c>
      <c r="DA87" s="23">
        <f t="shared" si="261"/>
        <v>4.9266949124365791</v>
      </c>
      <c r="DB87" s="23">
        <f t="shared" si="262"/>
        <v>6.5689265499154397</v>
      </c>
      <c r="DC87" s="23">
        <f t="shared" si="263"/>
        <v>99.268796906503397</v>
      </c>
      <c r="DD87" s="34" t="str">
        <f>VLOOKUP(A87,'Billing Report'!H:I,2,FALSE)</f>
        <v>2026_MODO_PERFORMANCE_PERFO_AO_ACTIVACION-IOS-AMBA_TWITTER_NU_TX_FEB</v>
      </c>
      <c r="DE87" s="34"/>
      <c r="DF87" s="61"/>
      <c r="DG87" s="62"/>
      <c r="DH87"/>
      <c r="DI87" s="41"/>
      <c r="DJ87" s="41"/>
    </row>
    <row r="88" spans="1:114" ht="14.5" x14ac:dyDescent="0.35">
      <c r="A88" s="63">
        <v>40744942</v>
      </c>
      <c r="B88" s="3" t="s">
        <v>676</v>
      </c>
      <c r="C88" s="3">
        <v>322158401</v>
      </c>
      <c r="D88" s="3" t="s">
        <v>93</v>
      </c>
      <c r="G88" s="38">
        <v>997461.86</v>
      </c>
      <c r="J88" s="33">
        <f>VLOOKUP($B88,'IMS Commission List'!E:CE,79,0)/100</f>
        <v>0.15</v>
      </c>
      <c r="K88" s="79">
        <f t="shared" si="176"/>
        <v>997461.86</v>
      </c>
      <c r="L88" s="3" t="str">
        <f>VLOOKUP($B88,'IMS Commission List'!E:V,18,0)</f>
        <v>ARS</v>
      </c>
      <c r="M88" s="3">
        <v>1</v>
      </c>
      <c r="N88" s="3" t="str">
        <f>VLOOKUP($B88,'IMS Commission List'!E:T,16,0)</f>
        <v>MX</v>
      </c>
      <c r="O88" s="54">
        <f>VLOOKUP($B88,'IMS Commission List'!E:CF,80,0)</f>
        <v>4.9000000000000002E-2</v>
      </c>
      <c r="P88" s="54">
        <f>VLOOKUP($B88,'IMS Commission List'!E:CG,81,0)</f>
        <v>0.1575</v>
      </c>
      <c r="Q88" s="54">
        <f>VLOOKUP($B88,'IMS Commission List'!E:CP,90,0)</f>
        <v>0.03</v>
      </c>
      <c r="R88" s="54">
        <f>VLOOKUP($B88,'IMS Commission List'!E:CQ,91,0)</f>
        <v>0.04</v>
      </c>
      <c r="S88" s="47">
        <f t="shared" si="177"/>
        <v>0</v>
      </c>
      <c r="T88" s="48">
        <f t="shared" si="178"/>
        <v>0</v>
      </c>
      <c r="U88" s="48">
        <f t="shared" si="179"/>
        <v>997461.86</v>
      </c>
      <c r="V88" s="48">
        <f t="shared" si="180"/>
        <v>0</v>
      </c>
      <c r="W88" s="48">
        <f t="shared" si="181"/>
        <v>0</v>
      </c>
      <c r="X88" s="49">
        <f t="shared" si="182"/>
        <v>997461.86</v>
      </c>
      <c r="Y88" s="49">
        <f t="shared" si="183"/>
        <v>0</v>
      </c>
      <c r="Z88" s="49">
        <f t="shared" si="184"/>
        <v>0</v>
      </c>
      <c r="AA88" s="49">
        <f t="shared" si="185"/>
        <v>41544.286468999999</v>
      </c>
      <c r="AB88" s="49">
        <f t="shared" si="186"/>
        <v>0</v>
      </c>
      <c r="AC88" s="49">
        <f t="shared" si="187"/>
        <v>0</v>
      </c>
      <c r="AD88" s="49">
        <f t="shared" si="188"/>
        <v>41544.286468999999</v>
      </c>
      <c r="AE88" s="49">
        <f t="shared" si="189"/>
        <v>0</v>
      </c>
      <c r="AF88" s="49">
        <f t="shared" si="190"/>
        <v>0</v>
      </c>
      <c r="AG88" s="49">
        <f t="shared" si="191"/>
        <v>149619.27899999998</v>
      </c>
      <c r="AH88" s="49">
        <f t="shared" si="192"/>
        <v>0</v>
      </c>
      <c r="AI88" s="49">
        <f t="shared" si="193"/>
        <v>0</v>
      </c>
      <c r="AJ88" s="49">
        <f t="shared" si="194"/>
        <v>149619.27899999998</v>
      </c>
      <c r="AK88" s="49">
        <f t="shared" si="195"/>
        <v>0</v>
      </c>
      <c r="AL88" s="49">
        <f t="shared" si="196"/>
        <v>0</v>
      </c>
      <c r="AM88" s="49">
        <f t="shared" si="197"/>
        <v>133535.20650749997</v>
      </c>
      <c r="AN88" s="49">
        <f t="shared" si="198"/>
        <v>0</v>
      </c>
      <c r="AO88" s="49">
        <f t="shared" si="199"/>
        <v>0</v>
      </c>
      <c r="AP88" s="49">
        <f t="shared" si="200"/>
        <v>133535.20650749997</v>
      </c>
      <c r="AQ88" s="49">
        <f t="shared" si="201"/>
        <v>0</v>
      </c>
      <c r="AR88" s="49">
        <f t="shared" si="202"/>
        <v>0</v>
      </c>
      <c r="AS88" s="49">
        <f t="shared" si="203"/>
        <v>29923.855799999998</v>
      </c>
      <c r="AT88" s="49">
        <f t="shared" si="204"/>
        <v>0</v>
      </c>
      <c r="AU88" s="49">
        <f t="shared" si="205"/>
        <v>0</v>
      </c>
      <c r="AV88" s="49">
        <f t="shared" si="206"/>
        <v>29923.855799999998</v>
      </c>
      <c r="AW88" s="49">
        <f t="shared" si="207"/>
        <v>0</v>
      </c>
      <c r="AX88" s="49">
        <f t="shared" si="208"/>
        <v>0</v>
      </c>
      <c r="AY88" s="49">
        <f t="shared" si="209"/>
        <v>39898.474399999999</v>
      </c>
      <c r="AZ88" s="49">
        <f t="shared" si="210"/>
        <v>0</v>
      </c>
      <c r="BA88" s="49">
        <f t="shared" si="211"/>
        <v>0</v>
      </c>
      <c r="BB88" s="49">
        <f t="shared" si="212"/>
        <v>39898.474399999999</v>
      </c>
      <c r="BC88" s="49">
        <f t="shared" si="213"/>
        <v>0</v>
      </c>
      <c r="BD88" s="49">
        <f t="shared" si="214"/>
        <v>0</v>
      </c>
      <c r="BE88" s="49">
        <f t="shared" si="215"/>
        <v>394521.10217649996</v>
      </c>
      <c r="BF88" s="49">
        <f t="shared" si="216"/>
        <v>0</v>
      </c>
      <c r="BG88" s="49">
        <f t="shared" si="217"/>
        <v>0</v>
      </c>
      <c r="BH88" s="49">
        <f t="shared" si="218"/>
        <v>394521.10217649996</v>
      </c>
      <c r="BI88" s="49">
        <f t="shared" si="219"/>
        <v>0</v>
      </c>
      <c r="BJ88" s="49">
        <f t="shared" si="220"/>
        <v>0</v>
      </c>
      <c r="BK88" s="49">
        <f t="shared" si="221"/>
        <v>41544.286468999999</v>
      </c>
      <c r="BL88" s="49">
        <f t="shared" si="222"/>
        <v>0</v>
      </c>
      <c r="BM88" s="49">
        <f t="shared" si="223"/>
        <v>0</v>
      </c>
      <c r="BN88" s="49">
        <f t="shared" si="224"/>
        <v>41544.286468999999</v>
      </c>
      <c r="BO88" s="49">
        <f t="shared" si="225"/>
        <v>0</v>
      </c>
      <c r="BP88" s="49">
        <f t="shared" si="226"/>
        <v>0</v>
      </c>
      <c r="BQ88" s="49">
        <f t="shared" si="227"/>
        <v>149619.27899999998</v>
      </c>
      <c r="BR88" s="49">
        <f t="shared" si="228"/>
        <v>0</v>
      </c>
      <c r="BS88" s="49">
        <f t="shared" si="229"/>
        <v>0</v>
      </c>
      <c r="BT88" s="49">
        <f t="shared" si="230"/>
        <v>149619.27899999998</v>
      </c>
      <c r="BU88" s="49">
        <f t="shared" si="231"/>
        <v>0</v>
      </c>
      <c r="BV88" s="49">
        <f t="shared" si="232"/>
        <v>0</v>
      </c>
      <c r="BW88" s="49">
        <f t="shared" si="233"/>
        <v>133535.20650749997</v>
      </c>
      <c r="BX88" s="49">
        <f t="shared" si="234"/>
        <v>0</v>
      </c>
      <c r="BY88" s="49">
        <f t="shared" si="235"/>
        <v>0</v>
      </c>
      <c r="BZ88" s="49">
        <f t="shared" si="236"/>
        <v>133535.20650749997</v>
      </c>
      <c r="CA88" s="49">
        <f t="shared" si="237"/>
        <v>0</v>
      </c>
      <c r="CB88" s="49">
        <f t="shared" si="238"/>
        <v>0</v>
      </c>
      <c r="CC88" s="49">
        <f t="shared" si="239"/>
        <v>29923.855799999998</v>
      </c>
      <c r="CD88" s="49">
        <f t="shared" si="240"/>
        <v>0</v>
      </c>
      <c r="CE88" s="49">
        <f t="shared" si="241"/>
        <v>0</v>
      </c>
      <c r="CF88" s="49">
        <f t="shared" si="242"/>
        <v>29923.855799999998</v>
      </c>
      <c r="CG88" s="49">
        <f t="shared" si="243"/>
        <v>0</v>
      </c>
      <c r="CH88" s="49">
        <f t="shared" si="244"/>
        <v>0</v>
      </c>
      <c r="CI88" s="49">
        <f t="shared" si="245"/>
        <v>39898.474399999999</v>
      </c>
      <c r="CJ88" s="49">
        <f t="shared" si="246"/>
        <v>0</v>
      </c>
      <c r="CK88" s="49">
        <f t="shared" si="247"/>
        <v>0</v>
      </c>
      <c r="CL88" s="49">
        <f t="shared" si="248"/>
        <v>39898.474399999999</v>
      </c>
      <c r="CM88" s="49">
        <f t="shared" si="249"/>
        <v>0</v>
      </c>
      <c r="CN88" s="49">
        <f t="shared" si="250"/>
        <v>0</v>
      </c>
      <c r="CO88" s="49">
        <f t="shared" si="251"/>
        <v>394521.10217649996</v>
      </c>
      <c r="CP88" s="49">
        <f t="shared" si="252"/>
        <v>0</v>
      </c>
      <c r="CQ88" s="49">
        <f t="shared" si="253"/>
        <v>0</v>
      </c>
      <c r="CR88" s="81">
        <f t="shared" si="254"/>
        <v>394521.10217649996</v>
      </c>
      <c r="CS88" s="80">
        <f t="shared" si="255"/>
        <v>602940.75782350008</v>
      </c>
      <c r="CT88" s="54"/>
      <c r="CU88" s="3" t="str">
        <f t="shared" si="256"/>
        <v>ARS</v>
      </c>
      <c r="CV88" s="3">
        <f>VLOOKUP(CU88,DF:DG,2,0)</f>
        <v>6.9185169999999997E-4</v>
      </c>
      <c r="CW88" s="23">
        <f t="shared" si="257"/>
        <v>690.09568352616191</v>
      </c>
      <c r="CX88" s="23">
        <f t="shared" si="258"/>
        <v>28.742485218864644</v>
      </c>
      <c r="CY88" s="23">
        <f t="shared" si="259"/>
        <v>103.51435252892428</v>
      </c>
      <c r="CZ88" s="23">
        <f t="shared" si="260"/>
        <v>92.386559632064916</v>
      </c>
      <c r="DA88" s="23">
        <f t="shared" si="261"/>
        <v>20.702870505784858</v>
      </c>
      <c r="DB88" s="23">
        <f t="shared" si="262"/>
        <v>27.603827341046479</v>
      </c>
      <c r="DC88" s="23">
        <f t="shared" si="263"/>
        <v>417.1455882994768</v>
      </c>
      <c r="DD88" s="34" t="str">
        <f>VLOOKUP(A88,'Billing Report'!H:I,2,FALSE)</f>
        <v>2026_MODO_PERFORMANCE_PERFO_AO_ACTIVACION-ANDROID-AMBA_TWITTER_NU_TX_FEB</v>
      </c>
      <c r="DE88" s="34"/>
      <c r="DF88" s="61"/>
      <c r="DG88" s="62"/>
      <c r="DH88"/>
      <c r="DI88" s="41"/>
      <c r="DJ88" s="41"/>
    </row>
    <row r="89" spans="1:114" ht="14.5" x14ac:dyDescent="0.35">
      <c r="A89" s="63">
        <v>40759166</v>
      </c>
      <c r="B89" s="3" t="s">
        <v>677</v>
      </c>
      <c r="C89" s="3">
        <v>322203001</v>
      </c>
      <c r="D89" s="3" t="s">
        <v>93</v>
      </c>
      <c r="G89" s="38">
        <v>2191392.65</v>
      </c>
      <c r="J89" s="33">
        <f>VLOOKUP($B89,'IMS Commission List'!E:CE,79,0)/100</f>
        <v>0.15</v>
      </c>
      <c r="K89" s="79">
        <f t="shared" si="176"/>
        <v>2191392.65</v>
      </c>
      <c r="L89" s="3" t="str">
        <f>VLOOKUP($B89,'IMS Commission List'!E:V,18,0)</f>
        <v>ARS</v>
      </c>
      <c r="M89" s="3">
        <v>1</v>
      </c>
      <c r="N89" s="3" t="str">
        <f>VLOOKUP($B89,'IMS Commission List'!E:T,16,0)</f>
        <v>MX</v>
      </c>
      <c r="O89" s="54">
        <f>VLOOKUP($B89,'IMS Commission List'!E:CF,80,0)</f>
        <v>4.9000000000000002E-2</v>
      </c>
      <c r="P89" s="54">
        <f>VLOOKUP($B89,'IMS Commission List'!E:CG,81,0)</f>
        <v>0.1575</v>
      </c>
      <c r="Q89" s="54">
        <f>VLOOKUP($B89,'IMS Commission List'!E:CP,90,0)</f>
        <v>0.03</v>
      </c>
      <c r="R89" s="54">
        <f>VLOOKUP($B89,'IMS Commission List'!E:CQ,91,0)</f>
        <v>0.04</v>
      </c>
      <c r="S89" s="47">
        <f t="shared" si="177"/>
        <v>0</v>
      </c>
      <c r="T89" s="48">
        <f t="shared" si="178"/>
        <v>0</v>
      </c>
      <c r="U89" s="48">
        <f t="shared" si="179"/>
        <v>2191392.65</v>
      </c>
      <c r="V89" s="48">
        <f t="shared" si="180"/>
        <v>0</v>
      </c>
      <c r="W89" s="48">
        <f t="shared" si="181"/>
        <v>0</v>
      </c>
      <c r="X89" s="49">
        <f t="shared" si="182"/>
        <v>2191392.65</v>
      </c>
      <c r="Y89" s="49">
        <f t="shared" si="183"/>
        <v>0</v>
      </c>
      <c r="Z89" s="49">
        <f t="shared" si="184"/>
        <v>0</v>
      </c>
      <c r="AA89" s="49">
        <f t="shared" si="185"/>
        <v>91271.50387249999</v>
      </c>
      <c r="AB89" s="49">
        <f t="shared" si="186"/>
        <v>0</v>
      </c>
      <c r="AC89" s="49">
        <f t="shared" si="187"/>
        <v>0</v>
      </c>
      <c r="AD89" s="49">
        <f t="shared" si="188"/>
        <v>91271.50387249999</v>
      </c>
      <c r="AE89" s="49">
        <f t="shared" si="189"/>
        <v>0</v>
      </c>
      <c r="AF89" s="49">
        <f t="shared" si="190"/>
        <v>0</v>
      </c>
      <c r="AG89" s="49">
        <f t="shared" si="191"/>
        <v>328708.89749999996</v>
      </c>
      <c r="AH89" s="49">
        <f t="shared" si="192"/>
        <v>0</v>
      </c>
      <c r="AI89" s="49">
        <f t="shared" si="193"/>
        <v>0</v>
      </c>
      <c r="AJ89" s="49">
        <f t="shared" si="194"/>
        <v>328708.89749999996</v>
      </c>
      <c r="AK89" s="49">
        <f t="shared" si="195"/>
        <v>0</v>
      </c>
      <c r="AL89" s="49">
        <f t="shared" si="196"/>
        <v>0</v>
      </c>
      <c r="AM89" s="49">
        <f t="shared" si="197"/>
        <v>293372.69101875002</v>
      </c>
      <c r="AN89" s="49">
        <f t="shared" si="198"/>
        <v>0</v>
      </c>
      <c r="AO89" s="49">
        <f t="shared" si="199"/>
        <v>0</v>
      </c>
      <c r="AP89" s="49">
        <f t="shared" si="200"/>
        <v>293372.69101875002</v>
      </c>
      <c r="AQ89" s="49">
        <f t="shared" si="201"/>
        <v>0</v>
      </c>
      <c r="AR89" s="49">
        <f t="shared" si="202"/>
        <v>0</v>
      </c>
      <c r="AS89" s="49">
        <f t="shared" si="203"/>
        <v>65741.77949999999</v>
      </c>
      <c r="AT89" s="49">
        <f t="shared" si="204"/>
        <v>0</v>
      </c>
      <c r="AU89" s="49">
        <f t="shared" si="205"/>
        <v>0</v>
      </c>
      <c r="AV89" s="49">
        <f t="shared" si="206"/>
        <v>65741.77949999999</v>
      </c>
      <c r="AW89" s="49">
        <f t="shared" si="207"/>
        <v>0</v>
      </c>
      <c r="AX89" s="49">
        <f t="shared" si="208"/>
        <v>0</v>
      </c>
      <c r="AY89" s="49">
        <f t="shared" si="209"/>
        <v>87655.705999999991</v>
      </c>
      <c r="AZ89" s="49">
        <f t="shared" si="210"/>
        <v>0</v>
      </c>
      <c r="BA89" s="49">
        <f t="shared" si="211"/>
        <v>0</v>
      </c>
      <c r="BB89" s="49">
        <f t="shared" si="212"/>
        <v>87655.705999999991</v>
      </c>
      <c r="BC89" s="49">
        <f t="shared" si="213"/>
        <v>0</v>
      </c>
      <c r="BD89" s="49">
        <f t="shared" si="214"/>
        <v>0</v>
      </c>
      <c r="BE89" s="49">
        <f t="shared" si="215"/>
        <v>866750.57789124991</v>
      </c>
      <c r="BF89" s="49">
        <f t="shared" si="216"/>
        <v>0</v>
      </c>
      <c r="BG89" s="49">
        <f t="shared" si="217"/>
        <v>0</v>
      </c>
      <c r="BH89" s="49">
        <f t="shared" si="218"/>
        <v>866750.57789124991</v>
      </c>
      <c r="BI89" s="49">
        <f t="shared" si="219"/>
        <v>0</v>
      </c>
      <c r="BJ89" s="49">
        <f t="shared" si="220"/>
        <v>0</v>
      </c>
      <c r="BK89" s="49">
        <f t="shared" si="221"/>
        <v>91271.50387249999</v>
      </c>
      <c r="BL89" s="49">
        <f t="shared" si="222"/>
        <v>0</v>
      </c>
      <c r="BM89" s="49">
        <f t="shared" si="223"/>
        <v>0</v>
      </c>
      <c r="BN89" s="49">
        <f t="shared" si="224"/>
        <v>91271.50387249999</v>
      </c>
      <c r="BO89" s="49">
        <f t="shared" si="225"/>
        <v>0</v>
      </c>
      <c r="BP89" s="49">
        <f t="shared" si="226"/>
        <v>0</v>
      </c>
      <c r="BQ89" s="49">
        <f t="shared" si="227"/>
        <v>328708.89749999996</v>
      </c>
      <c r="BR89" s="49">
        <f t="shared" si="228"/>
        <v>0</v>
      </c>
      <c r="BS89" s="49">
        <f t="shared" si="229"/>
        <v>0</v>
      </c>
      <c r="BT89" s="49">
        <f t="shared" si="230"/>
        <v>328708.89749999996</v>
      </c>
      <c r="BU89" s="49">
        <f t="shared" si="231"/>
        <v>0</v>
      </c>
      <c r="BV89" s="49">
        <f t="shared" si="232"/>
        <v>0</v>
      </c>
      <c r="BW89" s="49">
        <f t="shared" si="233"/>
        <v>293372.69101875002</v>
      </c>
      <c r="BX89" s="49">
        <f t="shared" si="234"/>
        <v>0</v>
      </c>
      <c r="BY89" s="49">
        <f t="shared" si="235"/>
        <v>0</v>
      </c>
      <c r="BZ89" s="49">
        <f t="shared" si="236"/>
        <v>293372.69101875002</v>
      </c>
      <c r="CA89" s="49">
        <f t="shared" si="237"/>
        <v>0</v>
      </c>
      <c r="CB89" s="49">
        <f t="shared" si="238"/>
        <v>0</v>
      </c>
      <c r="CC89" s="49">
        <f t="shared" si="239"/>
        <v>65741.77949999999</v>
      </c>
      <c r="CD89" s="49">
        <f t="shared" si="240"/>
        <v>0</v>
      </c>
      <c r="CE89" s="49">
        <f t="shared" si="241"/>
        <v>0</v>
      </c>
      <c r="CF89" s="49">
        <f t="shared" si="242"/>
        <v>65741.77949999999</v>
      </c>
      <c r="CG89" s="49">
        <f t="shared" si="243"/>
        <v>0</v>
      </c>
      <c r="CH89" s="49">
        <f t="shared" si="244"/>
        <v>0</v>
      </c>
      <c r="CI89" s="49">
        <f t="shared" si="245"/>
        <v>87655.705999999991</v>
      </c>
      <c r="CJ89" s="49">
        <f t="shared" si="246"/>
        <v>0</v>
      </c>
      <c r="CK89" s="49">
        <f t="shared" si="247"/>
        <v>0</v>
      </c>
      <c r="CL89" s="49">
        <f t="shared" si="248"/>
        <v>87655.705999999991</v>
      </c>
      <c r="CM89" s="49">
        <f t="shared" si="249"/>
        <v>0</v>
      </c>
      <c r="CN89" s="49">
        <f t="shared" si="250"/>
        <v>0</v>
      </c>
      <c r="CO89" s="49">
        <f t="shared" si="251"/>
        <v>866750.57789124991</v>
      </c>
      <c r="CP89" s="49">
        <f t="shared" si="252"/>
        <v>0</v>
      </c>
      <c r="CQ89" s="49">
        <f t="shared" si="253"/>
        <v>0</v>
      </c>
      <c r="CR89" s="81">
        <f t="shared" si="254"/>
        <v>866750.57789124991</v>
      </c>
      <c r="CS89" s="80">
        <f t="shared" si="255"/>
        <v>1324642.07210875</v>
      </c>
      <c r="CT89" s="54"/>
      <c r="CU89" s="3" t="str">
        <f t="shared" si="256"/>
        <v>ARS</v>
      </c>
      <c r="CV89" s="3">
        <f>VLOOKUP(CU89,DF:DG,2,0)</f>
        <v>6.9185169999999997E-4</v>
      </c>
      <c r="CW89" s="23">
        <f t="shared" si="257"/>
        <v>1516.1187302700048</v>
      </c>
      <c r="CX89" s="23">
        <f t="shared" si="258"/>
        <v>63.146345115745696</v>
      </c>
      <c r="CY89" s="23">
        <f t="shared" si="259"/>
        <v>227.41780954050071</v>
      </c>
      <c r="CZ89" s="23">
        <f t="shared" si="260"/>
        <v>202.97039501489692</v>
      </c>
      <c r="DA89" s="23">
        <f t="shared" si="261"/>
        <v>45.483561908100143</v>
      </c>
      <c r="DB89" s="23">
        <f t="shared" si="262"/>
        <v>60.644749210800192</v>
      </c>
      <c r="DC89" s="23">
        <f t="shared" si="263"/>
        <v>916.45586947996128</v>
      </c>
      <c r="DD89" s="34" t="str">
        <f>VLOOKUP(A89,'Billing Report'!H:I,2,FALSE)</f>
        <v>Beturf_Trafico_AO_2026</v>
      </c>
      <c r="DE89" s="34"/>
      <c r="DF89" s="61"/>
      <c r="DG89" s="62"/>
      <c r="DH89"/>
      <c r="DI89" s="41"/>
      <c r="DJ89" s="41"/>
    </row>
    <row r="90" spans="1:114" ht="14.5" x14ac:dyDescent="0.35">
      <c r="A90" s="63">
        <v>40759144</v>
      </c>
      <c r="B90" s="3" t="s">
        <v>677</v>
      </c>
      <c r="C90" s="3">
        <v>322203001</v>
      </c>
      <c r="D90" s="3" t="s">
        <v>93</v>
      </c>
      <c r="G90" s="38">
        <v>1771579.69</v>
      </c>
      <c r="J90" s="33">
        <f>VLOOKUP($B90,'IMS Commission List'!E:CE,79,0)/100</f>
        <v>0.15</v>
      </c>
      <c r="K90" s="79">
        <f t="shared" si="176"/>
        <v>1771579.69</v>
      </c>
      <c r="L90" s="3" t="str">
        <f>VLOOKUP($B90,'IMS Commission List'!E:V,18,0)</f>
        <v>ARS</v>
      </c>
      <c r="M90" s="3">
        <v>1</v>
      </c>
      <c r="N90" s="3" t="str">
        <f>VLOOKUP($B90,'IMS Commission List'!E:T,16,0)</f>
        <v>MX</v>
      </c>
      <c r="O90" s="54">
        <f>VLOOKUP($B90,'IMS Commission List'!E:CF,80,0)</f>
        <v>4.9000000000000002E-2</v>
      </c>
      <c r="P90" s="54">
        <f>VLOOKUP($B90,'IMS Commission List'!E:CG,81,0)</f>
        <v>0.1575</v>
      </c>
      <c r="Q90" s="54">
        <f>VLOOKUP($B90,'IMS Commission List'!E:CP,90,0)</f>
        <v>0.03</v>
      </c>
      <c r="R90" s="54">
        <f>VLOOKUP($B90,'IMS Commission List'!E:CQ,91,0)</f>
        <v>0.04</v>
      </c>
      <c r="S90" s="47">
        <f t="shared" si="177"/>
        <v>0</v>
      </c>
      <c r="T90" s="48">
        <f t="shared" si="178"/>
        <v>0</v>
      </c>
      <c r="U90" s="48">
        <f t="shared" si="179"/>
        <v>1771579.69</v>
      </c>
      <c r="V90" s="48">
        <f t="shared" si="180"/>
        <v>0</v>
      </c>
      <c r="W90" s="48">
        <f t="shared" si="181"/>
        <v>0</v>
      </c>
      <c r="X90" s="49">
        <f t="shared" si="182"/>
        <v>1771579.69</v>
      </c>
      <c r="Y90" s="49">
        <f t="shared" si="183"/>
        <v>0</v>
      </c>
      <c r="Z90" s="49">
        <f t="shared" si="184"/>
        <v>0</v>
      </c>
      <c r="AA90" s="49">
        <f t="shared" si="185"/>
        <v>73786.294088499999</v>
      </c>
      <c r="AB90" s="49">
        <f t="shared" si="186"/>
        <v>0</v>
      </c>
      <c r="AC90" s="49">
        <f t="shared" si="187"/>
        <v>0</v>
      </c>
      <c r="AD90" s="49">
        <f t="shared" si="188"/>
        <v>73786.294088499999</v>
      </c>
      <c r="AE90" s="49">
        <f t="shared" si="189"/>
        <v>0</v>
      </c>
      <c r="AF90" s="49">
        <f t="shared" si="190"/>
        <v>0</v>
      </c>
      <c r="AG90" s="49">
        <f t="shared" si="191"/>
        <v>265736.9535</v>
      </c>
      <c r="AH90" s="49">
        <f t="shared" si="192"/>
        <v>0</v>
      </c>
      <c r="AI90" s="49">
        <f t="shared" si="193"/>
        <v>0</v>
      </c>
      <c r="AJ90" s="49">
        <f t="shared" si="194"/>
        <v>265736.9535</v>
      </c>
      <c r="AK90" s="49">
        <f t="shared" si="195"/>
        <v>0</v>
      </c>
      <c r="AL90" s="49">
        <f t="shared" si="196"/>
        <v>0</v>
      </c>
      <c r="AM90" s="49">
        <f t="shared" si="197"/>
        <v>237170.23099874996</v>
      </c>
      <c r="AN90" s="49">
        <f t="shared" si="198"/>
        <v>0</v>
      </c>
      <c r="AO90" s="49">
        <f t="shared" si="199"/>
        <v>0</v>
      </c>
      <c r="AP90" s="49">
        <f t="shared" si="200"/>
        <v>237170.23099874996</v>
      </c>
      <c r="AQ90" s="49">
        <f t="shared" si="201"/>
        <v>0</v>
      </c>
      <c r="AR90" s="49">
        <f t="shared" si="202"/>
        <v>0</v>
      </c>
      <c r="AS90" s="49">
        <f t="shared" si="203"/>
        <v>53147.390699999996</v>
      </c>
      <c r="AT90" s="49">
        <f t="shared" si="204"/>
        <v>0</v>
      </c>
      <c r="AU90" s="49">
        <f t="shared" si="205"/>
        <v>0</v>
      </c>
      <c r="AV90" s="49">
        <f t="shared" si="206"/>
        <v>53147.390699999996</v>
      </c>
      <c r="AW90" s="49">
        <f t="shared" si="207"/>
        <v>0</v>
      </c>
      <c r="AX90" s="49">
        <f t="shared" si="208"/>
        <v>0</v>
      </c>
      <c r="AY90" s="49">
        <f t="shared" si="209"/>
        <v>70863.187600000005</v>
      </c>
      <c r="AZ90" s="49">
        <f t="shared" si="210"/>
        <v>0</v>
      </c>
      <c r="BA90" s="49">
        <f t="shared" si="211"/>
        <v>0</v>
      </c>
      <c r="BB90" s="49">
        <f t="shared" si="212"/>
        <v>70863.187600000005</v>
      </c>
      <c r="BC90" s="49">
        <f t="shared" si="213"/>
        <v>0</v>
      </c>
      <c r="BD90" s="49">
        <f t="shared" si="214"/>
        <v>0</v>
      </c>
      <c r="BE90" s="49">
        <f t="shared" si="215"/>
        <v>700704.05688724993</v>
      </c>
      <c r="BF90" s="49">
        <f t="shared" si="216"/>
        <v>0</v>
      </c>
      <c r="BG90" s="49">
        <f t="shared" si="217"/>
        <v>0</v>
      </c>
      <c r="BH90" s="49">
        <f t="shared" si="218"/>
        <v>700704.05688724993</v>
      </c>
      <c r="BI90" s="49">
        <f t="shared" si="219"/>
        <v>0</v>
      </c>
      <c r="BJ90" s="49">
        <f t="shared" si="220"/>
        <v>0</v>
      </c>
      <c r="BK90" s="49">
        <f t="shared" si="221"/>
        <v>73786.294088499999</v>
      </c>
      <c r="BL90" s="49">
        <f t="shared" si="222"/>
        <v>0</v>
      </c>
      <c r="BM90" s="49">
        <f t="shared" si="223"/>
        <v>0</v>
      </c>
      <c r="BN90" s="49">
        <f t="shared" si="224"/>
        <v>73786.294088499999</v>
      </c>
      <c r="BO90" s="49">
        <f t="shared" si="225"/>
        <v>0</v>
      </c>
      <c r="BP90" s="49">
        <f t="shared" si="226"/>
        <v>0</v>
      </c>
      <c r="BQ90" s="49">
        <f t="shared" si="227"/>
        <v>265736.9535</v>
      </c>
      <c r="BR90" s="49">
        <f t="shared" si="228"/>
        <v>0</v>
      </c>
      <c r="BS90" s="49">
        <f t="shared" si="229"/>
        <v>0</v>
      </c>
      <c r="BT90" s="49">
        <f t="shared" si="230"/>
        <v>265736.9535</v>
      </c>
      <c r="BU90" s="49">
        <f t="shared" si="231"/>
        <v>0</v>
      </c>
      <c r="BV90" s="49">
        <f t="shared" si="232"/>
        <v>0</v>
      </c>
      <c r="BW90" s="49">
        <f t="shared" si="233"/>
        <v>237170.23099874996</v>
      </c>
      <c r="BX90" s="49">
        <f t="shared" si="234"/>
        <v>0</v>
      </c>
      <c r="BY90" s="49">
        <f t="shared" si="235"/>
        <v>0</v>
      </c>
      <c r="BZ90" s="49">
        <f t="shared" si="236"/>
        <v>237170.23099874996</v>
      </c>
      <c r="CA90" s="49">
        <f t="shared" si="237"/>
        <v>0</v>
      </c>
      <c r="CB90" s="49">
        <f t="shared" si="238"/>
        <v>0</v>
      </c>
      <c r="CC90" s="49">
        <f t="shared" si="239"/>
        <v>53147.390699999996</v>
      </c>
      <c r="CD90" s="49">
        <f t="shared" si="240"/>
        <v>0</v>
      </c>
      <c r="CE90" s="49">
        <f t="shared" si="241"/>
        <v>0</v>
      </c>
      <c r="CF90" s="49">
        <f t="shared" si="242"/>
        <v>53147.390699999996</v>
      </c>
      <c r="CG90" s="49">
        <f t="shared" si="243"/>
        <v>0</v>
      </c>
      <c r="CH90" s="49">
        <f t="shared" si="244"/>
        <v>0</v>
      </c>
      <c r="CI90" s="49">
        <f t="shared" si="245"/>
        <v>70863.187600000005</v>
      </c>
      <c r="CJ90" s="49">
        <f t="shared" si="246"/>
        <v>0</v>
      </c>
      <c r="CK90" s="49">
        <f t="shared" si="247"/>
        <v>0</v>
      </c>
      <c r="CL90" s="49">
        <f t="shared" si="248"/>
        <v>70863.187600000005</v>
      </c>
      <c r="CM90" s="49">
        <f t="shared" si="249"/>
        <v>0</v>
      </c>
      <c r="CN90" s="49">
        <f t="shared" si="250"/>
        <v>0</v>
      </c>
      <c r="CO90" s="49">
        <f t="shared" si="251"/>
        <v>700704.05688724993</v>
      </c>
      <c r="CP90" s="49">
        <f t="shared" si="252"/>
        <v>0</v>
      </c>
      <c r="CQ90" s="49">
        <f t="shared" si="253"/>
        <v>0</v>
      </c>
      <c r="CR90" s="81">
        <f t="shared" si="254"/>
        <v>700704.05688724993</v>
      </c>
      <c r="CS90" s="80">
        <f t="shared" si="255"/>
        <v>1070875.63311275</v>
      </c>
      <c r="CT90" s="54"/>
      <c r="CU90" s="3" t="str">
        <f t="shared" si="256"/>
        <v>ARS</v>
      </c>
      <c r="CV90" s="3">
        <f>VLOOKUP(CU90,DF:DG,2,0)</f>
        <v>6.9185169999999997E-4</v>
      </c>
      <c r="CW90" s="23">
        <f t="shared" si="257"/>
        <v>1225.6704202119729</v>
      </c>
      <c r="CX90" s="23">
        <f t="shared" si="258"/>
        <v>51.04917300182867</v>
      </c>
      <c r="CY90" s="23">
        <f t="shared" si="259"/>
        <v>183.85056303179596</v>
      </c>
      <c r="CZ90" s="23">
        <f t="shared" si="260"/>
        <v>164.08662750587786</v>
      </c>
      <c r="DA90" s="23">
        <f t="shared" si="261"/>
        <v>36.770112606359184</v>
      </c>
      <c r="DB90" s="23">
        <f t="shared" si="262"/>
        <v>49.02681680847892</v>
      </c>
      <c r="DC90" s="23">
        <f t="shared" si="263"/>
        <v>740.8871272576323</v>
      </c>
      <c r="DD90" s="34" t="str">
        <f>VLOOKUP(A90,'Billing Report'!H:I,2,FALSE)</f>
        <v>Beturf_Alcance_AO_2026</v>
      </c>
      <c r="DE90" s="34"/>
      <c r="DF90" s="61"/>
      <c r="DG90" s="62"/>
      <c r="DH90"/>
      <c r="DI90" s="41"/>
      <c r="DJ90" s="41"/>
    </row>
    <row r="91" spans="1:114" ht="14.5" x14ac:dyDescent="0.35">
      <c r="A91" s="63">
        <v>40759134</v>
      </c>
      <c r="B91" s="3" t="s">
        <v>678</v>
      </c>
      <c r="C91" s="3">
        <v>322203201</v>
      </c>
      <c r="D91" s="3" t="s">
        <v>93</v>
      </c>
      <c r="G91" s="38">
        <v>893323.9</v>
      </c>
      <c r="J91" s="33">
        <f>VLOOKUP($B91,'IMS Commission List'!E:CE,79,0)/100</f>
        <v>0.15</v>
      </c>
      <c r="K91" s="79">
        <f t="shared" si="176"/>
        <v>893323.9</v>
      </c>
      <c r="L91" s="3" t="str">
        <f>VLOOKUP($B91,'IMS Commission List'!E:V,18,0)</f>
        <v>ARS</v>
      </c>
      <c r="M91" s="3">
        <v>1</v>
      </c>
      <c r="N91" s="3" t="str">
        <f>VLOOKUP($B91,'IMS Commission List'!E:T,16,0)</f>
        <v>MX</v>
      </c>
      <c r="O91" s="54">
        <f>VLOOKUP($B91,'IMS Commission List'!E:CF,80,0)</f>
        <v>4.9000000000000002E-2</v>
      </c>
      <c r="P91" s="54">
        <f>VLOOKUP($B91,'IMS Commission List'!E:CG,81,0)</f>
        <v>0.1575</v>
      </c>
      <c r="Q91" s="54">
        <f>VLOOKUP($B91,'IMS Commission List'!E:CP,90,0)</f>
        <v>0.03</v>
      </c>
      <c r="R91" s="54">
        <f>VLOOKUP($B91,'IMS Commission List'!E:CQ,91,0)</f>
        <v>0.04</v>
      </c>
      <c r="S91" s="47">
        <f t="shared" si="177"/>
        <v>0</v>
      </c>
      <c r="T91" s="48">
        <f t="shared" si="178"/>
        <v>0</v>
      </c>
      <c r="U91" s="48">
        <f t="shared" si="179"/>
        <v>893323.9</v>
      </c>
      <c r="V91" s="48">
        <f t="shared" si="180"/>
        <v>0</v>
      </c>
      <c r="W91" s="48">
        <f t="shared" si="181"/>
        <v>0</v>
      </c>
      <c r="X91" s="49">
        <f t="shared" si="182"/>
        <v>893323.9</v>
      </c>
      <c r="Y91" s="49">
        <f t="shared" si="183"/>
        <v>0</v>
      </c>
      <c r="Z91" s="49">
        <f t="shared" si="184"/>
        <v>0</v>
      </c>
      <c r="AA91" s="49">
        <f t="shared" si="185"/>
        <v>37206.940435000004</v>
      </c>
      <c r="AB91" s="49">
        <f t="shared" si="186"/>
        <v>0</v>
      </c>
      <c r="AC91" s="49">
        <f t="shared" si="187"/>
        <v>0</v>
      </c>
      <c r="AD91" s="49">
        <f t="shared" si="188"/>
        <v>37206.940435000004</v>
      </c>
      <c r="AE91" s="49">
        <f t="shared" si="189"/>
        <v>0</v>
      </c>
      <c r="AF91" s="49">
        <f t="shared" si="190"/>
        <v>0</v>
      </c>
      <c r="AG91" s="49">
        <f t="shared" si="191"/>
        <v>133998.58499999999</v>
      </c>
      <c r="AH91" s="49">
        <f t="shared" si="192"/>
        <v>0</v>
      </c>
      <c r="AI91" s="49">
        <f t="shared" si="193"/>
        <v>0</v>
      </c>
      <c r="AJ91" s="49">
        <f t="shared" si="194"/>
        <v>133998.58499999999</v>
      </c>
      <c r="AK91" s="49">
        <f t="shared" si="195"/>
        <v>0</v>
      </c>
      <c r="AL91" s="49">
        <f t="shared" si="196"/>
        <v>0</v>
      </c>
      <c r="AM91" s="49">
        <f t="shared" si="197"/>
        <v>119593.73711250001</v>
      </c>
      <c r="AN91" s="49">
        <f t="shared" si="198"/>
        <v>0</v>
      </c>
      <c r="AO91" s="49">
        <f t="shared" si="199"/>
        <v>0</v>
      </c>
      <c r="AP91" s="49">
        <f t="shared" si="200"/>
        <v>119593.73711250001</v>
      </c>
      <c r="AQ91" s="49">
        <f t="shared" si="201"/>
        <v>0</v>
      </c>
      <c r="AR91" s="49">
        <f t="shared" si="202"/>
        <v>0</v>
      </c>
      <c r="AS91" s="49">
        <f t="shared" si="203"/>
        <v>26799.717000000001</v>
      </c>
      <c r="AT91" s="49">
        <f t="shared" si="204"/>
        <v>0</v>
      </c>
      <c r="AU91" s="49">
        <f t="shared" si="205"/>
        <v>0</v>
      </c>
      <c r="AV91" s="49">
        <f t="shared" si="206"/>
        <v>26799.717000000001</v>
      </c>
      <c r="AW91" s="49">
        <f t="shared" si="207"/>
        <v>0</v>
      </c>
      <c r="AX91" s="49">
        <f t="shared" si="208"/>
        <v>0</v>
      </c>
      <c r="AY91" s="49">
        <f t="shared" si="209"/>
        <v>35732.955999999998</v>
      </c>
      <c r="AZ91" s="49">
        <f t="shared" si="210"/>
        <v>0</v>
      </c>
      <c r="BA91" s="49">
        <f t="shared" si="211"/>
        <v>0</v>
      </c>
      <c r="BB91" s="49">
        <f t="shared" si="212"/>
        <v>35732.955999999998</v>
      </c>
      <c r="BC91" s="49">
        <f t="shared" si="213"/>
        <v>0</v>
      </c>
      <c r="BD91" s="49">
        <f t="shared" si="214"/>
        <v>0</v>
      </c>
      <c r="BE91" s="49">
        <f t="shared" si="215"/>
        <v>353331.93554749998</v>
      </c>
      <c r="BF91" s="49">
        <f t="shared" si="216"/>
        <v>0</v>
      </c>
      <c r="BG91" s="49">
        <f t="shared" si="217"/>
        <v>0</v>
      </c>
      <c r="BH91" s="49">
        <f t="shared" si="218"/>
        <v>353331.93554749998</v>
      </c>
      <c r="BI91" s="49">
        <f t="shared" si="219"/>
        <v>0</v>
      </c>
      <c r="BJ91" s="49">
        <f t="shared" si="220"/>
        <v>0</v>
      </c>
      <c r="BK91" s="49">
        <f t="shared" si="221"/>
        <v>37206.940435000004</v>
      </c>
      <c r="BL91" s="49">
        <f t="shared" si="222"/>
        <v>0</v>
      </c>
      <c r="BM91" s="49">
        <f t="shared" si="223"/>
        <v>0</v>
      </c>
      <c r="BN91" s="49">
        <f t="shared" si="224"/>
        <v>37206.940435000004</v>
      </c>
      <c r="BO91" s="49">
        <f t="shared" si="225"/>
        <v>0</v>
      </c>
      <c r="BP91" s="49">
        <f t="shared" si="226"/>
        <v>0</v>
      </c>
      <c r="BQ91" s="49">
        <f t="shared" si="227"/>
        <v>133998.58499999999</v>
      </c>
      <c r="BR91" s="49">
        <f t="shared" si="228"/>
        <v>0</v>
      </c>
      <c r="BS91" s="49">
        <f t="shared" si="229"/>
        <v>0</v>
      </c>
      <c r="BT91" s="49">
        <f t="shared" si="230"/>
        <v>133998.58499999999</v>
      </c>
      <c r="BU91" s="49">
        <f t="shared" si="231"/>
        <v>0</v>
      </c>
      <c r="BV91" s="49">
        <f t="shared" si="232"/>
        <v>0</v>
      </c>
      <c r="BW91" s="49">
        <f t="shared" si="233"/>
        <v>119593.73711250001</v>
      </c>
      <c r="BX91" s="49">
        <f t="shared" si="234"/>
        <v>0</v>
      </c>
      <c r="BY91" s="49">
        <f t="shared" si="235"/>
        <v>0</v>
      </c>
      <c r="BZ91" s="49">
        <f t="shared" si="236"/>
        <v>119593.73711250001</v>
      </c>
      <c r="CA91" s="49">
        <f t="shared" si="237"/>
        <v>0</v>
      </c>
      <c r="CB91" s="49">
        <f t="shared" si="238"/>
        <v>0</v>
      </c>
      <c r="CC91" s="49">
        <f t="shared" si="239"/>
        <v>26799.717000000001</v>
      </c>
      <c r="CD91" s="49">
        <f t="shared" si="240"/>
        <v>0</v>
      </c>
      <c r="CE91" s="49">
        <f t="shared" si="241"/>
        <v>0</v>
      </c>
      <c r="CF91" s="49">
        <f t="shared" si="242"/>
        <v>26799.717000000001</v>
      </c>
      <c r="CG91" s="49">
        <f t="shared" si="243"/>
        <v>0</v>
      </c>
      <c r="CH91" s="49">
        <f t="shared" si="244"/>
        <v>0</v>
      </c>
      <c r="CI91" s="49">
        <f t="shared" si="245"/>
        <v>35732.955999999998</v>
      </c>
      <c r="CJ91" s="49">
        <f t="shared" si="246"/>
        <v>0</v>
      </c>
      <c r="CK91" s="49">
        <f t="shared" si="247"/>
        <v>0</v>
      </c>
      <c r="CL91" s="49">
        <f t="shared" si="248"/>
        <v>35732.955999999998</v>
      </c>
      <c r="CM91" s="49">
        <f t="shared" si="249"/>
        <v>0</v>
      </c>
      <c r="CN91" s="49">
        <f t="shared" si="250"/>
        <v>0</v>
      </c>
      <c r="CO91" s="49">
        <f t="shared" si="251"/>
        <v>353331.93554749998</v>
      </c>
      <c r="CP91" s="49">
        <f t="shared" si="252"/>
        <v>0</v>
      </c>
      <c r="CQ91" s="49">
        <f t="shared" si="253"/>
        <v>0</v>
      </c>
      <c r="CR91" s="81">
        <f t="shared" si="254"/>
        <v>353331.93554749998</v>
      </c>
      <c r="CS91" s="80">
        <f t="shared" si="255"/>
        <v>539991.96445249999</v>
      </c>
      <c r="CT91" s="54"/>
      <c r="CU91" s="3" t="str">
        <f t="shared" si="256"/>
        <v>ARS</v>
      </c>
      <c r="CV91" s="3">
        <f>VLOOKUP(CU91,DF:DG,2,0)</f>
        <v>6.9185169999999997E-4</v>
      </c>
      <c r="CW91" s="23">
        <f t="shared" si="257"/>
        <v>618.04765886562996</v>
      </c>
      <c r="CX91" s="23">
        <f t="shared" si="258"/>
        <v>25.741684991753491</v>
      </c>
      <c r="CY91" s="23">
        <f t="shared" si="259"/>
        <v>92.707148829844485</v>
      </c>
      <c r="CZ91" s="23">
        <f t="shared" si="260"/>
        <v>82.74113033063621</v>
      </c>
      <c r="DA91" s="23">
        <f t="shared" si="261"/>
        <v>18.5414297659689</v>
      </c>
      <c r="DB91" s="23">
        <f t="shared" si="262"/>
        <v>24.721906354625197</v>
      </c>
      <c r="DC91" s="23">
        <f t="shared" si="263"/>
        <v>373.59435859280165</v>
      </c>
      <c r="DD91" s="34" t="str">
        <f>VLOOKUP(A91,'Billing Report'!H:I,2,FALSE)</f>
        <v>Betfun_Alcance_AO2026</v>
      </c>
      <c r="DE91" s="34"/>
      <c r="DF91" s="61"/>
      <c r="DG91" s="62"/>
      <c r="DH91"/>
      <c r="DI91" s="41"/>
      <c r="DJ91" s="41"/>
    </row>
    <row r="92" spans="1:114" ht="14.5" x14ac:dyDescent="0.35">
      <c r="A92" s="63">
        <v>40881965</v>
      </c>
      <c r="B92" s="3" t="s">
        <v>679</v>
      </c>
      <c r="C92" s="3">
        <v>322203301</v>
      </c>
      <c r="D92" s="3" t="s">
        <v>93</v>
      </c>
      <c r="G92" s="38">
        <v>1372869.67</v>
      </c>
      <c r="J92" s="33">
        <f>VLOOKUP($B92,'IMS Commission List'!E:CE,79,0)/100</f>
        <v>0.15</v>
      </c>
      <c r="K92" s="79">
        <f t="shared" si="176"/>
        <v>1372869.67</v>
      </c>
      <c r="L92" s="3" t="str">
        <f>VLOOKUP($B92,'IMS Commission List'!E:V,18,0)</f>
        <v>ARS</v>
      </c>
      <c r="M92" s="3">
        <v>1</v>
      </c>
      <c r="N92" s="3" t="str">
        <f>VLOOKUP($B92,'IMS Commission List'!E:T,16,0)</f>
        <v>MX</v>
      </c>
      <c r="O92" s="54">
        <f>VLOOKUP($B92,'IMS Commission List'!E:CF,80,0)</f>
        <v>4.9000000000000002E-2</v>
      </c>
      <c r="P92" s="54">
        <f>VLOOKUP($B92,'IMS Commission List'!E:CG,81,0)</f>
        <v>0.1575</v>
      </c>
      <c r="Q92" s="54">
        <f>VLOOKUP($B92,'IMS Commission List'!E:CP,90,0)</f>
        <v>0.03</v>
      </c>
      <c r="R92" s="54">
        <f>VLOOKUP($B92,'IMS Commission List'!E:CQ,91,0)</f>
        <v>0.04</v>
      </c>
      <c r="S92" s="47">
        <f t="shared" si="177"/>
        <v>0</v>
      </c>
      <c r="T92" s="48">
        <f t="shared" si="178"/>
        <v>0</v>
      </c>
      <c r="U92" s="48">
        <f t="shared" si="179"/>
        <v>1372869.67</v>
      </c>
      <c r="V92" s="48">
        <f t="shared" si="180"/>
        <v>0</v>
      </c>
      <c r="W92" s="48">
        <f t="shared" si="181"/>
        <v>0</v>
      </c>
      <c r="X92" s="49">
        <f t="shared" si="182"/>
        <v>1372869.67</v>
      </c>
      <c r="Y92" s="49">
        <f t="shared" si="183"/>
        <v>0</v>
      </c>
      <c r="Z92" s="49">
        <f t="shared" si="184"/>
        <v>0</v>
      </c>
      <c r="AA92" s="49">
        <f t="shared" si="185"/>
        <v>57180.021755499998</v>
      </c>
      <c r="AB92" s="49">
        <f t="shared" si="186"/>
        <v>0</v>
      </c>
      <c r="AC92" s="49">
        <f t="shared" si="187"/>
        <v>0</v>
      </c>
      <c r="AD92" s="49">
        <f t="shared" si="188"/>
        <v>57180.021755499998</v>
      </c>
      <c r="AE92" s="49">
        <f t="shared" si="189"/>
        <v>0</v>
      </c>
      <c r="AF92" s="49">
        <f t="shared" si="190"/>
        <v>0</v>
      </c>
      <c r="AG92" s="49">
        <f t="shared" si="191"/>
        <v>205930.45049999998</v>
      </c>
      <c r="AH92" s="49">
        <f t="shared" si="192"/>
        <v>0</v>
      </c>
      <c r="AI92" s="49">
        <f t="shared" si="193"/>
        <v>0</v>
      </c>
      <c r="AJ92" s="49">
        <f t="shared" si="194"/>
        <v>205930.45049999998</v>
      </c>
      <c r="AK92" s="49">
        <f t="shared" si="195"/>
        <v>0</v>
      </c>
      <c r="AL92" s="49">
        <f t="shared" si="196"/>
        <v>0</v>
      </c>
      <c r="AM92" s="49">
        <f t="shared" si="197"/>
        <v>183792.92707124999</v>
      </c>
      <c r="AN92" s="49">
        <f t="shared" si="198"/>
        <v>0</v>
      </c>
      <c r="AO92" s="49">
        <f t="shared" si="199"/>
        <v>0</v>
      </c>
      <c r="AP92" s="49">
        <f t="shared" si="200"/>
        <v>183792.92707124999</v>
      </c>
      <c r="AQ92" s="49">
        <f t="shared" si="201"/>
        <v>0</v>
      </c>
      <c r="AR92" s="49">
        <f t="shared" si="202"/>
        <v>0</v>
      </c>
      <c r="AS92" s="49">
        <f t="shared" si="203"/>
        <v>41186.090099999994</v>
      </c>
      <c r="AT92" s="49">
        <f t="shared" si="204"/>
        <v>0</v>
      </c>
      <c r="AU92" s="49">
        <f t="shared" si="205"/>
        <v>0</v>
      </c>
      <c r="AV92" s="49">
        <f t="shared" si="206"/>
        <v>41186.090099999994</v>
      </c>
      <c r="AW92" s="49">
        <f t="shared" si="207"/>
        <v>0</v>
      </c>
      <c r="AX92" s="49">
        <f t="shared" si="208"/>
        <v>0</v>
      </c>
      <c r="AY92" s="49">
        <f t="shared" si="209"/>
        <v>54914.786800000002</v>
      </c>
      <c r="AZ92" s="49">
        <f t="shared" si="210"/>
        <v>0</v>
      </c>
      <c r="BA92" s="49">
        <f t="shared" si="211"/>
        <v>0</v>
      </c>
      <c r="BB92" s="49">
        <f t="shared" si="212"/>
        <v>54914.786800000002</v>
      </c>
      <c r="BC92" s="49">
        <f t="shared" si="213"/>
        <v>0</v>
      </c>
      <c r="BD92" s="49">
        <f t="shared" si="214"/>
        <v>0</v>
      </c>
      <c r="BE92" s="49">
        <f t="shared" si="215"/>
        <v>543004.27622674988</v>
      </c>
      <c r="BF92" s="49">
        <f t="shared" si="216"/>
        <v>0</v>
      </c>
      <c r="BG92" s="49">
        <f t="shared" si="217"/>
        <v>0</v>
      </c>
      <c r="BH92" s="49">
        <f t="shared" si="218"/>
        <v>543004.27622674988</v>
      </c>
      <c r="BI92" s="49">
        <f t="shared" si="219"/>
        <v>0</v>
      </c>
      <c r="BJ92" s="49">
        <f t="shared" si="220"/>
        <v>0</v>
      </c>
      <c r="BK92" s="49">
        <f t="shared" si="221"/>
        <v>57180.021755499998</v>
      </c>
      <c r="BL92" s="49">
        <f t="shared" si="222"/>
        <v>0</v>
      </c>
      <c r="BM92" s="49">
        <f t="shared" si="223"/>
        <v>0</v>
      </c>
      <c r="BN92" s="49">
        <f t="shared" si="224"/>
        <v>57180.021755499998</v>
      </c>
      <c r="BO92" s="49">
        <f t="shared" si="225"/>
        <v>0</v>
      </c>
      <c r="BP92" s="49">
        <f t="shared" si="226"/>
        <v>0</v>
      </c>
      <c r="BQ92" s="49">
        <f t="shared" si="227"/>
        <v>205930.45049999998</v>
      </c>
      <c r="BR92" s="49">
        <f t="shared" si="228"/>
        <v>0</v>
      </c>
      <c r="BS92" s="49">
        <f t="shared" si="229"/>
        <v>0</v>
      </c>
      <c r="BT92" s="49">
        <f t="shared" si="230"/>
        <v>205930.45049999998</v>
      </c>
      <c r="BU92" s="49">
        <f t="shared" si="231"/>
        <v>0</v>
      </c>
      <c r="BV92" s="49">
        <f t="shared" si="232"/>
        <v>0</v>
      </c>
      <c r="BW92" s="49">
        <f t="shared" si="233"/>
        <v>183792.92707124999</v>
      </c>
      <c r="BX92" s="49">
        <f t="shared" si="234"/>
        <v>0</v>
      </c>
      <c r="BY92" s="49">
        <f t="shared" si="235"/>
        <v>0</v>
      </c>
      <c r="BZ92" s="49">
        <f t="shared" si="236"/>
        <v>183792.92707124999</v>
      </c>
      <c r="CA92" s="49">
        <f t="shared" si="237"/>
        <v>0</v>
      </c>
      <c r="CB92" s="49">
        <f t="shared" si="238"/>
        <v>0</v>
      </c>
      <c r="CC92" s="49">
        <f t="shared" si="239"/>
        <v>41186.090099999994</v>
      </c>
      <c r="CD92" s="49">
        <f t="shared" si="240"/>
        <v>0</v>
      </c>
      <c r="CE92" s="49">
        <f t="shared" si="241"/>
        <v>0</v>
      </c>
      <c r="CF92" s="49">
        <f t="shared" si="242"/>
        <v>41186.090099999994</v>
      </c>
      <c r="CG92" s="49">
        <f t="shared" si="243"/>
        <v>0</v>
      </c>
      <c r="CH92" s="49">
        <f t="shared" si="244"/>
        <v>0</v>
      </c>
      <c r="CI92" s="49">
        <f t="shared" si="245"/>
        <v>54914.786800000002</v>
      </c>
      <c r="CJ92" s="49">
        <f t="shared" si="246"/>
        <v>0</v>
      </c>
      <c r="CK92" s="49">
        <f t="shared" si="247"/>
        <v>0</v>
      </c>
      <c r="CL92" s="49">
        <f t="shared" si="248"/>
        <v>54914.786800000002</v>
      </c>
      <c r="CM92" s="49">
        <f t="shared" si="249"/>
        <v>0</v>
      </c>
      <c r="CN92" s="49">
        <f t="shared" si="250"/>
        <v>0</v>
      </c>
      <c r="CO92" s="49">
        <f t="shared" si="251"/>
        <v>543004.27622674988</v>
      </c>
      <c r="CP92" s="49">
        <f t="shared" si="252"/>
        <v>0</v>
      </c>
      <c r="CQ92" s="49">
        <f t="shared" si="253"/>
        <v>0</v>
      </c>
      <c r="CR92" s="81">
        <f t="shared" si="254"/>
        <v>543004.27622674988</v>
      </c>
      <c r="CS92" s="80">
        <f t="shared" si="255"/>
        <v>829865.39377325005</v>
      </c>
      <c r="CT92" s="54"/>
      <c r="CU92" s="3" t="str">
        <f t="shared" si="256"/>
        <v>ARS</v>
      </c>
      <c r="CV92" s="3">
        <f>VLOOKUP(CU92,DF:DG,2,0)</f>
        <v>6.9185169999999997E-4</v>
      </c>
      <c r="CW92" s="23">
        <f t="shared" si="257"/>
        <v>949.82221506793894</v>
      </c>
      <c r="CX92" s="23">
        <f t="shared" si="258"/>
        <v>39.560095257579654</v>
      </c>
      <c r="CY92" s="23">
        <f t="shared" si="259"/>
        <v>142.47333226019083</v>
      </c>
      <c r="CZ92" s="23">
        <f t="shared" si="260"/>
        <v>127.15744904222032</v>
      </c>
      <c r="DA92" s="23">
        <f t="shared" si="261"/>
        <v>28.494666452038164</v>
      </c>
      <c r="DB92" s="23">
        <f t="shared" si="262"/>
        <v>37.992888602717557</v>
      </c>
      <c r="DC92" s="23">
        <f t="shared" si="263"/>
        <v>574.14378345319244</v>
      </c>
      <c r="DD92" s="34" t="str">
        <f>VLOOKUP(A92,'Billing Report'!H:I,2,FALSE)</f>
        <v>Sala_Trafico_AO2026</v>
      </c>
      <c r="DE92" s="34"/>
      <c r="DF92" s="61"/>
      <c r="DG92" s="62"/>
      <c r="DH92"/>
      <c r="DI92" s="41"/>
      <c r="DJ92" s="41"/>
    </row>
    <row r="93" spans="1:114" ht="14.5" x14ac:dyDescent="0.35">
      <c r="A93" s="63">
        <v>40759179</v>
      </c>
      <c r="B93" s="3" t="s">
        <v>679</v>
      </c>
      <c r="C93" s="3">
        <v>322203301</v>
      </c>
      <c r="D93" s="3" t="s">
        <v>93</v>
      </c>
      <c r="G93" s="38">
        <v>2683098.65</v>
      </c>
      <c r="J93" s="33">
        <f>VLOOKUP($B93,'IMS Commission List'!E:CE,79,0)/100</f>
        <v>0.15</v>
      </c>
      <c r="K93" s="79">
        <f t="shared" si="176"/>
        <v>2683098.65</v>
      </c>
      <c r="L93" s="3" t="str">
        <f>VLOOKUP($B93,'IMS Commission List'!E:V,18,0)</f>
        <v>ARS</v>
      </c>
      <c r="M93" s="3">
        <v>1</v>
      </c>
      <c r="N93" s="3" t="str">
        <f>VLOOKUP($B93,'IMS Commission List'!E:T,16,0)</f>
        <v>MX</v>
      </c>
      <c r="O93" s="54">
        <f>VLOOKUP($B93,'IMS Commission List'!E:CF,80,0)</f>
        <v>4.9000000000000002E-2</v>
      </c>
      <c r="P93" s="54">
        <f>VLOOKUP($B93,'IMS Commission List'!E:CG,81,0)</f>
        <v>0.1575</v>
      </c>
      <c r="Q93" s="54">
        <f>VLOOKUP($B93,'IMS Commission List'!E:CP,90,0)</f>
        <v>0.03</v>
      </c>
      <c r="R93" s="54">
        <f>VLOOKUP($B93,'IMS Commission List'!E:CQ,91,0)</f>
        <v>0.04</v>
      </c>
      <c r="S93" s="47">
        <f t="shared" si="177"/>
        <v>0</v>
      </c>
      <c r="T93" s="48">
        <f t="shared" si="178"/>
        <v>0</v>
      </c>
      <c r="U93" s="48">
        <f t="shared" si="179"/>
        <v>2683098.65</v>
      </c>
      <c r="V93" s="48">
        <f t="shared" si="180"/>
        <v>0</v>
      </c>
      <c r="W93" s="48">
        <f t="shared" si="181"/>
        <v>0</v>
      </c>
      <c r="X93" s="49">
        <f t="shared" si="182"/>
        <v>2683098.65</v>
      </c>
      <c r="Y93" s="49">
        <f t="shared" si="183"/>
        <v>0</v>
      </c>
      <c r="Z93" s="49">
        <f t="shared" si="184"/>
        <v>0</v>
      </c>
      <c r="AA93" s="49">
        <f t="shared" si="185"/>
        <v>111751.05877249999</v>
      </c>
      <c r="AB93" s="49">
        <f t="shared" si="186"/>
        <v>0</v>
      </c>
      <c r="AC93" s="49">
        <f t="shared" si="187"/>
        <v>0</v>
      </c>
      <c r="AD93" s="49">
        <f t="shared" si="188"/>
        <v>111751.05877249999</v>
      </c>
      <c r="AE93" s="49">
        <f t="shared" si="189"/>
        <v>0</v>
      </c>
      <c r="AF93" s="49">
        <f t="shared" si="190"/>
        <v>0</v>
      </c>
      <c r="AG93" s="49">
        <f t="shared" si="191"/>
        <v>402464.79749999999</v>
      </c>
      <c r="AH93" s="49">
        <f t="shared" si="192"/>
        <v>0</v>
      </c>
      <c r="AI93" s="49">
        <f t="shared" si="193"/>
        <v>0</v>
      </c>
      <c r="AJ93" s="49">
        <f t="shared" si="194"/>
        <v>402464.79749999999</v>
      </c>
      <c r="AK93" s="49">
        <f t="shared" si="195"/>
        <v>0</v>
      </c>
      <c r="AL93" s="49">
        <f t="shared" si="196"/>
        <v>0</v>
      </c>
      <c r="AM93" s="49">
        <f t="shared" si="197"/>
        <v>359199.83176874998</v>
      </c>
      <c r="AN93" s="49">
        <f t="shared" si="198"/>
        <v>0</v>
      </c>
      <c r="AO93" s="49">
        <f t="shared" si="199"/>
        <v>0</v>
      </c>
      <c r="AP93" s="49">
        <f t="shared" si="200"/>
        <v>359199.83176874998</v>
      </c>
      <c r="AQ93" s="49">
        <f t="shared" si="201"/>
        <v>0</v>
      </c>
      <c r="AR93" s="49">
        <f t="shared" si="202"/>
        <v>0</v>
      </c>
      <c r="AS93" s="49">
        <f t="shared" si="203"/>
        <v>80492.959499999997</v>
      </c>
      <c r="AT93" s="49">
        <f t="shared" si="204"/>
        <v>0</v>
      </c>
      <c r="AU93" s="49">
        <f t="shared" si="205"/>
        <v>0</v>
      </c>
      <c r="AV93" s="49">
        <f t="shared" si="206"/>
        <v>80492.959499999997</v>
      </c>
      <c r="AW93" s="49">
        <f t="shared" si="207"/>
        <v>0</v>
      </c>
      <c r="AX93" s="49">
        <f t="shared" si="208"/>
        <v>0</v>
      </c>
      <c r="AY93" s="49">
        <f t="shared" si="209"/>
        <v>107323.946</v>
      </c>
      <c r="AZ93" s="49">
        <f t="shared" si="210"/>
        <v>0</v>
      </c>
      <c r="BA93" s="49">
        <f t="shared" si="211"/>
        <v>0</v>
      </c>
      <c r="BB93" s="49">
        <f t="shared" si="212"/>
        <v>107323.946</v>
      </c>
      <c r="BC93" s="49">
        <f t="shared" si="213"/>
        <v>0</v>
      </c>
      <c r="BD93" s="49">
        <f t="shared" si="214"/>
        <v>0</v>
      </c>
      <c r="BE93" s="49">
        <f t="shared" si="215"/>
        <v>1061232.5935412501</v>
      </c>
      <c r="BF93" s="49">
        <f t="shared" si="216"/>
        <v>0</v>
      </c>
      <c r="BG93" s="49">
        <f t="shared" si="217"/>
        <v>0</v>
      </c>
      <c r="BH93" s="49">
        <f t="shared" si="218"/>
        <v>1061232.5935412501</v>
      </c>
      <c r="BI93" s="49">
        <f t="shared" si="219"/>
        <v>0</v>
      </c>
      <c r="BJ93" s="49">
        <f t="shared" si="220"/>
        <v>0</v>
      </c>
      <c r="BK93" s="49">
        <f t="shared" si="221"/>
        <v>111751.05877249999</v>
      </c>
      <c r="BL93" s="49">
        <f t="shared" si="222"/>
        <v>0</v>
      </c>
      <c r="BM93" s="49">
        <f t="shared" si="223"/>
        <v>0</v>
      </c>
      <c r="BN93" s="49">
        <f t="shared" si="224"/>
        <v>111751.05877249999</v>
      </c>
      <c r="BO93" s="49">
        <f t="shared" si="225"/>
        <v>0</v>
      </c>
      <c r="BP93" s="49">
        <f t="shared" si="226"/>
        <v>0</v>
      </c>
      <c r="BQ93" s="49">
        <f t="shared" si="227"/>
        <v>402464.79749999999</v>
      </c>
      <c r="BR93" s="49">
        <f t="shared" si="228"/>
        <v>0</v>
      </c>
      <c r="BS93" s="49">
        <f t="shared" si="229"/>
        <v>0</v>
      </c>
      <c r="BT93" s="49">
        <f t="shared" si="230"/>
        <v>402464.79749999999</v>
      </c>
      <c r="BU93" s="49">
        <f t="shared" si="231"/>
        <v>0</v>
      </c>
      <c r="BV93" s="49">
        <f t="shared" si="232"/>
        <v>0</v>
      </c>
      <c r="BW93" s="49">
        <f t="shared" si="233"/>
        <v>359199.83176874998</v>
      </c>
      <c r="BX93" s="49">
        <f t="shared" si="234"/>
        <v>0</v>
      </c>
      <c r="BY93" s="49">
        <f t="shared" si="235"/>
        <v>0</v>
      </c>
      <c r="BZ93" s="49">
        <f t="shared" si="236"/>
        <v>359199.83176874998</v>
      </c>
      <c r="CA93" s="49">
        <f t="shared" si="237"/>
        <v>0</v>
      </c>
      <c r="CB93" s="49">
        <f t="shared" si="238"/>
        <v>0</v>
      </c>
      <c r="CC93" s="49">
        <f t="shared" si="239"/>
        <v>80492.959499999997</v>
      </c>
      <c r="CD93" s="49">
        <f t="shared" si="240"/>
        <v>0</v>
      </c>
      <c r="CE93" s="49">
        <f t="shared" si="241"/>
        <v>0</v>
      </c>
      <c r="CF93" s="49">
        <f t="shared" si="242"/>
        <v>80492.959499999997</v>
      </c>
      <c r="CG93" s="49">
        <f t="shared" si="243"/>
        <v>0</v>
      </c>
      <c r="CH93" s="49">
        <f t="shared" si="244"/>
        <v>0</v>
      </c>
      <c r="CI93" s="49">
        <f t="shared" si="245"/>
        <v>107323.946</v>
      </c>
      <c r="CJ93" s="49">
        <f t="shared" si="246"/>
        <v>0</v>
      </c>
      <c r="CK93" s="49">
        <f t="shared" si="247"/>
        <v>0</v>
      </c>
      <c r="CL93" s="49">
        <f t="shared" si="248"/>
        <v>107323.946</v>
      </c>
      <c r="CM93" s="49">
        <f t="shared" si="249"/>
        <v>0</v>
      </c>
      <c r="CN93" s="49">
        <f t="shared" si="250"/>
        <v>0</v>
      </c>
      <c r="CO93" s="49">
        <f t="shared" si="251"/>
        <v>1061232.5935412501</v>
      </c>
      <c r="CP93" s="49">
        <f t="shared" si="252"/>
        <v>0</v>
      </c>
      <c r="CQ93" s="49">
        <f t="shared" si="253"/>
        <v>0</v>
      </c>
      <c r="CR93" s="81">
        <f t="shared" si="254"/>
        <v>1061232.5935412501</v>
      </c>
      <c r="CS93" s="80">
        <f t="shared" si="255"/>
        <v>1621866.0564587498</v>
      </c>
      <c r="CT93" s="54"/>
      <c r="CU93" s="3" t="str">
        <f t="shared" si="256"/>
        <v>ARS</v>
      </c>
      <c r="CV93" s="3">
        <f>VLOOKUP(CU93,DF:DG,2,0)</f>
        <v>6.9185169999999997E-4</v>
      </c>
      <c r="CW93" s="23">
        <f t="shared" si="257"/>
        <v>1856.3063622702048</v>
      </c>
      <c r="CX93" s="23">
        <f t="shared" si="258"/>
        <v>77.315159988554029</v>
      </c>
      <c r="CY93" s="23">
        <f t="shared" si="259"/>
        <v>278.4459543405307</v>
      </c>
      <c r="CZ93" s="23">
        <f t="shared" si="260"/>
        <v>248.51301424892367</v>
      </c>
      <c r="DA93" s="23">
        <f t="shared" si="261"/>
        <v>55.689190868106145</v>
      </c>
      <c r="DB93" s="23">
        <f t="shared" si="262"/>
        <v>74.252254490808198</v>
      </c>
      <c r="DC93" s="23">
        <f t="shared" si="263"/>
        <v>1122.090788333282</v>
      </c>
      <c r="DD93" s="34" t="str">
        <f>VLOOKUP(A93,'Billing Report'!H:I,2,FALSE)</f>
        <v>Sala_Branding_Alcance_AO_2026</v>
      </c>
      <c r="DE93" s="34"/>
      <c r="DF93" s="61"/>
      <c r="DG93" s="62"/>
      <c r="DH93"/>
      <c r="DI93" s="41"/>
      <c r="DJ93" s="41"/>
    </row>
    <row r="94" spans="1:114" ht="14.5" x14ac:dyDescent="0.35">
      <c r="A94" s="63">
        <v>40758990</v>
      </c>
      <c r="B94" s="3" t="s">
        <v>680</v>
      </c>
      <c r="C94" s="3">
        <v>322206001</v>
      </c>
      <c r="D94" s="3" t="s">
        <v>93</v>
      </c>
      <c r="G94" s="38">
        <v>1699231.77</v>
      </c>
      <c r="J94" s="33">
        <f>VLOOKUP($B94,'IMS Commission List'!E:CE,79,0)/100</f>
        <v>0.15</v>
      </c>
      <c r="K94" s="79">
        <f t="shared" si="176"/>
        <v>1699231.77</v>
      </c>
      <c r="L94" s="3" t="str">
        <f>VLOOKUP($B94,'IMS Commission List'!E:V,18,0)</f>
        <v>ARS</v>
      </c>
      <c r="M94" s="3">
        <v>1</v>
      </c>
      <c r="N94" s="3" t="str">
        <f>VLOOKUP($B94,'IMS Commission List'!E:T,16,0)</f>
        <v>MX</v>
      </c>
      <c r="O94" s="54">
        <f>VLOOKUP($B94,'IMS Commission List'!E:CF,80,0)</f>
        <v>4.9000000000000002E-2</v>
      </c>
      <c r="P94" s="54">
        <f>VLOOKUP($B94,'IMS Commission List'!E:CG,81,0)</f>
        <v>0.1575</v>
      </c>
      <c r="Q94" s="54">
        <f>VLOOKUP($B94,'IMS Commission List'!E:CP,90,0)</f>
        <v>0.03</v>
      </c>
      <c r="R94" s="54">
        <f>VLOOKUP($B94,'IMS Commission List'!E:CQ,91,0)</f>
        <v>0.04</v>
      </c>
      <c r="S94" s="47">
        <f t="shared" si="177"/>
        <v>0</v>
      </c>
      <c r="T94" s="48">
        <f t="shared" si="178"/>
        <v>0</v>
      </c>
      <c r="U94" s="48">
        <f t="shared" si="179"/>
        <v>1699231.77</v>
      </c>
      <c r="V94" s="48">
        <f t="shared" si="180"/>
        <v>0</v>
      </c>
      <c r="W94" s="48">
        <f t="shared" si="181"/>
        <v>0</v>
      </c>
      <c r="X94" s="49">
        <f t="shared" si="182"/>
        <v>1699231.77</v>
      </c>
      <c r="Y94" s="49">
        <f t="shared" si="183"/>
        <v>0</v>
      </c>
      <c r="Z94" s="49">
        <f t="shared" si="184"/>
        <v>0</v>
      </c>
      <c r="AA94" s="49">
        <f t="shared" si="185"/>
        <v>70773.003220500002</v>
      </c>
      <c r="AB94" s="49">
        <f t="shared" si="186"/>
        <v>0</v>
      </c>
      <c r="AC94" s="49">
        <f t="shared" si="187"/>
        <v>0</v>
      </c>
      <c r="AD94" s="49">
        <f t="shared" si="188"/>
        <v>70773.003220500002</v>
      </c>
      <c r="AE94" s="49">
        <f t="shared" si="189"/>
        <v>0</v>
      </c>
      <c r="AF94" s="49">
        <f t="shared" si="190"/>
        <v>0</v>
      </c>
      <c r="AG94" s="49">
        <f t="shared" si="191"/>
        <v>254884.76549999998</v>
      </c>
      <c r="AH94" s="49">
        <f t="shared" si="192"/>
        <v>0</v>
      </c>
      <c r="AI94" s="49">
        <f t="shared" si="193"/>
        <v>0</v>
      </c>
      <c r="AJ94" s="49">
        <f t="shared" si="194"/>
        <v>254884.76549999998</v>
      </c>
      <c r="AK94" s="49">
        <f t="shared" si="195"/>
        <v>0</v>
      </c>
      <c r="AL94" s="49">
        <f t="shared" si="196"/>
        <v>0</v>
      </c>
      <c r="AM94" s="49">
        <f t="shared" si="197"/>
        <v>227484.65320874998</v>
      </c>
      <c r="AN94" s="49">
        <f t="shared" si="198"/>
        <v>0</v>
      </c>
      <c r="AO94" s="49">
        <f t="shared" si="199"/>
        <v>0</v>
      </c>
      <c r="AP94" s="49">
        <f t="shared" si="200"/>
        <v>227484.65320874998</v>
      </c>
      <c r="AQ94" s="49">
        <f t="shared" si="201"/>
        <v>0</v>
      </c>
      <c r="AR94" s="49">
        <f t="shared" si="202"/>
        <v>0</v>
      </c>
      <c r="AS94" s="49">
        <f t="shared" si="203"/>
        <v>50976.953099999999</v>
      </c>
      <c r="AT94" s="49">
        <f t="shared" si="204"/>
        <v>0</v>
      </c>
      <c r="AU94" s="49">
        <f t="shared" si="205"/>
        <v>0</v>
      </c>
      <c r="AV94" s="49">
        <f t="shared" si="206"/>
        <v>50976.953099999999</v>
      </c>
      <c r="AW94" s="49">
        <f t="shared" si="207"/>
        <v>0</v>
      </c>
      <c r="AX94" s="49">
        <f t="shared" si="208"/>
        <v>0</v>
      </c>
      <c r="AY94" s="49">
        <f t="shared" si="209"/>
        <v>67969.270799999998</v>
      </c>
      <c r="AZ94" s="49">
        <f t="shared" si="210"/>
        <v>0</v>
      </c>
      <c r="BA94" s="49">
        <f t="shared" si="211"/>
        <v>0</v>
      </c>
      <c r="BB94" s="49">
        <f t="shared" si="212"/>
        <v>67969.270799999998</v>
      </c>
      <c r="BC94" s="49">
        <f t="shared" si="213"/>
        <v>0</v>
      </c>
      <c r="BD94" s="49">
        <f t="shared" si="214"/>
        <v>0</v>
      </c>
      <c r="BE94" s="49">
        <f t="shared" si="215"/>
        <v>672088.6458292501</v>
      </c>
      <c r="BF94" s="49">
        <f t="shared" si="216"/>
        <v>0</v>
      </c>
      <c r="BG94" s="49">
        <f t="shared" si="217"/>
        <v>0</v>
      </c>
      <c r="BH94" s="49">
        <f t="shared" si="218"/>
        <v>672088.6458292501</v>
      </c>
      <c r="BI94" s="49">
        <f t="shared" si="219"/>
        <v>0</v>
      </c>
      <c r="BJ94" s="49">
        <f t="shared" si="220"/>
        <v>0</v>
      </c>
      <c r="BK94" s="49">
        <f t="shared" si="221"/>
        <v>70773.003220500002</v>
      </c>
      <c r="BL94" s="49">
        <f t="shared" si="222"/>
        <v>0</v>
      </c>
      <c r="BM94" s="49">
        <f t="shared" si="223"/>
        <v>0</v>
      </c>
      <c r="BN94" s="49">
        <f t="shared" si="224"/>
        <v>70773.003220500002</v>
      </c>
      <c r="BO94" s="49">
        <f t="shared" si="225"/>
        <v>0</v>
      </c>
      <c r="BP94" s="49">
        <f t="shared" si="226"/>
        <v>0</v>
      </c>
      <c r="BQ94" s="49">
        <f t="shared" si="227"/>
        <v>254884.76549999998</v>
      </c>
      <c r="BR94" s="49">
        <f t="shared" si="228"/>
        <v>0</v>
      </c>
      <c r="BS94" s="49">
        <f t="shared" si="229"/>
        <v>0</v>
      </c>
      <c r="BT94" s="49">
        <f t="shared" si="230"/>
        <v>254884.76549999998</v>
      </c>
      <c r="BU94" s="49">
        <f t="shared" si="231"/>
        <v>0</v>
      </c>
      <c r="BV94" s="49">
        <f t="shared" si="232"/>
        <v>0</v>
      </c>
      <c r="BW94" s="49">
        <f t="shared" si="233"/>
        <v>227484.65320874998</v>
      </c>
      <c r="BX94" s="49">
        <f t="shared" si="234"/>
        <v>0</v>
      </c>
      <c r="BY94" s="49">
        <f t="shared" si="235"/>
        <v>0</v>
      </c>
      <c r="BZ94" s="49">
        <f t="shared" si="236"/>
        <v>227484.65320874998</v>
      </c>
      <c r="CA94" s="49">
        <f t="shared" si="237"/>
        <v>0</v>
      </c>
      <c r="CB94" s="49">
        <f t="shared" si="238"/>
        <v>0</v>
      </c>
      <c r="CC94" s="49">
        <f t="shared" si="239"/>
        <v>50976.953099999999</v>
      </c>
      <c r="CD94" s="49">
        <f t="shared" si="240"/>
        <v>0</v>
      </c>
      <c r="CE94" s="49">
        <f t="shared" si="241"/>
        <v>0</v>
      </c>
      <c r="CF94" s="49">
        <f t="shared" si="242"/>
        <v>50976.953099999999</v>
      </c>
      <c r="CG94" s="49">
        <f t="shared" si="243"/>
        <v>0</v>
      </c>
      <c r="CH94" s="49">
        <f t="shared" si="244"/>
        <v>0</v>
      </c>
      <c r="CI94" s="49">
        <f t="shared" si="245"/>
        <v>67969.270799999998</v>
      </c>
      <c r="CJ94" s="49">
        <f t="shared" si="246"/>
        <v>0</v>
      </c>
      <c r="CK94" s="49">
        <f t="shared" si="247"/>
        <v>0</v>
      </c>
      <c r="CL94" s="49">
        <f t="shared" si="248"/>
        <v>67969.270799999998</v>
      </c>
      <c r="CM94" s="49">
        <f t="shared" si="249"/>
        <v>0</v>
      </c>
      <c r="CN94" s="49">
        <f t="shared" si="250"/>
        <v>0</v>
      </c>
      <c r="CO94" s="49">
        <f t="shared" si="251"/>
        <v>672088.6458292501</v>
      </c>
      <c r="CP94" s="49">
        <f t="shared" si="252"/>
        <v>0</v>
      </c>
      <c r="CQ94" s="49">
        <f t="shared" si="253"/>
        <v>0</v>
      </c>
      <c r="CR94" s="81">
        <f t="shared" si="254"/>
        <v>672088.6458292501</v>
      </c>
      <c r="CS94" s="80">
        <f t="shared" si="255"/>
        <v>1027143.1241707499</v>
      </c>
      <c r="CT94" s="54"/>
      <c r="CU94" s="3" t="str">
        <f t="shared" si="256"/>
        <v>ARS</v>
      </c>
      <c r="CV94" s="3">
        <f>VLOOKUP(CU94,DF:DG,2,0)</f>
        <v>6.9185169999999997E-4</v>
      </c>
      <c r="CW94" s="23">
        <f t="shared" si="257"/>
        <v>1175.6163887685091</v>
      </c>
      <c r="CX94" s="23">
        <f t="shared" si="258"/>
        <v>48.9644225922084</v>
      </c>
      <c r="CY94" s="23">
        <f t="shared" si="259"/>
        <v>176.34245831527633</v>
      </c>
      <c r="CZ94" s="23">
        <f t="shared" si="260"/>
        <v>157.38564404638413</v>
      </c>
      <c r="DA94" s="23">
        <f t="shared" si="261"/>
        <v>35.268491663055265</v>
      </c>
      <c r="DB94" s="23">
        <f t="shared" si="262"/>
        <v>47.024655550740356</v>
      </c>
      <c r="DC94" s="23">
        <f t="shared" si="263"/>
        <v>710.63071660084438</v>
      </c>
      <c r="DD94" s="34" t="str">
        <f>VLOOKUP(A94,'Billing Report'!H:I,2,FALSE)</f>
        <v>2026_MODO_BRANDING_PROMO_CHANGOMAS_NU_GEO_TWITTER_NU_AW_ENE</v>
      </c>
      <c r="DE94" s="34"/>
      <c r="DF94" s="61"/>
      <c r="DG94" s="62"/>
      <c r="DH94"/>
      <c r="DI94" s="41"/>
      <c r="DJ94" s="41"/>
    </row>
    <row r="95" spans="1:114" ht="14.5" x14ac:dyDescent="0.35">
      <c r="A95" s="63"/>
      <c r="B95" s="3" t="s">
        <v>684</v>
      </c>
      <c r="C95" s="3">
        <v>322257401</v>
      </c>
      <c r="D95" s="3" t="s">
        <v>93</v>
      </c>
      <c r="G95" s="38">
        <v>-5266.59</v>
      </c>
      <c r="J95" s="33">
        <f>VLOOKUP($B95,'IMS Commission List'!E:CE,79,0)/100</f>
        <v>0.15</v>
      </c>
      <c r="K95" s="79">
        <f t="shared" si="176"/>
        <v>-5266.59</v>
      </c>
      <c r="L95" s="3" t="str">
        <f>VLOOKUP($B95,'IMS Commission List'!E:V,18,0)</f>
        <v>ARS</v>
      </c>
      <c r="M95" s="3">
        <v>1</v>
      </c>
      <c r="N95" s="3" t="str">
        <f>VLOOKUP($B95,'IMS Commission List'!E:T,16,0)</f>
        <v>MX</v>
      </c>
      <c r="O95" s="54">
        <f>VLOOKUP($B95,'IMS Commission List'!E:CF,80,0)</f>
        <v>4.9000000000000002E-2</v>
      </c>
      <c r="P95" s="54">
        <f>VLOOKUP($B95,'IMS Commission List'!E:CG,81,0)</f>
        <v>0.1575</v>
      </c>
      <c r="Q95" s="54">
        <f>VLOOKUP($B95,'IMS Commission List'!E:CP,90,0)</f>
        <v>0.03</v>
      </c>
      <c r="R95" s="54">
        <f>VLOOKUP($B95,'IMS Commission List'!E:CQ,91,0)</f>
        <v>0.04</v>
      </c>
      <c r="S95" s="47">
        <f t="shared" si="177"/>
        <v>0</v>
      </c>
      <c r="T95" s="48">
        <f t="shared" si="178"/>
        <v>0</v>
      </c>
      <c r="U95" s="48">
        <f t="shared" si="179"/>
        <v>-5266.59</v>
      </c>
      <c r="V95" s="48">
        <f t="shared" si="180"/>
        <v>0</v>
      </c>
      <c r="W95" s="48">
        <f t="shared" si="181"/>
        <v>0</v>
      </c>
      <c r="X95" s="49">
        <f t="shared" si="182"/>
        <v>-5266.59</v>
      </c>
      <c r="Y95" s="49">
        <f t="shared" si="183"/>
        <v>0</v>
      </c>
      <c r="Z95" s="49">
        <f t="shared" si="184"/>
        <v>0</v>
      </c>
      <c r="AA95" s="49">
        <f t="shared" si="185"/>
        <v>-219.35347350000004</v>
      </c>
      <c r="AB95" s="49">
        <f t="shared" si="186"/>
        <v>0</v>
      </c>
      <c r="AC95" s="49">
        <f t="shared" si="187"/>
        <v>0</v>
      </c>
      <c r="AD95" s="49">
        <f t="shared" si="188"/>
        <v>-219.35347350000004</v>
      </c>
      <c r="AE95" s="49">
        <f t="shared" si="189"/>
        <v>0</v>
      </c>
      <c r="AF95" s="49">
        <f t="shared" si="190"/>
        <v>0</v>
      </c>
      <c r="AG95" s="49">
        <f t="shared" si="191"/>
        <v>-789.98850000000004</v>
      </c>
      <c r="AH95" s="49">
        <f t="shared" si="192"/>
        <v>0</v>
      </c>
      <c r="AI95" s="49">
        <f t="shared" si="193"/>
        <v>0</v>
      </c>
      <c r="AJ95" s="49">
        <f t="shared" si="194"/>
        <v>-789.98850000000004</v>
      </c>
      <c r="AK95" s="49">
        <f t="shared" si="195"/>
        <v>0</v>
      </c>
      <c r="AL95" s="49">
        <f t="shared" si="196"/>
        <v>0</v>
      </c>
      <c r="AM95" s="49">
        <f t="shared" si="197"/>
        <v>-705.06473625000001</v>
      </c>
      <c r="AN95" s="49">
        <f t="shared" si="198"/>
        <v>0</v>
      </c>
      <c r="AO95" s="49">
        <f t="shared" si="199"/>
        <v>0</v>
      </c>
      <c r="AP95" s="49">
        <f t="shared" si="200"/>
        <v>-705.06473625000001</v>
      </c>
      <c r="AQ95" s="49">
        <f t="shared" si="201"/>
        <v>0</v>
      </c>
      <c r="AR95" s="49">
        <f t="shared" si="202"/>
        <v>0</v>
      </c>
      <c r="AS95" s="49">
        <f t="shared" si="203"/>
        <v>-157.99770000000001</v>
      </c>
      <c r="AT95" s="49">
        <f t="shared" si="204"/>
        <v>0</v>
      </c>
      <c r="AU95" s="49">
        <f t="shared" si="205"/>
        <v>0</v>
      </c>
      <c r="AV95" s="49">
        <f t="shared" si="206"/>
        <v>-157.99770000000001</v>
      </c>
      <c r="AW95" s="49">
        <f t="shared" si="207"/>
        <v>0</v>
      </c>
      <c r="AX95" s="49">
        <f t="shared" si="208"/>
        <v>0</v>
      </c>
      <c r="AY95" s="49">
        <f t="shared" si="209"/>
        <v>-210.6636</v>
      </c>
      <c r="AZ95" s="49">
        <f t="shared" si="210"/>
        <v>0</v>
      </c>
      <c r="BA95" s="49">
        <f t="shared" si="211"/>
        <v>0</v>
      </c>
      <c r="BB95" s="49">
        <f t="shared" si="212"/>
        <v>-210.6636</v>
      </c>
      <c r="BC95" s="49">
        <f t="shared" si="213"/>
        <v>0</v>
      </c>
      <c r="BD95" s="49">
        <f t="shared" si="214"/>
        <v>0</v>
      </c>
      <c r="BE95" s="49">
        <f t="shared" si="215"/>
        <v>-2083.0680097499999</v>
      </c>
      <c r="BF95" s="49">
        <f t="shared" si="216"/>
        <v>0</v>
      </c>
      <c r="BG95" s="49">
        <f t="shared" si="217"/>
        <v>0</v>
      </c>
      <c r="BH95" s="49">
        <f t="shared" si="218"/>
        <v>-2083.0680097499999</v>
      </c>
      <c r="BI95" s="49">
        <f t="shared" si="219"/>
        <v>0</v>
      </c>
      <c r="BJ95" s="49">
        <f t="shared" si="220"/>
        <v>0</v>
      </c>
      <c r="BK95" s="49">
        <f t="shared" si="221"/>
        <v>-219.35347350000004</v>
      </c>
      <c r="BL95" s="49">
        <f t="shared" si="222"/>
        <v>0</v>
      </c>
      <c r="BM95" s="49">
        <f t="shared" si="223"/>
        <v>0</v>
      </c>
      <c r="BN95" s="49">
        <f t="shared" si="224"/>
        <v>-219.35347350000004</v>
      </c>
      <c r="BO95" s="49">
        <f t="shared" si="225"/>
        <v>0</v>
      </c>
      <c r="BP95" s="49">
        <f t="shared" si="226"/>
        <v>0</v>
      </c>
      <c r="BQ95" s="49">
        <f t="shared" si="227"/>
        <v>-789.98850000000004</v>
      </c>
      <c r="BR95" s="49">
        <f t="shared" si="228"/>
        <v>0</v>
      </c>
      <c r="BS95" s="49">
        <f t="shared" si="229"/>
        <v>0</v>
      </c>
      <c r="BT95" s="49">
        <f t="shared" si="230"/>
        <v>-789.98850000000004</v>
      </c>
      <c r="BU95" s="49">
        <f t="shared" si="231"/>
        <v>0</v>
      </c>
      <c r="BV95" s="49">
        <f t="shared" si="232"/>
        <v>0</v>
      </c>
      <c r="BW95" s="49">
        <f t="shared" si="233"/>
        <v>-705.06473625000001</v>
      </c>
      <c r="BX95" s="49">
        <f t="shared" si="234"/>
        <v>0</v>
      </c>
      <c r="BY95" s="49">
        <f t="shared" si="235"/>
        <v>0</v>
      </c>
      <c r="BZ95" s="49">
        <f t="shared" si="236"/>
        <v>-705.06473625000001</v>
      </c>
      <c r="CA95" s="49">
        <f t="shared" si="237"/>
        <v>0</v>
      </c>
      <c r="CB95" s="49">
        <f t="shared" si="238"/>
        <v>0</v>
      </c>
      <c r="CC95" s="49">
        <f t="shared" si="239"/>
        <v>-157.99770000000001</v>
      </c>
      <c r="CD95" s="49">
        <f t="shared" si="240"/>
        <v>0</v>
      </c>
      <c r="CE95" s="49">
        <f t="shared" si="241"/>
        <v>0</v>
      </c>
      <c r="CF95" s="49">
        <f t="shared" si="242"/>
        <v>-157.99770000000001</v>
      </c>
      <c r="CG95" s="49">
        <f t="shared" si="243"/>
        <v>0</v>
      </c>
      <c r="CH95" s="49">
        <f t="shared" si="244"/>
        <v>0</v>
      </c>
      <c r="CI95" s="49">
        <f t="shared" si="245"/>
        <v>-210.6636</v>
      </c>
      <c r="CJ95" s="49">
        <f t="shared" si="246"/>
        <v>0</v>
      </c>
      <c r="CK95" s="49">
        <f t="shared" si="247"/>
        <v>0</v>
      </c>
      <c r="CL95" s="49">
        <f t="shared" si="248"/>
        <v>-210.6636</v>
      </c>
      <c r="CM95" s="49">
        <f t="shared" si="249"/>
        <v>0</v>
      </c>
      <c r="CN95" s="49">
        <f t="shared" si="250"/>
        <v>0</v>
      </c>
      <c r="CO95" s="49">
        <f t="shared" si="251"/>
        <v>-2083.0680097499999</v>
      </c>
      <c r="CP95" s="49">
        <f t="shared" si="252"/>
        <v>0</v>
      </c>
      <c r="CQ95" s="49">
        <f t="shared" si="253"/>
        <v>0</v>
      </c>
      <c r="CR95" s="81">
        <f t="shared" si="254"/>
        <v>-2083.0680097499999</v>
      </c>
      <c r="CS95" s="80">
        <f t="shared" si="255"/>
        <v>-3183.5219902500003</v>
      </c>
      <c r="CT95" s="54"/>
      <c r="CU95" s="3" t="str">
        <f t="shared" si="256"/>
        <v>ARS</v>
      </c>
      <c r="CV95" s="3">
        <f>VLOOKUP(CU95,DF:DG,2,0)</f>
        <v>6.9185169999999997E-4</v>
      </c>
      <c r="CW95" s="23">
        <f t="shared" si="257"/>
        <v>-3.6436992447029999</v>
      </c>
      <c r="CX95" s="23">
        <f t="shared" si="258"/>
        <v>-0.15176007354187998</v>
      </c>
      <c r="CY95" s="23">
        <f t="shared" si="259"/>
        <v>-0.54655488670545005</v>
      </c>
      <c r="CZ95" s="23">
        <f t="shared" si="260"/>
        <v>-0.48780023638461412</v>
      </c>
      <c r="DA95" s="23">
        <f t="shared" si="261"/>
        <v>-0.10931097734109001</v>
      </c>
      <c r="DB95" s="23">
        <f t="shared" si="262"/>
        <v>-0.14574796978811999</v>
      </c>
      <c r="DC95" s="23">
        <f t="shared" si="263"/>
        <v>-2.2025251009418461</v>
      </c>
      <c r="DD95" s="34" t="e">
        <f>VLOOKUP(A95,'Billing Report'!H:I,2,FALSE)</f>
        <v>#N/A</v>
      </c>
      <c r="DE95" s="34"/>
      <c r="DF95" s="61"/>
      <c r="DG95" s="62"/>
      <c r="DH95"/>
      <c r="DI95" s="41"/>
      <c r="DJ95" s="41"/>
    </row>
    <row r="96" spans="1:114" ht="14.5" x14ac:dyDescent="0.35">
      <c r="A96" s="63">
        <v>40816303</v>
      </c>
      <c r="B96" s="3" t="s">
        <v>684</v>
      </c>
      <c r="C96" s="3">
        <v>322257401</v>
      </c>
      <c r="D96" s="3" t="s">
        <v>93</v>
      </c>
      <c r="G96" s="38">
        <v>4387094.46</v>
      </c>
      <c r="J96" s="33">
        <f>VLOOKUP($B96,'IMS Commission List'!E:CE,79,0)/100</f>
        <v>0.15</v>
      </c>
      <c r="K96" s="79">
        <f t="shared" si="176"/>
        <v>4387094.46</v>
      </c>
      <c r="L96" s="3" t="str">
        <f>VLOOKUP($B96,'IMS Commission List'!E:V,18,0)</f>
        <v>ARS</v>
      </c>
      <c r="M96" s="3">
        <v>1</v>
      </c>
      <c r="N96" s="3" t="str">
        <f>VLOOKUP($B96,'IMS Commission List'!E:T,16,0)</f>
        <v>MX</v>
      </c>
      <c r="O96" s="54">
        <f>VLOOKUP($B96,'IMS Commission List'!E:CF,80,0)</f>
        <v>4.9000000000000002E-2</v>
      </c>
      <c r="P96" s="54">
        <f>VLOOKUP($B96,'IMS Commission List'!E:CG,81,0)</f>
        <v>0.1575</v>
      </c>
      <c r="Q96" s="54">
        <f>VLOOKUP($B96,'IMS Commission List'!E:CP,90,0)</f>
        <v>0.03</v>
      </c>
      <c r="R96" s="54">
        <f>VLOOKUP($B96,'IMS Commission List'!E:CQ,91,0)</f>
        <v>0.04</v>
      </c>
      <c r="S96" s="47">
        <f t="shared" si="177"/>
        <v>0</v>
      </c>
      <c r="T96" s="48">
        <f t="shared" si="178"/>
        <v>0</v>
      </c>
      <c r="U96" s="48">
        <f t="shared" si="179"/>
        <v>4387094.46</v>
      </c>
      <c r="V96" s="48">
        <f t="shared" si="180"/>
        <v>0</v>
      </c>
      <c r="W96" s="48">
        <f t="shared" si="181"/>
        <v>0</v>
      </c>
      <c r="X96" s="49">
        <f t="shared" si="182"/>
        <v>4387094.46</v>
      </c>
      <c r="Y96" s="49">
        <f t="shared" si="183"/>
        <v>0</v>
      </c>
      <c r="Z96" s="49">
        <f t="shared" si="184"/>
        <v>0</v>
      </c>
      <c r="AA96" s="49">
        <f t="shared" si="185"/>
        <v>182722.48425899999</v>
      </c>
      <c r="AB96" s="49">
        <f t="shared" si="186"/>
        <v>0</v>
      </c>
      <c r="AC96" s="49">
        <f t="shared" si="187"/>
        <v>0</v>
      </c>
      <c r="AD96" s="49">
        <f t="shared" si="188"/>
        <v>182722.48425899999</v>
      </c>
      <c r="AE96" s="49">
        <f t="shared" si="189"/>
        <v>0</v>
      </c>
      <c r="AF96" s="49">
        <f t="shared" si="190"/>
        <v>0</v>
      </c>
      <c r="AG96" s="49">
        <f t="shared" si="191"/>
        <v>658064.16899999999</v>
      </c>
      <c r="AH96" s="49">
        <f t="shared" si="192"/>
        <v>0</v>
      </c>
      <c r="AI96" s="49">
        <f t="shared" si="193"/>
        <v>0</v>
      </c>
      <c r="AJ96" s="49">
        <f t="shared" si="194"/>
        <v>658064.16899999999</v>
      </c>
      <c r="AK96" s="49">
        <f t="shared" si="195"/>
        <v>0</v>
      </c>
      <c r="AL96" s="49">
        <f t="shared" si="196"/>
        <v>0</v>
      </c>
      <c r="AM96" s="49">
        <f t="shared" si="197"/>
        <v>587322.27083249995</v>
      </c>
      <c r="AN96" s="49">
        <f t="shared" si="198"/>
        <v>0</v>
      </c>
      <c r="AO96" s="49">
        <f t="shared" si="199"/>
        <v>0</v>
      </c>
      <c r="AP96" s="49">
        <f t="shared" si="200"/>
        <v>587322.27083249995</v>
      </c>
      <c r="AQ96" s="49">
        <f t="shared" si="201"/>
        <v>0</v>
      </c>
      <c r="AR96" s="49">
        <f t="shared" si="202"/>
        <v>0</v>
      </c>
      <c r="AS96" s="49">
        <f t="shared" si="203"/>
        <v>131612.83379999999</v>
      </c>
      <c r="AT96" s="49">
        <f t="shared" si="204"/>
        <v>0</v>
      </c>
      <c r="AU96" s="49">
        <f t="shared" si="205"/>
        <v>0</v>
      </c>
      <c r="AV96" s="49">
        <f t="shared" si="206"/>
        <v>131612.83379999999</v>
      </c>
      <c r="AW96" s="49">
        <f t="shared" si="207"/>
        <v>0</v>
      </c>
      <c r="AX96" s="49">
        <f t="shared" si="208"/>
        <v>0</v>
      </c>
      <c r="AY96" s="49">
        <f t="shared" si="209"/>
        <v>175483.77840000001</v>
      </c>
      <c r="AZ96" s="49">
        <f t="shared" si="210"/>
        <v>0</v>
      </c>
      <c r="BA96" s="49">
        <f t="shared" si="211"/>
        <v>0</v>
      </c>
      <c r="BB96" s="49">
        <f t="shared" si="212"/>
        <v>175483.77840000001</v>
      </c>
      <c r="BC96" s="49">
        <f t="shared" si="213"/>
        <v>0</v>
      </c>
      <c r="BD96" s="49">
        <f t="shared" si="214"/>
        <v>0</v>
      </c>
      <c r="BE96" s="49">
        <f t="shared" si="215"/>
        <v>1735205.5362914999</v>
      </c>
      <c r="BF96" s="49">
        <f t="shared" si="216"/>
        <v>0</v>
      </c>
      <c r="BG96" s="49">
        <f t="shared" si="217"/>
        <v>0</v>
      </c>
      <c r="BH96" s="49">
        <f t="shared" si="218"/>
        <v>1735205.5362914999</v>
      </c>
      <c r="BI96" s="49">
        <f t="shared" si="219"/>
        <v>0</v>
      </c>
      <c r="BJ96" s="49">
        <f t="shared" si="220"/>
        <v>0</v>
      </c>
      <c r="BK96" s="49">
        <f t="shared" si="221"/>
        <v>182722.48425899999</v>
      </c>
      <c r="BL96" s="49">
        <f t="shared" si="222"/>
        <v>0</v>
      </c>
      <c r="BM96" s="49">
        <f t="shared" si="223"/>
        <v>0</v>
      </c>
      <c r="BN96" s="49">
        <f t="shared" si="224"/>
        <v>182722.48425899999</v>
      </c>
      <c r="BO96" s="49">
        <f t="shared" si="225"/>
        <v>0</v>
      </c>
      <c r="BP96" s="49">
        <f t="shared" si="226"/>
        <v>0</v>
      </c>
      <c r="BQ96" s="49">
        <f t="shared" si="227"/>
        <v>658064.16899999999</v>
      </c>
      <c r="BR96" s="49">
        <f t="shared" si="228"/>
        <v>0</v>
      </c>
      <c r="BS96" s="49">
        <f t="shared" si="229"/>
        <v>0</v>
      </c>
      <c r="BT96" s="49">
        <f t="shared" si="230"/>
        <v>658064.16899999999</v>
      </c>
      <c r="BU96" s="49">
        <f t="shared" si="231"/>
        <v>0</v>
      </c>
      <c r="BV96" s="49">
        <f t="shared" si="232"/>
        <v>0</v>
      </c>
      <c r="BW96" s="49">
        <f t="shared" si="233"/>
        <v>587322.27083249995</v>
      </c>
      <c r="BX96" s="49">
        <f t="shared" si="234"/>
        <v>0</v>
      </c>
      <c r="BY96" s="49">
        <f t="shared" si="235"/>
        <v>0</v>
      </c>
      <c r="BZ96" s="49">
        <f t="shared" si="236"/>
        <v>587322.27083249995</v>
      </c>
      <c r="CA96" s="49">
        <f t="shared" si="237"/>
        <v>0</v>
      </c>
      <c r="CB96" s="49">
        <f t="shared" si="238"/>
        <v>0</v>
      </c>
      <c r="CC96" s="49">
        <f t="shared" si="239"/>
        <v>131612.83379999999</v>
      </c>
      <c r="CD96" s="49">
        <f t="shared" si="240"/>
        <v>0</v>
      </c>
      <c r="CE96" s="49">
        <f t="shared" si="241"/>
        <v>0</v>
      </c>
      <c r="CF96" s="49">
        <f t="shared" si="242"/>
        <v>131612.83379999999</v>
      </c>
      <c r="CG96" s="49">
        <f t="shared" si="243"/>
        <v>0</v>
      </c>
      <c r="CH96" s="49">
        <f t="shared" si="244"/>
        <v>0</v>
      </c>
      <c r="CI96" s="49">
        <f t="shared" si="245"/>
        <v>175483.77840000001</v>
      </c>
      <c r="CJ96" s="49">
        <f t="shared" si="246"/>
        <v>0</v>
      </c>
      <c r="CK96" s="49">
        <f t="shared" si="247"/>
        <v>0</v>
      </c>
      <c r="CL96" s="49">
        <f t="shared" si="248"/>
        <v>175483.77840000001</v>
      </c>
      <c r="CM96" s="49">
        <f t="shared" si="249"/>
        <v>0</v>
      </c>
      <c r="CN96" s="49">
        <f t="shared" si="250"/>
        <v>0</v>
      </c>
      <c r="CO96" s="49">
        <f t="shared" si="251"/>
        <v>1735205.5362914999</v>
      </c>
      <c r="CP96" s="49">
        <f t="shared" si="252"/>
        <v>0</v>
      </c>
      <c r="CQ96" s="49">
        <f t="shared" si="253"/>
        <v>0</v>
      </c>
      <c r="CR96" s="81">
        <f t="shared" si="254"/>
        <v>1735205.5362914999</v>
      </c>
      <c r="CS96" s="80">
        <f t="shared" si="255"/>
        <v>2651888.9237085003</v>
      </c>
      <c r="CT96" s="54"/>
      <c r="CU96" s="3" t="str">
        <f t="shared" si="256"/>
        <v>ARS</v>
      </c>
      <c r="CV96" s="3">
        <f>VLOOKUP(CU96,DF:DG,2,0)</f>
        <v>6.9185169999999997E-4</v>
      </c>
      <c r="CW96" s="23">
        <f t="shared" si="257"/>
        <v>3035.2187602115819</v>
      </c>
      <c r="CX96" s="23">
        <f t="shared" si="258"/>
        <v>126.41686136281238</v>
      </c>
      <c r="CY96" s="23">
        <f t="shared" si="259"/>
        <v>455.2828140317373</v>
      </c>
      <c r="CZ96" s="23">
        <f t="shared" si="260"/>
        <v>406.3399115233255</v>
      </c>
      <c r="DA96" s="23">
        <f t="shared" si="261"/>
        <v>91.056562806347458</v>
      </c>
      <c r="DB96" s="23">
        <f t="shared" si="262"/>
        <v>121.40875040846328</v>
      </c>
      <c r="DC96" s="23">
        <f t="shared" si="263"/>
        <v>1834.7138600788962</v>
      </c>
      <c r="DD96" s="34" t="str">
        <f>VLOOKUP(A96,'Billing Report'!H:I,2,FALSE)</f>
        <v>starcom_argentina_awareness_twitter_social_reach_1312025_CF-LITTLEMC_4485990020000</v>
      </c>
      <c r="DE96" s="34"/>
      <c r="DF96" s="61"/>
      <c r="DG96" s="62"/>
      <c r="DH96"/>
      <c r="DI96" s="41"/>
      <c r="DJ96" s="41"/>
    </row>
    <row r="97" spans="1:114" ht="14.5" x14ac:dyDescent="0.35">
      <c r="A97" s="63">
        <v>40983556</v>
      </c>
      <c r="B97" s="3" t="s">
        <v>686</v>
      </c>
      <c r="C97" s="3">
        <v>322258201</v>
      </c>
      <c r="D97" s="3" t="s">
        <v>93</v>
      </c>
      <c r="G97" s="38">
        <v>1454731.14</v>
      </c>
      <c r="J97" s="33">
        <f>VLOOKUP($B97,'IMS Commission List'!E:CE,79,0)/100</f>
        <v>0.15</v>
      </c>
      <c r="K97" s="79">
        <f t="shared" si="176"/>
        <v>1454731.14</v>
      </c>
      <c r="L97" s="3" t="str">
        <f>VLOOKUP($B97,'IMS Commission List'!E:V,18,0)</f>
        <v>ARS</v>
      </c>
      <c r="M97" s="3">
        <v>1</v>
      </c>
      <c r="N97" s="3" t="str">
        <f>VLOOKUP($B97,'IMS Commission List'!E:T,16,0)</f>
        <v>MX</v>
      </c>
      <c r="O97" s="54">
        <f>VLOOKUP($B97,'IMS Commission List'!E:CF,80,0)</f>
        <v>4.9000000000000002E-2</v>
      </c>
      <c r="P97" s="54">
        <f>VLOOKUP($B97,'IMS Commission List'!E:CG,81,0)</f>
        <v>0.1575</v>
      </c>
      <c r="Q97" s="54">
        <f>VLOOKUP($B97,'IMS Commission List'!E:CP,90,0)</f>
        <v>0.03</v>
      </c>
      <c r="R97" s="54">
        <f>VLOOKUP($B97,'IMS Commission List'!E:CQ,91,0)</f>
        <v>0.04</v>
      </c>
      <c r="S97" s="47">
        <f t="shared" si="177"/>
        <v>0</v>
      </c>
      <c r="T97" s="48">
        <f t="shared" si="178"/>
        <v>0</v>
      </c>
      <c r="U97" s="48">
        <f t="shared" si="179"/>
        <v>1454731.14</v>
      </c>
      <c r="V97" s="48">
        <f t="shared" si="180"/>
        <v>0</v>
      </c>
      <c r="W97" s="48">
        <f t="shared" si="181"/>
        <v>0</v>
      </c>
      <c r="X97" s="49">
        <f t="shared" si="182"/>
        <v>1454731.14</v>
      </c>
      <c r="Y97" s="49">
        <f t="shared" si="183"/>
        <v>0</v>
      </c>
      <c r="Z97" s="49">
        <f t="shared" si="184"/>
        <v>0</v>
      </c>
      <c r="AA97" s="49">
        <f t="shared" si="185"/>
        <v>60589.551980999997</v>
      </c>
      <c r="AB97" s="49">
        <f t="shared" si="186"/>
        <v>0</v>
      </c>
      <c r="AC97" s="49">
        <f t="shared" si="187"/>
        <v>0</v>
      </c>
      <c r="AD97" s="49">
        <f t="shared" si="188"/>
        <v>60589.551980999997</v>
      </c>
      <c r="AE97" s="49">
        <f t="shared" si="189"/>
        <v>0</v>
      </c>
      <c r="AF97" s="49">
        <f t="shared" si="190"/>
        <v>0</v>
      </c>
      <c r="AG97" s="49">
        <f t="shared" si="191"/>
        <v>218209.67099999997</v>
      </c>
      <c r="AH97" s="49">
        <f t="shared" si="192"/>
        <v>0</v>
      </c>
      <c r="AI97" s="49">
        <f t="shared" si="193"/>
        <v>0</v>
      </c>
      <c r="AJ97" s="49">
        <f t="shared" si="194"/>
        <v>218209.67099999997</v>
      </c>
      <c r="AK97" s="49">
        <f t="shared" si="195"/>
        <v>0</v>
      </c>
      <c r="AL97" s="49">
        <f t="shared" si="196"/>
        <v>0</v>
      </c>
      <c r="AM97" s="49">
        <f t="shared" si="197"/>
        <v>194752.13136749997</v>
      </c>
      <c r="AN97" s="49">
        <f t="shared" si="198"/>
        <v>0</v>
      </c>
      <c r="AO97" s="49">
        <f t="shared" si="199"/>
        <v>0</v>
      </c>
      <c r="AP97" s="49">
        <f t="shared" si="200"/>
        <v>194752.13136749997</v>
      </c>
      <c r="AQ97" s="49">
        <f t="shared" si="201"/>
        <v>0</v>
      </c>
      <c r="AR97" s="49">
        <f t="shared" si="202"/>
        <v>0</v>
      </c>
      <c r="AS97" s="49">
        <f t="shared" si="203"/>
        <v>43641.934199999996</v>
      </c>
      <c r="AT97" s="49">
        <f t="shared" si="204"/>
        <v>0</v>
      </c>
      <c r="AU97" s="49">
        <f t="shared" si="205"/>
        <v>0</v>
      </c>
      <c r="AV97" s="49">
        <f t="shared" si="206"/>
        <v>43641.934199999996</v>
      </c>
      <c r="AW97" s="49">
        <f t="shared" si="207"/>
        <v>0</v>
      </c>
      <c r="AX97" s="49">
        <f t="shared" si="208"/>
        <v>0</v>
      </c>
      <c r="AY97" s="49">
        <f t="shared" si="209"/>
        <v>58189.245599999995</v>
      </c>
      <c r="AZ97" s="49">
        <f t="shared" si="210"/>
        <v>0</v>
      </c>
      <c r="BA97" s="49">
        <f t="shared" si="211"/>
        <v>0</v>
      </c>
      <c r="BB97" s="49">
        <f t="shared" si="212"/>
        <v>58189.245599999995</v>
      </c>
      <c r="BC97" s="49">
        <f t="shared" si="213"/>
        <v>0</v>
      </c>
      <c r="BD97" s="49">
        <f t="shared" si="214"/>
        <v>0</v>
      </c>
      <c r="BE97" s="49">
        <f t="shared" si="215"/>
        <v>575382.53414849995</v>
      </c>
      <c r="BF97" s="49">
        <f t="shared" si="216"/>
        <v>0</v>
      </c>
      <c r="BG97" s="49">
        <f t="shared" si="217"/>
        <v>0</v>
      </c>
      <c r="BH97" s="49">
        <f t="shared" si="218"/>
        <v>575382.53414849995</v>
      </c>
      <c r="BI97" s="49">
        <f t="shared" si="219"/>
        <v>0</v>
      </c>
      <c r="BJ97" s="49">
        <f t="shared" si="220"/>
        <v>0</v>
      </c>
      <c r="BK97" s="49">
        <f t="shared" si="221"/>
        <v>60589.551980999997</v>
      </c>
      <c r="BL97" s="49">
        <f t="shared" si="222"/>
        <v>0</v>
      </c>
      <c r="BM97" s="49">
        <f t="shared" si="223"/>
        <v>0</v>
      </c>
      <c r="BN97" s="49">
        <f t="shared" si="224"/>
        <v>60589.551980999997</v>
      </c>
      <c r="BO97" s="49">
        <f t="shared" si="225"/>
        <v>0</v>
      </c>
      <c r="BP97" s="49">
        <f t="shared" si="226"/>
        <v>0</v>
      </c>
      <c r="BQ97" s="49">
        <f t="shared" si="227"/>
        <v>218209.67099999997</v>
      </c>
      <c r="BR97" s="49">
        <f t="shared" si="228"/>
        <v>0</v>
      </c>
      <c r="BS97" s="49">
        <f t="shared" si="229"/>
        <v>0</v>
      </c>
      <c r="BT97" s="49">
        <f t="shared" si="230"/>
        <v>218209.67099999997</v>
      </c>
      <c r="BU97" s="49">
        <f t="shared" si="231"/>
        <v>0</v>
      </c>
      <c r="BV97" s="49">
        <f t="shared" si="232"/>
        <v>0</v>
      </c>
      <c r="BW97" s="49">
        <f t="shared" si="233"/>
        <v>194752.13136749997</v>
      </c>
      <c r="BX97" s="49">
        <f t="shared" si="234"/>
        <v>0</v>
      </c>
      <c r="BY97" s="49">
        <f t="shared" si="235"/>
        <v>0</v>
      </c>
      <c r="BZ97" s="49">
        <f t="shared" si="236"/>
        <v>194752.13136749997</v>
      </c>
      <c r="CA97" s="49">
        <f t="shared" si="237"/>
        <v>0</v>
      </c>
      <c r="CB97" s="49">
        <f t="shared" si="238"/>
        <v>0</v>
      </c>
      <c r="CC97" s="49">
        <f t="shared" si="239"/>
        <v>43641.934199999996</v>
      </c>
      <c r="CD97" s="49">
        <f t="shared" si="240"/>
        <v>0</v>
      </c>
      <c r="CE97" s="49">
        <f t="shared" si="241"/>
        <v>0</v>
      </c>
      <c r="CF97" s="49">
        <f t="shared" si="242"/>
        <v>43641.934199999996</v>
      </c>
      <c r="CG97" s="49">
        <f t="shared" si="243"/>
        <v>0</v>
      </c>
      <c r="CH97" s="49">
        <f t="shared" si="244"/>
        <v>0</v>
      </c>
      <c r="CI97" s="49">
        <f t="shared" si="245"/>
        <v>58189.245599999995</v>
      </c>
      <c r="CJ97" s="49">
        <f t="shared" si="246"/>
        <v>0</v>
      </c>
      <c r="CK97" s="49">
        <f t="shared" si="247"/>
        <v>0</v>
      </c>
      <c r="CL97" s="49">
        <f t="shared" si="248"/>
        <v>58189.245599999995</v>
      </c>
      <c r="CM97" s="49">
        <f t="shared" si="249"/>
        <v>0</v>
      </c>
      <c r="CN97" s="49">
        <f t="shared" si="250"/>
        <v>0</v>
      </c>
      <c r="CO97" s="49">
        <f t="shared" si="251"/>
        <v>575382.53414849995</v>
      </c>
      <c r="CP97" s="49">
        <f t="shared" si="252"/>
        <v>0</v>
      </c>
      <c r="CQ97" s="49">
        <f t="shared" si="253"/>
        <v>0</v>
      </c>
      <c r="CR97" s="81">
        <f t="shared" si="254"/>
        <v>575382.53414849995</v>
      </c>
      <c r="CS97" s="80">
        <f t="shared" si="255"/>
        <v>879348.60585149995</v>
      </c>
      <c r="CT97" s="54"/>
      <c r="CU97" s="3" t="str">
        <f t="shared" si="256"/>
        <v>ARS</v>
      </c>
      <c r="CV97" s="3">
        <f>VLOOKUP(CU97,DF:DG,2,0)</f>
        <v>6.9185169999999997E-4</v>
      </c>
      <c r="CW97" s="23">
        <f t="shared" si="257"/>
        <v>1006.4582122519379</v>
      </c>
      <c r="CX97" s="23">
        <f t="shared" si="258"/>
        <v>41.918984540293216</v>
      </c>
      <c r="CY97" s="23">
        <f t="shared" si="259"/>
        <v>150.96873183779067</v>
      </c>
      <c r="CZ97" s="23">
        <f t="shared" si="260"/>
        <v>134.73959316522817</v>
      </c>
      <c r="DA97" s="23">
        <f t="shared" si="261"/>
        <v>30.193746367558134</v>
      </c>
      <c r="DB97" s="23">
        <f t="shared" si="262"/>
        <v>40.258328490077517</v>
      </c>
      <c r="DC97" s="23">
        <f t="shared" si="263"/>
        <v>608.37882785099021</v>
      </c>
      <c r="DD97" s="34" t="str">
        <f>VLOOKUP(A97,'Billing Report'!H:I,2,FALSE)</f>
        <v>COMU_Supervielle_Individuos_4-2026_Twitter_CPC_CUENTAHITIOL-CUENTAHITIOL</v>
      </c>
      <c r="DE97" s="34"/>
      <c r="DF97" s="61"/>
      <c r="DG97" s="62"/>
      <c r="DH97"/>
      <c r="DI97" s="41"/>
      <c r="DJ97" s="41"/>
    </row>
    <row r="98" spans="1:114" ht="14.5" x14ac:dyDescent="0.35">
      <c r="A98" s="63">
        <v>40983515</v>
      </c>
      <c r="B98" s="3" t="s">
        <v>686</v>
      </c>
      <c r="C98" s="3">
        <v>322258201</v>
      </c>
      <c r="D98" s="3" t="s">
        <v>93</v>
      </c>
      <c r="G98" s="38">
        <v>2905324.81</v>
      </c>
      <c r="J98" s="33">
        <f>VLOOKUP($B98,'IMS Commission List'!E:CE,79,0)/100</f>
        <v>0.15</v>
      </c>
      <c r="K98" s="79">
        <f t="shared" si="176"/>
        <v>2905324.81</v>
      </c>
      <c r="L98" s="3" t="str">
        <f>VLOOKUP($B98,'IMS Commission List'!E:V,18,0)</f>
        <v>ARS</v>
      </c>
      <c r="M98" s="3">
        <v>1</v>
      </c>
      <c r="N98" s="3" t="str">
        <f>VLOOKUP($B98,'IMS Commission List'!E:T,16,0)</f>
        <v>MX</v>
      </c>
      <c r="O98" s="54">
        <f>VLOOKUP($B98,'IMS Commission List'!E:CF,80,0)</f>
        <v>4.9000000000000002E-2</v>
      </c>
      <c r="P98" s="54">
        <f>VLOOKUP($B98,'IMS Commission List'!E:CG,81,0)</f>
        <v>0.1575</v>
      </c>
      <c r="Q98" s="54">
        <f>VLOOKUP($B98,'IMS Commission List'!E:CP,90,0)</f>
        <v>0.03</v>
      </c>
      <c r="R98" s="54">
        <f>VLOOKUP($B98,'IMS Commission List'!E:CQ,91,0)</f>
        <v>0.04</v>
      </c>
      <c r="S98" s="47">
        <f t="shared" si="177"/>
        <v>0</v>
      </c>
      <c r="T98" s="48">
        <f t="shared" si="178"/>
        <v>0</v>
      </c>
      <c r="U98" s="48">
        <f t="shared" si="179"/>
        <v>2905324.81</v>
      </c>
      <c r="V98" s="48">
        <f t="shared" si="180"/>
        <v>0</v>
      </c>
      <c r="W98" s="48">
        <f t="shared" si="181"/>
        <v>0</v>
      </c>
      <c r="X98" s="49">
        <f t="shared" si="182"/>
        <v>2905324.81</v>
      </c>
      <c r="Y98" s="49">
        <f t="shared" si="183"/>
        <v>0</v>
      </c>
      <c r="Z98" s="49">
        <f t="shared" si="184"/>
        <v>0</v>
      </c>
      <c r="AA98" s="49">
        <f t="shared" si="185"/>
        <v>121006.77833649999</v>
      </c>
      <c r="AB98" s="49">
        <f t="shared" si="186"/>
        <v>0</v>
      </c>
      <c r="AC98" s="49">
        <f t="shared" si="187"/>
        <v>0</v>
      </c>
      <c r="AD98" s="49">
        <f t="shared" si="188"/>
        <v>121006.77833649999</v>
      </c>
      <c r="AE98" s="49">
        <f t="shared" si="189"/>
        <v>0</v>
      </c>
      <c r="AF98" s="49">
        <f t="shared" si="190"/>
        <v>0</v>
      </c>
      <c r="AG98" s="49">
        <f t="shared" si="191"/>
        <v>435798.72149999999</v>
      </c>
      <c r="AH98" s="49">
        <f t="shared" si="192"/>
        <v>0</v>
      </c>
      <c r="AI98" s="49">
        <f t="shared" si="193"/>
        <v>0</v>
      </c>
      <c r="AJ98" s="49">
        <f t="shared" si="194"/>
        <v>435798.72149999999</v>
      </c>
      <c r="AK98" s="49">
        <f t="shared" si="195"/>
        <v>0</v>
      </c>
      <c r="AL98" s="49">
        <f t="shared" si="196"/>
        <v>0</v>
      </c>
      <c r="AM98" s="49">
        <f t="shared" si="197"/>
        <v>388950.35893875</v>
      </c>
      <c r="AN98" s="49">
        <f t="shared" si="198"/>
        <v>0</v>
      </c>
      <c r="AO98" s="49">
        <f t="shared" si="199"/>
        <v>0</v>
      </c>
      <c r="AP98" s="49">
        <f t="shared" si="200"/>
        <v>388950.35893875</v>
      </c>
      <c r="AQ98" s="49">
        <f t="shared" si="201"/>
        <v>0</v>
      </c>
      <c r="AR98" s="49">
        <f t="shared" si="202"/>
        <v>0</v>
      </c>
      <c r="AS98" s="49">
        <f t="shared" si="203"/>
        <v>87159.744299999991</v>
      </c>
      <c r="AT98" s="49">
        <f t="shared" si="204"/>
        <v>0</v>
      </c>
      <c r="AU98" s="49">
        <f t="shared" si="205"/>
        <v>0</v>
      </c>
      <c r="AV98" s="49">
        <f t="shared" si="206"/>
        <v>87159.744299999991</v>
      </c>
      <c r="AW98" s="49">
        <f t="shared" si="207"/>
        <v>0</v>
      </c>
      <c r="AX98" s="49">
        <f t="shared" si="208"/>
        <v>0</v>
      </c>
      <c r="AY98" s="49">
        <f t="shared" si="209"/>
        <v>116212.9924</v>
      </c>
      <c r="AZ98" s="49">
        <f t="shared" si="210"/>
        <v>0</v>
      </c>
      <c r="BA98" s="49">
        <f t="shared" si="211"/>
        <v>0</v>
      </c>
      <c r="BB98" s="49">
        <f t="shared" si="212"/>
        <v>116212.9924</v>
      </c>
      <c r="BC98" s="49">
        <f t="shared" si="213"/>
        <v>0</v>
      </c>
      <c r="BD98" s="49">
        <f t="shared" si="214"/>
        <v>0</v>
      </c>
      <c r="BE98" s="49">
        <f t="shared" si="215"/>
        <v>1149128.5954752502</v>
      </c>
      <c r="BF98" s="49">
        <f t="shared" si="216"/>
        <v>0</v>
      </c>
      <c r="BG98" s="49">
        <f t="shared" si="217"/>
        <v>0</v>
      </c>
      <c r="BH98" s="49">
        <f t="shared" si="218"/>
        <v>1149128.5954752502</v>
      </c>
      <c r="BI98" s="49">
        <f t="shared" si="219"/>
        <v>0</v>
      </c>
      <c r="BJ98" s="49">
        <f t="shared" si="220"/>
        <v>0</v>
      </c>
      <c r="BK98" s="49">
        <f t="shared" si="221"/>
        <v>121006.77833649999</v>
      </c>
      <c r="BL98" s="49">
        <f t="shared" si="222"/>
        <v>0</v>
      </c>
      <c r="BM98" s="49">
        <f t="shared" si="223"/>
        <v>0</v>
      </c>
      <c r="BN98" s="49">
        <f t="shared" si="224"/>
        <v>121006.77833649999</v>
      </c>
      <c r="BO98" s="49">
        <f t="shared" si="225"/>
        <v>0</v>
      </c>
      <c r="BP98" s="49">
        <f t="shared" si="226"/>
        <v>0</v>
      </c>
      <c r="BQ98" s="49">
        <f t="shared" si="227"/>
        <v>435798.72149999999</v>
      </c>
      <c r="BR98" s="49">
        <f t="shared" si="228"/>
        <v>0</v>
      </c>
      <c r="BS98" s="49">
        <f t="shared" si="229"/>
        <v>0</v>
      </c>
      <c r="BT98" s="49">
        <f t="shared" si="230"/>
        <v>435798.72149999999</v>
      </c>
      <c r="BU98" s="49">
        <f t="shared" si="231"/>
        <v>0</v>
      </c>
      <c r="BV98" s="49">
        <f t="shared" si="232"/>
        <v>0</v>
      </c>
      <c r="BW98" s="49">
        <f t="shared" si="233"/>
        <v>388950.35893875</v>
      </c>
      <c r="BX98" s="49">
        <f t="shared" si="234"/>
        <v>0</v>
      </c>
      <c r="BY98" s="49">
        <f t="shared" si="235"/>
        <v>0</v>
      </c>
      <c r="BZ98" s="49">
        <f t="shared" si="236"/>
        <v>388950.35893875</v>
      </c>
      <c r="CA98" s="49">
        <f t="shared" si="237"/>
        <v>0</v>
      </c>
      <c r="CB98" s="49">
        <f t="shared" si="238"/>
        <v>0</v>
      </c>
      <c r="CC98" s="49">
        <f t="shared" si="239"/>
        <v>87159.744299999991</v>
      </c>
      <c r="CD98" s="49">
        <f t="shared" si="240"/>
        <v>0</v>
      </c>
      <c r="CE98" s="49">
        <f t="shared" si="241"/>
        <v>0</v>
      </c>
      <c r="CF98" s="49">
        <f t="shared" si="242"/>
        <v>87159.744299999991</v>
      </c>
      <c r="CG98" s="49">
        <f t="shared" si="243"/>
        <v>0</v>
      </c>
      <c r="CH98" s="49">
        <f t="shared" si="244"/>
        <v>0</v>
      </c>
      <c r="CI98" s="49">
        <f t="shared" si="245"/>
        <v>116212.9924</v>
      </c>
      <c r="CJ98" s="49">
        <f t="shared" si="246"/>
        <v>0</v>
      </c>
      <c r="CK98" s="49">
        <f t="shared" si="247"/>
        <v>0</v>
      </c>
      <c r="CL98" s="49">
        <f t="shared" si="248"/>
        <v>116212.9924</v>
      </c>
      <c r="CM98" s="49">
        <f t="shared" si="249"/>
        <v>0</v>
      </c>
      <c r="CN98" s="49">
        <f t="shared" si="250"/>
        <v>0</v>
      </c>
      <c r="CO98" s="49">
        <f t="shared" si="251"/>
        <v>1149128.5954752502</v>
      </c>
      <c r="CP98" s="49">
        <f t="shared" si="252"/>
        <v>0</v>
      </c>
      <c r="CQ98" s="49">
        <f t="shared" si="253"/>
        <v>0</v>
      </c>
      <c r="CR98" s="81">
        <f t="shared" si="254"/>
        <v>1149128.5954752502</v>
      </c>
      <c r="CS98" s="80">
        <f t="shared" si="255"/>
        <v>1756196.2145247499</v>
      </c>
      <c r="CT98" s="54"/>
      <c r="CU98" s="3" t="str">
        <f t="shared" si="256"/>
        <v>ARS</v>
      </c>
      <c r="CV98" s="3">
        <f>VLOOKUP(CU98,DF:DG,2,0)</f>
        <v>6.9185169999999997E-4</v>
      </c>
      <c r="CW98" s="23">
        <f t="shared" si="257"/>
        <v>2010.0539088506769</v>
      </c>
      <c r="CX98" s="23">
        <f t="shared" si="258"/>
        <v>83.718745303630683</v>
      </c>
      <c r="CY98" s="23">
        <f t="shared" si="259"/>
        <v>301.50808632760152</v>
      </c>
      <c r="CZ98" s="23">
        <f t="shared" si="260"/>
        <v>269.09596704738436</v>
      </c>
      <c r="DA98" s="23">
        <f t="shared" si="261"/>
        <v>60.301617265520299</v>
      </c>
      <c r="DB98" s="23">
        <f t="shared" si="262"/>
        <v>80.402156354027085</v>
      </c>
      <c r="DC98" s="23">
        <f t="shared" si="263"/>
        <v>1215.0273365525129</v>
      </c>
      <c r="DD98" s="34" t="str">
        <f>VLOOKUP(A98,'Billing Report'!H:I,2,FALSE)</f>
        <v>COMU_Supervielle_Individuos_4-2026_Twitter_CPC_VamosconSupervielle-Genériconovia-ClienteInglés-Tarjetas</v>
      </c>
      <c r="DE98" s="34"/>
      <c r="DF98" s="61"/>
      <c r="DG98" s="62"/>
      <c r="DH98"/>
      <c r="DI98" s="41"/>
      <c r="DJ98" s="41"/>
    </row>
    <row r="99" spans="1:114" ht="14.5" x14ac:dyDescent="0.35">
      <c r="A99" s="63">
        <v>40794271</v>
      </c>
      <c r="B99" s="3" t="s">
        <v>686</v>
      </c>
      <c r="C99" s="3">
        <v>322258201</v>
      </c>
      <c r="D99" s="3" t="s">
        <v>93</v>
      </c>
      <c r="G99" s="38">
        <v>352906.47</v>
      </c>
      <c r="J99" s="33">
        <f>VLOOKUP($B99,'IMS Commission List'!E:CE,79,0)/100</f>
        <v>0.15</v>
      </c>
      <c r="K99" s="79">
        <f t="shared" si="176"/>
        <v>352906.47</v>
      </c>
      <c r="L99" s="3" t="str">
        <f>VLOOKUP($B99,'IMS Commission List'!E:V,18,0)</f>
        <v>ARS</v>
      </c>
      <c r="M99" s="3">
        <v>1</v>
      </c>
      <c r="N99" s="3" t="str">
        <f>VLOOKUP($B99,'IMS Commission List'!E:T,16,0)</f>
        <v>MX</v>
      </c>
      <c r="O99" s="54">
        <f>VLOOKUP($B99,'IMS Commission List'!E:CF,80,0)</f>
        <v>4.9000000000000002E-2</v>
      </c>
      <c r="P99" s="54">
        <f>VLOOKUP($B99,'IMS Commission List'!E:CG,81,0)</f>
        <v>0.1575</v>
      </c>
      <c r="Q99" s="54">
        <f>VLOOKUP($B99,'IMS Commission List'!E:CP,90,0)</f>
        <v>0.03</v>
      </c>
      <c r="R99" s="54">
        <f>VLOOKUP($B99,'IMS Commission List'!E:CQ,91,0)</f>
        <v>0.04</v>
      </c>
      <c r="S99" s="47">
        <f t="shared" si="177"/>
        <v>0</v>
      </c>
      <c r="T99" s="48">
        <f t="shared" si="178"/>
        <v>0</v>
      </c>
      <c r="U99" s="48">
        <f t="shared" si="179"/>
        <v>352906.47</v>
      </c>
      <c r="V99" s="48">
        <f t="shared" si="180"/>
        <v>0</v>
      </c>
      <c r="W99" s="48">
        <f t="shared" si="181"/>
        <v>0</v>
      </c>
      <c r="X99" s="49">
        <f t="shared" si="182"/>
        <v>352906.47</v>
      </c>
      <c r="Y99" s="49">
        <f t="shared" si="183"/>
        <v>0</v>
      </c>
      <c r="Z99" s="49">
        <f t="shared" si="184"/>
        <v>0</v>
      </c>
      <c r="AA99" s="49">
        <f t="shared" si="185"/>
        <v>14698.554475499999</v>
      </c>
      <c r="AB99" s="49">
        <f t="shared" si="186"/>
        <v>0</v>
      </c>
      <c r="AC99" s="49">
        <f t="shared" si="187"/>
        <v>0</v>
      </c>
      <c r="AD99" s="49">
        <f t="shared" si="188"/>
        <v>14698.554475499999</v>
      </c>
      <c r="AE99" s="49">
        <f t="shared" si="189"/>
        <v>0</v>
      </c>
      <c r="AF99" s="49">
        <f t="shared" si="190"/>
        <v>0</v>
      </c>
      <c r="AG99" s="49">
        <f t="shared" si="191"/>
        <v>52935.970499999996</v>
      </c>
      <c r="AH99" s="49">
        <f t="shared" si="192"/>
        <v>0</v>
      </c>
      <c r="AI99" s="49">
        <f t="shared" si="193"/>
        <v>0</v>
      </c>
      <c r="AJ99" s="49">
        <f t="shared" si="194"/>
        <v>52935.970499999996</v>
      </c>
      <c r="AK99" s="49">
        <f t="shared" si="195"/>
        <v>0</v>
      </c>
      <c r="AL99" s="49">
        <f t="shared" si="196"/>
        <v>0</v>
      </c>
      <c r="AM99" s="49">
        <f t="shared" si="197"/>
        <v>47245.353671249992</v>
      </c>
      <c r="AN99" s="49">
        <f t="shared" si="198"/>
        <v>0</v>
      </c>
      <c r="AO99" s="49">
        <f t="shared" si="199"/>
        <v>0</v>
      </c>
      <c r="AP99" s="49">
        <f t="shared" si="200"/>
        <v>47245.353671249992</v>
      </c>
      <c r="AQ99" s="49">
        <f t="shared" si="201"/>
        <v>0</v>
      </c>
      <c r="AR99" s="49">
        <f t="shared" si="202"/>
        <v>0</v>
      </c>
      <c r="AS99" s="49">
        <f t="shared" si="203"/>
        <v>10587.194099999999</v>
      </c>
      <c r="AT99" s="49">
        <f t="shared" si="204"/>
        <v>0</v>
      </c>
      <c r="AU99" s="49">
        <f t="shared" si="205"/>
        <v>0</v>
      </c>
      <c r="AV99" s="49">
        <f t="shared" si="206"/>
        <v>10587.194099999999</v>
      </c>
      <c r="AW99" s="49">
        <f t="shared" si="207"/>
        <v>0</v>
      </c>
      <c r="AX99" s="49">
        <f t="shared" si="208"/>
        <v>0</v>
      </c>
      <c r="AY99" s="49">
        <f t="shared" si="209"/>
        <v>14116.2588</v>
      </c>
      <c r="AZ99" s="49">
        <f t="shared" si="210"/>
        <v>0</v>
      </c>
      <c r="BA99" s="49">
        <f t="shared" si="211"/>
        <v>0</v>
      </c>
      <c r="BB99" s="49">
        <f t="shared" si="212"/>
        <v>14116.2588</v>
      </c>
      <c r="BC99" s="49">
        <f t="shared" si="213"/>
        <v>0</v>
      </c>
      <c r="BD99" s="49">
        <f t="shared" si="214"/>
        <v>0</v>
      </c>
      <c r="BE99" s="49">
        <f t="shared" si="215"/>
        <v>139583.33154674998</v>
      </c>
      <c r="BF99" s="49">
        <f t="shared" si="216"/>
        <v>0</v>
      </c>
      <c r="BG99" s="49">
        <f t="shared" si="217"/>
        <v>0</v>
      </c>
      <c r="BH99" s="49">
        <f t="shared" si="218"/>
        <v>139583.33154674998</v>
      </c>
      <c r="BI99" s="49">
        <f t="shared" si="219"/>
        <v>0</v>
      </c>
      <c r="BJ99" s="49">
        <f t="shared" si="220"/>
        <v>0</v>
      </c>
      <c r="BK99" s="49">
        <f t="shared" si="221"/>
        <v>14698.554475499999</v>
      </c>
      <c r="BL99" s="49">
        <f t="shared" si="222"/>
        <v>0</v>
      </c>
      <c r="BM99" s="49">
        <f t="shared" si="223"/>
        <v>0</v>
      </c>
      <c r="BN99" s="49">
        <f t="shared" si="224"/>
        <v>14698.554475499999</v>
      </c>
      <c r="BO99" s="49">
        <f t="shared" si="225"/>
        <v>0</v>
      </c>
      <c r="BP99" s="49">
        <f t="shared" si="226"/>
        <v>0</v>
      </c>
      <c r="BQ99" s="49">
        <f t="shared" si="227"/>
        <v>52935.970499999996</v>
      </c>
      <c r="BR99" s="49">
        <f t="shared" si="228"/>
        <v>0</v>
      </c>
      <c r="BS99" s="49">
        <f t="shared" si="229"/>
        <v>0</v>
      </c>
      <c r="BT99" s="49">
        <f t="shared" si="230"/>
        <v>52935.970499999996</v>
      </c>
      <c r="BU99" s="49">
        <f t="shared" si="231"/>
        <v>0</v>
      </c>
      <c r="BV99" s="49">
        <f t="shared" si="232"/>
        <v>0</v>
      </c>
      <c r="BW99" s="49">
        <f t="shared" si="233"/>
        <v>47245.353671249992</v>
      </c>
      <c r="BX99" s="49">
        <f t="shared" si="234"/>
        <v>0</v>
      </c>
      <c r="BY99" s="49">
        <f t="shared" si="235"/>
        <v>0</v>
      </c>
      <c r="BZ99" s="49">
        <f t="shared" si="236"/>
        <v>47245.353671249992</v>
      </c>
      <c r="CA99" s="49">
        <f t="shared" si="237"/>
        <v>0</v>
      </c>
      <c r="CB99" s="49">
        <f t="shared" si="238"/>
        <v>0</v>
      </c>
      <c r="CC99" s="49">
        <f t="shared" si="239"/>
        <v>10587.194099999999</v>
      </c>
      <c r="CD99" s="49">
        <f t="shared" si="240"/>
        <v>0</v>
      </c>
      <c r="CE99" s="49">
        <f t="shared" si="241"/>
        <v>0</v>
      </c>
      <c r="CF99" s="49">
        <f t="shared" si="242"/>
        <v>10587.194099999999</v>
      </c>
      <c r="CG99" s="49">
        <f t="shared" si="243"/>
        <v>0</v>
      </c>
      <c r="CH99" s="49">
        <f t="shared" si="244"/>
        <v>0</v>
      </c>
      <c r="CI99" s="49">
        <f t="shared" si="245"/>
        <v>14116.2588</v>
      </c>
      <c r="CJ99" s="49">
        <f t="shared" si="246"/>
        <v>0</v>
      </c>
      <c r="CK99" s="49">
        <f t="shared" si="247"/>
        <v>0</v>
      </c>
      <c r="CL99" s="49">
        <f t="shared" si="248"/>
        <v>14116.2588</v>
      </c>
      <c r="CM99" s="49">
        <f t="shared" si="249"/>
        <v>0</v>
      </c>
      <c r="CN99" s="49">
        <f t="shared" si="250"/>
        <v>0</v>
      </c>
      <c r="CO99" s="49">
        <f t="shared" si="251"/>
        <v>139583.33154674998</v>
      </c>
      <c r="CP99" s="49">
        <f t="shared" si="252"/>
        <v>0</v>
      </c>
      <c r="CQ99" s="49">
        <f t="shared" si="253"/>
        <v>0</v>
      </c>
      <c r="CR99" s="81">
        <f t="shared" si="254"/>
        <v>139583.33154674998</v>
      </c>
      <c r="CS99" s="80">
        <f t="shared" si="255"/>
        <v>213323.13845324999</v>
      </c>
      <c r="CT99" s="54"/>
      <c r="CU99" s="3" t="str">
        <f t="shared" si="256"/>
        <v>ARS</v>
      </c>
      <c r="CV99" s="3">
        <f>VLOOKUP(CU99,DF:DG,2,0)</f>
        <v>6.9185169999999997E-4</v>
      </c>
      <c r="CW99" s="23">
        <f t="shared" si="257"/>
        <v>244.15894121049897</v>
      </c>
      <c r="CX99" s="23">
        <f t="shared" si="258"/>
        <v>10.169219901417282</v>
      </c>
      <c r="CY99" s="23">
        <f t="shared" si="259"/>
        <v>36.623841181574846</v>
      </c>
      <c r="CZ99" s="23">
        <f t="shared" si="260"/>
        <v>32.686778254555549</v>
      </c>
      <c r="DA99" s="23">
        <f t="shared" si="261"/>
        <v>7.3247682363149691</v>
      </c>
      <c r="DB99" s="23">
        <f t="shared" si="262"/>
        <v>9.7663576484199588</v>
      </c>
      <c r="DC99" s="23">
        <f t="shared" si="263"/>
        <v>147.58797598821639</v>
      </c>
      <c r="DD99" s="34" t="str">
        <f>VLOOKUP(A99,'Billing Report'!H:I,2,FALSE)</f>
        <v>COMU_Supervielle_Individuos_Verano_Twitter_Subasta-Reproducciones-Intereses-Verano2026</v>
      </c>
      <c r="DE99" s="34"/>
      <c r="DF99" s="61"/>
      <c r="DG99" s="62"/>
      <c r="DH99"/>
      <c r="DI99" s="41"/>
      <c r="DJ99" s="41"/>
    </row>
    <row r="100" spans="1:114" ht="14.5" x14ac:dyDescent="0.35">
      <c r="A100" s="63">
        <v>40776025</v>
      </c>
      <c r="B100" s="3" t="s">
        <v>687</v>
      </c>
      <c r="C100" s="3">
        <v>322281901</v>
      </c>
      <c r="D100" s="3" t="s">
        <v>93</v>
      </c>
      <c r="G100" s="38">
        <v>7779983.4400000004</v>
      </c>
      <c r="J100" s="33">
        <f>VLOOKUP($B100,'IMS Commission List'!E:CE,79,0)/100</f>
        <v>0.15</v>
      </c>
      <c r="K100" s="79">
        <f t="shared" si="176"/>
        <v>7779983.4400000004</v>
      </c>
      <c r="L100" s="3" t="str">
        <f>VLOOKUP($B100,'IMS Commission List'!E:V,18,0)</f>
        <v>ARS</v>
      </c>
      <c r="M100" s="3">
        <v>1</v>
      </c>
      <c r="N100" s="3" t="str">
        <f>VLOOKUP($B100,'IMS Commission List'!E:T,16,0)</f>
        <v>MX</v>
      </c>
      <c r="O100" s="54">
        <f>VLOOKUP($B100,'IMS Commission List'!E:CF,80,0)</f>
        <v>4.9000000000000002E-2</v>
      </c>
      <c r="P100" s="54">
        <f>VLOOKUP($B100,'IMS Commission List'!E:CG,81,0)</f>
        <v>0.1575</v>
      </c>
      <c r="Q100" s="54">
        <f>VLOOKUP($B100,'IMS Commission List'!E:CP,90,0)</f>
        <v>0.03</v>
      </c>
      <c r="R100" s="54">
        <f>VLOOKUP($B100,'IMS Commission List'!E:CQ,91,0)</f>
        <v>0.04</v>
      </c>
      <c r="S100" s="47">
        <f t="shared" si="177"/>
        <v>0</v>
      </c>
      <c r="T100" s="48">
        <f t="shared" si="178"/>
        <v>0</v>
      </c>
      <c r="U100" s="48">
        <f t="shared" si="179"/>
        <v>7779983.4400000004</v>
      </c>
      <c r="V100" s="48">
        <f t="shared" si="180"/>
        <v>0</v>
      </c>
      <c r="W100" s="48">
        <f t="shared" si="181"/>
        <v>0</v>
      </c>
      <c r="X100" s="49">
        <f t="shared" si="182"/>
        <v>7779983.4400000004</v>
      </c>
      <c r="Y100" s="49">
        <f t="shared" si="183"/>
        <v>0</v>
      </c>
      <c r="Z100" s="49">
        <f t="shared" si="184"/>
        <v>0</v>
      </c>
      <c r="AA100" s="49">
        <f t="shared" si="185"/>
        <v>324036.310276</v>
      </c>
      <c r="AB100" s="49">
        <f t="shared" si="186"/>
        <v>0</v>
      </c>
      <c r="AC100" s="49">
        <f t="shared" si="187"/>
        <v>0</v>
      </c>
      <c r="AD100" s="49">
        <f t="shared" si="188"/>
        <v>324036.310276</v>
      </c>
      <c r="AE100" s="49">
        <f t="shared" si="189"/>
        <v>0</v>
      </c>
      <c r="AF100" s="49">
        <f t="shared" si="190"/>
        <v>0</v>
      </c>
      <c r="AG100" s="49">
        <f t="shared" si="191"/>
        <v>1166997.5160000001</v>
      </c>
      <c r="AH100" s="49">
        <f t="shared" si="192"/>
        <v>0</v>
      </c>
      <c r="AI100" s="49">
        <f t="shared" si="193"/>
        <v>0</v>
      </c>
      <c r="AJ100" s="49">
        <f t="shared" si="194"/>
        <v>1166997.5160000001</v>
      </c>
      <c r="AK100" s="49">
        <f t="shared" si="195"/>
        <v>0</v>
      </c>
      <c r="AL100" s="49">
        <f t="shared" si="196"/>
        <v>0</v>
      </c>
      <c r="AM100" s="49">
        <f t="shared" si="197"/>
        <v>1041545.28303</v>
      </c>
      <c r="AN100" s="49">
        <f t="shared" si="198"/>
        <v>0</v>
      </c>
      <c r="AO100" s="49">
        <f t="shared" si="199"/>
        <v>0</v>
      </c>
      <c r="AP100" s="49">
        <f t="shared" si="200"/>
        <v>1041545.28303</v>
      </c>
      <c r="AQ100" s="49">
        <f t="shared" si="201"/>
        <v>0</v>
      </c>
      <c r="AR100" s="49">
        <f t="shared" si="202"/>
        <v>0</v>
      </c>
      <c r="AS100" s="49">
        <f t="shared" si="203"/>
        <v>233399.50320000001</v>
      </c>
      <c r="AT100" s="49">
        <f t="shared" si="204"/>
        <v>0</v>
      </c>
      <c r="AU100" s="49">
        <f t="shared" si="205"/>
        <v>0</v>
      </c>
      <c r="AV100" s="49">
        <f t="shared" si="206"/>
        <v>233399.50320000001</v>
      </c>
      <c r="AW100" s="49">
        <f t="shared" si="207"/>
        <v>0</v>
      </c>
      <c r="AX100" s="49">
        <f t="shared" si="208"/>
        <v>0</v>
      </c>
      <c r="AY100" s="49">
        <f t="shared" si="209"/>
        <v>311199.33760000003</v>
      </c>
      <c r="AZ100" s="49">
        <f t="shared" si="210"/>
        <v>0</v>
      </c>
      <c r="BA100" s="49">
        <f t="shared" si="211"/>
        <v>0</v>
      </c>
      <c r="BB100" s="49">
        <f t="shared" si="212"/>
        <v>311199.33760000003</v>
      </c>
      <c r="BC100" s="49">
        <f t="shared" si="213"/>
        <v>0</v>
      </c>
      <c r="BD100" s="49">
        <f t="shared" si="214"/>
        <v>0</v>
      </c>
      <c r="BE100" s="49">
        <f t="shared" si="215"/>
        <v>3077177.9501060005</v>
      </c>
      <c r="BF100" s="49">
        <f t="shared" si="216"/>
        <v>0</v>
      </c>
      <c r="BG100" s="49">
        <f t="shared" si="217"/>
        <v>0</v>
      </c>
      <c r="BH100" s="49">
        <f t="shared" si="218"/>
        <v>3077177.9501060005</v>
      </c>
      <c r="BI100" s="49">
        <f t="shared" si="219"/>
        <v>0</v>
      </c>
      <c r="BJ100" s="49">
        <f t="shared" si="220"/>
        <v>0</v>
      </c>
      <c r="BK100" s="49">
        <f t="shared" si="221"/>
        <v>324036.310276</v>
      </c>
      <c r="BL100" s="49">
        <f t="shared" si="222"/>
        <v>0</v>
      </c>
      <c r="BM100" s="49">
        <f t="shared" si="223"/>
        <v>0</v>
      </c>
      <c r="BN100" s="49">
        <f t="shared" si="224"/>
        <v>324036.310276</v>
      </c>
      <c r="BO100" s="49">
        <f t="shared" si="225"/>
        <v>0</v>
      </c>
      <c r="BP100" s="49">
        <f t="shared" si="226"/>
        <v>0</v>
      </c>
      <c r="BQ100" s="49">
        <f t="shared" si="227"/>
        <v>1166997.5160000001</v>
      </c>
      <c r="BR100" s="49">
        <f t="shared" si="228"/>
        <v>0</v>
      </c>
      <c r="BS100" s="49">
        <f t="shared" si="229"/>
        <v>0</v>
      </c>
      <c r="BT100" s="49">
        <f t="shared" si="230"/>
        <v>1166997.5160000001</v>
      </c>
      <c r="BU100" s="49">
        <f t="shared" si="231"/>
        <v>0</v>
      </c>
      <c r="BV100" s="49">
        <f t="shared" si="232"/>
        <v>0</v>
      </c>
      <c r="BW100" s="49">
        <f t="shared" si="233"/>
        <v>1041545.28303</v>
      </c>
      <c r="BX100" s="49">
        <f t="shared" si="234"/>
        <v>0</v>
      </c>
      <c r="BY100" s="49">
        <f t="shared" si="235"/>
        <v>0</v>
      </c>
      <c r="BZ100" s="49">
        <f t="shared" si="236"/>
        <v>1041545.28303</v>
      </c>
      <c r="CA100" s="49">
        <f t="shared" si="237"/>
        <v>0</v>
      </c>
      <c r="CB100" s="49">
        <f t="shared" si="238"/>
        <v>0</v>
      </c>
      <c r="CC100" s="49">
        <f t="shared" si="239"/>
        <v>233399.50320000001</v>
      </c>
      <c r="CD100" s="49">
        <f t="shared" si="240"/>
        <v>0</v>
      </c>
      <c r="CE100" s="49">
        <f t="shared" si="241"/>
        <v>0</v>
      </c>
      <c r="CF100" s="49">
        <f t="shared" si="242"/>
        <v>233399.50320000001</v>
      </c>
      <c r="CG100" s="49">
        <f t="shared" si="243"/>
        <v>0</v>
      </c>
      <c r="CH100" s="49">
        <f t="shared" si="244"/>
        <v>0</v>
      </c>
      <c r="CI100" s="49">
        <f t="shared" si="245"/>
        <v>311199.33760000003</v>
      </c>
      <c r="CJ100" s="49">
        <f t="shared" si="246"/>
        <v>0</v>
      </c>
      <c r="CK100" s="49">
        <f t="shared" si="247"/>
        <v>0</v>
      </c>
      <c r="CL100" s="49">
        <f t="shared" si="248"/>
        <v>311199.33760000003</v>
      </c>
      <c r="CM100" s="49">
        <f t="shared" si="249"/>
        <v>0</v>
      </c>
      <c r="CN100" s="49">
        <f t="shared" si="250"/>
        <v>0</v>
      </c>
      <c r="CO100" s="49">
        <f t="shared" si="251"/>
        <v>3077177.9501060005</v>
      </c>
      <c r="CP100" s="49">
        <f t="shared" si="252"/>
        <v>0</v>
      </c>
      <c r="CQ100" s="49">
        <f t="shared" si="253"/>
        <v>0</v>
      </c>
      <c r="CR100" s="81">
        <f t="shared" si="254"/>
        <v>3077177.9501060005</v>
      </c>
      <c r="CS100" s="80">
        <f t="shared" si="255"/>
        <v>4702805.4898939999</v>
      </c>
      <c r="CT100" s="54"/>
      <c r="CU100" s="3" t="str">
        <f t="shared" si="256"/>
        <v>ARS</v>
      </c>
      <c r="CV100" s="3">
        <f>VLOOKUP(CU100,DF:DG,2,0)</f>
        <v>6.9185169999999997E-4</v>
      </c>
      <c r="CW100" s="23">
        <f t="shared" si="257"/>
        <v>5382.5947689358482</v>
      </c>
      <c r="CX100" s="23">
        <f t="shared" si="258"/>
        <v>224.18507212617806</v>
      </c>
      <c r="CY100" s="23">
        <f t="shared" si="259"/>
        <v>807.38921534037718</v>
      </c>
      <c r="CZ100" s="23">
        <f t="shared" si="260"/>
        <v>720.59487469128669</v>
      </c>
      <c r="DA100" s="23">
        <f t="shared" si="261"/>
        <v>161.47784306807543</v>
      </c>
      <c r="DB100" s="23">
        <f t="shared" si="262"/>
        <v>215.30379075743392</v>
      </c>
      <c r="DC100" s="23">
        <f t="shared" si="263"/>
        <v>3253.6439729524964</v>
      </c>
      <c r="DD100" s="34" t="str">
        <f>VLOOKUP(A100,'Billing Report'!H:I,2,FALSE)</f>
        <v>br-verano-x</v>
      </c>
      <c r="DE100" s="34"/>
      <c r="DF100" s="61"/>
      <c r="DG100" s="62"/>
      <c r="DH100"/>
      <c r="DI100" s="41"/>
      <c r="DJ100" s="41"/>
    </row>
    <row r="101" spans="1:114" ht="14.5" x14ac:dyDescent="0.35">
      <c r="A101" s="63">
        <v>40889259</v>
      </c>
      <c r="B101" s="3" t="s">
        <v>978</v>
      </c>
      <c r="C101" s="3">
        <v>322353601</v>
      </c>
      <c r="D101" s="3" t="s">
        <v>93</v>
      </c>
      <c r="F101" s="35">
        <v>757350</v>
      </c>
      <c r="G101" s="38"/>
      <c r="J101" s="33">
        <f>VLOOKUP($B101,'IMS Commission List'!E:CE,79,0)/100</f>
        <v>0.08</v>
      </c>
      <c r="K101" s="79">
        <f t="shared" si="176"/>
        <v>757350</v>
      </c>
      <c r="L101" s="3" t="str">
        <f>VLOOKUP($B101,'IMS Commission List'!E:V,18,0)</f>
        <v>ARS</v>
      </c>
      <c r="M101" s="3">
        <v>1</v>
      </c>
      <c r="N101" s="3" t="str">
        <f>VLOOKUP($B101,'IMS Commission List'!E:T,16,0)</f>
        <v>MX</v>
      </c>
      <c r="O101" s="54">
        <f>VLOOKUP($B101,'IMS Commission List'!E:CF,80,0)</f>
        <v>4.9000000000000002E-2</v>
      </c>
      <c r="P101" s="54">
        <f>VLOOKUP($B101,'IMS Commission List'!E:CG,81,0)</f>
        <v>0.1575</v>
      </c>
      <c r="Q101" s="54">
        <f>VLOOKUP($B101,'IMS Commission List'!E:CP,90,0)</f>
        <v>0.03</v>
      </c>
      <c r="R101" s="54">
        <f>VLOOKUP($B101,'IMS Commission List'!E:CQ,91,0)</f>
        <v>0.04</v>
      </c>
      <c r="S101" s="47">
        <f t="shared" si="177"/>
        <v>0</v>
      </c>
      <c r="T101" s="48">
        <f t="shared" si="178"/>
        <v>757350</v>
      </c>
      <c r="U101" s="48">
        <f t="shared" si="179"/>
        <v>0</v>
      </c>
      <c r="V101" s="48">
        <f t="shared" si="180"/>
        <v>0</v>
      </c>
      <c r="W101" s="48">
        <f t="shared" si="181"/>
        <v>0</v>
      </c>
      <c r="X101" s="49">
        <f t="shared" si="182"/>
        <v>757350</v>
      </c>
      <c r="Y101" s="49">
        <f t="shared" si="183"/>
        <v>0</v>
      </c>
      <c r="Z101" s="49">
        <f t="shared" si="184"/>
        <v>34141.338000000003</v>
      </c>
      <c r="AA101" s="49">
        <f t="shared" si="185"/>
        <v>0</v>
      </c>
      <c r="AB101" s="49">
        <f t="shared" si="186"/>
        <v>0</v>
      </c>
      <c r="AC101" s="49">
        <f t="shared" si="187"/>
        <v>0</v>
      </c>
      <c r="AD101" s="49">
        <f t="shared" si="188"/>
        <v>34141.338000000003</v>
      </c>
      <c r="AE101" s="49">
        <f t="shared" si="189"/>
        <v>0</v>
      </c>
      <c r="AF101" s="49">
        <f t="shared" si="190"/>
        <v>60588</v>
      </c>
      <c r="AG101" s="49">
        <f t="shared" si="191"/>
        <v>0</v>
      </c>
      <c r="AH101" s="49">
        <f t="shared" si="192"/>
        <v>0</v>
      </c>
      <c r="AI101" s="49">
        <f t="shared" si="193"/>
        <v>0</v>
      </c>
      <c r="AJ101" s="49">
        <f t="shared" si="194"/>
        <v>60588</v>
      </c>
      <c r="AK101" s="49">
        <f t="shared" si="195"/>
        <v>0</v>
      </c>
      <c r="AL101" s="49">
        <f t="shared" si="196"/>
        <v>109740.015</v>
      </c>
      <c r="AM101" s="49">
        <f t="shared" si="197"/>
        <v>0</v>
      </c>
      <c r="AN101" s="49">
        <f t="shared" si="198"/>
        <v>0</v>
      </c>
      <c r="AO101" s="49">
        <f t="shared" si="199"/>
        <v>0</v>
      </c>
      <c r="AP101" s="49">
        <f t="shared" si="200"/>
        <v>109740.015</v>
      </c>
      <c r="AQ101" s="49">
        <f t="shared" si="201"/>
        <v>0</v>
      </c>
      <c r="AR101" s="49">
        <f t="shared" si="202"/>
        <v>22720.5</v>
      </c>
      <c r="AS101" s="49">
        <f t="shared" si="203"/>
        <v>0</v>
      </c>
      <c r="AT101" s="49">
        <f t="shared" si="204"/>
        <v>0</v>
      </c>
      <c r="AU101" s="49">
        <f t="shared" si="205"/>
        <v>0</v>
      </c>
      <c r="AV101" s="49">
        <f t="shared" si="206"/>
        <v>22720.5</v>
      </c>
      <c r="AW101" s="49">
        <f t="shared" si="207"/>
        <v>0</v>
      </c>
      <c r="AX101" s="49">
        <f t="shared" si="208"/>
        <v>30294</v>
      </c>
      <c r="AY101" s="49">
        <f t="shared" si="209"/>
        <v>0</v>
      </c>
      <c r="AZ101" s="49">
        <f t="shared" si="210"/>
        <v>0</v>
      </c>
      <c r="BA101" s="49">
        <f t="shared" si="211"/>
        <v>0</v>
      </c>
      <c r="BB101" s="49">
        <f t="shared" si="212"/>
        <v>30294</v>
      </c>
      <c r="BC101" s="49">
        <f t="shared" si="213"/>
        <v>0</v>
      </c>
      <c r="BD101" s="49">
        <f t="shared" si="214"/>
        <v>257483.853</v>
      </c>
      <c r="BE101" s="49">
        <f t="shared" si="215"/>
        <v>0</v>
      </c>
      <c r="BF101" s="49">
        <f t="shared" si="216"/>
        <v>0</v>
      </c>
      <c r="BG101" s="49">
        <f t="shared" si="217"/>
        <v>0</v>
      </c>
      <c r="BH101" s="49">
        <f t="shared" si="218"/>
        <v>257483.853</v>
      </c>
      <c r="BI101" s="49">
        <f t="shared" si="219"/>
        <v>0</v>
      </c>
      <c r="BJ101" s="49">
        <f t="shared" si="220"/>
        <v>34141.338000000003</v>
      </c>
      <c r="BK101" s="49">
        <f t="shared" si="221"/>
        <v>0</v>
      </c>
      <c r="BL101" s="49">
        <f t="shared" si="222"/>
        <v>0</v>
      </c>
      <c r="BM101" s="49">
        <f t="shared" si="223"/>
        <v>0</v>
      </c>
      <c r="BN101" s="49">
        <f t="shared" si="224"/>
        <v>34141.338000000003</v>
      </c>
      <c r="BO101" s="49">
        <f t="shared" si="225"/>
        <v>0</v>
      </c>
      <c r="BP101" s="49">
        <f t="shared" si="226"/>
        <v>60588</v>
      </c>
      <c r="BQ101" s="49">
        <f t="shared" si="227"/>
        <v>0</v>
      </c>
      <c r="BR101" s="49">
        <f t="shared" si="228"/>
        <v>0</v>
      </c>
      <c r="BS101" s="49">
        <f t="shared" si="229"/>
        <v>0</v>
      </c>
      <c r="BT101" s="49">
        <f t="shared" si="230"/>
        <v>60588</v>
      </c>
      <c r="BU101" s="49">
        <f t="shared" si="231"/>
        <v>0</v>
      </c>
      <c r="BV101" s="49">
        <f t="shared" si="232"/>
        <v>109740.015</v>
      </c>
      <c r="BW101" s="49">
        <f t="shared" si="233"/>
        <v>0</v>
      </c>
      <c r="BX101" s="49">
        <f t="shared" si="234"/>
        <v>0</v>
      </c>
      <c r="BY101" s="49">
        <f t="shared" si="235"/>
        <v>0</v>
      </c>
      <c r="BZ101" s="49">
        <f t="shared" si="236"/>
        <v>109740.015</v>
      </c>
      <c r="CA101" s="49">
        <f t="shared" si="237"/>
        <v>0</v>
      </c>
      <c r="CB101" s="49">
        <f t="shared" si="238"/>
        <v>22720.5</v>
      </c>
      <c r="CC101" s="49">
        <f t="shared" si="239"/>
        <v>0</v>
      </c>
      <c r="CD101" s="49">
        <f t="shared" si="240"/>
        <v>0</v>
      </c>
      <c r="CE101" s="49">
        <f t="shared" si="241"/>
        <v>0</v>
      </c>
      <c r="CF101" s="49">
        <f t="shared" si="242"/>
        <v>22720.5</v>
      </c>
      <c r="CG101" s="49">
        <f t="shared" si="243"/>
        <v>0</v>
      </c>
      <c r="CH101" s="49">
        <f t="shared" si="244"/>
        <v>30294</v>
      </c>
      <c r="CI101" s="49">
        <f t="shared" si="245"/>
        <v>0</v>
      </c>
      <c r="CJ101" s="49">
        <f t="shared" si="246"/>
        <v>0</v>
      </c>
      <c r="CK101" s="49">
        <f t="shared" si="247"/>
        <v>0</v>
      </c>
      <c r="CL101" s="49">
        <f t="shared" si="248"/>
        <v>30294</v>
      </c>
      <c r="CM101" s="49">
        <f t="shared" si="249"/>
        <v>0</v>
      </c>
      <c r="CN101" s="49">
        <f t="shared" si="250"/>
        <v>257483.853</v>
      </c>
      <c r="CO101" s="49">
        <f t="shared" si="251"/>
        <v>0</v>
      </c>
      <c r="CP101" s="49">
        <f t="shared" si="252"/>
        <v>0</v>
      </c>
      <c r="CQ101" s="49">
        <f t="shared" si="253"/>
        <v>0</v>
      </c>
      <c r="CR101" s="81">
        <f t="shared" si="254"/>
        <v>257483.853</v>
      </c>
      <c r="CS101" s="80">
        <f t="shared" si="255"/>
        <v>499866.147</v>
      </c>
      <c r="CT101" s="54"/>
      <c r="CU101" s="3" t="str">
        <f t="shared" si="256"/>
        <v>ARS</v>
      </c>
      <c r="CV101" s="3">
        <f>VLOOKUP(CU101,DF:DG,2,0)</f>
        <v>6.9185169999999997E-4</v>
      </c>
      <c r="CW101" s="23">
        <f t="shared" si="257"/>
        <v>523.97388499499993</v>
      </c>
      <c r="CX101" s="23">
        <f t="shared" si="258"/>
        <v>23.620742735574602</v>
      </c>
      <c r="CY101" s="23">
        <f t="shared" si="259"/>
        <v>41.917910799600001</v>
      </c>
      <c r="CZ101" s="23">
        <f t="shared" si="260"/>
        <v>75.923815935775494</v>
      </c>
      <c r="DA101" s="23">
        <f t="shared" si="261"/>
        <v>15.71921654985</v>
      </c>
      <c r="DB101" s="23">
        <f t="shared" si="262"/>
        <v>20.958955399800001</v>
      </c>
      <c r="DC101" s="23">
        <f t="shared" si="263"/>
        <v>345.83324357439989</v>
      </c>
      <c r="DD101" s="34" t="str">
        <f>VLOOKUP(A101,'Billing Report'!H:I,2,FALSE)</f>
        <v>MPA   Somos Francos   Spotlight- 6/Feb</v>
      </c>
      <c r="DE101" s="34"/>
      <c r="DF101" s="61"/>
      <c r="DG101" s="62"/>
      <c r="DH101"/>
      <c r="DI101" s="41"/>
      <c r="DJ101" s="41"/>
    </row>
    <row r="102" spans="1:114" ht="14.5" x14ac:dyDescent="0.35">
      <c r="A102" s="63">
        <v>40855359</v>
      </c>
      <c r="B102" s="3" t="s">
        <v>978</v>
      </c>
      <c r="C102" s="3">
        <v>322353602</v>
      </c>
      <c r="D102" s="3" t="s">
        <v>93</v>
      </c>
      <c r="F102" s="35">
        <v>2180250</v>
      </c>
      <c r="G102" s="38"/>
      <c r="J102" s="33">
        <f>VLOOKUP($B102,'IMS Commission List'!E:CE,79,0)/100</f>
        <v>0.08</v>
      </c>
      <c r="K102" s="79">
        <f t="shared" si="176"/>
        <v>2180250</v>
      </c>
      <c r="L102" s="3" t="str">
        <f>VLOOKUP($B102,'IMS Commission List'!E:V,18,0)</f>
        <v>ARS</v>
      </c>
      <c r="M102" s="3">
        <v>1</v>
      </c>
      <c r="N102" s="3" t="str">
        <f>VLOOKUP($B102,'IMS Commission List'!E:T,16,0)</f>
        <v>MX</v>
      </c>
      <c r="O102" s="54">
        <f>VLOOKUP($B102,'IMS Commission List'!E:CF,80,0)</f>
        <v>4.9000000000000002E-2</v>
      </c>
      <c r="P102" s="54">
        <f>VLOOKUP($B102,'IMS Commission List'!E:CG,81,0)</f>
        <v>0.1575</v>
      </c>
      <c r="Q102" s="54">
        <f>VLOOKUP($B102,'IMS Commission List'!E:CP,90,0)</f>
        <v>0.03</v>
      </c>
      <c r="R102" s="54">
        <f>VLOOKUP($B102,'IMS Commission List'!E:CQ,91,0)</f>
        <v>0.04</v>
      </c>
      <c r="S102" s="47">
        <f t="shared" si="177"/>
        <v>0</v>
      </c>
      <c r="T102" s="48">
        <f t="shared" si="178"/>
        <v>2180250</v>
      </c>
      <c r="U102" s="48">
        <f t="shared" si="179"/>
        <v>0</v>
      </c>
      <c r="V102" s="48">
        <f t="shared" si="180"/>
        <v>0</v>
      </c>
      <c r="W102" s="48">
        <f t="shared" si="181"/>
        <v>0</v>
      </c>
      <c r="X102" s="49">
        <f t="shared" si="182"/>
        <v>2180250</v>
      </c>
      <c r="Y102" s="49">
        <f t="shared" si="183"/>
        <v>0</v>
      </c>
      <c r="Z102" s="49">
        <f t="shared" si="184"/>
        <v>98285.67</v>
      </c>
      <c r="AA102" s="49">
        <f t="shared" si="185"/>
        <v>0</v>
      </c>
      <c r="AB102" s="49">
        <f t="shared" si="186"/>
        <v>0</v>
      </c>
      <c r="AC102" s="49">
        <f t="shared" si="187"/>
        <v>0</v>
      </c>
      <c r="AD102" s="49">
        <f t="shared" si="188"/>
        <v>98285.67</v>
      </c>
      <c r="AE102" s="49">
        <f t="shared" si="189"/>
        <v>0</v>
      </c>
      <c r="AF102" s="49">
        <f t="shared" si="190"/>
        <v>174420</v>
      </c>
      <c r="AG102" s="49">
        <f t="shared" si="191"/>
        <v>0</v>
      </c>
      <c r="AH102" s="49">
        <f t="shared" si="192"/>
        <v>0</v>
      </c>
      <c r="AI102" s="49">
        <f t="shared" si="193"/>
        <v>0</v>
      </c>
      <c r="AJ102" s="49">
        <f t="shared" si="194"/>
        <v>174420</v>
      </c>
      <c r="AK102" s="49">
        <f t="shared" si="195"/>
        <v>0</v>
      </c>
      <c r="AL102" s="49">
        <f t="shared" si="196"/>
        <v>315918.22500000003</v>
      </c>
      <c r="AM102" s="49">
        <f t="shared" si="197"/>
        <v>0</v>
      </c>
      <c r="AN102" s="49">
        <f t="shared" si="198"/>
        <v>0</v>
      </c>
      <c r="AO102" s="49">
        <f t="shared" si="199"/>
        <v>0</v>
      </c>
      <c r="AP102" s="49">
        <f t="shared" si="200"/>
        <v>315918.22500000003</v>
      </c>
      <c r="AQ102" s="49">
        <f t="shared" si="201"/>
        <v>0</v>
      </c>
      <c r="AR102" s="49">
        <f t="shared" si="202"/>
        <v>65407.5</v>
      </c>
      <c r="AS102" s="49">
        <f t="shared" si="203"/>
        <v>0</v>
      </c>
      <c r="AT102" s="49">
        <f t="shared" si="204"/>
        <v>0</v>
      </c>
      <c r="AU102" s="49">
        <f t="shared" si="205"/>
        <v>0</v>
      </c>
      <c r="AV102" s="49">
        <f t="shared" si="206"/>
        <v>65407.5</v>
      </c>
      <c r="AW102" s="49">
        <f t="shared" si="207"/>
        <v>0</v>
      </c>
      <c r="AX102" s="49">
        <f t="shared" si="208"/>
        <v>87210</v>
      </c>
      <c r="AY102" s="49">
        <f t="shared" si="209"/>
        <v>0</v>
      </c>
      <c r="AZ102" s="49">
        <f t="shared" si="210"/>
        <v>0</v>
      </c>
      <c r="BA102" s="49">
        <f t="shared" si="211"/>
        <v>0</v>
      </c>
      <c r="BB102" s="49">
        <f t="shared" si="212"/>
        <v>87210</v>
      </c>
      <c r="BC102" s="49">
        <f t="shared" si="213"/>
        <v>0</v>
      </c>
      <c r="BD102" s="49">
        <f t="shared" si="214"/>
        <v>741241.39500000002</v>
      </c>
      <c r="BE102" s="49">
        <f t="shared" si="215"/>
        <v>0</v>
      </c>
      <c r="BF102" s="49">
        <f t="shared" si="216"/>
        <v>0</v>
      </c>
      <c r="BG102" s="49">
        <f t="shared" si="217"/>
        <v>0</v>
      </c>
      <c r="BH102" s="49">
        <f t="shared" si="218"/>
        <v>741241.39500000002</v>
      </c>
      <c r="BI102" s="49">
        <f t="shared" si="219"/>
        <v>0</v>
      </c>
      <c r="BJ102" s="49">
        <f t="shared" si="220"/>
        <v>98285.67</v>
      </c>
      <c r="BK102" s="49">
        <f t="shared" si="221"/>
        <v>0</v>
      </c>
      <c r="BL102" s="49">
        <f t="shared" si="222"/>
        <v>0</v>
      </c>
      <c r="BM102" s="49">
        <f t="shared" si="223"/>
        <v>0</v>
      </c>
      <c r="BN102" s="49">
        <f t="shared" si="224"/>
        <v>98285.67</v>
      </c>
      <c r="BO102" s="49">
        <f t="shared" si="225"/>
        <v>0</v>
      </c>
      <c r="BP102" s="49">
        <f t="shared" si="226"/>
        <v>174420</v>
      </c>
      <c r="BQ102" s="49">
        <f t="shared" si="227"/>
        <v>0</v>
      </c>
      <c r="BR102" s="49">
        <f t="shared" si="228"/>
        <v>0</v>
      </c>
      <c r="BS102" s="49">
        <f t="shared" si="229"/>
        <v>0</v>
      </c>
      <c r="BT102" s="49">
        <f t="shared" si="230"/>
        <v>174420</v>
      </c>
      <c r="BU102" s="49">
        <f t="shared" si="231"/>
        <v>0</v>
      </c>
      <c r="BV102" s="49">
        <f t="shared" si="232"/>
        <v>315918.22500000003</v>
      </c>
      <c r="BW102" s="49">
        <f t="shared" si="233"/>
        <v>0</v>
      </c>
      <c r="BX102" s="49">
        <f t="shared" si="234"/>
        <v>0</v>
      </c>
      <c r="BY102" s="49">
        <f t="shared" si="235"/>
        <v>0</v>
      </c>
      <c r="BZ102" s="49">
        <f t="shared" si="236"/>
        <v>315918.22500000003</v>
      </c>
      <c r="CA102" s="49">
        <f t="shared" si="237"/>
        <v>0</v>
      </c>
      <c r="CB102" s="49">
        <f t="shared" si="238"/>
        <v>65407.5</v>
      </c>
      <c r="CC102" s="49">
        <f t="shared" si="239"/>
        <v>0</v>
      </c>
      <c r="CD102" s="49">
        <f t="shared" si="240"/>
        <v>0</v>
      </c>
      <c r="CE102" s="49">
        <f t="shared" si="241"/>
        <v>0</v>
      </c>
      <c r="CF102" s="49">
        <f t="shared" si="242"/>
        <v>65407.5</v>
      </c>
      <c r="CG102" s="49">
        <f t="shared" si="243"/>
        <v>0</v>
      </c>
      <c r="CH102" s="49">
        <f t="shared" si="244"/>
        <v>87210</v>
      </c>
      <c r="CI102" s="49">
        <f t="shared" si="245"/>
        <v>0</v>
      </c>
      <c r="CJ102" s="49">
        <f t="shared" si="246"/>
        <v>0</v>
      </c>
      <c r="CK102" s="49">
        <f t="shared" si="247"/>
        <v>0</v>
      </c>
      <c r="CL102" s="49">
        <f t="shared" si="248"/>
        <v>87210</v>
      </c>
      <c r="CM102" s="49">
        <f t="shared" si="249"/>
        <v>0</v>
      </c>
      <c r="CN102" s="49">
        <f t="shared" si="250"/>
        <v>741241.39500000002</v>
      </c>
      <c r="CO102" s="49">
        <f t="shared" si="251"/>
        <v>0</v>
      </c>
      <c r="CP102" s="49">
        <f t="shared" si="252"/>
        <v>0</v>
      </c>
      <c r="CQ102" s="49">
        <f t="shared" si="253"/>
        <v>0</v>
      </c>
      <c r="CR102" s="81">
        <f t="shared" si="254"/>
        <v>741241.39500000002</v>
      </c>
      <c r="CS102" s="80">
        <f t="shared" si="255"/>
        <v>1439008.605</v>
      </c>
      <c r="CT102" s="54"/>
      <c r="CU102" s="3" t="str">
        <f t="shared" si="256"/>
        <v>ARS</v>
      </c>
      <c r="CV102" s="3">
        <f>VLOOKUP(CU102,DF:DG,2,0)</f>
        <v>6.9185169999999997E-4</v>
      </c>
      <c r="CW102" s="23">
        <f t="shared" si="257"/>
        <v>1508.409668925</v>
      </c>
      <c r="CX102" s="23">
        <f t="shared" si="258"/>
        <v>67.999107875138989</v>
      </c>
      <c r="CY102" s="23">
        <f t="shared" si="259"/>
        <v>120.672773514</v>
      </c>
      <c r="CZ102" s="23">
        <f t="shared" si="260"/>
        <v>218.56856102723251</v>
      </c>
      <c r="DA102" s="23">
        <f t="shared" si="261"/>
        <v>45.252290067749996</v>
      </c>
      <c r="DB102" s="23">
        <f t="shared" si="262"/>
        <v>60.336386757</v>
      </c>
      <c r="DC102" s="23">
        <f t="shared" si="263"/>
        <v>995.58054968387842</v>
      </c>
      <c r="DD102" s="34" t="str">
        <f>VLOOKUP(A102,'Billing Report'!H:I,2,FALSE)</f>
        <v>MPA   Somos Francos   Timeline- 6/Feb</v>
      </c>
      <c r="DE102" s="34"/>
      <c r="DF102" s="61"/>
      <c r="DG102" s="62"/>
      <c r="DH102"/>
      <c r="DI102" s="41"/>
      <c r="DJ102" s="41"/>
    </row>
    <row r="103" spans="1:114" ht="14.5" x14ac:dyDescent="0.35">
      <c r="A103" s="63">
        <v>40805838</v>
      </c>
      <c r="B103" s="3" t="s">
        <v>688</v>
      </c>
      <c r="C103" s="3">
        <v>322467801</v>
      </c>
      <c r="D103" s="3" t="s">
        <v>93</v>
      </c>
      <c r="G103" s="38">
        <v>756717.76</v>
      </c>
      <c r="J103" s="33">
        <f>VLOOKUP($B103,'IMS Commission List'!E:CE,79,0)/100</f>
        <v>0.15</v>
      </c>
      <c r="K103" s="79">
        <f t="shared" ref="K103:K134" si="264">SUM(E103:I103)</f>
        <v>756717.76</v>
      </c>
      <c r="L103" s="3" t="str">
        <f>VLOOKUP($B103,'IMS Commission List'!E:V,18,0)</f>
        <v>ARS</v>
      </c>
      <c r="M103" s="3">
        <v>1</v>
      </c>
      <c r="N103" s="3" t="str">
        <f>VLOOKUP($B103,'IMS Commission List'!E:T,16,0)</f>
        <v>MX</v>
      </c>
      <c r="O103" s="54">
        <f>VLOOKUP($B103,'IMS Commission List'!E:CF,80,0)</f>
        <v>4.9000000000000002E-2</v>
      </c>
      <c r="P103" s="54">
        <f>VLOOKUP($B103,'IMS Commission List'!E:CG,81,0)</f>
        <v>0.1575</v>
      </c>
      <c r="Q103" s="54">
        <f>VLOOKUP($B103,'IMS Commission List'!E:CP,90,0)</f>
        <v>0.03</v>
      </c>
      <c r="R103" s="54">
        <f>VLOOKUP($B103,'IMS Commission List'!E:CQ,91,0)</f>
        <v>0.04</v>
      </c>
      <c r="S103" s="47">
        <f t="shared" ref="S103:S134" si="265">$E103*$M103</f>
        <v>0</v>
      </c>
      <c r="T103" s="48">
        <f t="shared" ref="T103:T134" si="266">$F103*$M103</f>
        <v>0</v>
      </c>
      <c r="U103" s="48">
        <f t="shared" ref="U103:U134" si="267">$G103*$M103</f>
        <v>756717.76</v>
      </c>
      <c r="V103" s="48">
        <f t="shared" ref="V103:V134" si="268">$H103*$M103</f>
        <v>0</v>
      </c>
      <c r="W103" s="48">
        <f t="shared" ref="W103:W134" si="269">$I103*$M103</f>
        <v>0</v>
      </c>
      <c r="X103" s="49">
        <f t="shared" ref="X103:X134" si="270">$K103*$M103</f>
        <v>756717.76</v>
      </c>
      <c r="Y103" s="49">
        <f t="shared" ref="Y103:Y134" si="271">(S103*$O103)*(1-J103)</f>
        <v>0</v>
      </c>
      <c r="Z103" s="49">
        <f t="shared" ref="Z103:Z134" si="272">(T103*$O103)*(1-J103)</f>
        <v>0</v>
      </c>
      <c r="AA103" s="49">
        <f t="shared" ref="AA103:AA134" si="273">(U103*$O103)*(1-J103)</f>
        <v>31517.294704</v>
      </c>
      <c r="AB103" s="49">
        <f t="shared" ref="AB103:AB134" si="274">(V103*$O103)*(1-J103)</f>
        <v>0</v>
      </c>
      <c r="AC103" s="49">
        <f t="shared" ref="AC103:AC134" si="275">(W103*$O103)*(1-J103)</f>
        <v>0</v>
      </c>
      <c r="AD103" s="49">
        <f t="shared" ref="AD103:AD134" si="276">SUM(Y103:AC103)</f>
        <v>31517.294704</v>
      </c>
      <c r="AE103" s="49">
        <f t="shared" ref="AE103:AE134" si="277">S103*$J103</f>
        <v>0</v>
      </c>
      <c r="AF103" s="49">
        <f t="shared" ref="AF103:AF134" si="278">T103*$J103</f>
        <v>0</v>
      </c>
      <c r="AG103" s="49">
        <f t="shared" ref="AG103:AG134" si="279">U103*$J103</f>
        <v>113507.664</v>
      </c>
      <c r="AH103" s="49">
        <f t="shared" ref="AH103:AH134" si="280">V103*$J103</f>
        <v>0</v>
      </c>
      <c r="AI103" s="49">
        <f t="shared" ref="AI103:AI134" si="281">W103*$J103</f>
        <v>0</v>
      </c>
      <c r="AJ103" s="49">
        <f t="shared" ref="AJ103:AJ134" si="282">SUM(AE103:AI103)</f>
        <v>113507.664</v>
      </c>
      <c r="AK103" s="49">
        <f t="shared" ref="AK103:AK134" si="283">($P103*S103)*(1-$J103)</f>
        <v>0</v>
      </c>
      <c r="AL103" s="49">
        <f t="shared" ref="AL103:AL134" si="284">($P103*T103)*(1-$J103)</f>
        <v>0</v>
      </c>
      <c r="AM103" s="49">
        <f t="shared" ref="AM103:AM134" si="285">($P103*U103)*(1-$J103)</f>
        <v>101305.59011999999</v>
      </c>
      <c r="AN103" s="49">
        <f t="shared" ref="AN103:AN134" si="286">($P103*V103)*(1-$J103)</f>
        <v>0</v>
      </c>
      <c r="AO103" s="49">
        <f t="shared" ref="AO103:AO134" si="287">($P103*W103)*(1-$J103)</f>
        <v>0</v>
      </c>
      <c r="AP103" s="49">
        <f t="shared" ref="AP103:AP134" si="288">SUM(AK103:AO103)</f>
        <v>101305.59011999999</v>
      </c>
      <c r="AQ103" s="49">
        <f t="shared" ref="AQ103:AQ134" si="289">S103*$Q103</f>
        <v>0</v>
      </c>
      <c r="AR103" s="49">
        <f t="shared" ref="AR103:AR134" si="290">T103*$Q103</f>
        <v>0</v>
      </c>
      <c r="AS103" s="49">
        <f t="shared" ref="AS103:AS134" si="291">U103*$Q103</f>
        <v>22701.532800000001</v>
      </c>
      <c r="AT103" s="49">
        <f t="shared" ref="AT103:AT134" si="292">V103*$Q103</f>
        <v>0</v>
      </c>
      <c r="AU103" s="49">
        <f t="shared" ref="AU103:AU134" si="293">W103*$Q103</f>
        <v>0</v>
      </c>
      <c r="AV103" s="49">
        <f t="shared" ref="AV103:AV134" si="294">SUM(AQ103:AU103)</f>
        <v>22701.532800000001</v>
      </c>
      <c r="AW103" s="49">
        <f t="shared" ref="AW103:AW134" si="295">S103*$R103</f>
        <v>0</v>
      </c>
      <c r="AX103" s="49">
        <f t="shared" ref="AX103:AX134" si="296">T103*$R103</f>
        <v>0</v>
      </c>
      <c r="AY103" s="49">
        <f t="shared" ref="AY103:AY134" si="297">U103*$R103</f>
        <v>30268.7104</v>
      </c>
      <c r="AZ103" s="49">
        <f t="shared" ref="AZ103:AZ134" si="298">V103*$R103</f>
        <v>0</v>
      </c>
      <c r="BA103" s="49">
        <f t="shared" ref="BA103:BA134" si="299">W103*$R103</f>
        <v>0</v>
      </c>
      <c r="BB103" s="49">
        <f t="shared" ref="BB103:BB134" si="300">SUM(AW103:BA103)</f>
        <v>30268.7104</v>
      </c>
      <c r="BC103" s="49">
        <f t="shared" ref="BC103:BC134" si="301">$Y103+$AE103+$AK103+$AQ103+AW103</f>
        <v>0</v>
      </c>
      <c r="BD103" s="49">
        <f t="shared" ref="BD103:BD134" si="302">$Z103+$AF103+$AL103+AR103+AX103</f>
        <v>0</v>
      </c>
      <c r="BE103" s="49">
        <f t="shared" ref="BE103:BE134" si="303">$AA103+$AG103+$AM103+AS103+AY103</f>
        <v>299300.79202399997</v>
      </c>
      <c r="BF103" s="49">
        <f t="shared" ref="BF103:BF134" si="304">$AB103+$AH103+$AN103+AT103+AZ103</f>
        <v>0</v>
      </c>
      <c r="BG103" s="49">
        <f t="shared" ref="BG103:BG134" si="305">$AC103+$AI103+$AO103+AU103+BA103</f>
        <v>0</v>
      </c>
      <c r="BH103" s="49">
        <f t="shared" ref="BH103:BH134" si="306">SUM(BC103:BG103)</f>
        <v>299300.79202399997</v>
      </c>
      <c r="BI103" s="49">
        <f t="shared" ref="BI103:BI134" si="307">$Y103/$M103</f>
        <v>0</v>
      </c>
      <c r="BJ103" s="49">
        <f t="shared" ref="BJ103:BJ134" si="308">$Z103/$M103</f>
        <v>0</v>
      </c>
      <c r="BK103" s="49">
        <f t="shared" ref="BK103:BK134" si="309">$AA103/$M103</f>
        <v>31517.294704</v>
      </c>
      <c r="BL103" s="49">
        <f t="shared" ref="BL103:BL134" si="310">$AB103/$M103</f>
        <v>0</v>
      </c>
      <c r="BM103" s="49">
        <f t="shared" ref="BM103:BM134" si="311">$AC103/$M103</f>
        <v>0</v>
      </c>
      <c r="BN103" s="49">
        <f t="shared" ref="BN103:BN134" si="312">$AD103/$M103</f>
        <v>31517.294704</v>
      </c>
      <c r="BO103" s="49">
        <f t="shared" ref="BO103:BO134" si="313">$AE103/$M103</f>
        <v>0</v>
      </c>
      <c r="BP103" s="49">
        <f t="shared" ref="BP103:BP134" si="314">$AF103/$M103</f>
        <v>0</v>
      </c>
      <c r="BQ103" s="49">
        <f t="shared" ref="BQ103:BQ134" si="315">$AG103/$M103</f>
        <v>113507.664</v>
      </c>
      <c r="BR103" s="49">
        <f t="shared" ref="BR103:BR134" si="316">$AH103/$M103</f>
        <v>0</v>
      </c>
      <c r="BS103" s="49">
        <f t="shared" ref="BS103:BS134" si="317">$AI103/$M103</f>
        <v>0</v>
      </c>
      <c r="BT103" s="49">
        <f t="shared" ref="BT103:BT134" si="318">$AJ103/$M103</f>
        <v>113507.664</v>
      </c>
      <c r="BU103" s="49">
        <f t="shared" ref="BU103:BU134" si="319">$AK103/$M103</f>
        <v>0</v>
      </c>
      <c r="BV103" s="49">
        <f t="shared" ref="BV103:BV134" si="320">$AL103/$M103</f>
        <v>0</v>
      </c>
      <c r="BW103" s="49">
        <f t="shared" ref="BW103:BW134" si="321">$AM103/$M103</f>
        <v>101305.59011999999</v>
      </c>
      <c r="BX103" s="49">
        <f t="shared" ref="BX103:BX134" si="322">$AN103/$M103</f>
        <v>0</v>
      </c>
      <c r="BY103" s="49">
        <f t="shared" ref="BY103:BY134" si="323">$AO103/$M103</f>
        <v>0</v>
      </c>
      <c r="BZ103" s="49">
        <f t="shared" ref="BZ103:BZ134" si="324">$AP103/$M103</f>
        <v>101305.59011999999</v>
      </c>
      <c r="CA103" s="49">
        <f t="shared" ref="CA103:CA134" si="325">AQ103/$M103</f>
        <v>0</v>
      </c>
      <c r="CB103" s="49">
        <f t="shared" ref="CB103:CB134" si="326">AR103/$M103</f>
        <v>0</v>
      </c>
      <c r="CC103" s="49">
        <f t="shared" ref="CC103:CC134" si="327">AS103/$M103</f>
        <v>22701.532800000001</v>
      </c>
      <c r="CD103" s="49">
        <f t="shared" ref="CD103:CD134" si="328">AT103/$M103</f>
        <v>0</v>
      </c>
      <c r="CE103" s="49">
        <f t="shared" ref="CE103:CE134" si="329">AU103/$M103</f>
        <v>0</v>
      </c>
      <c r="CF103" s="49">
        <f t="shared" ref="CF103:CF134" si="330">AV103/$M103</f>
        <v>22701.532800000001</v>
      </c>
      <c r="CG103" s="49">
        <f t="shared" ref="CG103:CG134" si="331">AW103/$M103</f>
        <v>0</v>
      </c>
      <c r="CH103" s="49">
        <f t="shared" ref="CH103:CH134" si="332">AX103/$M103</f>
        <v>0</v>
      </c>
      <c r="CI103" s="49">
        <f t="shared" ref="CI103:CI134" si="333">AY103/$M103</f>
        <v>30268.7104</v>
      </c>
      <c r="CJ103" s="49">
        <f t="shared" ref="CJ103:CJ134" si="334">AZ103/$M103</f>
        <v>0</v>
      </c>
      <c r="CK103" s="49">
        <f t="shared" ref="CK103:CK134" si="335">BA103/$M103</f>
        <v>0</v>
      </c>
      <c r="CL103" s="49">
        <f t="shared" ref="CL103:CL134" si="336">BB103/$M103</f>
        <v>30268.7104</v>
      </c>
      <c r="CM103" s="49">
        <f t="shared" ref="CM103:CM134" si="337">$BC103/$M103</f>
        <v>0</v>
      </c>
      <c r="CN103" s="49">
        <f t="shared" ref="CN103:CN134" si="338">$BD103/$M103</f>
        <v>0</v>
      </c>
      <c r="CO103" s="49">
        <f t="shared" ref="CO103:CO134" si="339">$BE103/$M103</f>
        <v>299300.79202399997</v>
      </c>
      <c r="CP103" s="49">
        <f t="shared" ref="CP103:CP134" si="340">$BF103/$M103</f>
        <v>0</v>
      </c>
      <c r="CQ103" s="49">
        <f t="shared" ref="CQ103:CQ134" si="341">$BG103/$M103</f>
        <v>0</v>
      </c>
      <c r="CR103" s="81">
        <f t="shared" ref="CR103:CR134" si="342">SUM(CM103:CQ103)</f>
        <v>299300.79202399997</v>
      </c>
      <c r="CS103" s="80">
        <f t="shared" ref="CS103:CS134" si="343">K103-CR103</f>
        <v>457416.96797600004</v>
      </c>
      <c r="CT103" s="54"/>
      <c r="CU103" s="3" t="str">
        <f t="shared" ref="CU103:CU134" si="344">D103</f>
        <v>ARS</v>
      </c>
      <c r="CV103" s="3">
        <f>VLOOKUP(CU103,DF:DG,2,0)</f>
        <v>6.9185169999999997E-4</v>
      </c>
      <c r="CW103" s="23">
        <f t="shared" ref="CW103:CW134" si="345">K103*CV103</f>
        <v>523.53646867619193</v>
      </c>
      <c r="CX103" s="23">
        <f t="shared" ref="CX103:CX134" si="346">BN103*CV103</f>
        <v>21.805293920363397</v>
      </c>
      <c r="CY103" s="23">
        <f t="shared" ref="CY103:CY134" si="347">BT103*CV103</f>
        <v>78.530470301428792</v>
      </c>
      <c r="CZ103" s="23">
        <f t="shared" ref="CZ103:CZ134" si="348">BZ103*CV103</f>
        <v>70.088444744025196</v>
      </c>
      <c r="DA103" s="23">
        <f t="shared" ref="DA103:DA134" si="349">CF103*CV103</f>
        <v>15.706094060285761</v>
      </c>
      <c r="DB103" s="23">
        <f t="shared" ref="DB103:DB134" si="350">CL103*CV103</f>
        <v>20.94145874704768</v>
      </c>
      <c r="DC103" s="23">
        <f t="shared" ref="DC103:DC134" si="351">CS103*CV103</f>
        <v>316.46470690304119</v>
      </c>
      <c r="DD103" s="34" t="str">
        <f>VLOOKUP(A103,'Billing Report'!H:I,2,FALSE)</f>
        <v>AR_Traffic_Prosp_X</v>
      </c>
      <c r="DE103" s="34"/>
      <c r="DF103" s="61"/>
      <c r="DG103" s="62"/>
      <c r="DH103"/>
      <c r="DI103" s="41"/>
      <c r="DJ103" s="41"/>
    </row>
    <row r="104" spans="1:114" ht="14.5" x14ac:dyDescent="0.35">
      <c r="A104" s="63">
        <v>40805823</v>
      </c>
      <c r="B104" s="3" t="s">
        <v>688</v>
      </c>
      <c r="C104" s="3">
        <v>322467801</v>
      </c>
      <c r="D104" s="3" t="s">
        <v>93</v>
      </c>
      <c r="G104" s="38">
        <v>894356.52</v>
      </c>
      <c r="J104" s="33">
        <f>VLOOKUP($B104,'IMS Commission List'!E:CE,79,0)/100</f>
        <v>0.15</v>
      </c>
      <c r="K104" s="79">
        <f t="shared" si="264"/>
        <v>894356.52</v>
      </c>
      <c r="L104" s="3" t="str">
        <f>VLOOKUP($B104,'IMS Commission List'!E:V,18,0)</f>
        <v>ARS</v>
      </c>
      <c r="M104" s="3">
        <v>1</v>
      </c>
      <c r="N104" s="3" t="str">
        <f>VLOOKUP($B104,'IMS Commission List'!E:T,16,0)</f>
        <v>MX</v>
      </c>
      <c r="O104" s="54">
        <f>VLOOKUP($B104,'IMS Commission List'!E:CF,80,0)</f>
        <v>4.9000000000000002E-2</v>
      </c>
      <c r="P104" s="54">
        <f>VLOOKUP($B104,'IMS Commission List'!E:CG,81,0)</f>
        <v>0.1575</v>
      </c>
      <c r="Q104" s="54">
        <f>VLOOKUP($B104,'IMS Commission List'!E:CP,90,0)</f>
        <v>0.03</v>
      </c>
      <c r="R104" s="54">
        <f>VLOOKUP($B104,'IMS Commission List'!E:CQ,91,0)</f>
        <v>0.04</v>
      </c>
      <c r="S104" s="47">
        <f t="shared" si="265"/>
        <v>0</v>
      </c>
      <c r="T104" s="48">
        <f t="shared" si="266"/>
        <v>0</v>
      </c>
      <c r="U104" s="48">
        <f t="shared" si="267"/>
        <v>894356.52</v>
      </c>
      <c r="V104" s="48">
        <f t="shared" si="268"/>
        <v>0</v>
      </c>
      <c r="W104" s="48">
        <f t="shared" si="269"/>
        <v>0</v>
      </c>
      <c r="X104" s="49">
        <f t="shared" si="270"/>
        <v>894356.52</v>
      </c>
      <c r="Y104" s="49">
        <f t="shared" si="271"/>
        <v>0</v>
      </c>
      <c r="Z104" s="49">
        <f t="shared" si="272"/>
        <v>0</v>
      </c>
      <c r="AA104" s="49">
        <f t="shared" si="273"/>
        <v>37249.949057999998</v>
      </c>
      <c r="AB104" s="49">
        <f t="shared" si="274"/>
        <v>0</v>
      </c>
      <c r="AC104" s="49">
        <f t="shared" si="275"/>
        <v>0</v>
      </c>
      <c r="AD104" s="49">
        <f t="shared" si="276"/>
        <v>37249.949057999998</v>
      </c>
      <c r="AE104" s="49">
        <f t="shared" si="277"/>
        <v>0</v>
      </c>
      <c r="AF104" s="49">
        <f t="shared" si="278"/>
        <v>0</v>
      </c>
      <c r="AG104" s="49">
        <f t="shared" si="279"/>
        <v>134153.478</v>
      </c>
      <c r="AH104" s="49">
        <f t="shared" si="280"/>
        <v>0</v>
      </c>
      <c r="AI104" s="49">
        <f t="shared" si="281"/>
        <v>0</v>
      </c>
      <c r="AJ104" s="49">
        <f t="shared" si="282"/>
        <v>134153.478</v>
      </c>
      <c r="AK104" s="49">
        <f t="shared" si="283"/>
        <v>0</v>
      </c>
      <c r="AL104" s="49">
        <f t="shared" si="284"/>
        <v>0</v>
      </c>
      <c r="AM104" s="49">
        <f t="shared" si="285"/>
        <v>119731.97911499999</v>
      </c>
      <c r="AN104" s="49">
        <f t="shared" si="286"/>
        <v>0</v>
      </c>
      <c r="AO104" s="49">
        <f t="shared" si="287"/>
        <v>0</v>
      </c>
      <c r="AP104" s="49">
        <f t="shared" si="288"/>
        <v>119731.97911499999</v>
      </c>
      <c r="AQ104" s="49">
        <f t="shared" si="289"/>
        <v>0</v>
      </c>
      <c r="AR104" s="49">
        <f t="shared" si="290"/>
        <v>0</v>
      </c>
      <c r="AS104" s="49">
        <f t="shared" si="291"/>
        <v>26830.695599999999</v>
      </c>
      <c r="AT104" s="49">
        <f t="shared" si="292"/>
        <v>0</v>
      </c>
      <c r="AU104" s="49">
        <f t="shared" si="293"/>
        <v>0</v>
      </c>
      <c r="AV104" s="49">
        <f t="shared" si="294"/>
        <v>26830.695599999999</v>
      </c>
      <c r="AW104" s="49">
        <f t="shared" si="295"/>
        <v>0</v>
      </c>
      <c r="AX104" s="49">
        <f t="shared" si="296"/>
        <v>0</v>
      </c>
      <c r="AY104" s="49">
        <f t="shared" si="297"/>
        <v>35774.260800000004</v>
      </c>
      <c r="AZ104" s="49">
        <f t="shared" si="298"/>
        <v>0</v>
      </c>
      <c r="BA104" s="49">
        <f t="shared" si="299"/>
        <v>0</v>
      </c>
      <c r="BB104" s="49">
        <f t="shared" si="300"/>
        <v>35774.260800000004</v>
      </c>
      <c r="BC104" s="49">
        <f t="shared" si="301"/>
        <v>0</v>
      </c>
      <c r="BD104" s="49">
        <f t="shared" si="302"/>
        <v>0</v>
      </c>
      <c r="BE104" s="49">
        <f t="shared" si="303"/>
        <v>353740.36257299996</v>
      </c>
      <c r="BF104" s="49">
        <f t="shared" si="304"/>
        <v>0</v>
      </c>
      <c r="BG104" s="49">
        <f t="shared" si="305"/>
        <v>0</v>
      </c>
      <c r="BH104" s="49">
        <f t="shared" si="306"/>
        <v>353740.36257299996</v>
      </c>
      <c r="BI104" s="49">
        <f t="shared" si="307"/>
        <v>0</v>
      </c>
      <c r="BJ104" s="49">
        <f t="shared" si="308"/>
        <v>0</v>
      </c>
      <c r="BK104" s="49">
        <f t="shared" si="309"/>
        <v>37249.949057999998</v>
      </c>
      <c r="BL104" s="49">
        <f t="shared" si="310"/>
        <v>0</v>
      </c>
      <c r="BM104" s="49">
        <f t="shared" si="311"/>
        <v>0</v>
      </c>
      <c r="BN104" s="49">
        <f t="shared" si="312"/>
        <v>37249.949057999998</v>
      </c>
      <c r="BO104" s="49">
        <f t="shared" si="313"/>
        <v>0</v>
      </c>
      <c r="BP104" s="49">
        <f t="shared" si="314"/>
        <v>0</v>
      </c>
      <c r="BQ104" s="49">
        <f t="shared" si="315"/>
        <v>134153.478</v>
      </c>
      <c r="BR104" s="49">
        <f t="shared" si="316"/>
        <v>0</v>
      </c>
      <c r="BS104" s="49">
        <f t="shared" si="317"/>
        <v>0</v>
      </c>
      <c r="BT104" s="49">
        <f t="shared" si="318"/>
        <v>134153.478</v>
      </c>
      <c r="BU104" s="49">
        <f t="shared" si="319"/>
        <v>0</v>
      </c>
      <c r="BV104" s="49">
        <f t="shared" si="320"/>
        <v>0</v>
      </c>
      <c r="BW104" s="49">
        <f t="shared" si="321"/>
        <v>119731.97911499999</v>
      </c>
      <c r="BX104" s="49">
        <f t="shared" si="322"/>
        <v>0</v>
      </c>
      <c r="BY104" s="49">
        <f t="shared" si="323"/>
        <v>0</v>
      </c>
      <c r="BZ104" s="49">
        <f t="shared" si="324"/>
        <v>119731.97911499999</v>
      </c>
      <c r="CA104" s="49">
        <f t="shared" si="325"/>
        <v>0</v>
      </c>
      <c r="CB104" s="49">
        <f t="shared" si="326"/>
        <v>0</v>
      </c>
      <c r="CC104" s="49">
        <f t="shared" si="327"/>
        <v>26830.695599999999</v>
      </c>
      <c r="CD104" s="49">
        <f t="shared" si="328"/>
        <v>0</v>
      </c>
      <c r="CE104" s="49">
        <f t="shared" si="329"/>
        <v>0</v>
      </c>
      <c r="CF104" s="49">
        <f t="shared" si="330"/>
        <v>26830.695599999999</v>
      </c>
      <c r="CG104" s="49">
        <f t="shared" si="331"/>
        <v>0</v>
      </c>
      <c r="CH104" s="49">
        <f t="shared" si="332"/>
        <v>0</v>
      </c>
      <c r="CI104" s="49">
        <f t="shared" si="333"/>
        <v>35774.260800000004</v>
      </c>
      <c r="CJ104" s="49">
        <f t="shared" si="334"/>
        <v>0</v>
      </c>
      <c r="CK104" s="49">
        <f t="shared" si="335"/>
        <v>0</v>
      </c>
      <c r="CL104" s="49">
        <f t="shared" si="336"/>
        <v>35774.260800000004</v>
      </c>
      <c r="CM104" s="49">
        <f t="shared" si="337"/>
        <v>0</v>
      </c>
      <c r="CN104" s="49">
        <f t="shared" si="338"/>
        <v>0</v>
      </c>
      <c r="CO104" s="49">
        <f t="shared" si="339"/>
        <v>353740.36257299996</v>
      </c>
      <c r="CP104" s="49">
        <f t="shared" si="340"/>
        <v>0</v>
      </c>
      <c r="CQ104" s="49">
        <f t="shared" si="341"/>
        <v>0</v>
      </c>
      <c r="CR104" s="81">
        <f t="shared" si="342"/>
        <v>353740.36257299996</v>
      </c>
      <c r="CS104" s="80">
        <f t="shared" si="343"/>
        <v>540616.15742700011</v>
      </c>
      <c r="CT104" s="54"/>
      <c r="CU104" s="3" t="str">
        <f t="shared" si="344"/>
        <v>ARS</v>
      </c>
      <c r="CV104" s="3">
        <f>VLOOKUP(CU104,DF:DG,2,0)</f>
        <v>6.9185169999999997E-4</v>
      </c>
      <c r="CW104" s="23">
        <f t="shared" si="345"/>
        <v>618.76207876808394</v>
      </c>
      <c r="CX104" s="23">
        <f t="shared" si="346"/>
        <v>25.771440580690697</v>
      </c>
      <c r="CY104" s="23">
        <f t="shared" si="347"/>
        <v>92.814311815212591</v>
      </c>
      <c r="CZ104" s="23">
        <f t="shared" si="348"/>
        <v>82.836773295077236</v>
      </c>
      <c r="DA104" s="23">
        <f t="shared" si="349"/>
        <v>18.56286236304252</v>
      </c>
      <c r="DB104" s="23">
        <f t="shared" si="350"/>
        <v>24.750483150723362</v>
      </c>
      <c r="DC104" s="23">
        <f t="shared" si="351"/>
        <v>374.02620756333766</v>
      </c>
      <c r="DD104" s="34" t="str">
        <f>VLOOKUP(A104,'Billing Report'!H:I,2,FALSE)</f>
        <v>AR_Purchase_Rmkt_X</v>
      </c>
      <c r="DE104" s="34"/>
      <c r="DF104" s="61"/>
      <c r="DG104" s="62"/>
      <c r="DH104"/>
      <c r="DI104" s="41"/>
      <c r="DJ104" s="41"/>
    </row>
    <row r="105" spans="1:114" ht="14.5" x14ac:dyDescent="0.35">
      <c r="A105" s="63">
        <v>40800175</v>
      </c>
      <c r="B105" s="3" t="s">
        <v>690</v>
      </c>
      <c r="C105" s="3">
        <v>322476101</v>
      </c>
      <c r="D105" s="3" t="s">
        <v>93</v>
      </c>
      <c r="G105" s="38">
        <v>2504630.25</v>
      </c>
      <c r="J105" s="33">
        <f>VLOOKUP($B105,'IMS Commission List'!E:CE,79,0)/100</f>
        <v>0.15</v>
      </c>
      <c r="K105" s="79">
        <f t="shared" si="264"/>
        <v>2504630.25</v>
      </c>
      <c r="L105" s="3" t="str">
        <f>VLOOKUP($B105,'IMS Commission List'!E:V,18,0)</f>
        <v>ARS</v>
      </c>
      <c r="M105" s="3">
        <v>1</v>
      </c>
      <c r="N105" s="3" t="str">
        <f>VLOOKUP($B105,'IMS Commission List'!E:T,16,0)</f>
        <v>MX</v>
      </c>
      <c r="O105" s="54">
        <f>VLOOKUP($B105,'IMS Commission List'!E:CF,80,0)</f>
        <v>4.9000000000000002E-2</v>
      </c>
      <c r="P105" s="54">
        <f>VLOOKUP($B105,'IMS Commission List'!E:CG,81,0)</f>
        <v>0.1575</v>
      </c>
      <c r="Q105" s="54">
        <f>VLOOKUP($B105,'IMS Commission List'!E:CP,90,0)</f>
        <v>0.03</v>
      </c>
      <c r="R105" s="54">
        <f>VLOOKUP($B105,'IMS Commission List'!E:CQ,91,0)</f>
        <v>0.04</v>
      </c>
      <c r="S105" s="47">
        <f t="shared" si="265"/>
        <v>0</v>
      </c>
      <c r="T105" s="48">
        <f t="shared" si="266"/>
        <v>0</v>
      </c>
      <c r="U105" s="48">
        <f t="shared" si="267"/>
        <v>2504630.25</v>
      </c>
      <c r="V105" s="48">
        <f t="shared" si="268"/>
        <v>0</v>
      </c>
      <c r="W105" s="48">
        <f t="shared" si="269"/>
        <v>0</v>
      </c>
      <c r="X105" s="49">
        <f t="shared" si="270"/>
        <v>2504630.25</v>
      </c>
      <c r="Y105" s="49">
        <f t="shared" si="271"/>
        <v>0</v>
      </c>
      <c r="Z105" s="49">
        <f t="shared" si="272"/>
        <v>0</v>
      </c>
      <c r="AA105" s="49">
        <f t="shared" si="273"/>
        <v>104317.84991250001</v>
      </c>
      <c r="AB105" s="49">
        <f t="shared" si="274"/>
        <v>0</v>
      </c>
      <c r="AC105" s="49">
        <f t="shared" si="275"/>
        <v>0</v>
      </c>
      <c r="AD105" s="49">
        <f t="shared" si="276"/>
        <v>104317.84991250001</v>
      </c>
      <c r="AE105" s="49">
        <f t="shared" si="277"/>
        <v>0</v>
      </c>
      <c r="AF105" s="49">
        <f t="shared" si="278"/>
        <v>0</v>
      </c>
      <c r="AG105" s="49">
        <f t="shared" si="279"/>
        <v>375694.53749999998</v>
      </c>
      <c r="AH105" s="49">
        <f t="shared" si="280"/>
        <v>0</v>
      </c>
      <c r="AI105" s="49">
        <f t="shared" si="281"/>
        <v>0</v>
      </c>
      <c r="AJ105" s="49">
        <f t="shared" si="282"/>
        <v>375694.53749999998</v>
      </c>
      <c r="AK105" s="49">
        <f t="shared" si="283"/>
        <v>0</v>
      </c>
      <c r="AL105" s="49">
        <f t="shared" si="284"/>
        <v>0</v>
      </c>
      <c r="AM105" s="49">
        <f t="shared" si="285"/>
        <v>335307.37471875001</v>
      </c>
      <c r="AN105" s="49">
        <f t="shared" si="286"/>
        <v>0</v>
      </c>
      <c r="AO105" s="49">
        <f t="shared" si="287"/>
        <v>0</v>
      </c>
      <c r="AP105" s="49">
        <f t="shared" si="288"/>
        <v>335307.37471875001</v>
      </c>
      <c r="AQ105" s="49">
        <f t="shared" si="289"/>
        <v>0</v>
      </c>
      <c r="AR105" s="49">
        <f t="shared" si="290"/>
        <v>0</v>
      </c>
      <c r="AS105" s="49">
        <f t="shared" si="291"/>
        <v>75138.907500000001</v>
      </c>
      <c r="AT105" s="49">
        <f t="shared" si="292"/>
        <v>0</v>
      </c>
      <c r="AU105" s="49">
        <f t="shared" si="293"/>
        <v>0</v>
      </c>
      <c r="AV105" s="49">
        <f t="shared" si="294"/>
        <v>75138.907500000001</v>
      </c>
      <c r="AW105" s="49">
        <f t="shared" si="295"/>
        <v>0</v>
      </c>
      <c r="AX105" s="49">
        <f t="shared" si="296"/>
        <v>0</v>
      </c>
      <c r="AY105" s="49">
        <f t="shared" si="297"/>
        <v>100185.21</v>
      </c>
      <c r="AZ105" s="49">
        <f t="shared" si="298"/>
        <v>0</v>
      </c>
      <c r="BA105" s="49">
        <f t="shared" si="299"/>
        <v>0</v>
      </c>
      <c r="BB105" s="49">
        <f t="shared" si="300"/>
        <v>100185.21</v>
      </c>
      <c r="BC105" s="49">
        <f t="shared" si="301"/>
        <v>0</v>
      </c>
      <c r="BD105" s="49">
        <f t="shared" si="302"/>
        <v>0</v>
      </c>
      <c r="BE105" s="49">
        <f t="shared" si="303"/>
        <v>990643.87963124993</v>
      </c>
      <c r="BF105" s="49">
        <f t="shared" si="304"/>
        <v>0</v>
      </c>
      <c r="BG105" s="49">
        <f t="shared" si="305"/>
        <v>0</v>
      </c>
      <c r="BH105" s="49">
        <f t="shared" si="306"/>
        <v>990643.87963124993</v>
      </c>
      <c r="BI105" s="49">
        <f t="shared" si="307"/>
        <v>0</v>
      </c>
      <c r="BJ105" s="49">
        <f t="shared" si="308"/>
        <v>0</v>
      </c>
      <c r="BK105" s="49">
        <f t="shared" si="309"/>
        <v>104317.84991250001</v>
      </c>
      <c r="BL105" s="49">
        <f t="shared" si="310"/>
        <v>0</v>
      </c>
      <c r="BM105" s="49">
        <f t="shared" si="311"/>
        <v>0</v>
      </c>
      <c r="BN105" s="49">
        <f t="shared" si="312"/>
        <v>104317.84991250001</v>
      </c>
      <c r="BO105" s="49">
        <f t="shared" si="313"/>
        <v>0</v>
      </c>
      <c r="BP105" s="49">
        <f t="shared" si="314"/>
        <v>0</v>
      </c>
      <c r="BQ105" s="49">
        <f t="shared" si="315"/>
        <v>375694.53749999998</v>
      </c>
      <c r="BR105" s="49">
        <f t="shared" si="316"/>
        <v>0</v>
      </c>
      <c r="BS105" s="49">
        <f t="shared" si="317"/>
        <v>0</v>
      </c>
      <c r="BT105" s="49">
        <f t="shared" si="318"/>
        <v>375694.53749999998</v>
      </c>
      <c r="BU105" s="49">
        <f t="shared" si="319"/>
        <v>0</v>
      </c>
      <c r="BV105" s="49">
        <f t="shared" si="320"/>
        <v>0</v>
      </c>
      <c r="BW105" s="49">
        <f t="shared" si="321"/>
        <v>335307.37471875001</v>
      </c>
      <c r="BX105" s="49">
        <f t="shared" si="322"/>
        <v>0</v>
      </c>
      <c r="BY105" s="49">
        <f t="shared" si="323"/>
        <v>0</v>
      </c>
      <c r="BZ105" s="49">
        <f t="shared" si="324"/>
        <v>335307.37471875001</v>
      </c>
      <c r="CA105" s="49">
        <f t="shared" si="325"/>
        <v>0</v>
      </c>
      <c r="CB105" s="49">
        <f t="shared" si="326"/>
        <v>0</v>
      </c>
      <c r="CC105" s="49">
        <f t="shared" si="327"/>
        <v>75138.907500000001</v>
      </c>
      <c r="CD105" s="49">
        <f t="shared" si="328"/>
        <v>0</v>
      </c>
      <c r="CE105" s="49">
        <f t="shared" si="329"/>
        <v>0</v>
      </c>
      <c r="CF105" s="49">
        <f t="shared" si="330"/>
        <v>75138.907500000001</v>
      </c>
      <c r="CG105" s="49">
        <f t="shared" si="331"/>
        <v>0</v>
      </c>
      <c r="CH105" s="49">
        <f t="shared" si="332"/>
        <v>0</v>
      </c>
      <c r="CI105" s="49">
        <f t="shared" si="333"/>
        <v>100185.21</v>
      </c>
      <c r="CJ105" s="49">
        <f t="shared" si="334"/>
        <v>0</v>
      </c>
      <c r="CK105" s="49">
        <f t="shared" si="335"/>
        <v>0</v>
      </c>
      <c r="CL105" s="49">
        <f t="shared" si="336"/>
        <v>100185.21</v>
      </c>
      <c r="CM105" s="49">
        <f t="shared" si="337"/>
        <v>0</v>
      </c>
      <c r="CN105" s="49">
        <f t="shared" si="338"/>
        <v>0</v>
      </c>
      <c r="CO105" s="49">
        <f t="shared" si="339"/>
        <v>990643.87963124993</v>
      </c>
      <c r="CP105" s="49">
        <f t="shared" si="340"/>
        <v>0</v>
      </c>
      <c r="CQ105" s="49">
        <f t="shared" si="341"/>
        <v>0</v>
      </c>
      <c r="CR105" s="81">
        <f t="shared" si="342"/>
        <v>990643.87963124993</v>
      </c>
      <c r="CS105" s="80">
        <f t="shared" si="343"/>
        <v>1513986.3703687501</v>
      </c>
      <c r="CT105" s="54"/>
      <c r="CU105" s="3" t="str">
        <f t="shared" si="344"/>
        <v>ARS</v>
      </c>
      <c r="CV105" s="3">
        <f>VLOOKUP(CU105,DF:DG,2,0)</f>
        <v>6.9185169999999997E-4</v>
      </c>
      <c r="CW105" s="23">
        <f t="shared" si="345"/>
        <v>1732.832696333925</v>
      </c>
      <c r="CX105" s="23">
        <f t="shared" si="346"/>
        <v>72.172481802307985</v>
      </c>
      <c r="CY105" s="23">
        <f t="shared" si="347"/>
        <v>259.92490445008872</v>
      </c>
      <c r="CZ105" s="23">
        <f t="shared" si="348"/>
        <v>231.9829772217042</v>
      </c>
      <c r="DA105" s="23">
        <f t="shared" si="349"/>
        <v>51.984980890017745</v>
      </c>
      <c r="DB105" s="23">
        <f t="shared" si="350"/>
        <v>69.313307853357003</v>
      </c>
      <c r="DC105" s="23">
        <f t="shared" si="351"/>
        <v>1047.4540441164493</v>
      </c>
      <c r="DD105" s="34" t="str">
        <f>VLOOKUP(A105,'Billing Report'!H:I,2,FALSE)</f>
        <v>PS_PERSO_ECST2025_EXBRD_TW_BRD_NAC_AWA_CRSL-16.1</v>
      </c>
      <c r="DE105" s="34"/>
      <c r="DF105" s="61"/>
      <c r="DG105" s="62"/>
      <c r="DH105"/>
      <c r="DI105" s="41"/>
      <c r="DJ105" s="41"/>
    </row>
    <row r="106" spans="1:114" ht="14.5" x14ac:dyDescent="0.35">
      <c r="A106" s="63">
        <v>40800132</v>
      </c>
      <c r="B106" s="3" t="s">
        <v>690</v>
      </c>
      <c r="C106" s="3">
        <v>322476101</v>
      </c>
      <c r="D106" s="3" t="s">
        <v>93</v>
      </c>
      <c r="G106" s="38">
        <v>2237064.12</v>
      </c>
      <c r="J106" s="33">
        <f>VLOOKUP($B106,'IMS Commission List'!E:CE,79,0)/100</f>
        <v>0.15</v>
      </c>
      <c r="K106" s="79">
        <f t="shared" si="264"/>
        <v>2237064.12</v>
      </c>
      <c r="L106" s="3" t="str">
        <f>VLOOKUP($B106,'IMS Commission List'!E:V,18,0)</f>
        <v>ARS</v>
      </c>
      <c r="M106" s="3">
        <v>1</v>
      </c>
      <c r="N106" s="3" t="str">
        <f>VLOOKUP($B106,'IMS Commission List'!E:T,16,0)</f>
        <v>MX</v>
      </c>
      <c r="O106" s="54">
        <f>VLOOKUP($B106,'IMS Commission List'!E:CF,80,0)</f>
        <v>4.9000000000000002E-2</v>
      </c>
      <c r="P106" s="54">
        <f>VLOOKUP($B106,'IMS Commission List'!E:CG,81,0)</f>
        <v>0.1575</v>
      </c>
      <c r="Q106" s="54">
        <f>VLOOKUP($B106,'IMS Commission List'!E:CP,90,0)</f>
        <v>0.03</v>
      </c>
      <c r="R106" s="54">
        <f>VLOOKUP($B106,'IMS Commission List'!E:CQ,91,0)</f>
        <v>0.04</v>
      </c>
      <c r="S106" s="47">
        <f t="shared" si="265"/>
        <v>0</v>
      </c>
      <c r="T106" s="48">
        <f t="shared" si="266"/>
        <v>0</v>
      </c>
      <c r="U106" s="48">
        <f t="shared" si="267"/>
        <v>2237064.12</v>
      </c>
      <c r="V106" s="48">
        <f t="shared" si="268"/>
        <v>0</v>
      </c>
      <c r="W106" s="48">
        <f t="shared" si="269"/>
        <v>0</v>
      </c>
      <c r="X106" s="49">
        <f t="shared" si="270"/>
        <v>2237064.12</v>
      </c>
      <c r="Y106" s="49">
        <f t="shared" si="271"/>
        <v>0</v>
      </c>
      <c r="Z106" s="49">
        <f t="shared" si="272"/>
        <v>0</v>
      </c>
      <c r="AA106" s="49">
        <f t="shared" si="273"/>
        <v>93173.720598</v>
      </c>
      <c r="AB106" s="49">
        <f t="shared" si="274"/>
        <v>0</v>
      </c>
      <c r="AC106" s="49">
        <f t="shared" si="275"/>
        <v>0</v>
      </c>
      <c r="AD106" s="49">
        <f t="shared" si="276"/>
        <v>93173.720598</v>
      </c>
      <c r="AE106" s="49">
        <f t="shared" si="277"/>
        <v>0</v>
      </c>
      <c r="AF106" s="49">
        <f t="shared" si="278"/>
        <v>0</v>
      </c>
      <c r="AG106" s="49">
        <f t="shared" si="279"/>
        <v>335559.61800000002</v>
      </c>
      <c r="AH106" s="49">
        <f t="shared" si="280"/>
        <v>0</v>
      </c>
      <c r="AI106" s="49">
        <f t="shared" si="281"/>
        <v>0</v>
      </c>
      <c r="AJ106" s="49">
        <f t="shared" si="282"/>
        <v>335559.61800000002</v>
      </c>
      <c r="AK106" s="49">
        <f t="shared" si="283"/>
        <v>0</v>
      </c>
      <c r="AL106" s="49">
        <f t="shared" si="284"/>
        <v>0</v>
      </c>
      <c r="AM106" s="49">
        <f t="shared" si="285"/>
        <v>299486.959065</v>
      </c>
      <c r="AN106" s="49">
        <f t="shared" si="286"/>
        <v>0</v>
      </c>
      <c r="AO106" s="49">
        <f t="shared" si="287"/>
        <v>0</v>
      </c>
      <c r="AP106" s="49">
        <f t="shared" si="288"/>
        <v>299486.959065</v>
      </c>
      <c r="AQ106" s="49">
        <f t="shared" si="289"/>
        <v>0</v>
      </c>
      <c r="AR106" s="49">
        <f t="shared" si="290"/>
        <v>0</v>
      </c>
      <c r="AS106" s="49">
        <f t="shared" si="291"/>
        <v>67111.923599999995</v>
      </c>
      <c r="AT106" s="49">
        <f t="shared" si="292"/>
        <v>0</v>
      </c>
      <c r="AU106" s="49">
        <f t="shared" si="293"/>
        <v>0</v>
      </c>
      <c r="AV106" s="49">
        <f t="shared" si="294"/>
        <v>67111.923599999995</v>
      </c>
      <c r="AW106" s="49">
        <f t="shared" si="295"/>
        <v>0</v>
      </c>
      <c r="AX106" s="49">
        <f t="shared" si="296"/>
        <v>0</v>
      </c>
      <c r="AY106" s="49">
        <f t="shared" si="297"/>
        <v>89482.564800000007</v>
      </c>
      <c r="AZ106" s="49">
        <f t="shared" si="298"/>
        <v>0</v>
      </c>
      <c r="BA106" s="49">
        <f t="shared" si="299"/>
        <v>0</v>
      </c>
      <c r="BB106" s="49">
        <f t="shared" si="300"/>
        <v>89482.564800000007</v>
      </c>
      <c r="BC106" s="49">
        <f t="shared" si="301"/>
        <v>0</v>
      </c>
      <c r="BD106" s="49">
        <f t="shared" si="302"/>
        <v>0</v>
      </c>
      <c r="BE106" s="49">
        <f t="shared" si="303"/>
        <v>884814.78606299998</v>
      </c>
      <c r="BF106" s="49">
        <f t="shared" si="304"/>
        <v>0</v>
      </c>
      <c r="BG106" s="49">
        <f t="shared" si="305"/>
        <v>0</v>
      </c>
      <c r="BH106" s="49">
        <f t="shared" si="306"/>
        <v>884814.78606299998</v>
      </c>
      <c r="BI106" s="49">
        <f t="shared" si="307"/>
        <v>0</v>
      </c>
      <c r="BJ106" s="49">
        <f t="shared" si="308"/>
        <v>0</v>
      </c>
      <c r="BK106" s="49">
        <f t="shared" si="309"/>
        <v>93173.720598</v>
      </c>
      <c r="BL106" s="49">
        <f t="shared" si="310"/>
        <v>0</v>
      </c>
      <c r="BM106" s="49">
        <f t="shared" si="311"/>
        <v>0</v>
      </c>
      <c r="BN106" s="49">
        <f t="shared" si="312"/>
        <v>93173.720598</v>
      </c>
      <c r="BO106" s="49">
        <f t="shared" si="313"/>
        <v>0</v>
      </c>
      <c r="BP106" s="49">
        <f t="shared" si="314"/>
        <v>0</v>
      </c>
      <c r="BQ106" s="49">
        <f t="shared" si="315"/>
        <v>335559.61800000002</v>
      </c>
      <c r="BR106" s="49">
        <f t="shared" si="316"/>
        <v>0</v>
      </c>
      <c r="BS106" s="49">
        <f t="shared" si="317"/>
        <v>0</v>
      </c>
      <c r="BT106" s="49">
        <f t="shared" si="318"/>
        <v>335559.61800000002</v>
      </c>
      <c r="BU106" s="49">
        <f t="shared" si="319"/>
        <v>0</v>
      </c>
      <c r="BV106" s="49">
        <f t="shared" si="320"/>
        <v>0</v>
      </c>
      <c r="BW106" s="49">
        <f t="shared" si="321"/>
        <v>299486.959065</v>
      </c>
      <c r="BX106" s="49">
        <f t="shared" si="322"/>
        <v>0</v>
      </c>
      <c r="BY106" s="49">
        <f t="shared" si="323"/>
        <v>0</v>
      </c>
      <c r="BZ106" s="49">
        <f t="shared" si="324"/>
        <v>299486.959065</v>
      </c>
      <c r="CA106" s="49">
        <f t="shared" si="325"/>
        <v>0</v>
      </c>
      <c r="CB106" s="49">
        <f t="shared" si="326"/>
        <v>0</v>
      </c>
      <c r="CC106" s="49">
        <f t="shared" si="327"/>
        <v>67111.923599999995</v>
      </c>
      <c r="CD106" s="49">
        <f t="shared" si="328"/>
        <v>0</v>
      </c>
      <c r="CE106" s="49">
        <f t="shared" si="329"/>
        <v>0</v>
      </c>
      <c r="CF106" s="49">
        <f t="shared" si="330"/>
        <v>67111.923599999995</v>
      </c>
      <c r="CG106" s="49">
        <f t="shared" si="331"/>
        <v>0</v>
      </c>
      <c r="CH106" s="49">
        <f t="shared" si="332"/>
        <v>0</v>
      </c>
      <c r="CI106" s="49">
        <f t="shared" si="333"/>
        <v>89482.564800000007</v>
      </c>
      <c r="CJ106" s="49">
        <f t="shared" si="334"/>
        <v>0</v>
      </c>
      <c r="CK106" s="49">
        <f t="shared" si="335"/>
        <v>0</v>
      </c>
      <c r="CL106" s="49">
        <f t="shared" si="336"/>
        <v>89482.564800000007</v>
      </c>
      <c r="CM106" s="49">
        <f t="shared" si="337"/>
        <v>0</v>
      </c>
      <c r="CN106" s="49">
        <f t="shared" si="338"/>
        <v>0</v>
      </c>
      <c r="CO106" s="49">
        <f t="shared" si="339"/>
        <v>884814.78606299998</v>
      </c>
      <c r="CP106" s="49">
        <f t="shared" si="340"/>
        <v>0</v>
      </c>
      <c r="CQ106" s="49">
        <f t="shared" si="341"/>
        <v>0</v>
      </c>
      <c r="CR106" s="81">
        <f t="shared" si="342"/>
        <v>884814.78606299998</v>
      </c>
      <c r="CS106" s="80">
        <f t="shared" si="343"/>
        <v>1352249.333937</v>
      </c>
      <c r="CT106" s="54"/>
      <c r="CU106" s="3" t="str">
        <f t="shared" si="344"/>
        <v>ARS</v>
      </c>
      <c r="CV106" s="3">
        <f>VLOOKUP(CU106,DF:DG,2,0)</f>
        <v>6.9185169999999997E-4</v>
      </c>
      <c r="CW106" s="23">
        <f t="shared" si="345"/>
        <v>1547.716614431004</v>
      </c>
      <c r="CX106" s="23">
        <f t="shared" si="346"/>
        <v>64.462396991051307</v>
      </c>
      <c r="CY106" s="23">
        <f t="shared" si="347"/>
        <v>232.15749216465059</v>
      </c>
      <c r="CZ106" s="23">
        <f t="shared" si="348"/>
        <v>207.20056175695066</v>
      </c>
      <c r="DA106" s="23">
        <f t="shared" si="349"/>
        <v>46.431498432930113</v>
      </c>
      <c r="DB106" s="23">
        <f t="shared" si="350"/>
        <v>61.90866457724016</v>
      </c>
      <c r="DC106" s="23">
        <f t="shared" si="351"/>
        <v>935.55600050818111</v>
      </c>
      <c r="DD106" s="34" t="str">
        <f>VLOOKUP(A106,'Billing Report'!H:I,2,FALSE)</f>
        <v>PS_PERSO_ECST2025_EXBRD_TW_BRD_NAC_AWA_VID-16.1</v>
      </c>
      <c r="DE106" s="34"/>
      <c r="DF106" s="61"/>
      <c r="DG106" s="62"/>
      <c r="DH106"/>
      <c r="DI106" s="41"/>
      <c r="DJ106" s="41"/>
    </row>
    <row r="107" spans="1:114" ht="14.5" x14ac:dyDescent="0.35">
      <c r="A107" s="63">
        <v>40800029</v>
      </c>
      <c r="B107" s="3" t="s">
        <v>690</v>
      </c>
      <c r="C107" s="3">
        <v>322476101</v>
      </c>
      <c r="D107" s="3" t="s">
        <v>93</v>
      </c>
      <c r="G107" s="38">
        <v>2772458.76</v>
      </c>
      <c r="J107" s="33">
        <f>VLOOKUP($B107,'IMS Commission List'!E:CE,79,0)/100</f>
        <v>0.15</v>
      </c>
      <c r="K107" s="79">
        <f t="shared" si="264"/>
        <v>2772458.76</v>
      </c>
      <c r="L107" s="3" t="str">
        <f>VLOOKUP($B107,'IMS Commission List'!E:V,18,0)</f>
        <v>ARS</v>
      </c>
      <c r="M107" s="3">
        <v>1</v>
      </c>
      <c r="N107" s="3" t="str">
        <f>VLOOKUP($B107,'IMS Commission List'!E:T,16,0)</f>
        <v>MX</v>
      </c>
      <c r="O107" s="54">
        <f>VLOOKUP($B107,'IMS Commission List'!E:CF,80,0)</f>
        <v>4.9000000000000002E-2</v>
      </c>
      <c r="P107" s="54">
        <f>VLOOKUP($B107,'IMS Commission List'!E:CG,81,0)</f>
        <v>0.1575</v>
      </c>
      <c r="Q107" s="54">
        <f>VLOOKUP($B107,'IMS Commission List'!E:CP,90,0)</f>
        <v>0.03</v>
      </c>
      <c r="R107" s="54">
        <f>VLOOKUP($B107,'IMS Commission List'!E:CQ,91,0)</f>
        <v>0.04</v>
      </c>
      <c r="S107" s="47">
        <f t="shared" si="265"/>
        <v>0</v>
      </c>
      <c r="T107" s="48">
        <f t="shared" si="266"/>
        <v>0</v>
      </c>
      <c r="U107" s="48">
        <f t="shared" si="267"/>
        <v>2772458.76</v>
      </c>
      <c r="V107" s="48">
        <f t="shared" si="268"/>
        <v>0</v>
      </c>
      <c r="W107" s="48">
        <f t="shared" si="269"/>
        <v>0</v>
      </c>
      <c r="X107" s="49">
        <f t="shared" si="270"/>
        <v>2772458.76</v>
      </c>
      <c r="Y107" s="49">
        <f t="shared" si="271"/>
        <v>0</v>
      </c>
      <c r="Z107" s="49">
        <f t="shared" si="272"/>
        <v>0</v>
      </c>
      <c r="AA107" s="49">
        <f t="shared" si="273"/>
        <v>115472.90735399998</v>
      </c>
      <c r="AB107" s="49">
        <f t="shared" si="274"/>
        <v>0</v>
      </c>
      <c r="AC107" s="49">
        <f t="shared" si="275"/>
        <v>0</v>
      </c>
      <c r="AD107" s="49">
        <f t="shared" si="276"/>
        <v>115472.90735399998</v>
      </c>
      <c r="AE107" s="49">
        <f t="shared" si="277"/>
        <v>0</v>
      </c>
      <c r="AF107" s="49">
        <f t="shared" si="278"/>
        <v>0</v>
      </c>
      <c r="AG107" s="49">
        <f t="shared" si="279"/>
        <v>415868.81399999995</v>
      </c>
      <c r="AH107" s="49">
        <f t="shared" si="280"/>
        <v>0</v>
      </c>
      <c r="AI107" s="49">
        <f t="shared" si="281"/>
        <v>0</v>
      </c>
      <c r="AJ107" s="49">
        <f t="shared" si="282"/>
        <v>415868.81399999995</v>
      </c>
      <c r="AK107" s="49">
        <f t="shared" si="283"/>
        <v>0</v>
      </c>
      <c r="AL107" s="49">
        <f t="shared" si="284"/>
        <v>0</v>
      </c>
      <c r="AM107" s="49">
        <f t="shared" si="285"/>
        <v>371162.91649499995</v>
      </c>
      <c r="AN107" s="49">
        <f t="shared" si="286"/>
        <v>0</v>
      </c>
      <c r="AO107" s="49">
        <f t="shared" si="287"/>
        <v>0</v>
      </c>
      <c r="AP107" s="49">
        <f t="shared" si="288"/>
        <v>371162.91649499995</v>
      </c>
      <c r="AQ107" s="49">
        <f t="shared" si="289"/>
        <v>0</v>
      </c>
      <c r="AR107" s="49">
        <f t="shared" si="290"/>
        <v>0</v>
      </c>
      <c r="AS107" s="49">
        <f t="shared" si="291"/>
        <v>83173.762799999997</v>
      </c>
      <c r="AT107" s="49">
        <f t="shared" si="292"/>
        <v>0</v>
      </c>
      <c r="AU107" s="49">
        <f t="shared" si="293"/>
        <v>0</v>
      </c>
      <c r="AV107" s="49">
        <f t="shared" si="294"/>
        <v>83173.762799999997</v>
      </c>
      <c r="AW107" s="49">
        <f t="shared" si="295"/>
        <v>0</v>
      </c>
      <c r="AX107" s="49">
        <f t="shared" si="296"/>
        <v>0</v>
      </c>
      <c r="AY107" s="49">
        <f t="shared" si="297"/>
        <v>110898.3504</v>
      </c>
      <c r="AZ107" s="49">
        <f t="shared" si="298"/>
        <v>0</v>
      </c>
      <c r="BA107" s="49">
        <f t="shared" si="299"/>
        <v>0</v>
      </c>
      <c r="BB107" s="49">
        <f t="shared" si="300"/>
        <v>110898.3504</v>
      </c>
      <c r="BC107" s="49">
        <f t="shared" si="301"/>
        <v>0</v>
      </c>
      <c r="BD107" s="49">
        <f t="shared" si="302"/>
        <v>0</v>
      </c>
      <c r="BE107" s="49">
        <f t="shared" si="303"/>
        <v>1096576.7510489998</v>
      </c>
      <c r="BF107" s="49">
        <f t="shared" si="304"/>
        <v>0</v>
      </c>
      <c r="BG107" s="49">
        <f t="shared" si="305"/>
        <v>0</v>
      </c>
      <c r="BH107" s="49">
        <f t="shared" si="306"/>
        <v>1096576.7510489998</v>
      </c>
      <c r="BI107" s="49">
        <f t="shared" si="307"/>
        <v>0</v>
      </c>
      <c r="BJ107" s="49">
        <f t="shared" si="308"/>
        <v>0</v>
      </c>
      <c r="BK107" s="49">
        <f t="shared" si="309"/>
        <v>115472.90735399998</v>
      </c>
      <c r="BL107" s="49">
        <f t="shared" si="310"/>
        <v>0</v>
      </c>
      <c r="BM107" s="49">
        <f t="shared" si="311"/>
        <v>0</v>
      </c>
      <c r="BN107" s="49">
        <f t="shared" si="312"/>
        <v>115472.90735399998</v>
      </c>
      <c r="BO107" s="49">
        <f t="shared" si="313"/>
        <v>0</v>
      </c>
      <c r="BP107" s="49">
        <f t="shared" si="314"/>
        <v>0</v>
      </c>
      <c r="BQ107" s="49">
        <f t="shared" si="315"/>
        <v>415868.81399999995</v>
      </c>
      <c r="BR107" s="49">
        <f t="shared" si="316"/>
        <v>0</v>
      </c>
      <c r="BS107" s="49">
        <f t="shared" si="317"/>
        <v>0</v>
      </c>
      <c r="BT107" s="49">
        <f t="shared" si="318"/>
        <v>415868.81399999995</v>
      </c>
      <c r="BU107" s="49">
        <f t="shared" si="319"/>
        <v>0</v>
      </c>
      <c r="BV107" s="49">
        <f t="shared" si="320"/>
        <v>0</v>
      </c>
      <c r="BW107" s="49">
        <f t="shared" si="321"/>
        <v>371162.91649499995</v>
      </c>
      <c r="BX107" s="49">
        <f t="shared" si="322"/>
        <v>0</v>
      </c>
      <c r="BY107" s="49">
        <f t="shared" si="323"/>
        <v>0</v>
      </c>
      <c r="BZ107" s="49">
        <f t="shared" si="324"/>
        <v>371162.91649499995</v>
      </c>
      <c r="CA107" s="49">
        <f t="shared" si="325"/>
        <v>0</v>
      </c>
      <c r="CB107" s="49">
        <f t="shared" si="326"/>
        <v>0</v>
      </c>
      <c r="CC107" s="49">
        <f t="shared" si="327"/>
        <v>83173.762799999997</v>
      </c>
      <c r="CD107" s="49">
        <f t="shared" si="328"/>
        <v>0</v>
      </c>
      <c r="CE107" s="49">
        <f t="shared" si="329"/>
        <v>0</v>
      </c>
      <c r="CF107" s="49">
        <f t="shared" si="330"/>
        <v>83173.762799999997</v>
      </c>
      <c r="CG107" s="49">
        <f t="shared" si="331"/>
        <v>0</v>
      </c>
      <c r="CH107" s="49">
        <f t="shared" si="332"/>
        <v>0</v>
      </c>
      <c r="CI107" s="49">
        <f t="shared" si="333"/>
        <v>110898.3504</v>
      </c>
      <c r="CJ107" s="49">
        <f t="shared" si="334"/>
        <v>0</v>
      </c>
      <c r="CK107" s="49">
        <f t="shared" si="335"/>
        <v>0</v>
      </c>
      <c r="CL107" s="49">
        <f t="shared" si="336"/>
        <v>110898.3504</v>
      </c>
      <c r="CM107" s="49">
        <f t="shared" si="337"/>
        <v>0</v>
      </c>
      <c r="CN107" s="49">
        <f t="shared" si="338"/>
        <v>0</v>
      </c>
      <c r="CO107" s="49">
        <f t="shared" si="339"/>
        <v>1096576.7510489998</v>
      </c>
      <c r="CP107" s="49">
        <f t="shared" si="340"/>
        <v>0</v>
      </c>
      <c r="CQ107" s="49">
        <f t="shared" si="341"/>
        <v>0</v>
      </c>
      <c r="CR107" s="81">
        <f t="shared" si="342"/>
        <v>1096576.7510489998</v>
      </c>
      <c r="CS107" s="80">
        <f t="shared" si="343"/>
        <v>1675882.0089509999</v>
      </c>
      <c r="CT107" s="54"/>
      <c r="CU107" s="3" t="str">
        <f t="shared" si="344"/>
        <v>ARS</v>
      </c>
      <c r="CV107" s="3">
        <f>VLOOKUP(CU107,DF:DG,2,0)</f>
        <v>6.9185169999999997E-4</v>
      </c>
      <c r="CW107" s="23">
        <f t="shared" si="345"/>
        <v>1918.1303062858917</v>
      </c>
      <c r="CX107" s="23">
        <f t="shared" si="346"/>
        <v>79.890127256807389</v>
      </c>
      <c r="CY107" s="23">
        <f t="shared" si="347"/>
        <v>287.71954594288377</v>
      </c>
      <c r="CZ107" s="23">
        <f t="shared" si="348"/>
        <v>256.78969475402374</v>
      </c>
      <c r="DA107" s="23">
        <f t="shared" si="349"/>
        <v>57.543909188576755</v>
      </c>
      <c r="DB107" s="23">
        <f t="shared" si="350"/>
        <v>76.725212251435678</v>
      </c>
      <c r="DC107" s="23">
        <f t="shared" si="351"/>
        <v>1159.4618168921645</v>
      </c>
      <c r="DD107" s="34" t="str">
        <f>VLOOKUP(A107,'Billing Report'!H:I,2,FALSE)</f>
        <v>PS_PERSO_ECST2025_EXBRD_TW_BRD_NAC_AWA_IMG-16.1</v>
      </c>
      <c r="DE107" s="34"/>
      <c r="DF107" s="61"/>
      <c r="DG107" s="62"/>
      <c r="DH107"/>
      <c r="DI107" s="41"/>
      <c r="DJ107" s="41"/>
    </row>
    <row r="108" spans="1:114" ht="14.5" x14ac:dyDescent="0.35">
      <c r="A108" s="63">
        <v>40979602</v>
      </c>
      <c r="B108" s="3" t="s">
        <v>692</v>
      </c>
      <c r="C108" s="3">
        <v>322531401</v>
      </c>
      <c r="D108" s="3" t="s">
        <v>93</v>
      </c>
      <c r="G108" s="38">
        <v>192683.22</v>
      </c>
      <c r="J108" s="33">
        <f>VLOOKUP($B108,'IMS Commission List'!E:CE,79,0)/100</f>
        <v>0.15</v>
      </c>
      <c r="K108" s="79">
        <f t="shared" si="264"/>
        <v>192683.22</v>
      </c>
      <c r="L108" s="3" t="str">
        <f>VLOOKUP($B108,'IMS Commission List'!E:V,18,0)</f>
        <v>ARS</v>
      </c>
      <c r="M108" s="3">
        <v>1</v>
      </c>
      <c r="N108" s="3" t="str">
        <f>VLOOKUP($B108,'IMS Commission List'!E:T,16,0)</f>
        <v>MX</v>
      </c>
      <c r="O108" s="54">
        <f>VLOOKUP($B108,'IMS Commission List'!E:CF,80,0)</f>
        <v>4.9000000000000002E-2</v>
      </c>
      <c r="P108" s="54">
        <f>VLOOKUP($B108,'IMS Commission List'!E:CG,81,0)</f>
        <v>0.1575</v>
      </c>
      <c r="Q108" s="54">
        <f>VLOOKUP($B108,'IMS Commission List'!E:CP,90,0)</f>
        <v>0.03</v>
      </c>
      <c r="R108" s="54">
        <f>VLOOKUP($B108,'IMS Commission List'!E:CQ,91,0)</f>
        <v>0.04</v>
      </c>
      <c r="S108" s="47">
        <f t="shared" si="265"/>
        <v>0</v>
      </c>
      <c r="T108" s="48">
        <f t="shared" si="266"/>
        <v>0</v>
      </c>
      <c r="U108" s="48">
        <f t="shared" si="267"/>
        <v>192683.22</v>
      </c>
      <c r="V108" s="48">
        <f t="shared" si="268"/>
        <v>0</v>
      </c>
      <c r="W108" s="48">
        <f t="shared" si="269"/>
        <v>0</v>
      </c>
      <c r="X108" s="49">
        <f t="shared" si="270"/>
        <v>192683.22</v>
      </c>
      <c r="Y108" s="49">
        <f t="shared" si="271"/>
        <v>0</v>
      </c>
      <c r="Z108" s="49">
        <f t="shared" si="272"/>
        <v>0</v>
      </c>
      <c r="AA108" s="49">
        <f t="shared" si="273"/>
        <v>8025.2561130000004</v>
      </c>
      <c r="AB108" s="49">
        <f t="shared" si="274"/>
        <v>0</v>
      </c>
      <c r="AC108" s="49">
        <f t="shared" si="275"/>
        <v>0</v>
      </c>
      <c r="AD108" s="49">
        <f t="shared" si="276"/>
        <v>8025.2561130000004</v>
      </c>
      <c r="AE108" s="49">
        <f t="shared" si="277"/>
        <v>0</v>
      </c>
      <c r="AF108" s="49">
        <f t="shared" si="278"/>
        <v>0</v>
      </c>
      <c r="AG108" s="49">
        <f t="shared" si="279"/>
        <v>28902.483</v>
      </c>
      <c r="AH108" s="49">
        <f t="shared" si="280"/>
        <v>0</v>
      </c>
      <c r="AI108" s="49">
        <f t="shared" si="281"/>
        <v>0</v>
      </c>
      <c r="AJ108" s="49">
        <f t="shared" si="282"/>
        <v>28902.483</v>
      </c>
      <c r="AK108" s="49">
        <f t="shared" si="283"/>
        <v>0</v>
      </c>
      <c r="AL108" s="49">
        <f t="shared" si="284"/>
        <v>0</v>
      </c>
      <c r="AM108" s="49">
        <f t="shared" si="285"/>
        <v>25795.466077499997</v>
      </c>
      <c r="AN108" s="49">
        <f t="shared" si="286"/>
        <v>0</v>
      </c>
      <c r="AO108" s="49">
        <f t="shared" si="287"/>
        <v>0</v>
      </c>
      <c r="AP108" s="49">
        <f t="shared" si="288"/>
        <v>25795.466077499997</v>
      </c>
      <c r="AQ108" s="49">
        <f t="shared" si="289"/>
        <v>0</v>
      </c>
      <c r="AR108" s="49">
        <f t="shared" si="290"/>
        <v>0</v>
      </c>
      <c r="AS108" s="49">
        <f t="shared" si="291"/>
        <v>5780.4965999999995</v>
      </c>
      <c r="AT108" s="49">
        <f t="shared" si="292"/>
        <v>0</v>
      </c>
      <c r="AU108" s="49">
        <f t="shared" si="293"/>
        <v>0</v>
      </c>
      <c r="AV108" s="49">
        <f t="shared" si="294"/>
        <v>5780.4965999999995</v>
      </c>
      <c r="AW108" s="49">
        <f t="shared" si="295"/>
        <v>0</v>
      </c>
      <c r="AX108" s="49">
        <f t="shared" si="296"/>
        <v>0</v>
      </c>
      <c r="AY108" s="49">
        <f t="shared" si="297"/>
        <v>7707.3288000000002</v>
      </c>
      <c r="AZ108" s="49">
        <f t="shared" si="298"/>
        <v>0</v>
      </c>
      <c r="BA108" s="49">
        <f t="shared" si="299"/>
        <v>0</v>
      </c>
      <c r="BB108" s="49">
        <f t="shared" si="300"/>
        <v>7707.3288000000002</v>
      </c>
      <c r="BC108" s="49">
        <f t="shared" si="301"/>
        <v>0</v>
      </c>
      <c r="BD108" s="49">
        <f t="shared" si="302"/>
        <v>0</v>
      </c>
      <c r="BE108" s="49">
        <f t="shared" si="303"/>
        <v>76211.030590499999</v>
      </c>
      <c r="BF108" s="49">
        <f t="shared" si="304"/>
        <v>0</v>
      </c>
      <c r="BG108" s="49">
        <f t="shared" si="305"/>
        <v>0</v>
      </c>
      <c r="BH108" s="49">
        <f t="shared" si="306"/>
        <v>76211.030590499999</v>
      </c>
      <c r="BI108" s="49">
        <f t="shared" si="307"/>
        <v>0</v>
      </c>
      <c r="BJ108" s="49">
        <f t="shared" si="308"/>
        <v>0</v>
      </c>
      <c r="BK108" s="49">
        <f t="shared" si="309"/>
        <v>8025.2561130000004</v>
      </c>
      <c r="BL108" s="49">
        <f t="shared" si="310"/>
        <v>0</v>
      </c>
      <c r="BM108" s="49">
        <f t="shared" si="311"/>
        <v>0</v>
      </c>
      <c r="BN108" s="49">
        <f t="shared" si="312"/>
        <v>8025.2561130000004</v>
      </c>
      <c r="BO108" s="49">
        <f t="shared" si="313"/>
        <v>0</v>
      </c>
      <c r="BP108" s="49">
        <f t="shared" si="314"/>
        <v>0</v>
      </c>
      <c r="BQ108" s="49">
        <f t="shared" si="315"/>
        <v>28902.483</v>
      </c>
      <c r="BR108" s="49">
        <f t="shared" si="316"/>
        <v>0</v>
      </c>
      <c r="BS108" s="49">
        <f t="shared" si="317"/>
        <v>0</v>
      </c>
      <c r="BT108" s="49">
        <f t="shared" si="318"/>
        <v>28902.483</v>
      </c>
      <c r="BU108" s="49">
        <f t="shared" si="319"/>
        <v>0</v>
      </c>
      <c r="BV108" s="49">
        <f t="shared" si="320"/>
        <v>0</v>
      </c>
      <c r="BW108" s="49">
        <f t="shared" si="321"/>
        <v>25795.466077499997</v>
      </c>
      <c r="BX108" s="49">
        <f t="shared" si="322"/>
        <v>0</v>
      </c>
      <c r="BY108" s="49">
        <f t="shared" si="323"/>
        <v>0</v>
      </c>
      <c r="BZ108" s="49">
        <f t="shared" si="324"/>
        <v>25795.466077499997</v>
      </c>
      <c r="CA108" s="49">
        <f t="shared" si="325"/>
        <v>0</v>
      </c>
      <c r="CB108" s="49">
        <f t="shared" si="326"/>
        <v>0</v>
      </c>
      <c r="CC108" s="49">
        <f t="shared" si="327"/>
        <v>5780.4965999999995</v>
      </c>
      <c r="CD108" s="49">
        <f t="shared" si="328"/>
        <v>0</v>
      </c>
      <c r="CE108" s="49">
        <f t="shared" si="329"/>
        <v>0</v>
      </c>
      <c r="CF108" s="49">
        <f t="shared" si="330"/>
        <v>5780.4965999999995</v>
      </c>
      <c r="CG108" s="49">
        <f t="shared" si="331"/>
        <v>0</v>
      </c>
      <c r="CH108" s="49">
        <f t="shared" si="332"/>
        <v>0</v>
      </c>
      <c r="CI108" s="49">
        <f t="shared" si="333"/>
        <v>7707.3288000000002</v>
      </c>
      <c r="CJ108" s="49">
        <f t="shared" si="334"/>
        <v>0</v>
      </c>
      <c r="CK108" s="49">
        <f t="shared" si="335"/>
        <v>0</v>
      </c>
      <c r="CL108" s="49">
        <f t="shared" si="336"/>
        <v>7707.3288000000002</v>
      </c>
      <c r="CM108" s="49">
        <f t="shared" si="337"/>
        <v>0</v>
      </c>
      <c r="CN108" s="49">
        <f t="shared" si="338"/>
        <v>0</v>
      </c>
      <c r="CO108" s="49">
        <f t="shared" si="339"/>
        <v>76211.030590499999</v>
      </c>
      <c r="CP108" s="49">
        <f t="shared" si="340"/>
        <v>0</v>
      </c>
      <c r="CQ108" s="49">
        <f t="shared" si="341"/>
        <v>0</v>
      </c>
      <c r="CR108" s="81">
        <f t="shared" si="342"/>
        <v>76211.030590499999</v>
      </c>
      <c r="CS108" s="80">
        <f t="shared" si="343"/>
        <v>116472.1894095</v>
      </c>
      <c r="CT108" s="54"/>
      <c r="CU108" s="3" t="str">
        <f t="shared" si="344"/>
        <v>ARS</v>
      </c>
      <c r="CV108" s="3">
        <f>VLOOKUP(CU108,DF:DG,2,0)</f>
        <v>6.9185169999999997E-4</v>
      </c>
      <c r="CW108" s="23">
        <f t="shared" si="345"/>
        <v>133.308213318474</v>
      </c>
      <c r="CX108" s="23">
        <f t="shared" si="346"/>
        <v>5.5522870847144423</v>
      </c>
      <c r="CY108" s="23">
        <f t="shared" si="347"/>
        <v>19.996231997771098</v>
      </c>
      <c r="CZ108" s="23">
        <f t="shared" si="348"/>
        <v>17.846637058010703</v>
      </c>
      <c r="DA108" s="23">
        <f t="shared" si="349"/>
        <v>3.9992463995542193</v>
      </c>
      <c r="DB108" s="23">
        <f t="shared" si="350"/>
        <v>5.33232853273896</v>
      </c>
      <c r="DC108" s="23">
        <f t="shared" si="351"/>
        <v>80.581482245684569</v>
      </c>
      <c r="DD108" s="34" t="str">
        <f>VLOOKUP(A108,'Billing Report'!H:I,2,FALSE)</f>
        <v>2035_sp_2026_pc-vuelta-a-clases-24-al-26_feb_arg_trafico_cpc</v>
      </c>
      <c r="DE108" s="34"/>
      <c r="DF108" s="61"/>
      <c r="DG108" s="62"/>
      <c r="DH108"/>
      <c r="DI108" s="41"/>
      <c r="DJ108" s="41"/>
    </row>
    <row r="109" spans="1:114" ht="14.5" x14ac:dyDescent="0.35">
      <c r="A109" s="63">
        <v>40979598</v>
      </c>
      <c r="B109" s="3" t="s">
        <v>692</v>
      </c>
      <c r="C109" s="3">
        <v>322531401</v>
      </c>
      <c r="D109" s="3" t="s">
        <v>93</v>
      </c>
      <c r="G109" s="38">
        <v>100000</v>
      </c>
      <c r="J109" s="33">
        <f>VLOOKUP($B109,'IMS Commission List'!E:CE,79,0)/100</f>
        <v>0.15</v>
      </c>
      <c r="K109" s="79">
        <f t="shared" si="264"/>
        <v>100000</v>
      </c>
      <c r="L109" s="3" t="str">
        <f>VLOOKUP($B109,'IMS Commission List'!E:V,18,0)</f>
        <v>ARS</v>
      </c>
      <c r="M109" s="3">
        <v>1</v>
      </c>
      <c r="N109" s="3" t="str">
        <f>VLOOKUP($B109,'IMS Commission List'!E:T,16,0)</f>
        <v>MX</v>
      </c>
      <c r="O109" s="54">
        <f>VLOOKUP($B109,'IMS Commission List'!E:CF,80,0)</f>
        <v>4.9000000000000002E-2</v>
      </c>
      <c r="P109" s="54">
        <f>VLOOKUP($B109,'IMS Commission List'!E:CG,81,0)</f>
        <v>0.1575</v>
      </c>
      <c r="Q109" s="54">
        <f>VLOOKUP($B109,'IMS Commission List'!E:CP,90,0)</f>
        <v>0.03</v>
      </c>
      <c r="R109" s="54">
        <f>VLOOKUP($B109,'IMS Commission List'!E:CQ,91,0)</f>
        <v>0.04</v>
      </c>
      <c r="S109" s="47">
        <f t="shared" si="265"/>
        <v>0</v>
      </c>
      <c r="T109" s="48">
        <f t="shared" si="266"/>
        <v>0</v>
      </c>
      <c r="U109" s="48">
        <f t="shared" si="267"/>
        <v>100000</v>
      </c>
      <c r="V109" s="48">
        <f t="shared" si="268"/>
        <v>0</v>
      </c>
      <c r="W109" s="48">
        <f t="shared" si="269"/>
        <v>0</v>
      </c>
      <c r="X109" s="49">
        <f t="shared" si="270"/>
        <v>100000</v>
      </c>
      <c r="Y109" s="49">
        <f t="shared" si="271"/>
        <v>0</v>
      </c>
      <c r="Z109" s="49">
        <f t="shared" si="272"/>
        <v>0</v>
      </c>
      <c r="AA109" s="49">
        <f t="shared" si="273"/>
        <v>4165</v>
      </c>
      <c r="AB109" s="49">
        <f t="shared" si="274"/>
        <v>0</v>
      </c>
      <c r="AC109" s="49">
        <f t="shared" si="275"/>
        <v>0</v>
      </c>
      <c r="AD109" s="49">
        <f t="shared" si="276"/>
        <v>4165</v>
      </c>
      <c r="AE109" s="49">
        <f t="shared" si="277"/>
        <v>0</v>
      </c>
      <c r="AF109" s="49">
        <f t="shared" si="278"/>
        <v>0</v>
      </c>
      <c r="AG109" s="49">
        <f t="shared" si="279"/>
        <v>15000</v>
      </c>
      <c r="AH109" s="49">
        <f t="shared" si="280"/>
        <v>0</v>
      </c>
      <c r="AI109" s="49">
        <f t="shared" si="281"/>
        <v>0</v>
      </c>
      <c r="AJ109" s="49">
        <f t="shared" si="282"/>
        <v>15000</v>
      </c>
      <c r="AK109" s="49">
        <f t="shared" si="283"/>
        <v>0</v>
      </c>
      <c r="AL109" s="49">
        <f t="shared" si="284"/>
        <v>0</v>
      </c>
      <c r="AM109" s="49">
        <f t="shared" si="285"/>
        <v>13387.5</v>
      </c>
      <c r="AN109" s="49">
        <f t="shared" si="286"/>
        <v>0</v>
      </c>
      <c r="AO109" s="49">
        <f t="shared" si="287"/>
        <v>0</v>
      </c>
      <c r="AP109" s="49">
        <f t="shared" si="288"/>
        <v>13387.5</v>
      </c>
      <c r="AQ109" s="49">
        <f t="shared" si="289"/>
        <v>0</v>
      </c>
      <c r="AR109" s="49">
        <f t="shared" si="290"/>
        <v>0</v>
      </c>
      <c r="AS109" s="49">
        <f t="shared" si="291"/>
        <v>3000</v>
      </c>
      <c r="AT109" s="49">
        <f t="shared" si="292"/>
        <v>0</v>
      </c>
      <c r="AU109" s="49">
        <f t="shared" si="293"/>
        <v>0</v>
      </c>
      <c r="AV109" s="49">
        <f t="shared" si="294"/>
        <v>3000</v>
      </c>
      <c r="AW109" s="49">
        <f t="shared" si="295"/>
        <v>0</v>
      </c>
      <c r="AX109" s="49">
        <f t="shared" si="296"/>
        <v>0</v>
      </c>
      <c r="AY109" s="49">
        <f t="shared" si="297"/>
        <v>4000</v>
      </c>
      <c r="AZ109" s="49">
        <f t="shared" si="298"/>
        <v>0</v>
      </c>
      <c r="BA109" s="49">
        <f t="shared" si="299"/>
        <v>0</v>
      </c>
      <c r="BB109" s="49">
        <f t="shared" si="300"/>
        <v>4000</v>
      </c>
      <c r="BC109" s="49">
        <f t="shared" si="301"/>
        <v>0</v>
      </c>
      <c r="BD109" s="49">
        <f t="shared" si="302"/>
        <v>0</v>
      </c>
      <c r="BE109" s="49">
        <f t="shared" si="303"/>
        <v>39552.5</v>
      </c>
      <c r="BF109" s="49">
        <f t="shared" si="304"/>
        <v>0</v>
      </c>
      <c r="BG109" s="49">
        <f t="shared" si="305"/>
        <v>0</v>
      </c>
      <c r="BH109" s="49">
        <f t="shared" si="306"/>
        <v>39552.5</v>
      </c>
      <c r="BI109" s="49">
        <f t="shared" si="307"/>
        <v>0</v>
      </c>
      <c r="BJ109" s="49">
        <f t="shared" si="308"/>
        <v>0</v>
      </c>
      <c r="BK109" s="49">
        <f t="shared" si="309"/>
        <v>4165</v>
      </c>
      <c r="BL109" s="49">
        <f t="shared" si="310"/>
        <v>0</v>
      </c>
      <c r="BM109" s="49">
        <f t="shared" si="311"/>
        <v>0</v>
      </c>
      <c r="BN109" s="49">
        <f t="shared" si="312"/>
        <v>4165</v>
      </c>
      <c r="BO109" s="49">
        <f t="shared" si="313"/>
        <v>0</v>
      </c>
      <c r="BP109" s="49">
        <f t="shared" si="314"/>
        <v>0</v>
      </c>
      <c r="BQ109" s="49">
        <f t="shared" si="315"/>
        <v>15000</v>
      </c>
      <c r="BR109" s="49">
        <f t="shared" si="316"/>
        <v>0</v>
      </c>
      <c r="BS109" s="49">
        <f t="shared" si="317"/>
        <v>0</v>
      </c>
      <c r="BT109" s="49">
        <f t="shared" si="318"/>
        <v>15000</v>
      </c>
      <c r="BU109" s="49">
        <f t="shared" si="319"/>
        <v>0</v>
      </c>
      <c r="BV109" s="49">
        <f t="shared" si="320"/>
        <v>0</v>
      </c>
      <c r="BW109" s="49">
        <f t="shared" si="321"/>
        <v>13387.5</v>
      </c>
      <c r="BX109" s="49">
        <f t="shared" si="322"/>
        <v>0</v>
      </c>
      <c r="BY109" s="49">
        <f t="shared" si="323"/>
        <v>0</v>
      </c>
      <c r="BZ109" s="49">
        <f t="shared" si="324"/>
        <v>13387.5</v>
      </c>
      <c r="CA109" s="49">
        <f t="shared" si="325"/>
        <v>0</v>
      </c>
      <c r="CB109" s="49">
        <f t="shared" si="326"/>
        <v>0</v>
      </c>
      <c r="CC109" s="49">
        <f t="shared" si="327"/>
        <v>3000</v>
      </c>
      <c r="CD109" s="49">
        <f t="shared" si="328"/>
        <v>0</v>
      </c>
      <c r="CE109" s="49">
        <f t="shared" si="329"/>
        <v>0</v>
      </c>
      <c r="CF109" s="49">
        <f t="shared" si="330"/>
        <v>3000</v>
      </c>
      <c r="CG109" s="49">
        <f t="shared" si="331"/>
        <v>0</v>
      </c>
      <c r="CH109" s="49">
        <f t="shared" si="332"/>
        <v>0</v>
      </c>
      <c r="CI109" s="49">
        <f t="shared" si="333"/>
        <v>4000</v>
      </c>
      <c r="CJ109" s="49">
        <f t="shared" si="334"/>
        <v>0</v>
      </c>
      <c r="CK109" s="49">
        <f t="shared" si="335"/>
        <v>0</v>
      </c>
      <c r="CL109" s="49">
        <f t="shared" si="336"/>
        <v>4000</v>
      </c>
      <c r="CM109" s="49">
        <f t="shared" si="337"/>
        <v>0</v>
      </c>
      <c r="CN109" s="49">
        <f t="shared" si="338"/>
        <v>0</v>
      </c>
      <c r="CO109" s="49">
        <f t="shared" si="339"/>
        <v>39552.5</v>
      </c>
      <c r="CP109" s="49">
        <f t="shared" si="340"/>
        <v>0</v>
      </c>
      <c r="CQ109" s="49">
        <f t="shared" si="341"/>
        <v>0</v>
      </c>
      <c r="CR109" s="81">
        <f t="shared" si="342"/>
        <v>39552.5</v>
      </c>
      <c r="CS109" s="80">
        <f t="shared" si="343"/>
        <v>60447.5</v>
      </c>
      <c r="CT109" s="54"/>
      <c r="CU109" s="3" t="str">
        <f t="shared" si="344"/>
        <v>ARS</v>
      </c>
      <c r="CV109" s="3">
        <f>VLOOKUP(CU109,DF:DG,2,0)</f>
        <v>6.9185169999999997E-4</v>
      </c>
      <c r="CW109" s="23">
        <f t="shared" si="345"/>
        <v>69.185169999999999</v>
      </c>
      <c r="CX109" s="23">
        <f t="shared" si="346"/>
        <v>2.8815623305</v>
      </c>
      <c r="CY109" s="23">
        <f t="shared" si="347"/>
        <v>10.3777755</v>
      </c>
      <c r="CZ109" s="23">
        <f t="shared" si="348"/>
        <v>9.2621646337500003</v>
      </c>
      <c r="DA109" s="23">
        <f t="shared" si="349"/>
        <v>2.0755550999999999</v>
      </c>
      <c r="DB109" s="23">
        <f t="shared" si="350"/>
        <v>2.7674067999999998</v>
      </c>
      <c r="DC109" s="23">
        <f t="shared" si="351"/>
        <v>41.820705635749995</v>
      </c>
      <c r="DD109" s="34" t="str">
        <f>VLOOKUP(A109,'Billing Report'!H:I,2,FALSE)</f>
        <v>2035_sp_2026_pc-vuelta-a-clases-24-al-26-feb_arg_alcance_cpm</v>
      </c>
      <c r="DE109" s="34"/>
      <c r="DF109" s="61"/>
      <c r="DG109" s="62"/>
      <c r="DH109"/>
      <c r="DI109" s="41"/>
      <c r="DJ109" s="41"/>
    </row>
    <row r="110" spans="1:114" ht="14.5" x14ac:dyDescent="0.35">
      <c r="A110" s="63">
        <v>40958412</v>
      </c>
      <c r="B110" s="3" t="s">
        <v>692</v>
      </c>
      <c r="C110" s="3">
        <v>322531401</v>
      </c>
      <c r="D110" s="3" t="s">
        <v>93</v>
      </c>
      <c r="G110" s="38">
        <v>150314.38</v>
      </c>
      <c r="J110" s="33">
        <f>VLOOKUP($B110,'IMS Commission List'!E:CE,79,0)/100</f>
        <v>0.15</v>
      </c>
      <c r="K110" s="79">
        <f t="shared" si="264"/>
        <v>150314.38</v>
      </c>
      <c r="L110" s="3" t="str">
        <f>VLOOKUP($B110,'IMS Commission List'!E:V,18,0)</f>
        <v>ARS</v>
      </c>
      <c r="M110" s="3">
        <v>1</v>
      </c>
      <c r="N110" s="3" t="str">
        <f>VLOOKUP($B110,'IMS Commission List'!E:T,16,0)</f>
        <v>MX</v>
      </c>
      <c r="O110" s="54">
        <f>VLOOKUP($B110,'IMS Commission List'!E:CF,80,0)</f>
        <v>4.9000000000000002E-2</v>
      </c>
      <c r="P110" s="54">
        <f>VLOOKUP($B110,'IMS Commission List'!E:CG,81,0)</f>
        <v>0.1575</v>
      </c>
      <c r="Q110" s="54">
        <f>VLOOKUP($B110,'IMS Commission List'!E:CP,90,0)</f>
        <v>0.03</v>
      </c>
      <c r="R110" s="54">
        <f>VLOOKUP($B110,'IMS Commission List'!E:CQ,91,0)</f>
        <v>0.04</v>
      </c>
      <c r="S110" s="47">
        <f t="shared" si="265"/>
        <v>0</v>
      </c>
      <c r="T110" s="48">
        <f t="shared" si="266"/>
        <v>0</v>
      </c>
      <c r="U110" s="48">
        <f t="shared" si="267"/>
        <v>150314.38</v>
      </c>
      <c r="V110" s="48">
        <f t="shared" si="268"/>
        <v>0</v>
      </c>
      <c r="W110" s="48">
        <f t="shared" si="269"/>
        <v>0</v>
      </c>
      <c r="X110" s="49">
        <f t="shared" si="270"/>
        <v>150314.38</v>
      </c>
      <c r="Y110" s="49">
        <f t="shared" si="271"/>
        <v>0</v>
      </c>
      <c r="Z110" s="49">
        <f t="shared" si="272"/>
        <v>0</v>
      </c>
      <c r="AA110" s="49">
        <f t="shared" si="273"/>
        <v>6260.5939269999999</v>
      </c>
      <c r="AB110" s="49">
        <f t="shared" si="274"/>
        <v>0</v>
      </c>
      <c r="AC110" s="49">
        <f t="shared" si="275"/>
        <v>0</v>
      </c>
      <c r="AD110" s="49">
        <f t="shared" si="276"/>
        <v>6260.5939269999999</v>
      </c>
      <c r="AE110" s="49">
        <f t="shared" si="277"/>
        <v>0</v>
      </c>
      <c r="AF110" s="49">
        <f t="shared" si="278"/>
        <v>0</v>
      </c>
      <c r="AG110" s="49">
        <f t="shared" si="279"/>
        <v>22547.156999999999</v>
      </c>
      <c r="AH110" s="49">
        <f t="shared" si="280"/>
        <v>0</v>
      </c>
      <c r="AI110" s="49">
        <f t="shared" si="281"/>
        <v>0</v>
      </c>
      <c r="AJ110" s="49">
        <f t="shared" si="282"/>
        <v>22547.156999999999</v>
      </c>
      <c r="AK110" s="49">
        <f t="shared" si="283"/>
        <v>0</v>
      </c>
      <c r="AL110" s="49">
        <f t="shared" si="284"/>
        <v>0</v>
      </c>
      <c r="AM110" s="49">
        <f t="shared" si="285"/>
        <v>20123.337622499999</v>
      </c>
      <c r="AN110" s="49">
        <f t="shared" si="286"/>
        <v>0</v>
      </c>
      <c r="AO110" s="49">
        <f t="shared" si="287"/>
        <v>0</v>
      </c>
      <c r="AP110" s="49">
        <f t="shared" si="288"/>
        <v>20123.337622499999</v>
      </c>
      <c r="AQ110" s="49">
        <f t="shared" si="289"/>
        <v>0</v>
      </c>
      <c r="AR110" s="49">
        <f t="shared" si="290"/>
        <v>0</v>
      </c>
      <c r="AS110" s="49">
        <f t="shared" si="291"/>
        <v>4509.4314000000004</v>
      </c>
      <c r="AT110" s="49">
        <f t="shared" si="292"/>
        <v>0</v>
      </c>
      <c r="AU110" s="49">
        <f t="shared" si="293"/>
        <v>0</v>
      </c>
      <c r="AV110" s="49">
        <f t="shared" si="294"/>
        <v>4509.4314000000004</v>
      </c>
      <c r="AW110" s="49">
        <f t="shared" si="295"/>
        <v>0</v>
      </c>
      <c r="AX110" s="49">
        <f t="shared" si="296"/>
        <v>0</v>
      </c>
      <c r="AY110" s="49">
        <f t="shared" si="297"/>
        <v>6012.5752000000002</v>
      </c>
      <c r="AZ110" s="49">
        <f t="shared" si="298"/>
        <v>0</v>
      </c>
      <c r="BA110" s="49">
        <f t="shared" si="299"/>
        <v>0</v>
      </c>
      <c r="BB110" s="49">
        <f t="shared" si="300"/>
        <v>6012.5752000000002</v>
      </c>
      <c r="BC110" s="49">
        <f t="shared" si="301"/>
        <v>0</v>
      </c>
      <c r="BD110" s="49">
        <f t="shared" si="302"/>
        <v>0</v>
      </c>
      <c r="BE110" s="49">
        <f t="shared" si="303"/>
        <v>59453.095149499997</v>
      </c>
      <c r="BF110" s="49">
        <f t="shared" si="304"/>
        <v>0</v>
      </c>
      <c r="BG110" s="49">
        <f t="shared" si="305"/>
        <v>0</v>
      </c>
      <c r="BH110" s="49">
        <f t="shared" si="306"/>
        <v>59453.095149499997</v>
      </c>
      <c r="BI110" s="49">
        <f t="shared" si="307"/>
        <v>0</v>
      </c>
      <c r="BJ110" s="49">
        <f t="shared" si="308"/>
        <v>0</v>
      </c>
      <c r="BK110" s="49">
        <f t="shared" si="309"/>
        <v>6260.5939269999999</v>
      </c>
      <c r="BL110" s="49">
        <f t="shared" si="310"/>
        <v>0</v>
      </c>
      <c r="BM110" s="49">
        <f t="shared" si="311"/>
        <v>0</v>
      </c>
      <c r="BN110" s="49">
        <f t="shared" si="312"/>
        <v>6260.5939269999999</v>
      </c>
      <c r="BO110" s="49">
        <f t="shared" si="313"/>
        <v>0</v>
      </c>
      <c r="BP110" s="49">
        <f t="shared" si="314"/>
        <v>0</v>
      </c>
      <c r="BQ110" s="49">
        <f t="shared" si="315"/>
        <v>22547.156999999999</v>
      </c>
      <c r="BR110" s="49">
        <f t="shared" si="316"/>
        <v>0</v>
      </c>
      <c r="BS110" s="49">
        <f t="shared" si="317"/>
        <v>0</v>
      </c>
      <c r="BT110" s="49">
        <f t="shared" si="318"/>
        <v>22547.156999999999</v>
      </c>
      <c r="BU110" s="49">
        <f t="shared" si="319"/>
        <v>0</v>
      </c>
      <c r="BV110" s="49">
        <f t="shared" si="320"/>
        <v>0</v>
      </c>
      <c r="BW110" s="49">
        <f t="shared" si="321"/>
        <v>20123.337622499999</v>
      </c>
      <c r="BX110" s="49">
        <f t="shared" si="322"/>
        <v>0</v>
      </c>
      <c r="BY110" s="49">
        <f t="shared" si="323"/>
        <v>0</v>
      </c>
      <c r="BZ110" s="49">
        <f t="shared" si="324"/>
        <v>20123.337622499999</v>
      </c>
      <c r="CA110" s="49">
        <f t="shared" si="325"/>
        <v>0</v>
      </c>
      <c r="CB110" s="49">
        <f t="shared" si="326"/>
        <v>0</v>
      </c>
      <c r="CC110" s="49">
        <f t="shared" si="327"/>
        <v>4509.4314000000004</v>
      </c>
      <c r="CD110" s="49">
        <f t="shared" si="328"/>
        <v>0</v>
      </c>
      <c r="CE110" s="49">
        <f t="shared" si="329"/>
        <v>0</v>
      </c>
      <c r="CF110" s="49">
        <f t="shared" si="330"/>
        <v>4509.4314000000004</v>
      </c>
      <c r="CG110" s="49">
        <f t="shared" si="331"/>
        <v>0</v>
      </c>
      <c r="CH110" s="49">
        <f t="shared" si="332"/>
        <v>0</v>
      </c>
      <c r="CI110" s="49">
        <f t="shared" si="333"/>
        <v>6012.5752000000002</v>
      </c>
      <c r="CJ110" s="49">
        <f t="shared" si="334"/>
        <v>0</v>
      </c>
      <c r="CK110" s="49">
        <f t="shared" si="335"/>
        <v>0</v>
      </c>
      <c r="CL110" s="49">
        <f t="shared" si="336"/>
        <v>6012.5752000000002</v>
      </c>
      <c r="CM110" s="49">
        <f t="shared" si="337"/>
        <v>0</v>
      </c>
      <c r="CN110" s="49">
        <f t="shared" si="338"/>
        <v>0</v>
      </c>
      <c r="CO110" s="49">
        <f t="shared" si="339"/>
        <v>59453.095149499997</v>
      </c>
      <c r="CP110" s="49">
        <f t="shared" si="340"/>
        <v>0</v>
      </c>
      <c r="CQ110" s="49">
        <f t="shared" si="341"/>
        <v>0</v>
      </c>
      <c r="CR110" s="81">
        <f t="shared" si="342"/>
        <v>59453.095149499997</v>
      </c>
      <c r="CS110" s="80">
        <f t="shared" si="343"/>
        <v>90861.2848505</v>
      </c>
      <c r="CT110" s="54"/>
      <c r="CU110" s="3" t="str">
        <f t="shared" si="344"/>
        <v>ARS</v>
      </c>
      <c r="CV110" s="3">
        <f>VLOOKUP(CU110,DF:DG,2,0)</f>
        <v>6.9185169999999997E-4</v>
      </c>
      <c r="CW110" s="23">
        <f t="shared" si="345"/>
        <v>103.995259337446</v>
      </c>
      <c r="CX110" s="23">
        <f t="shared" si="346"/>
        <v>4.3314025514046257</v>
      </c>
      <c r="CY110" s="23">
        <f t="shared" si="347"/>
        <v>15.599288900616898</v>
      </c>
      <c r="CZ110" s="23">
        <f t="shared" si="348"/>
        <v>13.922365343800582</v>
      </c>
      <c r="DA110" s="23">
        <f t="shared" si="349"/>
        <v>3.1198577801233802</v>
      </c>
      <c r="DB110" s="23">
        <f t="shared" si="350"/>
        <v>4.15981037349784</v>
      </c>
      <c r="DC110" s="23">
        <f t="shared" si="351"/>
        <v>62.862534388002665</v>
      </c>
      <c r="DD110" s="34" t="str">
        <f>VLOOKUP(A110,'Billing Report'!H:I,2,FALSE)</f>
        <v>2035_sp_2026_rico-en-data-ep9_feb_arg_trafico_cpc</v>
      </c>
      <c r="DE110" s="34"/>
      <c r="DF110" s="61"/>
      <c r="DG110" s="62"/>
      <c r="DH110"/>
      <c r="DI110" s="41"/>
      <c r="DJ110" s="41"/>
    </row>
    <row r="111" spans="1:114" ht="14.5" x14ac:dyDescent="0.35">
      <c r="A111" s="63">
        <v>40958403</v>
      </c>
      <c r="B111" s="3" t="s">
        <v>692</v>
      </c>
      <c r="C111" s="3">
        <v>322531401</v>
      </c>
      <c r="D111" s="3" t="s">
        <v>93</v>
      </c>
      <c r="G111" s="38">
        <v>47860.88</v>
      </c>
      <c r="J111" s="33">
        <f>VLOOKUP($B111,'IMS Commission List'!E:CE,79,0)/100</f>
        <v>0.15</v>
      </c>
      <c r="K111" s="79">
        <f t="shared" si="264"/>
        <v>47860.88</v>
      </c>
      <c r="L111" s="3" t="str">
        <f>VLOOKUP($B111,'IMS Commission List'!E:V,18,0)</f>
        <v>ARS</v>
      </c>
      <c r="M111" s="3">
        <v>1</v>
      </c>
      <c r="N111" s="3" t="str">
        <f>VLOOKUP($B111,'IMS Commission List'!E:T,16,0)</f>
        <v>MX</v>
      </c>
      <c r="O111" s="54">
        <f>VLOOKUP($B111,'IMS Commission List'!E:CF,80,0)</f>
        <v>4.9000000000000002E-2</v>
      </c>
      <c r="P111" s="54">
        <f>VLOOKUP($B111,'IMS Commission List'!E:CG,81,0)</f>
        <v>0.1575</v>
      </c>
      <c r="Q111" s="54">
        <f>VLOOKUP($B111,'IMS Commission List'!E:CP,90,0)</f>
        <v>0.03</v>
      </c>
      <c r="R111" s="54">
        <f>VLOOKUP($B111,'IMS Commission List'!E:CQ,91,0)</f>
        <v>0.04</v>
      </c>
      <c r="S111" s="47">
        <f t="shared" si="265"/>
        <v>0</v>
      </c>
      <c r="T111" s="48">
        <f t="shared" si="266"/>
        <v>0</v>
      </c>
      <c r="U111" s="48">
        <f t="shared" si="267"/>
        <v>47860.88</v>
      </c>
      <c r="V111" s="48">
        <f t="shared" si="268"/>
        <v>0</v>
      </c>
      <c r="W111" s="48">
        <f t="shared" si="269"/>
        <v>0</v>
      </c>
      <c r="X111" s="49">
        <f t="shared" si="270"/>
        <v>47860.88</v>
      </c>
      <c r="Y111" s="49">
        <f t="shared" si="271"/>
        <v>0</v>
      </c>
      <c r="Z111" s="49">
        <f t="shared" si="272"/>
        <v>0</v>
      </c>
      <c r="AA111" s="49">
        <f t="shared" si="273"/>
        <v>1993.4056520000001</v>
      </c>
      <c r="AB111" s="49">
        <f t="shared" si="274"/>
        <v>0</v>
      </c>
      <c r="AC111" s="49">
        <f t="shared" si="275"/>
        <v>0</v>
      </c>
      <c r="AD111" s="49">
        <f t="shared" si="276"/>
        <v>1993.4056520000001</v>
      </c>
      <c r="AE111" s="49">
        <f t="shared" si="277"/>
        <v>0</v>
      </c>
      <c r="AF111" s="49">
        <f t="shared" si="278"/>
        <v>0</v>
      </c>
      <c r="AG111" s="49">
        <f t="shared" si="279"/>
        <v>7179.1319999999996</v>
      </c>
      <c r="AH111" s="49">
        <f t="shared" si="280"/>
        <v>0</v>
      </c>
      <c r="AI111" s="49">
        <f t="shared" si="281"/>
        <v>0</v>
      </c>
      <c r="AJ111" s="49">
        <f t="shared" si="282"/>
        <v>7179.1319999999996</v>
      </c>
      <c r="AK111" s="49">
        <f t="shared" si="283"/>
        <v>0</v>
      </c>
      <c r="AL111" s="49">
        <f t="shared" si="284"/>
        <v>0</v>
      </c>
      <c r="AM111" s="49">
        <f t="shared" si="285"/>
        <v>6407.3753099999994</v>
      </c>
      <c r="AN111" s="49">
        <f t="shared" si="286"/>
        <v>0</v>
      </c>
      <c r="AO111" s="49">
        <f t="shared" si="287"/>
        <v>0</v>
      </c>
      <c r="AP111" s="49">
        <f t="shared" si="288"/>
        <v>6407.3753099999994</v>
      </c>
      <c r="AQ111" s="49">
        <f t="shared" si="289"/>
        <v>0</v>
      </c>
      <c r="AR111" s="49">
        <f t="shared" si="290"/>
        <v>0</v>
      </c>
      <c r="AS111" s="49">
        <f t="shared" si="291"/>
        <v>1435.8263999999999</v>
      </c>
      <c r="AT111" s="49">
        <f t="shared" si="292"/>
        <v>0</v>
      </c>
      <c r="AU111" s="49">
        <f t="shared" si="293"/>
        <v>0</v>
      </c>
      <c r="AV111" s="49">
        <f t="shared" si="294"/>
        <v>1435.8263999999999</v>
      </c>
      <c r="AW111" s="49">
        <f t="shared" si="295"/>
        <v>0</v>
      </c>
      <c r="AX111" s="49">
        <f t="shared" si="296"/>
        <v>0</v>
      </c>
      <c r="AY111" s="49">
        <f t="shared" si="297"/>
        <v>1914.4351999999999</v>
      </c>
      <c r="AZ111" s="49">
        <f t="shared" si="298"/>
        <v>0</v>
      </c>
      <c r="BA111" s="49">
        <f t="shared" si="299"/>
        <v>0</v>
      </c>
      <c r="BB111" s="49">
        <f t="shared" si="300"/>
        <v>1914.4351999999999</v>
      </c>
      <c r="BC111" s="49">
        <f t="shared" si="301"/>
        <v>0</v>
      </c>
      <c r="BD111" s="49">
        <f t="shared" si="302"/>
        <v>0</v>
      </c>
      <c r="BE111" s="49">
        <f t="shared" si="303"/>
        <v>18930.174562</v>
      </c>
      <c r="BF111" s="49">
        <f t="shared" si="304"/>
        <v>0</v>
      </c>
      <c r="BG111" s="49">
        <f t="shared" si="305"/>
        <v>0</v>
      </c>
      <c r="BH111" s="49">
        <f t="shared" si="306"/>
        <v>18930.174562</v>
      </c>
      <c r="BI111" s="49">
        <f t="shared" si="307"/>
        <v>0</v>
      </c>
      <c r="BJ111" s="49">
        <f t="shared" si="308"/>
        <v>0</v>
      </c>
      <c r="BK111" s="49">
        <f t="shared" si="309"/>
        <v>1993.4056520000001</v>
      </c>
      <c r="BL111" s="49">
        <f t="shared" si="310"/>
        <v>0</v>
      </c>
      <c r="BM111" s="49">
        <f t="shared" si="311"/>
        <v>0</v>
      </c>
      <c r="BN111" s="49">
        <f t="shared" si="312"/>
        <v>1993.4056520000001</v>
      </c>
      <c r="BO111" s="49">
        <f t="shared" si="313"/>
        <v>0</v>
      </c>
      <c r="BP111" s="49">
        <f t="shared" si="314"/>
        <v>0</v>
      </c>
      <c r="BQ111" s="49">
        <f t="shared" si="315"/>
        <v>7179.1319999999996</v>
      </c>
      <c r="BR111" s="49">
        <f t="shared" si="316"/>
        <v>0</v>
      </c>
      <c r="BS111" s="49">
        <f t="shared" si="317"/>
        <v>0</v>
      </c>
      <c r="BT111" s="49">
        <f t="shared" si="318"/>
        <v>7179.1319999999996</v>
      </c>
      <c r="BU111" s="49">
        <f t="shared" si="319"/>
        <v>0</v>
      </c>
      <c r="BV111" s="49">
        <f t="shared" si="320"/>
        <v>0</v>
      </c>
      <c r="BW111" s="49">
        <f t="shared" si="321"/>
        <v>6407.3753099999994</v>
      </c>
      <c r="BX111" s="49">
        <f t="shared" si="322"/>
        <v>0</v>
      </c>
      <c r="BY111" s="49">
        <f t="shared" si="323"/>
        <v>0</v>
      </c>
      <c r="BZ111" s="49">
        <f t="shared" si="324"/>
        <v>6407.3753099999994</v>
      </c>
      <c r="CA111" s="49">
        <f t="shared" si="325"/>
        <v>0</v>
      </c>
      <c r="CB111" s="49">
        <f t="shared" si="326"/>
        <v>0</v>
      </c>
      <c r="CC111" s="49">
        <f t="shared" si="327"/>
        <v>1435.8263999999999</v>
      </c>
      <c r="CD111" s="49">
        <f t="shared" si="328"/>
        <v>0</v>
      </c>
      <c r="CE111" s="49">
        <f t="shared" si="329"/>
        <v>0</v>
      </c>
      <c r="CF111" s="49">
        <f t="shared" si="330"/>
        <v>1435.8263999999999</v>
      </c>
      <c r="CG111" s="49">
        <f t="shared" si="331"/>
        <v>0</v>
      </c>
      <c r="CH111" s="49">
        <f t="shared" si="332"/>
        <v>0</v>
      </c>
      <c r="CI111" s="49">
        <f t="shared" si="333"/>
        <v>1914.4351999999999</v>
      </c>
      <c r="CJ111" s="49">
        <f t="shared" si="334"/>
        <v>0</v>
      </c>
      <c r="CK111" s="49">
        <f t="shared" si="335"/>
        <v>0</v>
      </c>
      <c r="CL111" s="49">
        <f t="shared" si="336"/>
        <v>1914.4351999999999</v>
      </c>
      <c r="CM111" s="49">
        <f t="shared" si="337"/>
        <v>0</v>
      </c>
      <c r="CN111" s="49">
        <f t="shared" si="338"/>
        <v>0</v>
      </c>
      <c r="CO111" s="49">
        <f t="shared" si="339"/>
        <v>18930.174562</v>
      </c>
      <c r="CP111" s="49">
        <f t="shared" si="340"/>
        <v>0</v>
      </c>
      <c r="CQ111" s="49">
        <f t="shared" si="341"/>
        <v>0</v>
      </c>
      <c r="CR111" s="81">
        <f t="shared" si="342"/>
        <v>18930.174562</v>
      </c>
      <c r="CS111" s="80">
        <f t="shared" si="343"/>
        <v>28930.705437999997</v>
      </c>
      <c r="CT111" s="54"/>
      <c r="CU111" s="3" t="str">
        <f t="shared" si="344"/>
        <v>ARS</v>
      </c>
      <c r="CV111" s="3">
        <f>VLOOKUP(CU111,DF:DG,2,0)</f>
        <v>6.9185169999999997E-4</v>
      </c>
      <c r="CW111" s="23">
        <f t="shared" si="345"/>
        <v>33.112631191496</v>
      </c>
      <c r="CX111" s="23">
        <f t="shared" si="346"/>
        <v>1.3791410891258085</v>
      </c>
      <c r="CY111" s="23">
        <f t="shared" si="347"/>
        <v>4.9668946787243993</v>
      </c>
      <c r="CZ111" s="23">
        <f t="shared" si="348"/>
        <v>4.4329535007615268</v>
      </c>
      <c r="DA111" s="23">
        <f t="shared" si="349"/>
        <v>0.9933789357448799</v>
      </c>
      <c r="DB111" s="23">
        <f t="shared" si="350"/>
        <v>1.3245052476598398</v>
      </c>
      <c r="DC111" s="23">
        <f t="shared" si="351"/>
        <v>20.015757739479543</v>
      </c>
      <c r="DD111" s="34" t="str">
        <f>VLOOKUP(A111,'Billing Report'!H:I,2,FALSE)</f>
        <v>2035_sp_2026_rico-en-data-ep9-feb_arg_alcance_cpm</v>
      </c>
      <c r="DE111" s="34"/>
      <c r="DF111" s="61"/>
      <c r="DG111" s="62"/>
      <c r="DH111"/>
      <c r="DI111" s="41"/>
      <c r="DJ111" s="41"/>
    </row>
    <row r="112" spans="1:114" ht="14.5" x14ac:dyDescent="0.35">
      <c r="A112" s="63">
        <v>40947124</v>
      </c>
      <c r="B112" s="3" t="s">
        <v>692</v>
      </c>
      <c r="C112" s="3">
        <v>322531401</v>
      </c>
      <c r="D112" s="3" t="s">
        <v>93</v>
      </c>
      <c r="G112" s="38">
        <v>150841.07</v>
      </c>
      <c r="J112" s="33">
        <f>VLOOKUP($B112,'IMS Commission List'!E:CE,79,0)/100</f>
        <v>0.15</v>
      </c>
      <c r="K112" s="79">
        <f t="shared" si="264"/>
        <v>150841.07</v>
      </c>
      <c r="L112" s="3" t="str">
        <f>VLOOKUP($B112,'IMS Commission List'!E:V,18,0)</f>
        <v>ARS</v>
      </c>
      <c r="M112" s="3">
        <v>1</v>
      </c>
      <c r="N112" s="3" t="str">
        <f>VLOOKUP($B112,'IMS Commission List'!E:T,16,0)</f>
        <v>MX</v>
      </c>
      <c r="O112" s="54">
        <f>VLOOKUP($B112,'IMS Commission List'!E:CF,80,0)</f>
        <v>4.9000000000000002E-2</v>
      </c>
      <c r="P112" s="54">
        <f>VLOOKUP($B112,'IMS Commission List'!E:CG,81,0)</f>
        <v>0.1575</v>
      </c>
      <c r="Q112" s="54">
        <f>VLOOKUP($B112,'IMS Commission List'!E:CP,90,0)</f>
        <v>0.03</v>
      </c>
      <c r="R112" s="54">
        <f>VLOOKUP($B112,'IMS Commission List'!E:CQ,91,0)</f>
        <v>0.04</v>
      </c>
      <c r="S112" s="47">
        <f t="shared" si="265"/>
        <v>0</v>
      </c>
      <c r="T112" s="48">
        <f t="shared" si="266"/>
        <v>0</v>
      </c>
      <c r="U112" s="48">
        <f t="shared" si="267"/>
        <v>150841.07</v>
      </c>
      <c r="V112" s="48">
        <f t="shared" si="268"/>
        <v>0</v>
      </c>
      <c r="W112" s="48">
        <f t="shared" si="269"/>
        <v>0</v>
      </c>
      <c r="X112" s="49">
        <f t="shared" si="270"/>
        <v>150841.07</v>
      </c>
      <c r="Y112" s="49">
        <f t="shared" si="271"/>
        <v>0</v>
      </c>
      <c r="Z112" s="49">
        <f t="shared" si="272"/>
        <v>0</v>
      </c>
      <c r="AA112" s="49">
        <f t="shared" si="273"/>
        <v>6282.5305655000002</v>
      </c>
      <c r="AB112" s="49">
        <f t="shared" si="274"/>
        <v>0</v>
      </c>
      <c r="AC112" s="49">
        <f t="shared" si="275"/>
        <v>0</v>
      </c>
      <c r="AD112" s="49">
        <f t="shared" si="276"/>
        <v>6282.5305655000002</v>
      </c>
      <c r="AE112" s="49">
        <f t="shared" si="277"/>
        <v>0</v>
      </c>
      <c r="AF112" s="49">
        <f t="shared" si="278"/>
        <v>0</v>
      </c>
      <c r="AG112" s="49">
        <f t="shared" si="279"/>
        <v>22626.160500000002</v>
      </c>
      <c r="AH112" s="49">
        <f t="shared" si="280"/>
        <v>0</v>
      </c>
      <c r="AI112" s="49">
        <f t="shared" si="281"/>
        <v>0</v>
      </c>
      <c r="AJ112" s="49">
        <f t="shared" si="282"/>
        <v>22626.160500000002</v>
      </c>
      <c r="AK112" s="49">
        <f t="shared" si="283"/>
        <v>0</v>
      </c>
      <c r="AL112" s="49">
        <f t="shared" si="284"/>
        <v>0</v>
      </c>
      <c r="AM112" s="49">
        <f t="shared" si="285"/>
        <v>20193.84824625</v>
      </c>
      <c r="AN112" s="49">
        <f t="shared" si="286"/>
        <v>0</v>
      </c>
      <c r="AO112" s="49">
        <f t="shared" si="287"/>
        <v>0</v>
      </c>
      <c r="AP112" s="49">
        <f t="shared" si="288"/>
        <v>20193.84824625</v>
      </c>
      <c r="AQ112" s="49">
        <f t="shared" si="289"/>
        <v>0</v>
      </c>
      <c r="AR112" s="49">
        <f t="shared" si="290"/>
        <v>0</v>
      </c>
      <c r="AS112" s="49">
        <f t="shared" si="291"/>
        <v>4525.2321000000002</v>
      </c>
      <c r="AT112" s="49">
        <f t="shared" si="292"/>
        <v>0</v>
      </c>
      <c r="AU112" s="49">
        <f t="shared" si="293"/>
        <v>0</v>
      </c>
      <c r="AV112" s="49">
        <f t="shared" si="294"/>
        <v>4525.2321000000002</v>
      </c>
      <c r="AW112" s="49">
        <f t="shared" si="295"/>
        <v>0</v>
      </c>
      <c r="AX112" s="49">
        <f t="shared" si="296"/>
        <v>0</v>
      </c>
      <c r="AY112" s="49">
        <f t="shared" si="297"/>
        <v>6033.6428000000005</v>
      </c>
      <c r="AZ112" s="49">
        <f t="shared" si="298"/>
        <v>0</v>
      </c>
      <c r="BA112" s="49">
        <f t="shared" si="299"/>
        <v>0</v>
      </c>
      <c r="BB112" s="49">
        <f t="shared" si="300"/>
        <v>6033.6428000000005</v>
      </c>
      <c r="BC112" s="49">
        <f t="shared" si="301"/>
        <v>0</v>
      </c>
      <c r="BD112" s="49">
        <f t="shared" si="302"/>
        <v>0</v>
      </c>
      <c r="BE112" s="49">
        <f t="shared" si="303"/>
        <v>59661.414211750009</v>
      </c>
      <c r="BF112" s="49">
        <f t="shared" si="304"/>
        <v>0</v>
      </c>
      <c r="BG112" s="49">
        <f t="shared" si="305"/>
        <v>0</v>
      </c>
      <c r="BH112" s="49">
        <f t="shared" si="306"/>
        <v>59661.414211750009</v>
      </c>
      <c r="BI112" s="49">
        <f t="shared" si="307"/>
        <v>0</v>
      </c>
      <c r="BJ112" s="49">
        <f t="shared" si="308"/>
        <v>0</v>
      </c>
      <c r="BK112" s="49">
        <f t="shared" si="309"/>
        <v>6282.5305655000002</v>
      </c>
      <c r="BL112" s="49">
        <f t="shared" si="310"/>
        <v>0</v>
      </c>
      <c r="BM112" s="49">
        <f t="shared" si="311"/>
        <v>0</v>
      </c>
      <c r="BN112" s="49">
        <f t="shared" si="312"/>
        <v>6282.5305655000002</v>
      </c>
      <c r="BO112" s="49">
        <f t="shared" si="313"/>
        <v>0</v>
      </c>
      <c r="BP112" s="49">
        <f t="shared" si="314"/>
        <v>0</v>
      </c>
      <c r="BQ112" s="49">
        <f t="shared" si="315"/>
        <v>22626.160500000002</v>
      </c>
      <c r="BR112" s="49">
        <f t="shared" si="316"/>
        <v>0</v>
      </c>
      <c r="BS112" s="49">
        <f t="shared" si="317"/>
        <v>0</v>
      </c>
      <c r="BT112" s="49">
        <f t="shared" si="318"/>
        <v>22626.160500000002</v>
      </c>
      <c r="BU112" s="49">
        <f t="shared" si="319"/>
        <v>0</v>
      </c>
      <c r="BV112" s="49">
        <f t="shared" si="320"/>
        <v>0</v>
      </c>
      <c r="BW112" s="49">
        <f t="shared" si="321"/>
        <v>20193.84824625</v>
      </c>
      <c r="BX112" s="49">
        <f t="shared" si="322"/>
        <v>0</v>
      </c>
      <c r="BY112" s="49">
        <f t="shared" si="323"/>
        <v>0</v>
      </c>
      <c r="BZ112" s="49">
        <f t="shared" si="324"/>
        <v>20193.84824625</v>
      </c>
      <c r="CA112" s="49">
        <f t="shared" si="325"/>
        <v>0</v>
      </c>
      <c r="CB112" s="49">
        <f t="shared" si="326"/>
        <v>0</v>
      </c>
      <c r="CC112" s="49">
        <f t="shared" si="327"/>
        <v>4525.2321000000002</v>
      </c>
      <c r="CD112" s="49">
        <f t="shared" si="328"/>
        <v>0</v>
      </c>
      <c r="CE112" s="49">
        <f t="shared" si="329"/>
        <v>0</v>
      </c>
      <c r="CF112" s="49">
        <f t="shared" si="330"/>
        <v>4525.2321000000002</v>
      </c>
      <c r="CG112" s="49">
        <f t="shared" si="331"/>
        <v>0</v>
      </c>
      <c r="CH112" s="49">
        <f t="shared" si="332"/>
        <v>0</v>
      </c>
      <c r="CI112" s="49">
        <f t="shared" si="333"/>
        <v>6033.6428000000005</v>
      </c>
      <c r="CJ112" s="49">
        <f t="shared" si="334"/>
        <v>0</v>
      </c>
      <c r="CK112" s="49">
        <f t="shared" si="335"/>
        <v>0</v>
      </c>
      <c r="CL112" s="49">
        <f t="shared" si="336"/>
        <v>6033.6428000000005</v>
      </c>
      <c r="CM112" s="49">
        <f t="shared" si="337"/>
        <v>0</v>
      </c>
      <c r="CN112" s="49">
        <f t="shared" si="338"/>
        <v>0</v>
      </c>
      <c r="CO112" s="49">
        <f t="shared" si="339"/>
        <v>59661.414211750009</v>
      </c>
      <c r="CP112" s="49">
        <f t="shared" si="340"/>
        <v>0</v>
      </c>
      <c r="CQ112" s="49">
        <f t="shared" si="341"/>
        <v>0</v>
      </c>
      <c r="CR112" s="81">
        <f t="shared" si="342"/>
        <v>59661.414211750009</v>
      </c>
      <c r="CS112" s="80">
        <f t="shared" si="343"/>
        <v>91179.655788250006</v>
      </c>
      <c r="CT112" s="54"/>
      <c r="CU112" s="3" t="str">
        <f t="shared" si="344"/>
        <v>ARS</v>
      </c>
      <c r="CV112" s="3">
        <f>VLOOKUP(CU112,DF:DG,2,0)</f>
        <v>6.9185169999999997E-4</v>
      </c>
      <c r="CW112" s="23">
        <f t="shared" si="345"/>
        <v>104.359650709319</v>
      </c>
      <c r="CX112" s="23">
        <f t="shared" si="346"/>
        <v>4.3465794520431364</v>
      </c>
      <c r="CY112" s="23">
        <f t="shared" si="347"/>
        <v>15.65394760639785</v>
      </c>
      <c r="CZ112" s="23">
        <f t="shared" si="348"/>
        <v>13.97114823871008</v>
      </c>
      <c r="DA112" s="23">
        <f t="shared" si="349"/>
        <v>3.1307895212795698</v>
      </c>
      <c r="DB112" s="23">
        <f t="shared" si="350"/>
        <v>4.1743860283727603</v>
      </c>
      <c r="DC112" s="23">
        <f t="shared" si="351"/>
        <v>63.082799862515607</v>
      </c>
      <c r="DD112" s="34" t="str">
        <f>VLOOKUP(A112,'Billing Report'!H:I,2,FALSE)</f>
        <v>2035_sp_2026_prestamo-express-feb_arg_alcance_cpm</v>
      </c>
      <c r="DE112" s="34"/>
      <c r="DF112" s="61"/>
      <c r="DG112" s="62"/>
      <c r="DH112"/>
      <c r="DI112" s="41"/>
      <c r="DJ112" s="41"/>
    </row>
    <row r="113" spans="1:114" ht="14.5" x14ac:dyDescent="0.35">
      <c r="A113" s="63">
        <v>40931695</v>
      </c>
      <c r="B113" s="3" t="s">
        <v>692</v>
      </c>
      <c r="C113" s="3">
        <v>322531401</v>
      </c>
      <c r="D113" s="3" t="s">
        <v>93</v>
      </c>
      <c r="G113" s="38">
        <v>300000</v>
      </c>
      <c r="J113" s="33">
        <f>VLOOKUP($B113,'IMS Commission List'!E:CE,79,0)/100</f>
        <v>0.15</v>
      </c>
      <c r="K113" s="79">
        <f t="shared" si="264"/>
        <v>300000</v>
      </c>
      <c r="L113" s="3" t="str">
        <f>VLOOKUP($B113,'IMS Commission List'!E:V,18,0)</f>
        <v>ARS</v>
      </c>
      <c r="M113" s="3">
        <v>1</v>
      </c>
      <c r="N113" s="3" t="str">
        <f>VLOOKUP($B113,'IMS Commission List'!E:T,16,0)</f>
        <v>MX</v>
      </c>
      <c r="O113" s="54">
        <f>VLOOKUP($B113,'IMS Commission List'!E:CF,80,0)</f>
        <v>4.9000000000000002E-2</v>
      </c>
      <c r="P113" s="54">
        <f>VLOOKUP($B113,'IMS Commission List'!E:CG,81,0)</f>
        <v>0.1575</v>
      </c>
      <c r="Q113" s="54">
        <f>VLOOKUP($B113,'IMS Commission List'!E:CP,90,0)</f>
        <v>0.03</v>
      </c>
      <c r="R113" s="54">
        <f>VLOOKUP($B113,'IMS Commission List'!E:CQ,91,0)</f>
        <v>0.04</v>
      </c>
      <c r="S113" s="47">
        <f t="shared" si="265"/>
        <v>0</v>
      </c>
      <c r="T113" s="48">
        <f t="shared" si="266"/>
        <v>0</v>
      </c>
      <c r="U113" s="48">
        <f t="shared" si="267"/>
        <v>300000</v>
      </c>
      <c r="V113" s="48">
        <f t="shared" si="268"/>
        <v>0</v>
      </c>
      <c r="W113" s="48">
        <f t="shared" si="269"/>
        <v>0</v>
      </c>
      <c r="X113" s="49">
        <f t="shared" si="270"/>
        <v>300000</v>
      </c>
      <c r="Y113" s="49">
        <f t="shared" si="271"/>
        <v>0</v>
      </c>
      <c r="Z113" s="49">
        <f t="shared" si="272"/>
        <v>0</v>
      </c>
      <c r="AA113" s="49">
        <f t="shared" si="273"/>
        <v>12495</v>
      </c>
      <c r="AB113" s="49">
        <f t="shared" si="274"/>
        <v>0</v>
      </c>
      <c r="AC113" s="49">
        <f t="shared" si="275"/>
        <v>0</v>
      </c>
      <c r="AD113" s="49">
        <f t="shared" si="276"/>
        <v>12495</v>
      </c>
      <c r="AE113" s="49">
        <f t="shared" si="277"/>
        <v>0</v>
      </c>
      <c r="AF113" s="49">
        <f t="shared" si="278"/>
        <v>0</v>
      </c>
      <c r="AG113" s="49">
        <f t="shared" si="279"/>
        <v>45000</v>
      </c>
      <c r="AH113" s="49">
        <f t="shared" si="280"/>
        <v>0</v>
      </c>
      <c r="AI113" s="49">
        <f t="shared" si="281"/>
        <v>0</v>
      </c>
      <c r="AJ113" s="49">
        <f t="shared" si="282"/>
        <v>45000</v>
      </c>
      <c r="AK113" s="49">
        <f t="shared" si="283"/>
        <v>0</v>
      </c>
      <c r="AL113" s="49">
        <f t="shared" si="284"/>
        <v>0</v>
      </c>
      <c r="AM113" s="49">
        <f t="shared" si="285"/>
        <v>40162.5</v>
      </c>
      <c r="AN113" s="49">
        <f t="shared" si="286"/>
        <v>0</v>
      </c>
      <c r="AO113" s="49">
        <f t="shared" si="287"/>
        <v>0</v>
      </c>
      <c r="AP113" s="49">
        <f t="shared" si="288"/>
        <v>40162.5</v>
      </c>
      <c r="AQ113" s="49">
        <f t="shared" si="289"/>
        <v>0</v>
      </c>
      <c r="AR113" s="49">
        <f t="shared" si="290"/>
        <v>0</v>
      </c>
      <c r="AS113" s="49">
        <f t="shared" si="291"/>
        <v>9000</v>
      </c>
      <c r="AT113" s="49">
        <f t="shared" si="292"/>
        <v>0</v>
      </c>
      <c r="AU113" s="49">
        <f t="shared" si="293"/>
        <v>0</v>
      </c>
      <c r="AV113" s="49">
        <f t="shared" si="294"/>
        <v>9000</v>
      </c>
      <c r="AW113" s="49">
        <f t="shared" si="295"/>
        <v>0</v>
      </c>
      <c r="AX113" s="49">
        <f t="shared" si="296"/>
        <v>0</v>
      </c>
      <c r="AY113" s="49">
        <f t="shared" si="297"/>
        <v>12000</v>
      </c>
      <c r="AZ113" s="49">
        <f t="shared" si="298"/>
        <v>0</v>
      </c>
      <c r="BA113" s="49">
        <f t="shared" si="299"/>
        <v>0</v>
      </c>
      <c r="BB113" s="49">
        <f t="shared" si="300"/>
        <v>12000</v>
      </c>
      <c r="BC113" s="49">
        <f t="shared" si="301"/>
        <v>0</v>
      </c>
      <c r="BD113" s="49">
        <f t="shared" si="302"/>
        <v>0</v>
      </c>
      <c r="BE113" s="49">
        <f t="shared" si="303"/>
        <v>118657.5</v>
      </c>
      <c r="BF113" s="49">
        <f t="shared" si="304"/>
        <v>0</v>
      </c>
      <c r="BG113" s="49">
        <f t="shared" si="305"/>
        <v>0</v>
      </c>
      <c r="BH113" s="49">
        <f t="shared" si="306"/>
        <v>118657.5</v>
      </c>
      <c r="BI113" s="49">
        <f t="shared" si="307"/>
        <v>0</v>
      </c>
      <c r="BJ113" s="49">
        <f t="shared" si="308"/>
        <v>0</v>
      </c>
      <c r="BK113" s="49">
        <f t="shared" si="309"/>
        <v>12495</v>
      </c>
      <c r="BL113" s="49">
        <f t="shared" si="310"/>
        <v>0</v>
      </c>
      <c r="BM113" s="49">
        <f t="shared" si="311"/>
        <v>0</v>
      </c>
      <c r="BN113" s="49">
        <f t="shared" si="312"/>
        <v>12495</v>
      </c>
      <c r="BO113" s="49">
        <f t="shared" si="313"/>
        <v>0</v>
      </c>
      <c r="BP113" s="49">
        <f t="shared" si="314"/>
        <v>0</v>
      </c>
      <c r="BQ113" s="49">
        <f t="shared" si="315"/>
        <v>45000</v>
      </c>
      <c r="BR113" s="49">
        <f t="shared" si="316"/>
        <v>0</v>
      </c>
      <c r="BS113" s="49">
        <f t="shared" si="317"/>
        <v>0</v>
      </c>
      <c r="BT113" s="49">
        <f t="shared" si="318"/>
        <v>45000</v>
      </c>
      <c r="BU113" s="49">
        <f t="shared" si="319"/>
        <v>0</v>
      </c>
      <c r="BV113" s="49">
        <f t="shared" si="320"/>
        <v>0</v>
      </c>
      <c r="BW113" s="49">
        <f t="shared" si="321"/>
        <v>40162.5</v>
      </c>
      <c r="BX113" s="49">
        <f t="shared" si="322"/>
        <v>0</v>
      </c>
      <c r="BY113" s="49">
        <f t="shared" si="323"/>
        <v>0</v>
      </c>
      <c r="BZ113" s="49">
        <f t="shared" si="324"/>
        <v>40162.5</v>
      </c>
      <c r="CA113" s="49">
        <f t="shared" si="325"/>
        <v>0</v>
      </c>
      <c r="CB113" s="49">
        <f t="shared" si="326"/>
        <v>0</v>
      </c>
      <c r="CC113" s="49">
        <f t="shared" si="327"/>
        <v>9000</v>
      </c>
      <c r="CD113" s="49">
        <f t="shared" si="328"/>
        <v>0</v>
      </c>
      <c r="CE113" s="49">
        <f t="shared" si="329"/>
        <v>0</v>
      </c>
      <c r="CF113" s="49">
        <f t="shared" si="330"/>
        <v>9000</v>
      </c>
      <c r="CG113" s="49">
        <f t="shared" si="331"/>
        <v>0</v>
      </c>
      <c r="CH113" s="49">
        <f t="shared" si="332"/>
        <v>0</v>
      </c>
      <c r="CI113" s="49">
        <f t="shared" si="333"/>
        <v>12000</v>
      </c>
      <c r="CJ113" s="49">
        <f t="shared" si="334"/>
        <v>0</v>
      </c>
      <c r="CK113" s="49">
        <f t="shared" si="335"/>
        <v>0</v>
      </c>
      <c r="CL113" s="49">
        <f t="shared" si="336"/>
        <v>12000</v>
      </c>
      <c r="CM113" s="49">
        <f t="shared" si="337"/>
        <v>0</v>
      </c>
      <c r="CN113" s="49">
        <f t="shared" si="338"/>
        <v>0</v>
      </c>
      <c r="CO113" s="49">
        <f t="shared" si="339"/>
        <v>118657.5</v>
      </c>
      <c r="CP113" s="49">
        <f t="shared" si="340"/>
        <v>0</v>
      </c>
      <c r="CQ113" s="49">
        <f t="shared" si="341"/>
        <v>0</v>
      </c>
      <c r="CR113" s="81">
        <f t="shared" si="342"/>
        <v>118657.5</v>
      </c>
      <c r="CS113" s="80">
        <f t="shared" si="343"/>
        <v>181342.5</v>
      </c>
      <c r="CT113" s="54"/>
      <c r="CU113" s="3" t="str">
        <f t="shared" si="344"/>
        <v>ARS</v>
      </c>
      <c r="CV113" s="3">
        <f>VLOOKUP(CU113,DF:DG,2,0)</f>
        <v>6.9185169999999997E-4</v>
      </c>
      <c r="CW113" s="23">
        <f t="shared" si="345"/>
        <v>207.55551</v>
      </c>
      <c r="CX113" s="23">
        <f t="shared" si="346"/>
        <v>8.6446869915000004</v>
      </c>
      <c r="CY113" s="23">
        <f t="shared" si="347"/>
        <v>31.133326499999999</v>
      </c>
      <c r="CZ113" s="23">
        <f t="shared" si="348"/>
        <v>27.786493901249997</v>
      </c>
      <c r="DA113" s="23">
        <f t="shared" si="349"/>
        <v>6.2266652999999996</v>
      </c>
      <c r="DB113" s="23">
        <f t="shared" si="350"/>
        <v>8.3022203999999995</v>
      </c>
      <c r="DC113" s="23">
        <f t="shared" si="351"/>
        <v>125.46211690724999</v>
      </c>
      <c r="DD113" s="34" t="str">
        <f>VLOOKUP(A113,'Billing Report'!H:I,2,FALSE)</f>
        <v>2035_sp_2026_cdni-20-toledo-feb_arg_alcance_cpm</v>
      </c>
      <c r="DE113" s="34"/>
      <c r="DF113" s="61"/>
      <c r="DG113" s="62"/>
      <c r="DH113"/>
      <c r="DI113" s="41"/>
      <c r="DJ113" s="41"/>
    </row>
    <row r="114" spans="1:114" ht="14.5" x14ac:dyDescent="0.35">
      <c r="A114" s="63">
        <v>40925799</v>
      </c>
      <c r="B114" s="3" t="s">
        <v>692</v>
      </c>
      <c r="C114" s="3">
        <v>322531401</v>
      </c>
      <c r="D114" s="3" t="s">
        <v>93</v>
      </c>
      <c r="G114" s="38">
        <v>251537.01</v>
      </c>
      <c r="J114" s="33">
        <f>VLOOKUP($B114,'IMS Commission List'!E:CE,79,0)/100</f>
        <v>0.15</v>
      </c>
      <c r="K114" s="79">
        <f t="shared" si="264"/>
        <v>251537.01</v>
      </c>
      <c r="L114" s="3" t="str">
        <f>VLOOKUP($B114,'IMS Commission List'!E:V,18,0)</f>
        <v>ARS</v>
      </c>
      <c r="M114" s="3">
        <v>1</v>
      </c>
      <c r="N114" s="3" t="str">
        <f>VLOOKUP($B114,'IMS Commission List'!E:T,16,0)</f>
        <v>MX</v>
      </c>
      <c r="O114" s="54">
        <f>VLOOKUP($B114,'IMS Commission List'!E:CF,80,0)</f>
        <v>4.9000000000000002E-2</v>
      </c>
      <c r="P114" s="54">
        <f>VLOOKUP($B114,'IMS Commission List'!E:CG,81,0)</f>
        <v>0.1575</v>
      </c>
      <c r="Q114" s="54">
        <f>VLOOKUP($B114,'IMS Commission List'!E:CP,90,0)</f>
        <v>0.03</v>
      </c>
      <c r="R114" s="54">
        <f>VLOOKUP($B114,'IMS Commission List'!E:CQ,91,0)</f>
        <v>0.04</v>
      </c>
      <c r="S114" s="47">
        <f t="shared" si="265"/>
        <v>0</v>
      </c>
      <c r="T114" s="48">
        <f t="shared" si="266"/>
        <v>0</v>
      </c>
      <c r="U114" s="48">
        <f t="shared" si="267"/>
        <v>251537.01</v>
      </c>
      <c r="V114" s="48">
        <f t="shared" si="268"/>
        <v>0</v>
      </c>
      <c r="W114" s="48">
        <f t="shared" si="269"/>
        <v>0</v>
      </c>
      <c r="X114" s="49">
        <f t="shared" si="270"/>
        <v>251537.01</v>
      </c>
      <c r="Y114" s="49">
        <f t="shared" si="271"/>
        <v>0</v>
      </c>
      <c r="Z114" s="49">
        <f t="shared" si="272"/>
        <v>0</v>
      </c>
      <c r="AA114" s="49">
        <f t="shared" si="273"/>
        <v>10476.516466499999</v>
      </c>
      <c r="AB114" s="49">
        <f t="shared" si="274"/>
        <v>0</v>
      </c>
      <c r="AC114" s="49">
        <f t="shared" si="275"/>
        <v>0</v>
      </c>
      <c r="AD114" s="49">
        <f t="shared" si="276"/>
        <v>10476.516466499999</v>
      </c>
      <c r="AE114" s="49">
        <f t="shared" si="277"/>
        <v>0</v>
      </c>
      <c r="AF114" s="49">
        <f t="shared" si="278"/>
        <v>0</v>
      </c>
      <c r="AG114" s="49">
        <f t="shared" si="279"/>
        <v>37730.551500000001</v>
      </c>
      <c r="AH114" s="49">
        <f t="shared" si="280"/>
        <v>0</v>
      </c>
      <c r="AI114" s="49">
        <f t="shared" si="281"/>
        <v>0</v>
      </c>
      <c r="AJ114" s="49">
        <f t="shared" si="282"/>
        <v>37730.551500000001</v>
      </c>
      <c r="AK114" s="49">
        <f t="shared" si="283"/>
        <v>0</v>
      </c>
      <c r="AL114" s="49">
        <f t="shared" si="284"/>
        <v>0</v>
      </c>
      <c r="AM114" s="49">
        <f t="shared" si="285"/>
        <v>33674.517213749998</v>
      </c>
      <c r="AN114" s="49">
        <f t="shared" si="286"/>
        <v>0</v>
      </c>
      <c r="AO114" s="49">
        <f t="shared" si="287"/>
        <v>0</v>
      </c>
      <c r="AP114" s="49">
        <f t="shared" si="288"/>
        <v>33674.517213749998</v>
      </c>
      <c r="AQ114" s="49">
        <f t="shared" si="289"/>
        <v>0</v>
      </c>
      <c r="AR114" s="49">
        <f t="shared" si="290"/>
        <v>0</v>
      </c>
      <c r="AS114" s="49">
        <f t="shared" si="291"/>
        <v>7546.1103000000003</v>
      </c>
      <c r="AT114" s="49">
        <f t="shared" si="292"/>
        <v>0</v>
      </c>
      <c r="AU114" s="49">
        <f t="shared" si="293"/>
        <v>0</v>
      </c>
      <c r="AV114" s="49">
        <f t="shared" si="294"/>
        <v>7546.1103000000003</v>
      </c>
      <c r="AW114" s="49">
        <f t="shared" si="295"/>
        <v>0</v>
      </c>
      <c r="AX114" s="49">
        <f t="shared" si="296"/>
        <v>0</v>
      </c>
      <c r="AY114" s="49">
        <f t="shared" si="297"/>
        <v>10061.4804</v>
      </c>
      <c r="AZ114" s="49">
        <f t="shared" si="298"/>
        <v>0</v>
      </c>
      <c r="BA114" s="49">
        <f t="shared" si="299"/>
        <v>0</v>
      </c>
      <c r="BB114" s="49">
        <f t="shared" si="300"/>
        <v>10061.4804</v>
      </c>
      <c r="BC114" s="49">
        <f t="shared" si="301"/>
        <v>0</v>
      </c>
      <c r="BD114" s="49">
        <f t="shared" si="302"/>
        <v>0</v>
      </c>
      <c r="BE114" s="49">
        <f t="shared" si="303"/>
        <v>99489.175880249997</v>
      </c>
      <c r="BF114" s="49">
        <f t="shared" si="304"/>
        <v>0</v>
      </c>
      <c r="BG114" s="49">
        <f t="shared" si="305"/>
        <v>0</v>
      </c>
      <c r="BH114" s="49">
        <f t="shared" si="306"/>
        <v>99489.175880249997</v>
      </c>
      <c r="BI114" s="49">
        <f t="shared" si="307"/>
        <v>0</v>
      </c>
      <c r="BJ114" s="49">
        <f t="shared" si="308"/>
        <v>0</v>
      </c>
      <c r="BK114" s="49">
        <f t="shared" si="309"/>
        <v>10476.516466499999</v>
      </c>
      <c r="BL114" s="49">
        <f t="shared" si="310"/>
        <v>0</v>
      </c>
      <c r="BM114" s="49">
        <f t="shared" si="311"/>
        <v>0</v>
      </c>
      <c r="BN114" s="49">
        <f t="shared" si="312"/>
        <v>10476.516466499999</v>
      </c>
      <c r="BO114" s="49">
        <f t="shared" si="313"/>
        <v>0</v>
      </c>
      <c r="BP114" s="49">
        <f t="shared" si="314"/>
        <v>0</v>
      </c>
      <c r="BQ114" s="49">
        <f t="shared" si="315"/>
        <v>37730.551500000001</v>
      </c>
      <c r="BR114" s="49">
        <f t="shared" si="316"/>
        <v>0</v>
      </c>
      <c r="BS114" s="49">
        <f t="shared" si="317"/>
        <v>0</v>
      </c>
      <c r="BT114" s="49">
        <f t="shared" si="318"/>
        <v>37730.551500000001</v>
      </c>
      <c r="BU114" s="49">
        <f t="shared" si="319"/>
        <v>0</v>
      </c>
      <c r="BV114" s="49">
        <f t="shared" si="320"/>
        <v>0</v>
      </c>
      <c r="BW114" s="49">
        <f t="shared" si="321"/>
        <v>33674.517213749998</v>
      </c>
      <c r="BX114" s="49">
        <f t="shared" si="322"/>
        <v>0</v>
      </c>
      <c r="BY114" s="49">
        <f t="shared" si="323"/>
        <v>0</v>
      </c>
      <c r="BZ114" s="49">
        <f t="shared" si="324"/>
        <v>33674.517213749998</v>
      </c>
      <c r="CA114" s="49">
        <f t="shared" si="325"/>
        <v>0</v>
      </c>
      <c r="CB114" s="49">
        <f t="shared" si="326"/>
        <v>0</v>
      </c>
      <c r="CC114" s="49">
        <f t="shared" si="327"/>
        <v>7546.1103000000003</v>
      </c>
      <c r="CD114" s="49">
        <f t="shared" si="328"/>
        <v>0</v>
      </c>
      <c r="CE114" s="49">
        <f t="shared" si="329"/>
        <v>0</v>
      </c>
      <c r="CF114" s="49">
        <f t="shared" si="330"/>
        <v>7546.1103000000003</v>
      </c>
      <c r="CG114" s="49">
        <f t="shared" si="331"/>
        <v>0</v>
      </c>
      <c r="CH114" s="49">
        <f t="shared" si="332"/>
        <v>0</v>
      </c>
      <c r="CI114" s="49">
        <f t="shared" si="333"/>
        <v>10061.4804</v>
      </c>
      <c r="CJ114" s="49">
        <f t="shared" si="334"/>
        <v>0</v>
      </c>
      <c r="CK114" s="49">
        <f t="shared" si="335"/>
        <v>0</v>
      </c>
      <c r="CL114" s="49">
        <f t="shared" si="336"/>
        <v>10061.4804</v>
      </c>
      <c r="CM114" s="49">
        <f t="shared" si="337"/>
        <v>0</v>
      </c>
      <c r="CN114" s="49">
        <f t="shared" si="338"/>
        <v>0</v>
      </c>
      <c r="CO114" s="49">
        <f t="shared" si="339"/>
        <v>99489.175880249997</v>
      </c>
      <c r="CP114" s="49">
        <f t="shared" si="340"/>
        <v>0</v>
      </c>
      <c r="CQ114" s="49">
        <f t="shared" si="341"/>
        <v>0</v>
      </c>
      <c r="CR114" s="81">
        <f t="shared" si="342"/>
        <v>99489.175880249997</v>
      </c>
      <c r="CS114" s="80">
        <f t="shared" si="343"/>
        <v>152047.83411975001</v>
      </c>
      <c r="CT114" s="54"/>
      <c r="CU114" s="3" t="str">
        <f t="shared" si="344"/>
        <v>ARS</v>
      </c>
      <c r="CV114" s="3">
        <f>VLOOKUP(CU114,DF:DG,2,0)</f>
        <v>6.9185169999999997E-4</v>
      </c>
      <c r="CW114" s="23">
        <f t="shared" si="345"/>
        <v>174.02630798141701</v>
      </c>
      <c r="CX114" s="23">
        <f t="shared" si="346"/>
        <v>7.2481957274260171</v>
      </c>
      <c r="CY114" s="23">
        <f t="shared" si="347"/>
        <v>26.103946197212551</v>
      </c>
      <c r="CZ114" s="23">
        <f t="shared" si="348"/>
        <v>23.297771981012197</v>
      </c>
      <c r="DA114" s="23">
        <f t="shared" si="349"/>
        <v>5.2207892394425102</v>
      </c>
      <c r="DB114" s="23">
        <f t="shared" si="350"/>
        <v>6.9610523192566802</v>
      </c>
      <c r="DC114" s="23">
        <f t="shared" si="351"/>
        <v>105.19455251706704</v>
      </c>
      <c r="DD114" s="34" t="str">
        <f>VLOOKUP(A114,'Billing Report'!H:I,2,FALSE)</f>
        <v>2035_sp_2026_rico-en-data-ep8_feb_arg_trafico_cpc</v>
      </c>
      <c r="DE114" s="34"/>
      <c r="DF114" s="61"/>
      <c r="DG114" s="62"/>
      <c r="DH114"/>
      <c r="DI114" s="41"/>
      <c r="DJ114" s="41"/>
    </row>
    <row r="115" spans="1:114" ht="14.5" x14ac:dyDescent="0.35">
      <c r="A115" s="63">
        <v>40925790</v>
      </c>
      <c r="B115" s="3" t="s">
        <v>692</v>
      </c>
      <c r="C115" s="3">
        <v>322531401</v>
      </c>
      <c r="D115" s="3" t="s">
        <v>93</v>
      </c>
      <c r="G115" s="38">
        <v>100066.79</v>
      </c>
      <c r="J115" s="33">
        <f>VLOOKUP($B115,'IMS Commission List'!E:CE,79,0)/100</f>
        <v>0.15</v>
      </c>
      <c r="K115" s="79">
        <f t="shared" si="264"/>
        <v>100066.79</v>
      </c>
      <c r="L115" s="3" t="str">
        <f>VLOOKUP($B115,'IMS Commission List'!E:V,18,0)</f>
        <v>ARS</v>
      </c>
      <c r="M115" s="3">
        <v>1</v>
      </c>
      <c r="N115" s="3" t="str">
        <f>VLOOKUP($B115,'IMS Commission List'!E:T,16,0)</f>
        <v>MX</v>
      </c>
      <c r="O115" s="54">
        <f>VLOOKUP($B115,'IMS Commission List'!E:CF,80,0)</f>
        <v>4.9000000000000002E-2</v>
      </c>
      <c r="P115" s="54">
        <f>VLOOKUP($B115,'IMS Commission List'!E:CG,81,0)</f>
        <v>0.1575</v>
      </c>
      <c r="Q115" s="54">
        <f>VLOOKUP($B115,'IMS Commission List'!E:CP,90,0)</f>
        <v>0.03</v>
      </c>
      <c r="R115" s="54">
        <f>VLOOKUP($B115,'IMS Commission List'!E:CQ,91,0)</f>
        <v>0.04</v>
      </c>
      <c r="S115" s="47">
        <f t="shared" si="265"/>
        <v>0</v>
      </c>
      <c r="T115" s="48">
        <f t="shared" si="266"/>
        <v>0</v>
      </c>
      <c r="U115" s="48">
        <f t="shared" si="267"/>
        <v>100066.79</v>
      </c>
      <c r="V115" s="48">
        <f t="shared" si="268"/>
        <v>0</v>
      </c>
      <c r="W115" s="48">
        <f t="shared" si="269"/>
        <v>0</v>
      </c>
      <c r="X115" s="49">
        <f t="shared" si="270"/>
        <v>100066.79</v>
      </c>
      <c r="Y115" s="49">
        <f t="shared" si="271"/>
        <v>0</v>
      </c>
      <c r="Z115" s="49">
        <f t="shared" si="272"/>
        <v>0</v>
      </c>
      <c r="AA115" s="49">
        <f t="shared" si="273"/>
        <v>4167.7818035</v>
      </c>
      <c r="AB115" s="49">
        <f t="shared" si="274"/>
        <v>0</v>
      </c>
      <c r="AC115" s="49">
        <f t="shared" si="275"/>
        <v>0</v>
      </c>
      <c r="AD115" s="49">
        <f t="shared" si="276"/>
        <v>4167.7818035</v>
      </c>
      <c r="AE115" s="49">
        <f t="shared" si="277"/>
        <v>0</v>
      </c>
      <c r="AF115" s="49">
        <f t="shared" si="278"/>
        <v>0</v>
      </c>
      <c r="AG115" s="49">
        <f t="shared" si="279"/>
        <v>15010.018499999998</v>
      </c>
      <c r="AH115" s="49">
        <f t="shared" si="280"/>
        <v>0</v>
      </c>
      <c r="AI115" s="49">
        <f t="shared" si="281"/>
        <v>0</v>
      </c>
      <c r="AJ115" s="49">
        <f t="shared" si="282"/>
        <v>15010.018499999998</v>
      </c>
      <c r="AK115" s="49">
        <f t="shared" si="283"/>
        <v>0</v>
      </c>
      <c r="AL115" s="49">
        <f t="shared" si="284"/>
        <v>0</v>
      </c>
      <c r="AM115" s="49">
        <f t="shared" si="285"/>
        <v>13396.441511249999</v>
      </c>
      <c r="AN115" s="49">
        <f t="shared" si="286"/>
        <v>0</v>
      </c>
      <c r="AO115" s="49">
        <f t="shared" si="287"/>
        <v>0</v>
      </c>
      <c r="AP115" s="49">
        <f t="shared" si="288"/>
        <v>13396.441511249999</v>
      </c>
      <c r="AQ115" s="49">
        <f t="shared" si="289"/>
        <v>0</v>
      </c>
      <c r="AR115" s="49">
        <f t="shared" si="290"/>
        <v>0</v>
      </c>
      <c r="AS115" s="49">
        <f t="shared" si="291"/>
        <v>3002.0036999999998</v>
      </c>
      <c r="AT115" s="49">
        <f t="shared" si="292"/>
        <v>0</v>
      </c>
      <c r="AU115" s="49">
        <f t="shared" si="293"/>
        <v>0</v>
      </c>
      <c r="AV115" s="49">
        <f t="shared" si="294"/>
        <v>3002.0036999999998</v>
      </c>
      <c r="AW115" s="49">
        <f t="shared" si="295"/>
        <v>0</v>
      </c>
      <c r="AX115" s="49">
        <f t="shared" si="296"/>
        <v>0</v>
      </c>
      <c r="AY115" s="49">
        <f t="shared" si="297"/>
        <v>4002.6715999999997</v>
      </c>
      <c r="AZ115" s="49">
        <f t="shared" si="298"/>
        <v>0</v>
      </c>
      <c r="BA115" s="49">
        <f t="shared" si="299"/>
        <v>0</v>
      </c>
      <c r="BB115" s="49">
        <f t="shared" si="300"/>
        <v>4002.6715999999997</v>
      </c>
      <c r="BC115" s="49">
        <f t="shared" si="301"/>
        <v>0</v>
      </c>
      <c r="BD115" s="49">
        <f t="shared" si="302"/>
        <v>0</v>
      </c>
      <c r="BE115" s="49">
        <f t="shared" si="303"/>
        <v>39578.917114750002</v>
      </c>
      <c r="BF115" s="49">
        <f t="shared" si="304"/>
        <v>0</v>
      </c>
      <c r="BG115" s="49">
        <f t="shared" si="305"/>
        <v>0</v>
      </c>
      <c r="BH115" s="49">
        <f t="shared" si="306"/>
        <v>39578.917114750002</v>
      </c>
      <c r="BI115" s="49">
        <f t="shared" si="307"/>
        <v>0</v>
      </c>
      <c r="BJ115" s="49">
        <f t="shared" si="308"/>
        <v>0</v>
      </c>
      <c r="BK115" s="49">
        <f t="shared" si="309"/>
        <v>4167.7818035</v>
      </c>
      <c r="BL115" s="49">
        <f t="shared" si="310"/>
        <v>0</v>
      </c>
      <c r="BM115" s="49">
        <f t="shared" si="311"/>
        <v>0</v>
      </c>
      <c r="BN115" s="49">
        <f t="shared" si="312"/>
        <v>4167.7818035</v>
      </c>
      <c r="BO115" s="49">
        <f t="shared" si="313"/>
        <v>0</v>
      </c>
      <c r="BP115" s="49">
        <f t="shared" si="314"/>
        <v>0</v>
      </c>
      <c r="BQ115" s="49">
        <f t="shared" si="315"/>
        <v>15010.018499999998</v>
      </c>
      <c r="BR115" s="49">
        <f t="shared" si="316"/>
        <v>0</v>
      </c>
      <c r="BS115" s="49">
        <f t="shared" si="317"/>
        <v>0</v>
      </c>
      <c r="BT115" s="49">
        <f t="shared" si="318"/>
        <v>15010.018499999998</v>
      </c>
      <c r="BU115" s="49">
        <f t="shared" si="319"/>
        <v>0</v>
      </c>
      <c r="BV115" s="49">
        <f t="shared" si="320"/>
        <v>0</v>
      </c>
      <c r="BW115" s="49">
        <f t="shared" si="321"/>
        <v>13396.441511249999</v>
      </c>
      <c r="BX115" s="49">
        <f t="shared" si="322"/>
        <v>0</v>
      </c>
      <c r="BY115" s="49">
        <f t="shared" si="323"/>
        <v>0</v>
      </c>
      <c r="BZ115" s="49">
        <f t="shared" si="324"/>
        <v>13396.441511249999</v>
      </c>
      <c r="CA115" s="49">
        <f t="shared" si="325"/>
        <v>0</v>
      </c>
      <c r="CB115" s="49">
        <f t="shared" si="326"/>
        <v>0</v>
      </c>
      <c r="CC115" s="49">
        <f t="shared" si="327"/>
        <v>3002.0036999999998</v>
      </c>
      <c r="CD115" s="49">
        <f t="shared" si="328"/>
        <v>0</v>
      </c>
      <c r="CE115" s="49">
        <f t="shared" si="329"/>
        <v>0</v>
      </c>
      <c r="CF115" s="49">
        <f t="shared" si="330"/>
        <v>3002.0036999999998</v>
      </c>
      <c r="CG115" s="49">
        <f t="shared" si="331"/>
        <v>0</v>
      </c>
      <c r="CH115" s="49">
        <f t="shared" si="332"/>
        <v>0</v>
      </c>
      <c r="CI115" s="49">
        <f t="shared" si="333"/>
        <v>4002.6715999999997</v>
      </c>
      <c r="CJ115" s="49">
        <f t="shared" si="334"/>
        <v>0</v>
      </c>
      <c r="CK115" s="49">
        <f t="shared" si="335"/>
        <v>0</v>
      </c>
      <c r="CL115" s="49">
        <f t="shared" si="336"/>
        <v>4002.6715999999997</v>
      </c>
      <c r="CM115" s="49">
        <f t="shared" si="337"/>
        <v>0</v>
      </c>
      <c r="CN115" s="49">
        <f t="shared" si="338"/>
        <v>0</v>
      </c>
      <c r="CO115" s="49">
        <f t="shared" si="339"/>
        <v>39578.917114750002</v>
      </c>
      <c r="CP115" s="49">
        <f t="shared" si="340"/>
        <v>0</v>
      </c>
      <c r="CQ115" s="49">
        <f t="shared" si="341"/>
        <v>0</v>
      </c>
      <c r="CR115" s="81">
        <f t="shared" si="342"/>
        <v>39578.917114750002</v>
      </c>
      <c r="CS115" s="80">
        <f t="shared" si="343"/>
        <v>60487.872885249992</v>
      </c>
      <c r="CT115" s="54"/>
      <c r="CU115" s="3" t="str">
        <f t="shared" si="344"/>
        <v>ARS</v>
      </c>
      <c r="CV115" s="3">
        <f>VLOOKUP(CU115,DF:DG,2,0)</f>
        <v>6.9185169999999997E-4</v>
      </c>
      <c r="CW115" s="23">
        <f t="shared" si="345"/>
        <v>69.231378775042998</v>
      </c>
      <c r="CX115" s="23">
        <f t="shared" si="346"/>
        <v>2.8834869259805407</v>
      </c>
      <c r="CY115" s="23">
        <f t="shared" si="347"/>
        <v>10.384706816256449</v>
      </c>
      <c r="CZ115" s="23">
        <f t="shared" si="348"/>
        <v>9.2683508335088813</v>
      </c>
      <c r="DA115" s="23">
        <f t="shared" si="349"/>
        <v>2.0769413632512896</v>
      </c>
      <c r="DB115" s="23">
        <f t="shared" si="350"/>
        <v>2.7692551510017198</v>
      </c>
      <c r="DC115" s="23">
        <f t="shared" si="351"/>
        <v>41.84863768504411</v>
      </c>
      <c r="DD115" s="34" t="str">
        <f>VLOOKUP(A115,'Billing Report'!H:I,2,FALSE)</f>
        <v>2035_sp_2026_rico-en-data-ep8-feb_arg_alcance_cpm</v>
      </c>
      <c r="DE115" s="34"/>
      <c r="DF115" s="61"/>
      <c r="DG115" s="62"/>
      <c r="DH115"/>
      <c r="DI115" s="41"/>
      <c r="DJ115" s="41"/>
    </row>
    <row r="116" spans="1:114" ht="14.5" x14ac:dyDescent="0.35">
      <c r="A116" s="63">
        <v>40925772</v>
      </c>
      <c r="B116" s="3" t="s">
        <v>692</v>
      </c>
      <c r="C116" s="3">
        <v>322531401</v>
      </c>
      <c r="D116" s="3" t="s">
        <v>93</v>
      </c>
      <c r="G116" s="38">
        <v>593326.93999999994</v>
      </c>
      <c r="J116" s="33">
        <f>VLOOKUP($B116,'IMS Commission List'!E:CE,79,0)/100</f>
        <v>0.15</v>
      </c>
      <c r="K116" s="79">
        <f t="shared" si="264"/>
        <v>593326.93999999994</v>
      </c>
      <c r="L116" s="3" t="str">
        <f>VLOOKUP($B116,'IMS Commission List'!E:V,18,0)</f>
        <v>ARS</v>
      </c>
      <c r="M116" s="3">
        <v>1</v>
      </c>
      <c r="N116" s="3" t="str">
        <f>VLOOKUP($B116,'IMS Commission List'!E:T,16,0)</f>
        <v>MX</v>
      </c>
      <c r="O116" s="54">
        <f>VLOOKUP($B116,'IMS Commission List'!E:CF,80,0)</f>
        <v>4.9000000000000002E-2</v>
      </c>
      <c r="P116" s="54">
        <f>VLOOKUP($B116,'IMS Commission List'!E:CG,81,0)</f>
        <v>0.1575</v>
      </c>
      <c r="Q116" s="54">
        <f>VLOOKUP($B116,'IMS Commission List'!E:CP,90,0)</f>
        <v>0.03</v>
      </c>
      <c r="R116" s="54">
        <f>VLOOKUP($B116,'IMS Commission List'!E:CQ,91,0)</f>
        <v>0.04</v>
      </c>
      <c r="S116" s="47">
        <f t="shared" si="265"/>
        <v>0</v>
      </c>
      <c r="T116" s="48">
        <f t="shared" si="266"/>
        <v>0</v>
      </c>
      <c r="U116" s="48">
        <f t="shared" si="267"/>
        <v>593326.93999999994</v>
      </c>
      <c r="V116" s="48">
        <f t="shared" si="268"/>
        <v>0</v>
      </c>
      <c r="W116" s="48">
        <f t="shared" si="269"/>
        <v>0</v>
      </c>
      <c r="X116" s="49">
        <f t="shared" si="270"/>
        <v>593326.93999999994</v>
      </c>
      <c r="Y116" s="49">
        <f t="shared" si="271"/>
        <v>0</v>
      </c>
      <c r="Z116" s="49">
        <f t="shared" si="272"/>
        <v>0</v>
      </c>
      <c r="AA116" s="49">
        <f t="shared" si="273"/>
        <v>24712.067050999998</v>
      </c>
      <c r="AB116" s="49">
        <f t="shared" si="274"/>
        <v>0</v>
      </c>
      <c r="AC116" s="49">
        <f t="shared" si="275"/>
        <v>0</v>
      </c>
      <c r="AD116" s="49">
        <f t="shared" si="276"/>
        <v>24712.067050999998</v>
      </c>
      <c r="AE116" s="49">
        <f t="shared" si="277"/>
        <v>0</v>
      </c>
      <c r="AF116" s="49">
        <f t="shared" si="278"/>
        <v>0</v>
      </c>
      <c r="AG116" s="49">
        <f t="shared" si="279"/>
        <v>88999.040999999983</v>
      </c>
      <c r="AH116" s="49">
        <f t="shared" si="280"/>
        <v>0</v>
      </c>
      <c r="AI116" s="49">
        <f t="shared" si="281"/>
        <v>0</v>
      </c>
      <c r="AJ116" s="49">
        <f t="shared" si="282"/>
        <v>88999.040999999983</v>
      </c>
      <c r="AK116" s="49">
        <f t="shared" si="283"/>
        <v>0</v>
      </c>
      <c r="AL116" s="49">
        <f t="shared" si="284"/>
        <v>0</v>
      </c>
      <c r="AM116" s="49">
        <f t="shared" si="285"/>
        <v>79431.644092499992</v>
      </c>
      <c r="AN116" s="49">
        <f t="shared" si="286"/>
        <v>0</v>
      </c>
      <c r="AO116" s="49">
        <f t="shared" si="287"/>
        <v>0</v>
      </c>
      <c r="AP116" s="49">
        <f t="shared" si="288"/>
        <v>79431.644092499992</v>
      </c>
      <c r="AQ116" s="49">
        <f t="shared" si="289"/>
        <v>0</v>
      </c>
      <c r="AR116" s="49">
        <f t="shared" si="290"/>
        <v>0</v>
      </c>
      <c r="AS116" s="49">
        <f t="shared" si="291"/>
        <v>17799.808199999996</v>
      </c>
      <c r="AT116" s="49">
        <f t="shared" si="292"/>
        <v>0</v>
      </c>
      <c r="AU116" s="49">
        <f t="shared" si="293"/>
        <v>0</v>
      </c>
      <c r="AV116" s="49">
        <f t="shared" si="294"/>
        <v>17799.808199999996</v>
      </c>
      <c r="AW116" s="49">
        <f t="shared" si="295"/>
        <v>0</v>
      </c>
      <c r="AX116" s="49">
        <f t="shared" si="296"/>
        <v>0</v>
      </c>
      <c r="AY116" s="49">
        <f t="shared" si="297"/>
        <v>23733.077599999997</v>
      </c>
      <c r="AZ116" s="49">
        <f t="shared" si="298"/>
        <v>0</v>
      </c>
      <c r="BA116" s="49">
        <f t="shared" si="299"/>
        <v>0</v>
      </c>
      <c r="BB116" s="49">
        <f t="shared" si="300"/>
        <v>23733.077599999997</v>
      </c>
      <c r="BC116" s="49">
        <f t="shared" si="301"/>
        <v>0</v>
      </c>
      <c r="BD116" s="49">
        <f t="shared" si="302"/>
        <v>0</v>
      </c>
      <c r="BE116" s="49">
        <f t="shared" si="303"/>
        <v>234675.63794349995</v>
      </c>
      <c r="BF116" s="49">
        <f t="shared" si="304"/>
        <v>0</v>
      </c>
      <c r="BG116" s="49">
        <f t="shared" si="305"/>
        <v>0</v>
      </c>
      <c r="BH116" s="49">
        <f t="shared" si="306"/>
        <v>234675.63794349995</v>
      </c>
      <c r="BI116" s="49">
        <f t="shared" si="307"/>
        <v>0</v>
      </c>
      <c r="BJ116" s="49">
        <f t="shared" si="308"/>
        <v>0</v>
      </c>
      <c r="BK116" s="49">
        <f t="shared" si="309"/>
        <v>24712.067050999998</v>
      </c>
      <c r="BL116" s="49">
        <f t="shared" si="310"/>
        <v>0</v>
      </c>
      <c r="BM116" s="49">
        <f t="shared" si="311"/>
        <v>0</v>
      </c>
      <c r="BN116" s="49">
        <f t="shared" si="312"/>
        <v>24712.067050999998</v>
      </c>
      <c r="BO116" s="49">
        <f t="shared" si="313"/>
        <v>0</v>
      </c>
      <c r="BP116" s="49">
        <f t="shared" si="314"/>
        <v>0</v>
      </c>
      <c r="BQ116" s="49">
        <f t="shared" si="315"/>
        <v>88999.040999999983</v>
      </c>
      <c r="BR116" s="49">
        <f t="shared" si="316"/>
        <v>0</v>
      </c>
      <c r="BS116" s="49">
        <f t="shared" si="317"/>
        <v>0</v>
      </c>
      <c r="BT116" s="49">
        <f t="shared" si="318"/>
        <v>88999.040999999983</v>
      </c>
      <c r="BU116" s="49">
        <f t="shared" si="319"/>
        <v>0</v>
      </c>
      <c r="BV116" s="49">
        <f t="shared" si="320"/>
        <v>0</v>
      </c>
      <c r="BW116" s="49">
        <f t="shared" si="321"/>
        <v>79431.644092499992</v>
      </c>
      <c r="BX116" s="49">
        <f t="shared" si="322"/>
        <v>0</v>
      </c>
      <c r="BY116" s="49">
        <f t="shared" si="323"/>
        <v>0</v>
      </c>
      <c r="BZ116" s="49">
        <f t="shared" si="324"/>
        <v>79431.644092499992</v>
      </c>
      <c r="CA116" s="49">
        <f t="shared" si="325"/>
        <v>0</v>
      </c>
      <c r="CB116" s="49">
        <f t="shared" si="326"/>
        <v>0</v>
      </c>
      <c r="CC116" s="49">
        <f t="shared" si="327"/>
        <v>17799.808199999996</v>
      </c>
      <c r="CD116" s="49">
        <f t="shared" si="328"/>
        <v>0</v>
      </c>
      <c r="CE116" s="49">
        <f t="shared" si="329"/>
        <v>0</v>
      </c>
      <c r="CF116" s="49">
        <f t="shared" si="330"/>
        <v>17799.808199999996</v>
      </c>
      <c r="CG116" s="49">
        <f t="shared" si="331"/>
        <v>0</v>
      </c>
      <c r="CH116" s="49">
        <f t="shared" si="332"/>
        <v>0</v>
      </c>
      <c r="CI116" s="49">
        <f t="shared" si="333"/>
        <v>23733.077599999997</v>
      </c>
      <c r="CJ116" s="49">
        <f t="shared" si="334"/>
        <v>0</v>
      </c>
      <c r="CK116" s="49">
        <f t="shared" si="335"/>
        <v>0</v>
      </c>
      <c r="CL116" s="49">
        <f t="shared" si="336"/>
        <v>23733.077599999997</v>
      </c>
      <c r="CM116" s="49">
        <f t="shared" si="337"/>
        <v>0</v>
      </c>
      <c r="CN116" s="49">
        <f t="shared" si="338"/>
        <v>0</v>
      </c>
      <c r="CO116" s="49">
        <f t="shared" si="339"/>
        <v>234675.63794349995</v>
      </c>
      <c r="CP116" s="49">
        <f t="shared" si="340"/>
        <v>0</v>
      </c>
      <c r="CQ116" s="49">
        <f t="shared" si="341"/>
        <v>0</v>
      </c>
      <c r="CR116" s="81">
        <f t="shared" si="342"/>
        <v>234675.63794349995</v>
      </c>
      <c r="CS116" s="80">
        <f t="shared" si="343"/>
        <v>358651.30205649999</v>
      </c>
      <c r="CT116" s="54"/>
      <c r="CU116" s="3" t="str">
        <f t="shared" si="344"/>
        <v>ARS</v>
      </c>
      <c r="CV116" s="3">
        <f>VLOOKUP(CU116,DF:DG,2,0)</f>
        <v>6.9185169999999997E-4</v>
      </c>
      <c r="CW116" s="23">
        <f t="shared" si="345"/>
        <v>410.49425209479796</v>
      </c>
      <c r="CX116" s="23">
        <f t="shared" si="346"/>
        <v>17.097085599748336</v>
      </c>
      <c r="CY116" s="23">
        <f t="shared" si="347"/>
        <v>61.574137814219682</v>
      </c>
      <c r="CZ116" s="23">
        <f t="shared" si="348"/>
        <v>54.954917999191075</v>
      </c>
      <c r="DA116" s="23">
        <f t="shared" si="349"/>
        <v>12.314827562843936</v>
      </c>
      <c r="DB116" s="23">
        <f t="shared" si="350"/>
        <v>16.419770083791917</v>
      </c>
      <c r="DC116" s="23">
        <f t="shared" si="351"/>
        <v>248.13351303500301</v>
      </c>
      <c r="DD116" s="34" t="str">
        <f>VLOOKUP(A116,'Billing Report'!H:I,2,FALSE)</f>
        <v>2035_sp_2026_tu-prestamo-aca_feb_arg_trafico_cpc</v>
      </c>
      <c r="DE116" s="34"/>
      <c r="DF116" s="61"/>
      <c r="DG116" s="62"/>
      <c r="DH116"/>
      <c r="DI116" s="41"/>
      <c r="DJ116" s="41"/>
    </row>
    <row r="117" spans="1:114" ht="14.5" x14ac:dyDescent="0.35">
      <c r="A117" s="63">
        <v>40925756</v>
      </c>
      <c r="B117" s="3" t="s">
        <v>692</v>
      </c>
      <c r="C117" s="3">
        <v>322531401</v>
      </c>
      <c r="D117" s="3" t="s">
        <v>93</v>
      </c>
      <c r="G117" s="38">
        <v>401091.17</v>
      </c>
      <c r="J117" s="33">
        <f>VLOOKUP($B117,'IMS Commission List'!E:CE,79,0)/100</f>
        <v>0.15</v>
      </c>
      <c r="K117" s="79">
        <f t="shared" si="264"/>
        <v>401091.17</v>
      </c>
      <c r="L117" s="3" t="str">
        <f>VLOOKUP($B117,'IMS Commission List'!E:V,18,0)</f>
        <v>ARS</v>
      </c>
      <c r="M117" s="3">
        <v>1</v>
      </c>
      <c r="N117" s="3" t="str">
        <f>VLOOKUP($B117,'IMS Commission List'!E:T,16,0)</f>
        <v>MX</v>
      </c>
      <c r="O117" s="54">
        <f>VLOOKUP($B117,'IMS Commission List'!E:CF,80,0)</f>
        <v>4.9000000000000002E-2</v>
      </c>
      <c r="P117" s="54">
        <f>VLOOKUP($B117,'IMS Commission List'!E:CG,81,0)</f>
        <v>0.1575</v>
      </c>
      <c r="Q117" s="54">
        <f>VLOOKUP($B117,'IMS Commission List'!E:CP,90,0)</f>
        <v>0.03</v>
      </c>
      <c r="R117" s="54">
        <f>VLOOKUP($B117,'IMS Commission List'!E:CQ,91,0)</f>
        <v>0.04</v>
      </c>
      <c r="S117" s="47">
        <f t="shared" si="265"/>
        <v>0</v>
      </c>
      <c r="T117" s="48">
        <f t="shared" si="266"/>
        <v>0</v>
      </c>
      <c r="U117" s="48">
        <f t="shared" si="267"/>
        <v>401091.17</v>
      </c>
      <c r="V117" s="48">
        <f t="shared" si="268"/>
        <v>0</v>
      </c>
      <c r="W117" s="48">
        <f t="shared" si="269"/>
        <v>0</v>
      </c>
      <c r="X117" s="49">
        <f t="shared" si="270"/>
        <v>401091.17</v>
      </c>
      <c r="Y117" s="49">
        <f t="shared" si="271"/>
        <v>0</v>
      </c>
      <c r="Z117" s="49">
        <f t="shared" si="272"/>
        <v>0</v>
      </c>
      <c r="AA117" s="49">
        <f t="shared" si="273"/>
        <v>16705.447230499998</v>
      </c>
      <c r="AB117" s="49">
        <f t="shared" si="274"/>
        <v>0</v>
      </c>
      <c r="AC117" s="49">
        <f t="shared" si="275"/>
        <v>0</v>
      </c>
      <c r="AD117" s="49">
        <f t="shared" si="276"/>
        <v>16705.447230499998</v>
      </c>
      <c r="AE117" s="49">
        <f t="shared" si="277"/>
        <v>0</v>
      </c>
      <c r="AF117" s="49">
        <f t="shared" si="278"/>
        <v>0</v>
      </c>
      <c r="AG117" s="49">
        <f t="shared" si="279"/>
        <v>60163.675499999998</v>
      </c>
      <c r="AH117" s="49">
        <f t="shared" si="280"/>
        <v>0</v>
      </c>
      <c r="AI117" s="49">
        <f t="shared" si="281"/>
        <v>0</v>
      </c>
      <c r="AJ117" s="49">
        <f t="shared" si="282"/>
        <v>60163.675499999998</v>
      </c>
      <c r="AK117" s="49">
        <f t="shared" si="283"/>
        <v>0</v>
      </c>
      <c r="AL117" s="49">
        <f t="shared" si="284"/>
        <v>0</v>
      </c>
      <c r="AM117" s="49">
        <f t="shared" si="285"/>
        <v>53696.080383749992</v>
      </c>
      <c r="AN117" s="49">
        <f t="shared" si="286"/>
        <v>0</v>
      </c>
      <c r="AO117" s="49">
        <f t="shared" si="287"/>
        <v>0</v>
      </c>
      <c r="AP117" s="49">
        <f t="shared" si="288"/>
        <v>53696.080383749992</v>
      </c>
      <c r="AQ117" s="49">
        <f t="shared" si="289"/>
        <v>0</v>
      </c>
      <c r="AR117" s="49">
        <f t="shared" si="290"/>
        <v>0</v>
      </c>
      <c r="AS117" s="49">
        <f t="shared" si="291"/>
        <v>12032.7351</v>
      </c>
      <c r="AT117" s="49">
        <f t="shared" si="292"/>
        <v>0</v>
      </c>
      <c r="AU117" s="49">
        <f t="shared" si="293"/>
        <v>0</v>
      </c>
      <c r="AV117" s="49">
        <f t="shared" si="294"/>
        <v>12032.7351</v>
      </c>
      <c r="AW117" s="49">
        <f t="shared" si="295"/>
        <v>0</v>
      </c>
      <c r="AX117" s="49">
        <f t="shared" si="296"/>
        <v>0</v>
      </c>
      <c r="AY117" s="49">
        <f t="shared" si="297"/>
        <v>16043.6468</v>
      </c>
      <c r="AZ117" s="49">
        <f t="shared" si="298"/>
        <v>0</v>
      </c>
      <c r="BA117" s="49">
        <f t="shared" si="299"/>
        <v>0</v>
      </c>
      <c r="BB117" s="49">
        <f t="shared" si="300"/>
        <v>16043.6468</v>
      </c>
      <c r="BC117" s="49">
        <f t="shared" si="301"/>
        <v>0</v>
      </c>
      <c r="BD117" s="49">
        <f t="shared" si="302"/>
        <v>0</v>
      </c>
      <c r="BE117" s="49">
        <f t="shared" si="303"/>
        <v>158641.58501424995</v>
      </c>
      <c r="BF117" s="49">
        <f t="shared" si="304"/>
        <v>0</v>
      </c>
      <c r="BG117" s="49">
        <f t="shared" si="305"/>
        <v>0</v>
      </c>
      <c r="BH117" s="49">
        <f t="shared" si="306"/>
        <v>158641.58501424995</v>
      </c>
      <c r="BI117" s="49">
        <f t="shared" si="307"/>
        <v>0</v>
      </c>
      <c r="BJ117" s="49">
        <f t="shared" si="308"/>
        <v>0</v>
      </c>
      <c r="BK117" s="49">
        <f t="shared" si="309"/>
        <v>16705.447230499998</v>
      </c>
      <c r="BL117" s="49">
        <f t="shared" si="310"/>
        <v>0</v>
      </c>
      <c r="BM117" s="49">
        <f t="shared" si="311"/>
        <v>0</v>
      </c>
      <c r="BN117" s="49">
        <f t="shared" si="312"/>
        <v>16705.447230499998</v>
      </c>
      <c r="BO117" s="49">
        <f t="shared" si="313"/>
        <v>0</v>
      </c>
      <c r="BP117" s="49">
        <f t="shared" si="314"/>
        <v>0</v>
      </c>
      <c r="BQ117" s="49">
        <f t="shared" si="315"/>
        <v>60163.675499999998</v>
      </c>
      <c r="BR117" s="49">
        <f t="shared" si="316"/>
        <v>0</v>
      </c>
      <c r="BS117" s="49">
        <f t="shared" si="317"/>
        <v>0</v>
      </c>
      <c r="BT117" s="49">
        <f t="shared" si="318"/>
        <v>60163.675499999998</v>
      </c>
      <c r="BU117" s="49">
        <f t="shared" si="319"/>
        <v>0</v>
      </c>
      <c r="BV117" s="49">
        <f t="shared" si="320"/>
        <v>0</v>
      </c>
      <c r="BW117" s="49">
        <f t="shared" si="321"/>
        <v>53696.080383749992</v>
      </c>
      <c r="BX117" s="49">
        <f t="shared" si="322"/>
        <v>0</v>
      </c>
      <c r="BY117" s="49">
        <f t="shared" si="323"/>
        <v>0</v>
      </c>
      <c r="BZ117" s="49">
        <f t="shared" si="324"/>
        <v>53696.080383749992</v>
      </c>
      <c r="CA117" s="49">
        <f t="shared" si="325"/>
        <v>0</v>
      </c>
      <c r="CB117" s="49">
        <f t="shared" si="326"/>
        <v>0</v>
      </c>
      <c r="CC117" s="49">
        <f t="shared" si="327"/>
        <v>12032.7351</v>
      </c>
      <c r="CD117" s="49">
        <f t="shared" si="328"/>
        <v>0</v>
      </c>
      <c r="CE117" s="49">
        <f t="shared" si="329"/>
        <v>0</v>
      </c>
      <c r="CF117" s="49">
        <f t="shared" si="330"/>
        <v>12032.7351</v>
      </c>
      <c r="CG117" s="49">
        <f t="shared" si="331"/>
        <v>0</v>
      </c>
      <c r="CH117" s="49">
        <f t="shared" si="332"/>
        <v>0</v>
      </c>
      <c r="CI117" s="49">
        <f t="shared" si="333"/>
        <v>16043.6468</v>
      </c>
      <c r="CJ117" s="49">
        <f t="shared" si="334"/>
        <v>0</v>
      </c>
      <c r="CK117" s="49">
        <f t="shared" si="335"/>
        <v>0</v>
      </c>
      <c r="CL117" s="49">
        <f t="shared" si="336"/>
        <v>16043.6468</v>
      </c>
      <c r="CM117" s="49">
        <f t="shared" si="337"/>
        <v>0</v>
      </c>
      <c r="CN117" s="49">
        <f t="shared" si="338"/>
        <v>0</v>
      </c>
      <c r="CO117" s="49">
        <f t="shared" si="339"/>
        <v>158641.58501424995</v>
      </c>
      <c r="CP117" s="49">
        <f t="shared" si="340"/>
        <v>0</v>
      </c>
      <c r="CQ117" s="49">
        <f t="shared" si="341"/>
        <v>0</v>
      </c>
      <c r="CR117" s="81">
        <f t="shared" si="342"/>
        <v>158641.58501424995</v>
      </c>
      <c r="CS117" s="80">
        <f t="shared" si="343"/>
        <v>242449.58498575003</v>
      </c>
      <c r="CT117" s="54"/>
      <c r="CU117" s="3" t="str">
        <f t="shared" si="344"/>
        <v>ARS</v>
      </c>
      <c r="CV117" s="3">
        <f>VLOOKUP(CU117,DF:DG,2,0)</f>
        <v>6.9185169999999997E-4</v>
      </c>
      <c r="CW117" s="23">
        <f t="shared" si="345"/>
        <v>277.49560781948895</v>
      </c>
      <c r="CX117" s="23">
        <f t="shared" si="346"/>
        <v>11.557692065681715</v>
      </c>
      <c r="CY117" s="23">
        <f t="shared" si="347"/>
        <v>41.624341172923344</v>
      </c>
      <c r="CZ117" s="23">
        <f t="shared" si="348"/>
        <v>37.149724496834082</v>
      </c>
      <c r="DA117" s="23">
        <f t="shared" si="349"/>
        <v>8.3248682345846703</v>
      </c>
      <c r="DB117" s="23">
        <f t="shared" si="350"/>
        <v>11.09982431277956</v>
      </c>
      <c r="DC117" s="23">
        <f t="shared" si="351"/>
        <v>167.73915753668564</v>
      </c>
      <c r="DD117" s="34" t="str">
        <f>VLOOKUP(A117,'Billing Report'!H:I,2,FALSE)</f>
        <v>2035_sp_2026_tu-prestamo-aca-feb_arg_alcance_cpm</v>
      </c>
      <c r="DE117" s="34"/>
      <c r="DF117" s="61"/>
      <c r="DG117" s="62"/>
      <c r="DH117"/>
      <c r="DI117" s="41"/>
      <c r="DJ117" s="41"/>
    </row>
    <row r="118" spans="1:114" ht="14.5" x14ac:dyDescent="0.35">
      <c r="A118" s="63">
        <v>40916260</v>
      </c>
      <c r="B118" s="3" t="s">
        <v>692</v>
      </c>
      <c r="C118" s="3">
        <v>322531401</v>
      </c>
      <c r="D118" s="3" t="s">
        <v>93</v>
      </c>
      <c r="G118" s="38">
        <v>400092.13</v>
      </c>
      <c r="J118" s="33">
        <f>VLOOKUP($B118,'IMS Commission List'!E:CE,79,0)/100</f>
        <v>0.15</v>
      </c>
      <c r="K118" s="79">
        <f t="shared" si="264"/>
        <v>400092.13</v>
      </c>
      <c r="L118" s="3" t="str">
        <f>VLOOKUP($B118,'IMS Commission List'!E:V,18,0)</f>
        <v>ARS</v>
      </c>
      <c r="M118" s="3">
        <v>1</v>
      </c>
      <c r="N118" s="3" t="str">
        <f>VLOOKUP($B118,'IMS Commission List'!E:T,16,0)</f>
        <v>MX</v>
      </c>
      <c r="O118" s="54">
        <f>VLOOKUP($B118,'IMS Commission List'!E:CF,80,0)</f>
        <v>4.9000000000000002E-2</v>
      </c>
      <c r="P118" s="54">
        <f>VLOOKUP($B118,'IMS Commission List'!E:CG,81,0)</f>
        <v>0.1575</v>
      </c>
      <c r="Q118" s="54">
        <f>VLOOKUP($B118,'IMS Commission List'!E:CP,90,0)</f>
        <v>0.03</v>
      </c>
      <c r="R118" s="54">
        <f>VLOOKUP($B118,'IMS Commission List'!E:CQ,91,0)</f>
        <v>0.04</v>
      </c>
      <c r="S118" s="47">
        <f t="shared" si="265"/>
        <v>0</v>
      </c>
      <c r="T118" s="48">
        <f t="shared" si="266"/>
        <v>0</v>
      </c>
      <c r="U118" s="48">
        <f t="shared" si="267"/>
        <v>400092.13</v>
      </c>
      <c r="V118" s="48">
        <f t="shared" si="268"/>
        <v>0</v>
      </c>
      <c r="W118" s="48">
        <f t="shared" si="269"/>
        <v>0</v>
      </c>
      <c r="X118" s="49">
        <f t="shared" si="270"/>
        <v>400092.13</v>
      </c>
      <c r="Y118" s="49">
        <f t="shared" si="271"/>
        <v>0</v>
      </c>
      <c r="Z118" s="49">
        <f t="shared" si="272"/>
        <v>0</v>
      </c>
      <c r="AA118" s="49">
        <f t="shared" si="273"/>
        <v>16663.837214499999</v>
      </c>
      <c r="AB118" s="49">
        <f t="shared" si="274"/>
        <v>0</v>
      </c>
      <c r="AC118" s="49">
        <f t="shared" si="275"/>
        <v>0</v>
      </c>
      <c r="AD118" s="49">
        <f t="shared" si="276"/>
        <v>16663.837214499999</v>
      </c>
      <c r="AE118" s="49">
        <f t="shared" si="277"/>
        <v>0</v>
      </c>
      <c r="AF118" s="49">
        <f t="shared" si="278"/>
        <v>0</v>
      </c>
      <c r="AG118" s="49">
        <f t="shared" si="279"/>
        <v>60013.819499999998</v>
      </c>
      <c r="AH118" s="49">
        <f t="shared" si="280"/>
        <v>0</v>
      </c>
      <c r="AI118" s="49">
        <f t="shared" si="281"/>
        <v>0</v>
      </c>
      <c r="AJ118" s="49">
        <f t="shared" si="282"/>
        <v>60013.819499999998</v>
      </c>
      <c r="AK118" s="49">
        <f t="shared" si="283"/>
        <v>0</v>
      </c>
      <c r="AL118" s="49">
        <f t="shared" si="284"/>
        <v>0</v>
      </c>
      <c r="AM118" s="49">
        <f t="shared" si="285"/>
        <v>53562.333903750005</v>
      </c>
      <c r="AN118" s="49">
        <f t="shared" si="286"/>
        <v>0</v>
      </c>
      <c r="AO118" s="49">
        <f t="shared" si="287"/>
        <v>0</v>
      </c>
      <c r="AP118" s="49">
        <f t="shared" si="288"/>
        <v>53562.333903750005</v>
      </c>
      <c r="AQ118" s="49">
        <f t="shared" si="289"/>
        <v>0</v>
      </c>
      <c r="AR118" s="49">
        <f t="shared" si="290"/>
        <v>0</v>
      </c>
      <c r="AS118" s="49">
        <f t="shared" si="291"/>
        <v>12002.7639</v>
      </c>
      <c r="AT118" s="49">
        <f t="shared" si="292"/>
        <v>0</v>
      </c>
      <c r="AU118" s="49">
        <f t="shared" si="293"/>
        <v>0</v>
      </c>
      <c r="AV118" s="49">
        <f t="shared" si="294"/>
        <v>12002.7639</v>
      </c>
      <c r="AW118" s="49">
        <f t="shared" si="295"/>
        <v>0</v>
      </c>
      <c r="AX118" s="49">
        <f t="shared" si="296"/>
        <v>0</v>
      </c>
      <c r="AY118" s="49">
        <f t="shared" si="297"/>
        <v>16003.6852</v>
      </c>
      <c r="AZ118" s="49">
        <f t="shared" si="298"/>
        <v>0</v>
      </c>
      <c r="BA118" s="49">
        <f t="shared" si="299"/>
        <v>0</v>
      </c>
      <c r="BB118" s="49">
        <f t="shared" si="300"/>
        <v>16003.6852</v>
      </c>
      <c r="BC118" s="49">
        <f t="shared" si="301"/>
        <v>0</v>
      </c>
      <c r="BD118" s="49">
        <f t="shared" si="302"/>
        <v>0</v>
      </c>
      <c r="BE118" s="49">
        <f t="shared" si="303"/>
        <v>158246.43971825001</v>
      </c>
      <c r="BF118" s="49">
        <f t="shared" si="304"/>
        <v>0</v>
      </c>
      <c r="BG118" s="49">
        <f t="shared" si="305"/>
        <v>0</v>
      </c>
      <c r="BH118" s="49">
        <f t="shared" si="306"/>
        <v>158246.43971825001</v>
      </c>
      <c r="BI118" s="49">
        <f t="shared" si="307"/>
        <v>0</v>
      </c>
      <c r="BJ118" s="49">
        <f t="shared" si="308"/>
        <v>0</v>
      </c>
      <c r="BK118" s="49">
        <f t="shared" si="309"/>
        <v>16663.837214499999</v>
      </c>
      <c r="BL118" s="49">
        <f t="shared" si="310"/>
        <v>0</v>
      </c>
      <c r="BM118" s="49">
        <f t="shared" si="311"/>
        <v>0</v>
      </c>
      <c r="BN118" s="49">
        <f t="shared" si="312"/>
        <v>16663.837214499999</v>
      </c>
      <c r="BO118" s="49">
        <f t="shared" si="313"/>
        <v>0</v>
      </c>
      <c r="BP118" s="49">
        <f t="shared" si="314"/>
        <v>0</v>
      </c>
      <c r="BQ118" s="49">
        <f t="shared" si="315"/>
        <v>60013.819499999998</v>
      </c>
      <c r="BR118" s="49">
        <f t="shared" si="316"/>
        <v>0</v>
      </c>
      <c r="BS118" s="49">
        <f t="shared" si="317"/>
        <v>0</v>
      </c>
      <c r="BT118" s="49">
        <f t="shared" si="318"/>
        <v>60013.819499999998</v>
      </c>
      <c r="BU118" s="49">
        <f t="shared" si="319"/>
        <v>0</v>
      </c>
      <c r="BV118" s="49">
        <f t="shared" si="320"/>
        <v>0</v>
      </c>
      <c r="BW118" s="49">
        <f t="shared" si="321"/>
        <v>53562.333903750005</v>
      </c>
      <c r="BX118" s="49">
        <f t="shared" si="322"/>
        <v>0</v>
      </c>
      <c r="BY118" s="49">
        <f t="shared" si="323"/>
        <v>0</v>
      </c>
      <c r="BZ118" s="49">
        <f t="shared" si="324"/>
        <v>53562.333903750005</v>
      </c>
      <c r="CA118" s="49">
        <f t="shared" si="325"/>
        <v>0</v>
      </c>
      <c r="CB118" s="49">
        <f t="shared" si="326"/>
        <v>0</v>
      </c>
      <c r="CC118" s="49">
        <f t="shared" si="327"/>
        <v>12002.7639</v>
      </c>
      <c r="CD118" s="49">
        <f t="shared" si="328"/>
        <v>0</v>
      </c>
      <c r="CE118" s="49">
        <f t="shared" si="329"/>
        <v>0</v>
      </c>
      <c r="CF118" s="49">
        <f t="shared" si="330"/>
        <v>12002.7639</v>
      </c>
      <c r="CG118" s="49">
        <f t="shared" si="331"/>
        <v>0</v>
      </c>
      <c r="CH118" s="49">
        <f t="shared" si="332"/>
        <v>0</v>
      </c>
      <c r="CI118" s="49">
        <f t="shared" si="333"/>
        <v>16003.6852</v>
      </c>
      <c r="CJ118" s="49">
        <f t="shared" si="334"/>
        <v>0</v>
      </c>
      <c r="CK118" s="49">
        <f t="shared" si="335"/>
        <v>0</v>
      </c>
      <c r="CL118" s="49">
        <f t="shared" si="336"/>
        <v>16003.6852</v>
      </c>
      <c r="CM118" s="49">
        <f t="shared" si="337"/>
        <v>0</v>
      </c>
      <c r="CN118" s="49">
        <f t="shared" si="338"/>
        <v>0</v>
      </c>
      <c r="CO118" s="49">
        <f t="shared" si="339"/>
        <v>158246.43971825001</v>
      </c>
      <c r="CP118" s="49">
        <f t="shared" si="340"/>
        <v>0</v>
      </c>
      <c r="CQ118" s="49">
        <f t="shared" si="341"/>
        <v>0</v>
      </c>
      <c r="CR118" s="81">
        <f t="shared" si="342"/>
        <v>158246.43971825001</v>
      </c>
      <c r="CS118" s="80">
        <f t="shared" si="343"/>
        <v>241845.69028174999</v>
      </c>
      <c r="CT118" s="54"/>
      <c r="CU118" s="3" t="str">
        <f t="shared" si="344"/>
        <v>ARS</v>
      </c>
      <c r="CV118" s="3">
        <f>VLOOKUP(CU118,DF:DG,2,0)</f>
        <v>6.9185169999999997E-4</v>
      </c>
      <c r="CW118" s="23">
        <f t="shared" si="345"/>
        <v>276.804420297121</v>
      </c>
      <c r="CX118" s="23">
        <f t="shared" si="346"/>
        <v>11.528904105375089</v>
      </c>
      <c r="CY118" s="23">
        <f t="shared" si="347"/>
        <v>41.520663044568145</v>
      </c>
      <c r="CZ118" s="23">
        <f t="shared" si="348"/>
        <v>37.057191767277075</v>
      </c>
      <c r="DA118" s="23">
        <f t="shared" si="349"/>
        <v>8.3041326089136298</v>
      </c>
      <c r="DB118" s="23">
        <f t="shared" si="350"/>
        <v>11.072176811884839</v>
      </c>
      <c r="DC118" s="23">
        <f t="shared" si="351"/>
        <v>167.3213519591022</v>
      </c>
      <c r="DD118" s="34" t="str">
        <f>VLOOKUP(A118,'Billing Report'!H:I,2,FALSE)</f>
        <v>2035_sp_2026_tc-especial-vuelta-a-clases_feb_arg_trafico_cpc</v>
      </c>
      <c r="DE118" s="34"/>
      <c r="DF118" s="61"/>
      <c r="DG118" s="62"/>
      <c r="DH118"/>
      <c r="DI118" s="41"/>
      <c r="DJ118" s="41"/>
    </row>
    <row r="119" spans="1:114" ht="14.5" x14ac:dyDescent="0.35">
      <c r="A119" s="63">
        <v>40916250</v>
      </c>
      <c r="B119" s="3" t="s">
        <v>692</v>
      </c>
      <c r="C119" s="3">
        <v>322531401</v>
      </c>
      <c r="D119" s="3" t="s">
        <v>93</v>
      </c>
      <c r="G119" s="38">
        <v>200075.18</v>
      </c>
      <c r="J119" s="33">
        <f>VLOOKUP($B119,'IMS Commission List'!E:CE,79,0)/100</f>
        <v>0.15</v>
      </c>
      <c r="K119" s="79">
        <f t="shared" si="264"/>
        <v>200075.18</v>
      </c>
      <c r="L119" s="3" t="str">
        <f>VLOOKUP($B119,'IMS Commission List'!E:V,18,0)</f>
        <v>ARS</v>
      </c>
      <c r="M119" s="3">
        <v>1</v>
      </c>
      <c r="N119" s="3" t="str">
        <f>VLOOKUP($B119,'IMS Commission List'!E:T,16,0)</f>
        <v>MX</v>
      </c>
      <c r="O119" s="54">
        <f>VLOOKUP($B119,'IMS Commission List'!E:CF,80,0)</f>
        <v>4.9000000000000002E-2</v>
      </c>
      <c r="P119" s="54">
        <f>VLOOKUP($B119,'IMS Commission List'!E:CG,81,0)</f>
        <v>0.1575</v>
      </c>
      <c r="Q119" s="54">
        <f>VLOOKUP($B119,'IMS Commission List'!E:CP,90,0)</f>
        <v>0.03</v>
      </c>
      <c r="R119" s="54">
        <f>VLOOKUP($B119,'IMS Commission List'!E:CQ,91,0)</f>
        <v>0.04</v>
      </c>
      <c r="S119" s="47">
        <f t="shared" si="265"/>
        <v>0</v>
      </c>
      <c r="T119" s="48">
        <f t="shared" si="266"/>
        <v>0</v>
      </c>
      <c r="U119" s="48">
        <f t="shared" si="267"/>
        <v>200075.18</v>
      </c>
      <c r="V119" s="48">
        <f t="shared" si="268"/>
        <v>0</v>
      </c>
      <c r="W119" s="48">
        <f t="shared" si="269"/>
        <v>0</v>
      </c>
      <c r="X119" s="49">
        <f t="shared" si="270"/>
        <v>200075.18</v>
      </c>
      <c r="Y119" s="49">
        <f t="shared" si="271"/>
        <v>0</v>
      </c>
      <c r="Z119" s="49">
        <f t="shared" si="272"/>
        <v>0</v>
      </c>
      <c r="AA119" s="49">
        <f t="shared" si="273"/>
        <v>8333.1312469999993</v>
      </c>
      <c r="AB119" s="49">
        <f t="shared" si="274"/>
        <v>0</v>
      </c>
      <c r="AC119" s="49">
        <f t="shared" si="275"/>
        <v>0</v>
      </c>
      <c r="AD119" s="49">
        <f t="shared" si="276"/>
        <v>8333.1312469999993</v>
      </c>
      <c r="AE119" s="49">
        <f t="shared" si="277"/>
        <v>0</v>
      </c>
      <c r="AF119" s="49">
        <f t="shared" si="278"/>
        <v>0</v>
      </c>
      <c r="AG119" s="49">
        <f t="shared" si="279"/>
        <v>30011.276999999998</v>
      </c>
      <c r="AH119" s="49">
        <f t="shared" si="280"/>
        <v>0</v>
      </c>
      <c r="AI119" s="49">
        <f t="shared" si="281"/>
        <v>0</v>
      </c>
      <c r="AJ119" s="49">
        <f t="shared" si="282"/>
        <v>30011.276999999998</v>
      </c>
      <c r="AK119" s="49">
        <f t="shared" si="283"/>
        <v>0</v>
      </c>
      <c r="AL119" s="49">
        <f t="shared" si="284"/>
        <v>0</v>
      </c>
      <c r="AM119" s="49">
        <f t="shared" si="285"/>
        <v>26785.064722499999</v>
      </c>
      <c r="AN119" s="49">
        <f t="shared" si="286"/>
        <v>0</v>
      </c>
      <c r="AO119" s="49">
        <f t="shared" si="287"/>
        <v>0</v>
      </c>
      <c r="AP119" s="49">
        <f t="shared" si="288"/>
        <v>26785.064722499999</v>
      </c>
      <c r="AQ119" s="49">
        <f t="shared" si="289"/>
        <v>0</v>
      </c>
      <c r="AR119" s="49">
        <f t="shared" si="290"/>
        <v>0</v>
      </c>
      <c r="AS119" s="49">
        <f t="shared" si="291"/>
        <v>6002.2554</v>
      </c>
      <c r="AT119" s="49">
        <f t="shared" si="292"/>
        <v>0</v>
      </c>
      <c r="AU119" s="49">
        <f t="shared" si="293"/>
        <v>0</v>
      </c>
      <c r="AV119" s="49">
        <f t="shared" si="294"/>
        <v>6002.2554</v>
      </c>
      <c r="AW119" s="49">
        <f t="shared" si="295"/>
        <v>0</v>
      </c>
      <c r="AX119" s="49">
        <f t="shared" si="296"/>
        <v>0</v>
      </c>
      <c r="AY119" s="49">
        <f t="shared" si="297"/>
        <v>8003.0072</v>
      </c>
      <c r="AZ119" s="49">
        <f t="shared" si="298"/>
        <v>0</v>
      </c>
      <c r="BA119" s="49">
        <f t="shared" si="299"/>
        <v>0</v>
      </c>
      <c r="BB119" s="49">
        <f t="shared" si="300"/>
        <v>8003.0072</v>
      </c>
      <c r="BC119" s="49">
        <f t="shared" si="301"/>
        <v>0</v>
      </c>
      <c r="BD119" s="49">
        <f t="shared" si="302"/>
        <v>0</v>
      </c>
      <c r="BE119" s="49">
        <f t="shared" si="303"/>
        <v>79134.735569499986</v>
      </c>
      <c r="BF119" s="49">
        <f t="shared" si="304"/>
        <v>0</v>
      </c>
      <c r="BG119" s="49">
        <f t="shared" si="305"/>
        <v>0</v>
      </c>
      <c r="BH119" s="49">
        <f t="shared" si="306"/>
        <v>79134.735569499986</v>
      </c>
      <c r="BI119" s="49">
        <f t="shared" si="307"/>
        <v>0</v>
      </c>
      <c r="BJ119" s="49">
        <f t="shared" si="308"/>
        <v>0</v>
      </c>
      <c r="BK119" s="49">
        <f t="shared" si="309"/>
        <v>8333.1312469999993</v>
      </c>
      <c r="BL119" s="49">
        <f t="shared" si="310"/>
        <v>0</v>
      </c>
      <c r="BM119" s="49">
        <f t="shared" si="311"/>
        <v>0</v>
      </c>
      <c r="BN119" s="49">
        <f t="shared" si="312"/>
        <v>8333.1312469999993</v>
      </c>
      <c r="BO119" s="49">
        <f t="shared" si="313"/>
        <v>0</v>
      </c>
      <c r="BP119" s="49">
        <f t="shared" si="314"/>
        <v>0</v>
      </c>
      <c r="BQ119" s="49">
        <f t="shared" si="315"/>
        <v>30011.276999999998</v>
      </c>
      <c r="BR119" s="49">
        <f t="shared" si="316"/>
        <v>0</v>
      </c>
      <c r="BS119" s="49">
        <f t="shared" si="317"/>
        <v>0</v>
      </c>
      <c r="BT119" s="49">
        <f t="shared" si="318"/>
        <v>30011.276999999998</v>
      </c>
      <c r="BU119" s="49">
        <f t="shared" si="319"/>
        <v>0</v>
      </c>
      <c r="BV119" s="49">
        <f t="shared" si="320"/>
        <v>0</v>
      </c>
      <c r="BW119" s="49">
        <f t="shared" si="321"/>
        <v>26785.064722499999</v>
      </c>
      <c r="BX119" s="49">
        <f t="shared" si="322"/>
        <v>0</v>
      </c>
      <c r="BY119" s="49">
        <f t="shared" si="323"/>
        <v>0</v>
      </c>
      <c r="BZ119" s="49">
        <f t="shared" si="324"/>
        <v>26785.064722499999</v>
      </c>
      <c r="CA119" s="49">
        <f t="shared" si="325"/>
        <v>0</v>
      </c>
      <c r="CB119" s="49">
        <f t="shared" si="326"/>
        <v>0</v>
      </c>
      <c r="CC119" s="49">
        <f t="shared" si="327"/>
        <v>6002.2554</v>
      </c>
      <c r="CD119" s="49">
        <f t="shared" si="328"/>
        <v>0</v>
      </c>
      <c r="CE119" s="49">
        <f t="shared" si="329"/>
        <v>0</v>
      </c>
      <c r="CF119" s="49">
        <f t="shared" si="330"/>
        <v>6002.2554</v>
      </c>
      <c r="CG119" s="49">
        <f t="shared" si="331"/>
        <v>0</v>
      </c>
      <c r="CH119" s="49">
        <f t="shared" si="332"/>
        <v>0</v>
      </c>
      <c r="CI119" s="49">
        <f t="shared" si="333"/>
        <v>8003.0072</v>
      </c>
      <c r="CJ119" s="49">
        <f t="shared" si="334"/>
        <v>0</v>
      </c>
      <c r="CK119" s="49">
        <f t="shared" si="335"/>
        <v>0</v>
      </c>
      <c r="CL119" s="49">
        <f t="shared" si="336"/>
        <v>8003.0072</v>
      </c>
      <c r="CM119" s="49">
        <f t="shared" si="337"/>
        <v>0</v>
      </c>
      <c r="CN119" s="49">
        <f t="shared" si="338"/>
        <v>0</v>
      </c>
      <c r="CO119" s="49">
        <f t="shared" si="339"/>
        <v>79134.735569499986</v>
      </c>
      <c r="CP119" s="49">
        <f t="shared" si="340"/>
        <v>0</v>
      </c>
      <c r="CQ119" s="49">
        <f t="shared" si="341"/>
        <v>0</v>
      </c>
      <c r="CR119" s="81">
        <f t="shared" si="342"/>
        <v>79134.735569499986</v>
      </c>
      <c r="CS119" s="80">
        <f t="shared" si="343"/>
        <v>120940.44443050001</v>
      </c>
      <c r="CT119" s="54"/>
      <c r="CU119" s="3" t="str">
        <f t="shared" si="344"/>
        <v>ARS</v>
      </c>
      <c r="CV119" s="3">
        <f>VLOOKUP(CU119,DF:DG,2,0)</f>
        <v>6.9185169999999997E-4</v>
      </c>
      <c r="CW119" s="23">
        <f t="shared" si="345"/>
        <v>138.42235341080598</v>
      </c>
      <c r="CX119" s="23">
        <f t="shared" si="346"/>
        <v>5.7652910195600695</v>
      </c>
      <c r="CY119" s="23">
        <f t="shared" si="347"/>
        <v>20.763353011620897</v>
      </c>
      <c r="CZ119" s="23">
        <f t="shared" si="348"/>
        <v>18.531292562871652</v>
      </c>
      <c r="DA119" s="23">
        <f t="shared" si="349"/>
        <v>4.1526706023241795</v>
      </c>
      <c r="DB119" s="23">
        <f t="shared" si="350"/>
        <v>5.5368941364322399</v>
      </c>
      <c r="DC119" s="23">
        <f t="shared" si="351"/>
        <v>83.672852077996964</v>
      </c>
      <c r="DD119" s="34" t="str">
        <f>VLOOKUP(A119,'Billing Report'!H:I,2,FALSE)</f>
        <v>2035_sp_2026_tc-especial-vuelta-a-clases-feb_arg_alcance_cpm</v>
      </c>
      <c r="DE119" s="34"/>
      <c r="DF119" s="61"/>
      <c r="DG119" s="62"/>
      <c r="DH119"/>
      <c r="DI119" s="41"/>
      <c r="DJ119" s="41"/>
    </row>
    <row r="120" spans="1:114" ht="14.5" x14ac:dyDescent="0.35">
      <c r="A120" s="63">
        <v>40881389</v>
      </c>
      <c r="B120" s="3" t="s">
        <v>692</v>
      </c>
      <c r="C120" s="3">
        <v>322531401</v>
      </c>
      <c r="D120" s="3" t="s">
        <v>93</v>
      </c>
      <c r="G120" s="38">
        <v>300038.82</v>
      </c>
      <c r="J120" s="33">
        <f>VLOOKUP($B120,'IMS Commission List'!E:CE,79,0)/100</f>
        <v>0.15</v>
      </c>
      <c r="K120" s="79">
        <f t="shared" si="264"/>
        <v>300038.82</v>
      </c>
      <c r="L120" s="3" t="str">
        <f>VLOOKUP($B120,'IMS Commission List'!E:V,18,0)</f>
        <v>ARS</v>
      </c>
      <c r="M120" s="3">
        <v>1</v>
      </c>
      <c r="N120" s="3" t="str">
        <f>VLOOKUP($B120,'IMS Commission List'!E:T,16,0)</f>
        <v>MX</v>
      </c>
      <c r="O120" s="54">
        <f>VLOOKUP($B120,'IMS Commission List'!E:CF,80,0)</f>
        <v>4.9000000000000002E-2</v>
      </c>
      <c r="P120" s="54">
        <f>VLOOKUP($B120,'IMS Commission List'!E:CG,81,0)</f>
        <v>0.1575</v>
      </c>
      <c r="Q120" s="54">
        <f>VLOOKUP($B120,'IMS Commission List'!E:CP,90,0)</f>
        <v>0.03</v>
      </c>
      <c r="R120" s="54">
        <f>VLOOKUP($B120,'IMS Commission List'!E:CQ,91,0)</f>
        <v>0.04</v>
      </c>
      <c r="S120" s="47">
        <f t="shared" si="265"/>
        <v>0</v>
      </c>
      <c r="T120" s="48">
        <f t="shared" si="266"/>
        <v>0</v>
      </c>
      <c r="U120" s="48">
        <f t="shared" si="267"/>
        <v>300038.82</v>
      </c>
      <c r="V120" s="48">
        <f t="shared" si="268"/>
        <v>0</v>
      </c>
      <c r="W120" s="48">
        <f t="shared" si="269"/>
        <v>0</v>
      </c>
      <c r="X120" s="49">
        <f t="shared" si="270"/>
        <v>300038.82</v>
      </c>
      <c r="Y120" s="49">
        <f t="shared" si="271"/>
        <v>0</v>
      </c>
      <c r="Z120" s="49">
        <f t="shared" si="272"/>
        <v>0</v>
      </c>
      <c r="AA120" s="49">
        <f t="shared" si="273"/>
        <v>12496.616853000001</v>
      </c>
      <c r="AB120" s="49">
        <f t="shared" si="274"/>
        <v>0</v>
      </c>
      <c r="AC120" s="49">
        <f t="shared" si="275"/>
        <v>0</v>
      </c>
      <c r="AD120" s="49">
        <f t="shared" si="276"/>
        <v>12496.616853000001</v>
      </c>
      <c r="AE120" s="49">
        <f t="shared" si="277"/>
        <v>0</v>
      </c>
      <c r="AF120" s="49">
        <f t="shared" si="278"/>
        <v>0</v>
      </c>
      <c r="AG120" s="49">
        <f t="shared" si="279"/>
        <v>45005.822999999997</v>
      </c>
      <c r="AH120" s="49">
        <f t="shared" si="280"/>
        <v>0</v>
      </c>
      <c r="AI120" s="49">
        <f t="shared" si="281"/>
        <v>0</v>
      </c>
      <c r="AJ120" s="49">
        <f t="shared" si="282"/>
        <v>45005.822999999997</v>
      </c>
      <c r="AK120" s="49">
        <f t="shared" si="283"/>
        <v>0</v>
      </c>
      <c r="AL120" s="49">
        <f t="shared" si="284"/>
        <v>0</v>
      </c>
      <c r="AM120" s="49">
        <f t="shared" si="285"/>
        <v>40167.697027499999</v>
      </c>
      <c r="AN120" s="49">
        <f t="shared" si="286"/>
        <v>0</v>
      </c>
      <c r="AO120" s="49">
        <f t="shared" si="287"/>
        <v>0</v>
      </c>
      <c r="AP120" s="49">
        <f t="shared" si="288"/>
        <v>40167.697027499999</v>
      </c>
      <c r="AQ120" s="49">
        <f t="shared" si="289"/>
        <v>0</v>
      </c>
      <c r="AR120" s="49">
        <f t="shared" si="290"/>
        <v>0</v>
      </c>
      <c r="AS120" s="49">
        <f t="shared" si="291"/>
        <v>9001.1646000000001</v>
      </c>
      <c r="AT120" s="49">
        <f t="shared" si="292"/>
        <v>0</v>
      </c>
      <c r="AU120" s="49">
        <f t="shared" si="293"/>
        <v>0</v>
      </c>
      <c r="AV120" s="49">
        <f t="shared" si="294"/>
        <v>9001.1646000000001</v>
      </c>
      <c r="AW120" s="49">
        <f t="shared" si="295"/>
        <v>0</v>
      </c>
      <c r="AX120" s="49">
        <f t="shared" si="296"/>
        <v>0</v>
      </c>
      <c r="AY120" s="49">
        <f t="shared" si="297"/>
        <v>12001.552800000001</v>
      </c>
      <c r="AZ120" s="49">
        <f t="shared" si="298"/>
        <v>0</v>
      </c>
      <c r="BA120" s="49">
        <f t="shared" si="299"/>
        <v>0</v>
      </c>
      <c r="BB120" s="49">
        <f t="shared" si="300"/>
        <v>12001.552800000001</v>
      </c>
      <c r="BC120" s="49">
        <f t="shared" si="301"/>
        <v>0</v>
      </c>
      <c r="BD120" s="49">
        <f t="shared" si="302"/>
        <v>0</v>
      </c>
      <c r="BE120" s="49">
        <f t="shared" si="303"/>
        <v>118672.8542805</v>
      </c>
      <c r="BF120" s="49">
        <f t="shared" si="304"/>
        <v>0</v>
      </c>
      <c r="BG120" s="49">
        <f t="shared" si="305"/>
        <v>0</v>
      </c>
      <c r="BH120" s="49">
        <f t="shared" si="306"/>
        <v>118672.8542805</v>
      </c>
      <c r="BI120" s="49">
        <f t="shared" si="307"/>
        <v>0</v>
      </c>
      <c r="BJ120" s="49">
        <f t="shared" si="308"/>
        <v>0</v>
      </c>
      <c r="BK120" s="49">
        <f t="shared" si="309"/>
        <v>12496.616853000001</v>
      </c>
      <c r="BL120" s="49">
        <f t="shared" si="310"/>
        <v>0</v>
      </c>
      <c r="BM120" s="49">
        <f t="shared" si="311"/>
        <v>0</v>
      </c>
      <c r="BN120" s="49">
        <f t="shared" si="312"/>
        <v>12496.616853000001</v>
      </c>
      <c r="BO120" s="49">
        <f t="shared" si="313"/>
        <v>0</v>
      </c>
      <c r="BP120" s="49">
        <f t="shared" si="314"/>
        <v>0</v>
      </c>
      <c r="BQ120" s="49">
        <f t="shared" si="315"/>
        <v>45005.822999999997</v>
      </c>
      <c r="BR120" s="49">
        <f t="shared" si="316"/>
        <v>0</v>
      </c>
      <c r="BS120" s="49">
        <f t="shared" si="317"/>
        <v>0</v>
      </c>
      <c r="BT120" s="49">
        <f t="shared" si="318"/>
        <v>45005.822999999997</v>
      </c>
      <c r="BU120" s="49">
        <f t="shared" si="319"/>
        <v>0</v>
      </c>
      <c r="BV120" s="49">
        <f t="shared" si="320"/>
        <v>0</v>
      </c>
      <c r="BW120" s="49">
        <f t="shared" si="321"/>
        <v>40167.697027499999</v>
      </c>
      <c r="BX120" s="49">
        <f t="shared" si="322"/>
        <v>0</v>
      </c>
      <c r="BY120" s="49">
        <f t="shared" si="323"/>
        <v>0</v>
      </c>
      <c r="BZ120" s="49">
        <f t="shared" si="324"/>
        <v>40167.697027499999</v>
      </c>
      <c r="CA120" s="49">
        <f t="shared" si="325"/>
        <v>0</v>
      </c>
      <c r="CB120" s="49">
        <f t="shared" si="326"/>
        <v>0</v>
      </c>
      <c r="CC120" s="49">
        <f t="shared" si="327"/>
        <v>9001.1646000000001</v>
      </c>
      <c r="CD120" s="49">
        <f t="shared" si="328"/>
        <v>0</v>
      </c>
      <c r="CE120" s="49">
        <f t="shared" si="329"/>
        <v>0</v>
      </c>
      <c r="CF120" s="49">
        <f t="shared" si="330"/>
        <v>9001.1646000000001</v>
      </c>
      <c r="CG120" s="49">
        <f t="shared" si="331"/>
        <v>0</v>
      </c>
      <c r="CH120" s="49">
        <f t="shared" si="332"/>
        <v>0</v>
      </c>
      <c r="CI120" s="49">
        <f t="shared" si="333"/>
        <v>12001.552800000001</v>
      </c>
      <c r="CJ120" s="49">
        <f t="shared" si="334"/>
        <v>0</v>
      </c>
      <c r="CK120" s="49">
        <f t="shared" si="335"/>
        <v>0</v>
      </c>
      <c r="CL120" s="49">
        <f t="shared" si="336"/>
        <v>12001.552800000001</v>
      </c>
      <c r="CM120" s="49">
        <f t="shared" si="337"/>
        <v>0</v>
      </c>
      <c r="CN120" s="49">
        <f t="shared" si="338"/>
        <v>0</v>
      </c>
      <c r="CO120" s="49">
        <f t="shared" si="339"/>
        <v>118672.8542805</v>
      </c>
      <c r="CP120" s="49">
        <f t="shared" si="340"/>
        <v>0</v>
      </c>
      <c r="CQ120" s="49">
        <f t="shared" si="341"/>
        <v>0</v>
      </c>
      <c r="CR120" s="81">
        <f t="shared" si="342"/>
        <v>118672.8542805</v>
      </c>
      <c r="CS120" s="80">
        <f t="shared" si="343"/>
        <v>181365.9657195</v>
      </c>
      <c r="CT120" s="54"/>
      <c r="CU120" s="3" t="str">
        <f t="shared" si="344"/>
        <v>ARS</v>
      </c>
      <c r="CV120" s="3">
        <f>VLOOKUP(CU120,DF:DG,2,0)</f>
        <v>6.9185169999999997E-4</v>
      </c>
      <c r="CW120" s="23">
        <f t="shared" si="345"/>
        <v>207.582367682994</v>
      </c>
      <c r="CX120" s="23">
        <f t="shared" si="346"/>
        <v>8.6458056139966999</v>
      </c>
      <c r="CY120" s="23">
        <f t="shared" si="347"/>
        <v>31.137355152449096</v>
      </c>
      <c r="CZ120" s="23">
        <f t="shared" si="348"/>
        <v>27.790089473560819</v>
      </c>
      <c r="DA120" s="23">
        <f t="shared" si="349"/>
        <v>6.22747103048982</v>
      </c>
      <c r="DB120" s="23">
        <f t="shared" si="350"/>
        <v>8.3032947073197612</v>
      </c>
      <c r="DC120" s="23">
        <f t="shared" si="351"/>
        <v>125.4783517051778</v>
      </c>
      <c r="DD120" s="34" t="str">
        <f>VLOOKUP(A120,'Billing Report'!H:I,2,FALSE)</f>
        <v>2035_sp_2026_rico-en-data-episodio7_feb_arg_trafico_cpc</v>
      </c>
      <c r="DE120" s="34"/>
      <c r="DF120" s="61"/>
      <c r="DG120" s="62"/>
      <c r="DH120"/>
      <c r="DI120" s="41"/>
      <c r="DJ120" s="41"/>
    </row>
    <row r="121" spans="1:114" ht="14.5" x14ac:dyDescent="0.35">
      <c r="A121" s="63">
        <v>40881381</v>
      </c>
      <c r="B121" s="3" t="s">
        <v>692</v>
      </c>
      <c r="C121" s="3">
        <v>322531401</v>
      </c>
      <c r="D121" s="3" t="s">
        <v>93</v>
      </c>
      <c r="G121" s="38">
        <v>150110.82</v>
      </c>
      <c r="J121" s="33">
        <f>VLOOKUP($B121,'IMS Commission List'!E:CE,79,0)/100</f>
        <v>0.15</v>
      </c>
      <c r="K121" s="79">
        <f t="shared" si="264"/>
        <v>150110.82</v>
      </c>
      <c r="L121" s="3" t="str">
        <f>VLOOKUP($B121,'IMS Commission List'!E:V,18,0)</f>
        <v>ARS</v>
      </c>
      <c r="M121" s="3">
        <v>1</v>
      </c>
      <c r="N121" s="3" t="str">
        <f>VLOOKUP($B121,'IMS Commission List'!E:T,16,0)</f>
        <v>MX</v>
      </c>
      <c r="O121" s="54">
        <f>VLOOKUP($B121,'IMS Commission List'!E:CF,80,0)</f>
        <v>4.9000000000000002E-2</v>
      </c>
      <c r="P121" s="54">
        <f>VLOOKUP($B121,'IMS Commission List'!E:CG,81,0)</f>
        <v>0.1575</v>
      </c>
      <c r="Q121" s="54">
        <f>VLOOKUP($B121,'IMS Commission List'!E:CP,90,0)</f>
        <v>0.03</v>
      </c>
      <c r="R121" s="54">
        <f>VLOOKUP($B121,'IMS Commission List'!E:CQ,91,0)</f>
        <v>0.04</v>
      </c>
      <c r="S121" s="47">
        <f t="shared" si="265"/>
        <v>0</v>
      </c>
      <c r="T121" s="48">
        <f t="shared" si="266"/>
        <v>0</v>
      </c>
      <c r="U121" s="48">
        <f t="shared" si="267"/>
        <v>150110.82</v>
      </c>
      <c r="V121" s="48">
        <f t="shared" si="268"/>
        <v>0</v>
      </c>
      <c r="W121" s="48">
        <f t="shared" si="269"/>
        <v>0</v>
      </c>
      <c r="X121" s="49">
        <f t="shared" si="270"/>
        <v>150110.82</v>
      </c>
      <c r="Y121" s="49">
        <f t="shared" si="271"/>
        <v>0</v>
      </c>
      <c r="Z121" s="49">
        <f t="shared" si="272"/>
        <v>0</v>
      </c>
      <c r="AA121" s="49">
        <f t="shared" si="273"/>
        <v>6252.1156529999998</v>
      </c>
      <c r="AB121" s="49">
        <f t="shared" si="274"/>
        <v>0</v>
      </c>
      <c r="AC121" s="49">
        <f t="shared" si="275"/>
        <v>0</v>
      </c>
      <c r="AD121" s="49">
        <f t="shared" si="276"/>
        <v>6252.1156529999998</v>
      </c>
      <c r="AE121" s="49">
        <f t="shared" si="277"/>
        <v>0</v>
      </c>
      <c r="AF121" s="49">
        <f t="shared" si="278"/>
        <v>0</v>
      </c>
      <c r="AG121" s="49">
        <f t="shared" si="279"/>
        <v>22516.623</v>
      </c>
      <c r="AH121" s="49">
        <f t="shared" si="280"/>
        <v>0</v>
      </c>
      <c r="AI121" s="49">
        <f t="shared" si="281"/>
        <v>0</v>
      </c>
      <c r="AJ121" s="49">
        <f t="shared" si="282"/>
        <v>22516.623</v>
      </c>
      <c r="AK121" s="49">
        <f t="shared" si="283"/>
        <v>0</v>
      </c>
      <c r="AL121" s="49">
        <f t="shared" si="284"/>
        <v>0</v>
      </c>
      <c r="AM121" s="49">
        <f t="shared" si="285"/>
        <v>20096.086027500001</v>
      </c>
      <c r="AN121" s="49">
        <f t="shared" si="286"/>
        <v>0</v>
      </c>
      <c r="AO121" s="49">
        <f t="shared" si="287"/>
        <v>0</v>
      </c>
      <c r="AP121" s="49">
        <f t="shared" si="288"/>
        <v>20096.086027500001</v>
      </c>
      <c r="AQ121" s="49">
        <f t="shared" si="289"/>
        <v>0</v>
      </c>
      <c r="AR121" s="49">
        <f t="shared" si="290"/>
        <v>0</v>
      </c>
      <c r="AS121" s="49">
        <f t="shared" si="291"/>
        <v>4503.3245999999999</v>
      </c>
      <c r="AT121" s="49">
        <f t="shared" si="292"/>
        <v>0</v>
      </c>
      <c r="AU121" s="49">
        <f t="shared" si="293"/>
        <v>0</v>
      </c>
      <c r="AV121" s="49">
        <f t="shared" si="294"/>
        <v>4503.3245999999999</v>
      </c>
      <c r="AW121" s="49">
        <f t="shared" si="295"/>
        <v>0</v>
      </c>
      <c r="AX121" s="49">
        <f t="shared" si="296"/>
        <v>0</v>
      </c>
      <c r="AY121" s="49">
        <f t="shared" si="297"/>
        <v>6004.4328000000005</v>
      </c>
      <c r="AZ121" s="49">
        <f t="shared" si="298"/>
        <v>0</v>
      </c>
      <c r="BA121" s="49">
        <f t="shared" si="299"/>
        <v>0</v>
      </c>
      <c r="BB121" s="49">
        <f t="shared" si="300"/>
        <v>6004.4328000000005</v>
      </c>
      <c r="BC121" s="49">
        <f t="shared" si="301"/>
        <v>0</v>
      </c>
      <c r="BD121" s="49">
        <f t="shared" si="302"/>
        <v>0</v>
      </c>
      <c r="BE121" s="49">
        <f t="shared" si="303"/>
        <v>59372.582080500004</v>
      </c>
      <c r="BF121" s="49">
        <f t="shared" si="304"/>
        <v>0</v>
      </c>
      <c r="BG121" s="49">
        <f t="shared" si="305"/>
        <v>0</v>
      </c>
      <c r="BH121" s="49">
        <f t="shared" si="306"/>
        <v>59372.582080500004</v>
      </c>
      <c r="BI121" s="49">
        <f t="shared" si="307"/>
        <v>0</v>
      </c>
      <c r="BJ121" s="49">
        <f t="shared" si="308"/>
        <v>0</v>
      </c>
      <c r="BK121" s="49">
        <f t="shared" si="309"/>
        <v>6252.1156529999998</v>
      </c>
      <c r="BL121" s="49">
        <f t="shared" si="310"/>
        <v>0</v>
      </c>
      <c r="BM121" s="49">
        <f t="shared" si="311"/>
        <v>0</v>
      </c>
      <c r="BN121" s="49">
        <f t="shared" si="312"/>
        <v>6252.1156529999998</v>
      </c>
      <c r="BO121" s="49">
        <f t="shared" si="313"/>
        <v>0</v>
      </c>
      <c r="BP121" s="49">
        <f t="shared" si="314"/>
        <v>0</v>
      </c>
      <c r="BQ121" s="49">
        <f t="shared" si="315"/>
        <v>22516.623</v>
      </c>
      <c r="BR121" s="49">
        <f t="shared" si="316"/>
        <v>0</v>
      </c>
      <c r="BS121" s="49">
        <f t="shared" si="317"/>
        <v>0</v>
      </c>
      <c r="BT121" s="49">
        <f t="shared" si="318"/>
        <v>22516.623</v>
      </c>
      <c r="BU121" s="49">
        <f t="shared" si="319"/>
        <v>0</v>
      </c>
      <c r="BV121" s="49">
        <f t="shared" si="320"/>
        <v>0</v>
      </c>
      <c r="BW121" s="49">
        <f t="shared" si="321"/>
        <v>20096.086027500001</v>
      </c>
      <c r="BX121" s="49">
        <f t="shared" si="322"/>
        <v>0</v>
      </c>
      <c r="BY121" s="49">
        <f t="shared" si="323"/>
        <v>0</v>
      </c>
      <c r="BZ121" s="49">
        <f t="shared" si="324"/>
        <v>20096.086027500001</v>
      </c>
      <c r="CA121" s="49">
        <f t="shared" si="325"/>
        <v>0</v>
      </c>
      <c r="CB121" s="49">
        <f t="shared" si="326"/>
        <v>0</v>
      </c>
      <c r="CC121" s="49">
        <f t="shared" si="327"/>
        <v>4503.3245999999999</v>
      </c>
      <c r="CD121" s="49">
        <f t="shared" si="328"/>
        <v>0</v>
      </c>
      <c r="CE121" s="49">
        <f t="shared" si="329"/>
        <v>0</v>
      </c>
      <c r="CF121" s="49">
        <f t="shared" si="330"/>
        <v>4503.3245999999999</v>
      </c>
      <c r="CG121" s="49">
        <f t="shared" si="331"/>
        <v>0</v>
      </c>
      <c r="CH121" s="49">
        <f t="shared" si="332"/>
        <v>0</v>
      </c>
      <c r="CI121" s="49">
        <f t="shared" si="333"/>
        <v>6004.4328000000005</v>
      </c>
      <c r="CJ121" s="49">
        <f t="shared" si="334"/>
        <v>0</v>
      </c>
      <c r="CK121" s="49">
        <f t="shared" si="335"/>
        <v>0</v>
      </c>
      <c r="CL121" s="49">
        <f t="shared" si="336"/>
        <v>6004.4328000000005</v>
      </c>
      <c r="CM121" s="49">
        <f t="shared" si="337"/>
        <v>0</v>
      </c>
      <c r="CN121" s="49">
        <f t="shared" si="338"/>
        <v>0</v>
      </c>
      <c r="CO121" s="49">
        <f t="shared" si="339"/>
        <v>59372.582080500004</v>
      </c>
      <c r="CP121" s="49">
        <f t="shared" si="340"/>
        <v>0</v>
      </c>
      <c r="CQ121" s="49">
        <f t="shared" si="341"/>
        <v>0</v>
      </c>
      <c r="CR121" s="81">
        <f t="shared" si="342"/>
        <v>59372.582080500004</v>
      </c>
      <c r="CS121" s="80">
        <f t="shared" si="343"/>
        <v>90738.23791950001</v>
      </c>
      <c r="CT121" s="54"/>
      <c r="CU121" s="3" t="str">
        <f t="shared" si="344"/>
        <v>ARS</v>
      </c>
      <c r="CV121" s="3">
        <f>VLOOKUP(CU121,DF:DG,2,0)</f>
        <v>6.9185169999999997E-4</v>
      </c>
      <c r="CW121" s="23">
        <f t="shared" si="345"/>
        <v>103.854426005394</v>
      </c>
      <c r="CX121" s="23">
        <f t="shared" si="346"/>
        <v>4.3255368431246595</v>
      </c>
      <c r="CY121" s="23">
        <f t="shared" si="347"/>
        <v>15.578163900809098</v>
      </c>
      <c r="CZ121" s="23">
        <f t="shared" si="348"/>
        <v>13.903511281472122</v>
      </c>
      <c r="DA121" s="23">
        <f t="shared" si="349"/>
        <v>3.1156327801618198</v>
      </c>
      <c r="DB121" s="23">
        <f t="shared" si="350"/>
        <v>4.1541770402157603</v>
      </c>
      <c r="DC121" s="23">
        <f t="shared" si="351"/>
        <v>62.777404159610541</v>
      </c>
      <c r="DD121" s="34" t="str">
        <f>VLOOKUP(A121,'Billing Report'!H:I,2,FALSE)</f>
        <v>2035_sp_2026_rico-en-data-episodio7_feb_arg_alcance_cpm</v>
      </c>
      <c r="DE121" s="34"/>
      <c r="DF121" s="61"/>
      <c r="DG121" s="62"/>
      <c r="DH121"/>
      <c r="DI121" s="41"/>
      <c r="DJ121" s="41"/>
    </row>
    <row r="122" spans="1:114" ht="14.5" x14ac:dyDescent="0.35">
      <c r="A122" s="63">
        <v>40881365</v>
      </c>
      <c r="B122" s="3" t="s">
        <v>692</v>
      </c>
      <c r="C122" s="3">
        <v>322531401</v>
      </c>
      <c r="D122" s="3" t="s">
        <v>93</v>
      </c>
      <c r="G122" s="38">
        <v>300909.22000000003</v>
      </c>
      <c r="J122" s="33">
        <f>VLOOKUP($B122,'IMS Commission List'!E:CE,79,0)/100</f>
        <v>0.15</v>
      </c>
      <c r="K122" s="79">
        <f t="shared" si="264"/>
        <v>300909.22000000003</v>
      </c>
      <c r="L122" s="3" t="str">
        <f>VLOOKUP($B122,'IMS Commission List'!E:V,18,0)</f>
        <v>ARS</v>
      </c>
      <c r="M122" s="3">
        <v>1</v>
      </c>
      <c r="N122" s="3" t="str">
        <f>VLOOKUP($B122,'IMS Commission List'!E:T,16,0)</f>
        <v>MX</v>
      </c>
      <c r="O122" s="54">
        <f>VLOOKUP($B122,'IMS Commission List'!E:CF,80,0)</f>
        <v>4.9000000000000002E-2</v>
      </c>
      <c r="P122" s="54">
        <f>VLOOKUP($B122,'IMS Commission List'!E:CG,81,0)</f>
        <v>0.1575</v>
      </c>
      <c r="Q122" s="54">
        <f>VLOOKUP($B122,'IMS Commission List'!E:CP,90,0)</f>
        <v>0.03</v>
      </c>
      <c r="R122" s="54">
        <f>VLOOKUP($B122,'IMS Commission List'!E:CQ,91,0)</f>
        <v>0.04</v>
      </c>
      <c r="S122" s="47">
        <f t="shared" si="265"/>
        <v>0</v>
      </c>
      <c r="T122" s="48">
        <f t="shared" si="266"/>
        <v>0</v>
      </c>
      <c r="U122" s="48">
        <f t="shared" si="267"/>
        <v>300909.22000000003</v>
      </c>
      <c r="V122" s="48">
        <f t="shared" si="268"/>
        <v>0</v>
      </c>
      <c r="W122" s="48">
        <f t="shared" si="269"/>
        <v>0</v>
      </c>
      <c r="X122" s="49">
        <f t="shared" si="270"/>
        <v>300909.22000000003</v>
      </c>
      <c r="Y122" s="49">
        <f t="shared" si="271"/>
        <v>0</v>
      </c>
      <c r="Z122" s="49">
        <f t="shared" si="272"/>
        <v>0</v>
      </c>
      <c r="AA122" s="49">
        <f t="shared" si="273"/>
        <v>12532.869013000001</v>
      </c>
      <c r="AB122" s="49">
        <f t="shared" si="274"/>
        <v>0</v>
      </c>
      <c r="AC122" s="49">
        <f t="shared" si="275"/>
        <v>0</v>
      </c>
      <c r="AD122" s="49">
        <f t="shared" si="276"/>
        <v>12532.869013000001</v>
      </c>
      <c r="AE122" s="49">
        <f t="shared" si="277"/>
        <v>0</v>
      </c>
      <c r="AF122" s="49">
        <f t="shared" si="278"/>
        <v>0</v>
      </c>
      <c r="AG122" s="49">
        <f t="shared" si="279"/>
        <v>45136.383000000002</v>
      </c>
      <c r="AH122" s="49">
        <f t="shared" si="280"/>
        <v>0</v>
      </c>
      <c r="AI122" s="49">
        <f t="shared" si="281"/>
        <v>0</v>
      </c>
      <c r="AJ122" s="49">
        <f t="shared" si="282"/>
        <v>45136.383000000002</v>
      </c>
      <c r="AK122" s="49">
        <f t="shared" si="283"/>
        <v>0</v>
      </c>
      <c r="AL122" s="49">
        <f t="shared" si="284"/>
        <v>0</v>
      </c>
      <c r="AM122" s="49">
        <f t="shared" si="285"/>
        <v>40284.221827500005</v>
      </c>
      <c r="AN122" s="49">
        <f t="shared" si="286"/>
        <v>0</v>
      </c>
      <c r="AO122" s="49">
        <f t="shared" si="287"/>
        <v>0</v>
      </c>
      <c r="AP122" s="49">
        <f t="shared" si="288"/>
        <v>40284.221827500005</v>
      </c>
      <c r="AQ122" s="49">
        <f t="shared" si="289"/>
        <v>0</v>
      </c>
      <c r="AR122" s="49">
        <f t="shared" si="290"/>
        <v>0</v>
      </c>
      <c r="AS122" s="49">
        <f t="shared" si="291"/>
        <v>9027.2766000000011</v>
      </c>
      <c r="AT122" s="49">
        <f t="shared" si="292"/>
        <v>0</v>
      </c>
      <c r="AU122" s="49">
        <f t="shared" si="293"/>
        <v>0</v>
      </c>
      <c r="AV122" s="49">
        <f t="shared" si="294"/>
        <v>9027.2766000000011</v>
      </c>
      <c r="AW122" s="49">
        <f t="shared" si="295"/>
        <v>0</v>
      </c>
      <c r="AX122" s="49">
        <f t="shared" si="296"/>
        <v>0</v>
      </c>
      <c r="AY122" s="49">
        <f t="shared" si="297"/>
        <v>12036.368800000002</v>
      </c>
      <c r="AZ122" s="49">
        <f t="shared" si="298"/>
        <v>0</v>
      </c>
      <c r="BA122" s="49">
        <f t="shared" si="299"/>
        <v>0</v>
      </c>
      <c r="BB122" s="49">
        <f t="shared" si="300"/>
        <v>12036.368800000002</v>
      </c>
      <c r="BC122" s="49">
        <f t="shared" si="301"/>
        <v>0</v>
      </c>
      <c r="BD122" s="49">
        <f t="shared" si="302"/>
        <v>0</v>
      </c>
      <c r="BE122" s="49">
        <f t="shared" si="303"/>
        <v>119017.1192405</v>
      </c>
      <c r="BF122" s="49">
        <f t="shared" si="304"/>
        <v>0</v>
      </c>
      <c r="BG122" s="49">
        <f t="shared" si="305"/>
        <v>0</v>
      </c>
      <c r="BH122" s="49">
        <f t="shared" si="306"/>
        <v>119017.1192405</v>
      </c>
      <c r="BI122" s="49">
        <f t="shared" si="307"/>
        <v>0</v>
      </c>
      <c r="BJ122" s="49">
        <f t="shared" si="308"/>
        <v>0</v>
      </c>
      <c r="BK122" s="49">
        <f t="shared" si="309"/>
        <v>12532.869013000001</v>
      </c>
      <c r="BL122" s="49">
        <f t="shared" si="310"/>
        <v>0</v>
      </c>
      <c r="BM122" s="49">
        <f t="shared" si="311"/>
        <v>0</v>
      </c>
      <c r="BN122" s="49">
        <f t="shared" si="312"/>
        <v>12532.869013000001</v>
      </c>
      <c r="BO122" s="49">
        <f t="shared" si="313"/>
        <v>0</v>
      </c>
      <c r="BP122" s="49">
        <f t="shared" si="314"/>
        <v>0</v>
      </c>
      <c r="BQ122" s="49">
        <f t="shared" si="315"/>
        <v>45136.383000000002</v>
      </c>
      <c r="BR122" s="49">
        <f t="shared" si="316"/>
        <v>0</v>
      </c>
      <c r="BS122" s="49">
        <f t="shared" si="317"/>
        <v>0</v>
      </c>
      <c r="BT122" s="49">
        <f t="shared" si="318"/>
        <v>45136.383000000002</v>
      </c>
      <c r="BU122" s="49">
        <f t="shared" si="319"/>
        <v>0</v>
      </c>
      <c r="BV122" s="49">
        <f t="shared" si="320"/>
        <v>0</v>
      </c>
      <c r="BW122" s="49">
        <f t="shared" si="321"/>
        <v>40284.221827500005</v>
      </c>
      <c r="BX122" s="49">
        <f t="shared" si="322"/>
        <v>0</v>
      </c>
      <c r="BY122" s="49">
        <f t="shared" si="323"/>
        <v>0</v>
      </c>
      <c r="BZ122" s="49">
        <f t="shared" si="324"/>
        <v>40284.221827500005</v>
      </c>
      <c r="CA122" s="49">
        <f t="shared" si="325"/>
        <v>0</v>
      </c>
      <c r="CB122" s="49">
        <f t="shared" si="326"/>
        <v>0</v>
      </c>
      <c r="CC122" s="49">
        <f t="shared" si="327"/>
        <v>9027.2766000000011</v>
      </c>
      <c r="CD122" s="49">
        <f t="shared" si="328"/>
        <v>0</v>
      </c>
      <c r="CE122" s="49">
        <f t="shared" si="329"/>
        <v>0</v>
      </c>
      <c r="CF122" s="49">
        <f t="shared" si="330"/>
        <v>9027.2766000000011</v>
      </c>
      <c r="CG122" s="49">
        <f t="shared" si="331"/>
        <v>0</v>
      </c>
      <c r="CH122" s="49">
        <f t="shared" si="332"/>
        <v>0</v>
      </c>
      <c r="CI122" s="49">
        <f t="shared" si="333"/>
        <v>12036.368800000002</v>
      </c>
      <c r="CJ122" s="49">
        <f t="shared" si="334"/>
        <v>0</v>
      </c>
      <c r="CK122" s="49">
        <f t="shared" si="335"/>
        <v>0</v>
      </c>
      <c r="CL122" s="49">
        <f t="shared" si="336"/>
        <v>12036.368800000002</v>
      </c>
      <c r="CM122" s="49">
        <f t="shared" si="337"/>
        <v>0</v>
      </c>
      <c r="CN122" s="49">
        <f t="shared" si="338"/>
        <v>0</v>
      </c>
      <c r="CO122" s="49">
        <f t="shared" si="339"/>
        <v>119017.1192405</v>
      </c>
      <c r="CP122" s="49">
        <f t="shared" si="340"/>
        <v>0</v>
      </c>
      <c r="CQ122" s="49">
        <f t="shared" si="341"/>
        <v>0</v>
      </c>
      <c r="CR122" s="81">
        <f t="shared" si="342"/>
        <v>119017.1192405</v>
      </c>
      <c r="CS122" s="80">
        <f t="shared" si="343"/>
        <v>181892.10075950003</v>
      </c>
      <c r="CT122" s="54"/>
      <c r="CU122" s="3" t="str">
        <f t="shared" si="344"/>
        <v>ARS</v>
      </c>
      <c r="CV122" s="3">
        <f>VLOOKUP(CU122,DF:DG,2,0)</f>
        <v>6.9185169999999997E-4</v>
      </c>
      <c r="CW122" s="23">
        <f t="shared" si="345"/>
        <v>208.18455540267402</v>
      </c>
      <c r="CX122" s="23">
        <f t="shared" si="346"/>
        <v>8.6708867325213728</v>
      </c>
      <c r="CY122" s="23">
        <f t="shared" si="347"/>
        <v>31.227683310401101</v>
      </c>
      <c r="CZ122" s="23">
        <f t="shared" si="348"/>
        <v>27.870707354532986</v>
      </c>
      <c r="DA122" s="23">
        <f t="shared" si="349"/>
        <v>6.2455366620802204</v>
      </c>
      <c r="DB122" s="23">
        <f t="shared" si="350"/>
        <v>8.3273822161069617</v>
      </c>
      <c r="DC122" s="23">
        <f t="shared" si="351"/>
        <v>125.84235912703137</v>
      </c>
      <c r="DD122" s="34" t="str">
        <f>VLOOKUP(A122,'Billing Report'!H:I,2,FALSE)</f>
        <v>2035_sp_2026_rico-en-data-episodio6_feb_arg_trafico_cpc</v>
      </c>
      <c r="DE122" s="34"/>
      <c r="DF122" s="61"/>
      <c r="DG122" s="62"/>
      <c r="DH122"/>
      <c r="DI122" s="41"/>
      <c r="DJ122" s="41"/>
    </row>
    <row r="123" spans="1:114" ht="14.5" x14ac:dyDescent="0.35">
      <c r="A123" s="63">
        <v>40881358</v>
      </c>
      <c r="B123" s="3" t="s">
        <v>692</v>
      </c>
      <c r="C123" s="3">
        <v>322531401</v>
      </c>
      <c r="D123" s="3" t="s">
        <v>93</v>
      </c>
      <c r="G123" s="38">
        <v>150101.47</v>
      </c>
      <c r="J123" s="33">
        <f>VLOOKUP($B123,'IMS Commission List'!E:CE,79,0)/100</f>
        <v>0.15</v>
      </c>
      <c r="K123" s="79">
        <f t="shared" si="264"/>
        <v>150101.47</v>
      </c>
      <c r="L123" s="3" t="str">
        <f>VLOOKUP($B123,'IMS Commission List'!E:V,18,0)</f>
        <v>ARS</v>
      </c>
      <c r="M123" s="3">
        <v>1</v>
      </c>
      <c r="N123" s="3" t="str">
        <f>VLOOKUP($B123,'IMS Commission List'!E:T,16,0)</f>
        <v>MX</v>
      </c>
      <c r="O123" s="54">
        <f>VLOOKUP($B123,'IMS Commission List'!E:CF,80,0)</f>
        <v>4.9000000000000002E-2</v>
      </c>
      <c r="P123" s="54">
        <f>VLOOKUP($B123,'IMS Commission List'!E:CG,81,0)</f>
        <v>0.1575</v>
      </c>
      <c r="Q123" s="54">
        <f>VLOOKUP($B123,'IMS Commission List'!E:CP,90,0)</f>
        <v>0.03</v>
      </c>
      <c r="R123" s="54">
        <f>VLOOKUP($B123,'IMS Commission List'!E:CQ,91,0)</f>
        <v>0.04</v>
      </c>
      <c r="S123" s="47">
        <f t="shared" si="265"/>
        <v>0</v>
      </c>
      <c r="T123" s="48">
        <f t="shared" si="266"/>
        <v>0</v>
      </c>
      <c r="U123" s="48">
        <f t="shared" si="267"/>
        <v>150101.47</v>
      </c>
      <c r="V123" s="48">
        <f t="shared" si="268"/>
        <v>0</v>
      </c>
      <c r="W123" s="48">
        <f t="shared" si="269"/>
        <v>0</v>
      </c>
      <c r="X123" s="49">
        <f t="shared" si="270"/>
        <v>150101.47</v>
      </c>
      <c r="Y123" s="49">
        <f t="shared" si="271"/>
        <v>0</v>
      </c>
      <c r="Z123" s="49">
        <f t="shared" si="272"/>
        <v>0</v>
      </c>
      <c r="AA123" s="49">
        <f t="shared" si="273"/>
        <v>6251.7262254999996</v>
      </c>
      <c r="AB123" s="49">
        <f t="shared" si="274"/>
        <v>0</v>
      </c>
      <c r="AC123" s="49">
        <f t="shared" si="275"/>
        <v>0</v>
      </c>
      <c r="AD123" s="49">
        <f t="shared" si="276"/>
        <v>6251.7262254999996</v>
      </c>
      <c r="AE123" s="49">
        <f t="shared" si="277"/>
        <v>0</v>
      </c>
      <c r="AF123" s="49">
        <f t="shared" si="278"/>
        <v>0</v>
      </c>
      <c r="AG123" s="49">
        <f t="shared" si="279"/>
        <v>22515.220499999999</v>
      </c>
      <c r="AH123" s="49">
        <f t="shared" si="280"/>
        <v>0</v>
      </c>
      <c r="AI123" s="49">
        <f t="shared" si="281"/>
        <v>0</v>
      </c>
      <c r="AJ123" s="49">
        <f t="shared" si="282"/>
        <v>22515.220499999999</v>
      </c>
      <c r="AK123" s="49">
        <f t="shared" si="283"/>
        <v>0</v>
      </c>
      <c r="AL123" s="49">
        <f t="shared" si="284"/>
        <v>0</v>
      </c>
      <c r="AM123" s="49">
        <f t="shared" si="285"/>
        <v>20094.834296249999</v>
      </c>
      <c r="AN123" s="49">
        <f t="shared" si="286"/>
        <v>0</v>
      </c>
      <c r="AO123" s="49">
        <f t="shared" si="287"/>
        <v>0</v>
      </c>
      <c r="AP123" s="49">
        <f t="shared" si="288"/>
        <v>20094.834296249999</v>
      </c>
      <c r="AQ123" s="49">
        <f t="shared" si="289"/>
        <v>0</v>
      </c>
      <c r="AR123" s="49">
        <f t="shared" si="290"/>
        <v>0</v>
      </c>
      <c r="AS123" s="49">
        <f t="shared" si="291"/>
        <v>4503.0441000000001</v>
      </c>
      <c r="AT123" s="49">
        <f t="shared" si="292"/>
        <v>0</v>
      </c>
      <c r="AU123" s="49">
        <f t="shared" si="293"/>
        <v>0</v>
      </c>
      <c r="AV123" s="49">
        <f t="shared" si="294"/>
        <v>4503.0441000000001</v>
      </c>
      <c r="AW123" s="49">
        <f t="shared" si="295"/>
        <v>0</v>
      </c>
      <c r="AX123" s="49">
        <f t="shared" si="296"/>
        <v>0</v>
      </c>
      <c r="AY123" s="49">
        <f t="shared" si="297"/>
        <v>6004.0587999999998</v>
      </c>
      <c r="AZ123" s="49">
        <f t="shared" si="298"/>
        <v>0</v>
      </c>
      <c r="BA123" s="49">
        <f t="shared" si="299"/>
        <v>0</v>
      </c>
      <c r="BB123" s="49">
        <f t="shared" si="300"/>
        <v>6004.0587999999998</v>
      </c>
      <c r="BC123" s="49">
        <f t="shared" si="301"/>
        <v>0</v>
      </c>
      <c r="BD123" s="49">
        <f t="shared" si="302"/>
        <v>0</v>
      </c>
      <c r="BE123" s="49">
        <f t="shared" si="303"/>
        <v>59368.883921749992</v>
      </c>
      <c r="BF123" s="49">
        <f t="shared" si="304"/>
        <v>0</v>
      </c>
      <c r="BG123" s="49">
        <f t="shared" si="305"/>
        <v>0</v>
      </c>
      <c r="BH123" s="49">
        <f t="shared" si="306"/>
        <v>59368.883921749992</v>
      </c>
      <c r="BI123" s="49">
        <f t="shared" si="307"/>
        <v>0</v>
      </c>
      <c r="BJ123" s="49">
        <f t="shared" si="308"/>
        <v>0</v>
      </c>
      <c r="BK123" s="49">
        <f t="shared" si="309"/>
        <v>6251.7262254999996</v>
      </c>
      <c r="BL123" s="49">
        <f t="shared" si="310"/>
        <v>0</v>
      </c>
      <c r="BM123" s="49">
        <f t="shared" si="311"/>
        <v>0</v>
      </c>
      <c r="BN123" s="49">
        <f t="shared" si="312"/>
        <v>6251.7262254999996</v>
      </c>
      <c r="BO123" s="49">
        <f t="shared" si="313"/>
        <v>0</v>
      </c>
      <c r="BP123" s="49">
        <f t="shared" si="314"/>
        <v>0</v>
      </c>
      <c r="BQ123" s="49">
        <f t="shared" si="315"/>
        <v>22515.220499999999</v>
      </c>
      <c r="BR123" s="49">
        <f t="shared" si="316"/>
        <v>0</v>
      </c>
      <c r="BS123" s="49">
        <f t="shared" si="317"/>
        <v>0</v>
      </c>
      <c r="BT123" s="49">
        <f t="shared" si="318"/>
        <v>22515.220499999999</v>
      </c>
      <c r="BU123" s="49">
        <f t="shared" si="319"/>
        <v>0</v>
      </c>
      <c r="BV123" s="49">
        <f t="shared" si="320"/>
        <v>0</v>
      </c>
      <c r="BW123" s="49">
        <f t="shared" si="321"/>
        <v>20094.834296249999</v>
      </c>
      <c r="BX123" s="49">
        <f t="shared" si="322"/>
        <v>0</v>
      </c>
      <c r="BY123" s="49">
        <f t="shared" si="323"/>
        <v>0</v>
      </c>
      <c r="BZ123" s="49">
        <f t="shared" si="324"/>
        <v>20094.834296249999</v>
      </c>
      <c r="CA123" s="49">
        <f t="shared" si="325"/>
        <v>0</v>
      </c>
      <c r="CB123" s="49">
        <f t="shared" si="326"/>
        <v>0</v>
      </c>
      <c r="CC123" s="49">
        <f t="shared" si="327"/>
        <v>4503.0441000000001</v>
      </c>
      <c r="CD123" s="49">
        <f t="shared" si="328"/>
        <v>0</v>
      </c>
      <c r="CE123" s="49">
        <f t="shared" si="329"/>
        <v>0</v>
      </c>
      <c r="CF123" s="49">
        <f t="shared" si="330"/>
        <v>4503.0441000000001</v>
      </c>
      <c r="CG123" s="49">
        <f t="shared" si="331"/>
        <v>0</v>
      </c>
      <c r="CH123" s="49">
        <f t="shared" si="332"/>
        <v>0</v>
      </c>
      <c r="CI123" s="49">
        <f t="shared" si="333"/>
        <v>6004.0587999999998</v>
      </c>
      <c r="CJ123" s="49">
        <f t="shared" si="334"/>
        <v>0</v>
      </c>
      <c r="CK123" s="49">
        <f t="shared" si="335"/>
        <v>0</v>
      </c>
      <c r="CL123" s="49">
        <f t="shared" si="336"/>
        <v>6004.0587999999998</v>
      </c>
      <c r="CM123" s="49">
        <f t="shared" si="337"/>
        <v>0</v>
      </c>
      <c r="CN123" s="49">
        <f t="shared" si="338"/>
        <v>0</v>
      </c>
      <c r="CO123" s="49">
        <f t="shared" si="339"/>
        <v>59368.883921749992</v>
      </c>
      <c r="CP123" s="49">
        <f t="shared" si="340"/>
        <v>0</v>
      </c>
      <c r="CQ123" s="49">
        <f t="shared" si="341"/>
        <v>0</v>
      </c>
      <c r="CR123" s="81">
        <f t="shared" si="342"/>
        <v>59368.883921749992</v>
      </c>
      <c r="CS123" s="80">
        <f t="shared" si="343"/>
        <v>90732.586078250009</v>
      </c>
      <c r="CT123" s="54"/>
      <c r="CU123" s="3" t="str">
        <f t="shared" si="344"/>
        <v>ARS</v>
      </c>
      <c r="CV123" s="3">
        <f>VLOOKUP(CU123,DF:DG,2,0)</f>
        <v>6.9185169999999997E-4</v>
      </c>
      <c r="CW123" s="23">
        <f t="shared" si="345"/>
        <v>103.847957191999</v>
      </c>
      <c r="CX123" s="23">
        <f t="shared" si="346"/>
        <v>4.3252674170467582</v>
      </c>
      <c r="CY123" s="23">
        <f t="shared" si="347"/>
        <v>15.577193578799848</v>
      </c>
      <c r="CZ123" s="23">
        <f t="shared" si="348"/>
        <v>13.902645269078866</v>
      </c>
      <c r="DA123" s="23">
        <f t="shared" si="349"/>
        <v>3.1154387157599701</v>
      </c>
      <c r="DB123" s="23">
        <f t="shared" si="350"/>
        <v>4.1539182876799599</v>
      </c>
      <c r="DC123" s="23">
        <f t="shared" si="351"/>
        <v>62.773493923633602</v>
      </c>
      <c r="DD123" s="34" t="str">
        <f>VLOOKUP(A123,'Billing Report'!H:I,2,FALSE)</f>
        <v>2035_sp_2026_rico-en-data-episodio6_feb_arg_alcance_cpm</v>
      </c>
      <c r="DE123" s="34"/>
      <c r="DF123" s="61"/>
      <c r="DG123" s="62"/>
      <c r="DH123"/>
      <c r="DI123" s="41"/>
      <c r="DJ123" s="41"/>
    </row>
    <row r="124" spans="1:114" ht="14.5" x14ac:dyDescent="0.35">
      <c r="A124" s="63">
        <v>40881348</v>
      </c>
      <c r="B124" s="3" t="s">
        <v>692</v>
      </c>
      <c r="C124" s="3">
        <v>322531401</v>
      </c>
      <c r="D124" s="3" t="s">
        <v>93</v>
      </c>
      <c r="G124" s="38">
        <v>600259.75</v>
      </c>
      <c r="J124" s="33">
        <f>VLOOKUP($B124,'IMS Commission List'!E:CE,79,0)/100</f>
        <v>0.15</v>
      </c>
      <c r="K124" s="79">
        <f t="shared" si="264"/>
        <v>600259.75</v>
      </c>
      <c r="L124" s="3" t="str">
        <f>VLOOKUP($B124,'IMS Commission List'!E:V,18,0)</f>
        <v>ARS</v>
      </c>
      <c r="M124" s="3">
        <v>1</v>
      </c>
      <c r="N124" s="3" t="str">
        <f>VLOOKUP($B124,'IMS Commission List'!E:T,16,0)</f>
        <v>MX</v>
      </c>
      <c r="O124" s="54">
        <f>VLOOKUP($B124,'IMS Commission List'!E:CF,80,0)</f>
        <v>4.9000000000000002E-2</v>
      </c>
      <c r="P124" s="54">
        <f>VLOOKUP($B124,'IMS Commission List'!E:CG,81,0)</f>
        <v>0.1575</v>
      </c>
      <c r="Q124" s="54">
        <f>VLOOKUP($B124,'IMS Commission List'!E:CP,90,0)</f>
        <v>0.03</v>
      </c>
      <c r="R124" s="54">
        <f>VLOOKUP($B124,'IMS Commission List'!E:CQ,91,0)</f>
        <v>0.04</v>
      </c>
      <c r="S124" s="47">
        <f t="shared" si="265"/>
        <v>0</v>
      </c>
      <c r="T124" s="48">
        <f t="shared" si="266"/>
        <v>0</v>
      </c>
      <c r="U124" s="48">
        <f t="shared" si="267"/>
        <v>600259.75</v>
      </c>
      <c r="V124" s="48">
        <f t="shared" si="268"/>
        <v>0</v>
      </c>
      <c r="W124" s="48">
        <f t="shared" si="269"/>
        <v>0</v>
      </c>
      <c r="X124" s="49">
        <f t="shared" si="270"/>
        <v>600259.75</v>
      </c>
      <c r="Y124" s="49">
        <f t="shared" si="271"/>
        <v>0</v>
      </c>
      <c r="Z124" s="49">
        <f t="shared" si="272"/>
        <v>0</v>
      </c>
      <c r="AA124" s="49">
        <f t="shared" si="273"/>
        <v>25000.818587500002</v>
      </c>
      <c r="AB124" s="49">
        <f t="shared" si="274"/>
        <v>0</v>
      </c>
      <c r="AC124" s="49">
        <f t="shared" si="275"/>
        <v>0</v>
      </c>
      <c r="AD124" s="49">
        <f t="shared" si="276"/>
        <v>25000.818587500002</v>
      </c>
      <c r="AE124" s="49">
        <f t="shared" si="277"/>
        <v>0</v>
      </c>
      <c r="AF124" s="49">
        <f t="shared" si="278"/>
        <v>0</v>
      </c>
      <c r="AG124" s="49">
        <f t="shared" si="279"/>
        <v>90038.962499999994</v>
      </c>
      <c r="AH124" s="49">
        <f t="shared" si="280"/>
        <v>0</v>
      </c>
      <c r="AI124" s="49">
        <f t="shared" si="281"/>
        <v>0</v>
      </c>
      <c r="AJ124" s="49">
        <f t="shared" si="282"/>
        <v>90038.962499999994</v>
      </c>
      <c r="AK124" s="49">
        <f t="shared" si="283"/>
        <v>0</v>
      </c>
      <c r="AL124" s="49">
        <f t="shared" si="284"/>
        <v>0</v>
      </c>
      <c r="AM124" s="49">
        <f t="shared" si="285"/>
        <v>80359.774031249995</v>
      </c>
      <c r="AN124" s="49">
        <f t="shared" si="286"/>
        <v>0</v>
      </c>
      <c r="AO124" s="49">
        <f t="shared" si="287"/>
        <v>0</v>
      </c>
      <c r="AP124" s="49">
        <f t="shared" si="288"/>
        <v>80359.774031249995</v>
      </c>
      <c r="AQ124" s="49">
        <f t="shared" si="289"/>
        <v>0</v>
      </c>
      <c r="AR124" s="49">
        <f t="shared" si="290"/>
        <v>0</v>
      </c>
      <c r="AS124" s="49">
        <f t="shared" si="291"/>
        <v>18007.7925</v>
      </c>
      <c r="AT124" s="49">
        <f t="shared" si="292"/>
        <v>0</v>
      </c>
      <c r="AU124" s="49">
        <f t="shared" si="293"/>
        <v>0</v>
      </c>
      <c r="AV124" s="49">
        <f t="shared" si="294"/>
        <v>18007.7925</v>
      </c>
      <c r="AW124" s="49">
        <f t="shared" si="295"/>
        <v>0</v>
      </c>
      <c r="AX124" s="49">
        <f t="shared" si="296"/>
        <v>0</v>
      </c>
      <c r="AY124" s="49">
        <f t="shared" si="297"/>
        <v>24010.39</v>
      </c>
      <c r="AZ124" s="49">
        <f t="shared" si="298"/>
        <v>0</v>
      </c>
      <c r="BA124" s="49">
        <f t="shared" si="299"/>
        <v>0</v>
      </c>
      <c r="BB124" s="49">
        <f t="shared" si="300"/>
        <v>24010.39</v>
      </c>
      <c r="BC124" s="49">
        <f t="shared" si="301"/>
        <v>0</v>
      </c>
      <c r="BD124" s="49">
        <f t="shared" si="302"/>
        <v>0</v>
      </c>
      <c r="BE124" s="49">
        <f t="shared" si="303"/>
        <v>237417.73761875002</v>
      </c>
      <c r="BF124" s="49">
        <f t="shared" si="304"/>
        <v>0</v>
      </c>
      <c r="BG124" s="49">
        <f t="shared" si="305"/>
        <v>0</v>
      </c>
      <c r="BH124" s="49">
        <f t="shared" si="306"/>
        <v>237417.73761875002</v>
      </c>
      <c r="BI124" s="49">
        <f t="shared" si="307"/>
        <v>0</v>
      </c>
      <c r="BJ124" s="49">
        <f t="shared" si="308"/>
        <v>0</v>
      </c>
      <c r="BK124" s="49">
        <f t="shared" si="309"/>
        <v>25000.818587500002</v>
      </c>
      <c r="BL124" s="49">
        <f t="shared" si="310"/>
        <v>0</v>
      </c>
      <c r="BM124" s="49">
        <f t="shared" si="311"/>
        <v>0</v>
      </c>
      <c r="BN124" s="49">
        <f t="shared" si="312"/>
        <v>25000.818587500002</v>
      </c>
      <c r="BO124" s="49">
        <f t="shared" si="313"/>
        <v>0</v>
      </c>
      <c r="BP124" s="49">
        <f t="shared" si="314"/>
        <v>0</v>
      </c>
      <c r="BQ124" s="49">
        <f t="shared" si="315"/>
        <v>90038.962499999994</v>
      </c>
      <c r="BR124" s="49">
        <f t="shared" si="316"/>
        <v>0</v>
      </c>
      <c r="BS124" s="49">
        <f t="shared" si="317"/>
        <v>0</v>
      </c>
      <c r="BT124" s="49">
        <f t="shared" si="318"/>
        <v>90038.962499999994</v>
      </c>
      <c r="BU124" s="49">
        <f t="shared" si="319"/>
        <v>0</v>
      </c>
      <c r="BV124" s="49">
        <f t="shared" si="320"/>
        <v>0</v>
      </c>
      <c r="BW124" s="49">
        <f t="shared" si="321"/>
        <v>80359.774031249995</v>
      </c>
      <c r="BX124" s="49">
        <f t="shared" si="322"/>
        <v>0</v>
      </c>
      <c r="BY124" s="49">
        <f t="shared" si="323"/>
        <v>0</v>
      </c>
      <c r="BZ124" s="49">
        <f t="shared" si="324"/>
        <v>80359.774031249995</v>
      </c>
      <c r="CA124" s="49">
        <f t="shared" si="325"/>
        <v>0</v>
      </c>
      <c r="CB124" s="49">
        <f t="shared" si="326"/>
        <v>0</v>
      </c>
      <c r="CC124" s="49">
        <f t="shared" si="327"/>
        <v>18007.7925</v>
      </c>
      <c r="CD124" s="49">
        <f t="shared" si="328"/>
        <v>0</v>
      </c>
      <c r="CE124" s="49">
        <f t="shared" si="329"/>
        <v>0</v>
      </c>
      <c r="CF124" s="49">
        <f t="shared" si="330"/>
        <v>18007.7925</v>
      </c>
      <c r="CG124" s="49">
        <f t="shared" si="331"/>
        <v>0</v>
      </c>
      <c r="CH124" s="49">
        <f t="shared" si="332"/>
        <v>0</v>
      </c>
      <c r="CI124" s="49">
        <f t="shared" si="333"/>
        <v>24010.39</v>
      </c>
      <c r="CJ124" s="49">
        <f t="shared" si="334"/>
        <v>0</v>
      </c>
      <c r="CK124" s="49">
        <f t="shared" si="335"/>
        <v>0</v>
      </c>
      <c r="CL124" s="49">
        <f t="shared" si="336"/>
        <v>24010.39</v>
      </c>
      <c r="CM124" s="49">
        <f t="shared" si="337"/>
        <v>0</v>
      </c>
      <c r="CN124" s="49">
        <f t="shared" si="338"/>
        <v>0</v>
      </c>
      <c r="CO124" s="49">
        <f t="shared" si="339"/>
        <v>237417.73761875002</v>
      </c>
      <c r="CP124" s="49">
        <f t="shared" si="340"/>
        <v>0</v>
      </c>
      <c r="CQ124" s="49">
        <f t="shared" si="341"/>
        <v>0</v>
      </c>
      <c r="CR124" s="81">
        <f t="shared" si="342"/>
        <v>237417.73761875002</v>
      </c>
      <c r="CS124" s="80">
        <f t="shared" si="343"/>
        <v>362842.01238124998</v>
      </c>
      <c r="CT124" s="54"/>
      <c r="CU124" s="3" t="str">
        <f t="shared" si="344"/>
        <v>ARS</v>
      </c>
      <c r="CV124" s="3">
        <f>VLOOKUP(CU124,DF:DG,2,0)</f>
        <v>6.9185169999999997E-4</v>
      </c>
      <c r="CW124" s="23">
        <f t="shared" si="345"/>
        <v>415.29072847907497</v>
      </c>
      <c r="CX124" s="23">
        <f t="shared" si="346"/>
        <v>17.296858841153472</v>
      </c>
      <c r="CY124" s="23">
        <f t="shared" si="347"/>
        <v>62.293609271861243</v>
      </c>
      <c r="CZ124" s="23">
        <f t="shared" si="348"/>
        <v>55.597046275136158</v>
      </c>
      <c r="DA124" s="23">
        <f t="shared" si="349"/>
        <v>12.45872185437225</v>
      </c>
      <c r="DB124" s="23">
        <f t="shared" si="350"/>
        <v>16.611629139163</v>
      </c>
      <c r="DC124" s="23">
        <f t="shared" si="351"/>
        <v>251.03286309738883</v>
      </c>
      <c r="DD124" s="34" t="str">
        <f>VLOOKUP(A124,'Billing Report'!H:I,2,FALSE)</f>
        <v>2035_sp_2026_compra-dolares-cdni_feb_arg_alcance_cpm</v>
      </c>
      <c r="DE124" s="34"/>
      <c r="DF124" s="61"/>
      <c r="DG124" s="62"/>
      <c r="DH124"/>
      <c r="DI124" s="41"/>
      <c r="DJ124" s="41"/>
    </row>
    <row r="125" spans="1:114" ht="14.5" x14ac:dyDescent="0.35">
      <c r="A125" s="63">
        <v>40881340</v>
      </c>
      <c r="B125" s="3" t="s">
        <v>692</v>
      </c>
      <c r="C125" s="3">
        <v>322531401</v>
      </c>
      <c r="D125" s="3" t="s">
        <v>93</v>
      </c>
      <c r="G125" s="38">
        <v>400118.71</v>
      </c>
      <c r="J125" s="33">
        <f>VLOOKUP($B125,'IMS Commission List'!E:CE,79,0)/100</f>
        <v>0.15</v>
      </c>
      <c r="K125" s="79">
        <f t="shared" si="264"/>
        <v>400118.71</v>
      </c>
      <c r="L125" s="3" t="str">
        <f>VLOOKUP($B125,'IMS Commission List'!E:V,18,0)</f>
        <v>ARS</v>
      </c>
      <c r="M125" s="3">
        <v>1</v>
      </c>
      <c r="N125" s="3" t="str">
        <f>VLOOKUP($B125,'IMS Commission List'!E:T,16,0)</f>
        <v>MX</v>
      </c>
      <c r="O125" s="54">
        <f>VLOOKUP($B125,'IMS Commission List'!E:CF,80,0)</f>
        <v>4.9000000000000002E-2</v>
      </c>
      <c r="P125" s="54">
        <f>VLOOKUP($B125,'IMS Commission List'!E:CG,81,0)</f>
        <v>0.1575</v>
      </c>
      <c r="Q125" s="54">
        <f>VLOOKUP($B125,'IMS Commission List'!E:CP,90,0)</f>
        <v>0.03</v>
      </c>
      <c r="R125" s="54">
        <f>VLOOKUP($B125,'IMS Commission List'!E:CQ,91,0)</f>
        <v>0.04</v>
      </c>
      <c r="S125" s="47">
        <f t="shared" si="265"/>
        <v>0</v>
      </c>
      <c r="T125" s="48">
        <f t="shared" si="266"/>
        <v>0</v>
      </c>
      <c r="U125" s="48">
        <f t="shared" si="267"/>
        <v>400118.71</v>
      </c>
      <c r="V125" s="48">
        <f t="shared" si="268"/>
        <v>0</v>
      </c>
      <c r="W125" s="48">
        <f t="shared" si="269"/>
        <v>0</v>
      </c>
      <c r="X125" s="49">
        <f t="shared" si="270"/>
        <v>400118.71</v>
      </c>
      <c r="Y125" s="49">
        <f t="shared" si="271"/>
        <v>0</v>
      </c>
      <c r="Z125" s="49">
        <f t="shared" si="272"/>
        <v>0</v>
      </c>
      <c r="AA125" s="49">
        <f t="shared" si="273"/>
        <v>16664.9442715</v>
      </c>
      <c r="AB125" s="49">
        <f t="shared" si="274"/>
        <v>0</v>
      </c>
      <c r="AC125" s="49">
        <f t="shared" si="275"/>
        <v>0</v>
      </c>
      <c r="AD125" s="49">
        <f t="shared" si="276"/>
        <v>16664.9442715</v>
      </c>
      <c r="AE125" s="49">
        <f t="shared" si="277"/>
        <v>0</v>
      </c>
      <c r="AF125" s="49">
        <f t="shared" si="278"/>
        <v>0</v>
      </c>
      <c r="AG125" s="49">
        <f t="shared" si="279"/>
        <v>60017.806499999999</v>
      </c>
      <c r="AH125" s="49">
        <f t="shared" si="280"/>
        <v>0</v>
      </c>
      <c r="AI125" s="49">
        <f t="shared" si="281"/>
        <v>0</v>
      </c>
      <c r="AJ125" s="49">
        <f t="shared" si="282"/>
        <v>60017.806499999999</v>
      </c>
      <c r="AK125" s="49">
        <f t="shared" si="283"/>
        <v>0</v>
      </c>
      <c r="AL125" s="49">
        <f t="shared" si="284"/>
        <v>0</v>
      </c>
      <c r="AM125" s="49">
        <f t="shared" si="285"/>
        <v>53565.892301250002</v>
      </c>
      <c r="AN125" s="49">
        <f t="shared" si="286"/>
        <v>0</v>
      </c>
      <c r="AO125" s="49">
        <f t="shared" si="287"/>
        <v>0</v>
      </c>
      <c r="AP125" s="49">
        <f t="shared" si="288"/>
        <v>53565.892301250002</v>
      </c>
      <c r="AQ125" s="49">
        <f t="shared" si="289"/>
        <v>0</v>
      </c>
      <c r="AR125" s="49">
        <f t="shared" si="290"/>
        <v>0</v>
      </c>
      <c r="AS125" s="49">
        <f t="shared" si="291"/>
        <v>12003.561299999999</v>
      </c>
      <c r="AT125" s="49">
        <f t="shared" si="292"/>
        <v>0</v>
      </c>
      <c r="AU125" s="49">
        <f t="shared" si="293"/>
        <v>0</v>
      </c>
      <c r="AV125" s="49">
        <f t="shared" si="294"/>
        <v>12003.561299999999</v>
      </c>
      <c r="AW125" s="49">
        <f t="shared" si="295"/>
        <v>0</v>
      </c>
      <c r="AX125" s="49">
        <f t="shared" si="296"/>
        <v>0</v>
      </c>
      <c r="AY125" s="49">
        <f t="shared" si="297"/>
        <v>16004.7484</v>
      </c>
      <c r="AZ125" s="49">
        <f t="shared" si="298"/>
        <v>0</v>
      </c>
      <c r="BA125" s="49">
        <f t="shared" si="299"/>
        <v>0</v>
      </c>
      <c r="BB125" s="49">
        <f t="shared" si="300"/>
        <v>16004.7484</v>
      </c>
      <c r="BC125" s="49">
        <f t="shared" si="301"/>
        <v>0</v>
      </c>
      <c r="BD125" s="49">
        <f t="shared" si="302"/>
        <v>0</v>
      </c>
      <c r="BE125" s="49">
        <f t="shared" si="303"/>
        <v>158256.95277275</v>
      </c>
      <c r="BF125" s="49">
        <f t="shared" si="304"/>
        <v>0</v>
      </c>
      <c r="BG125" s="49">
        <f t="shared" si="305"/>
        <v>0</v>
      </c>
      <c r="BH125" s="49">
        <f t="shared" si="306"/>
        <v>158256.95277275</v>
      </c>
      <c r="BI125" s="49">
        <f t="shared" si="307"/>
        <v>0</v>
      </c>
      <c r="BJ125" s="49">
        <f t="shared" si="308"/>
        <v>0</v>
      </c>
      <c r="BK125" s="49">
        <f t="shared" si="309"/>
        <v>16664.9442715</v>
      </c>
      <c r="BL125" s="49">
        <f t="shared" si="310"/>
        <v>0</v>
      </c>
      <c r="BM125" s="49">
        <f t="shared" si="311"/>
        <v>0</v>
      </c>
      <c r="BN125" s="49">
        <f t="shared" si="312"/>
        <v>16664.9442715</v>
      </c>
      <c r="BO125" s="49">
        <f t="shared" si="313"/>
        <v>0</v>
      </c>
      <c r="BP125" s="49">
        <f t="shared" si="314"/>
        <v>0</v>
      </c>
      <c r="BQ125" s="49">
        <f t="shared" si="315"/>
        <v>60017.806499999999</v>
      </c>
      <c r="BR125" s="49">
        <f t="shared" si="316"/>
        <v>0</v>
      </c>
      <c r="BS125" s="49">
        <f t="shared" si="317"/>
        <v>0</v>
      </c>
      <c r="BT125" s="49">
        <f t="shared" si="318"/>
        <v>60017.806499999999</v>
      </c>
      <c r="BU125" s="49">
        <f t="shared" si="319"/>
        <v>0</v>
      </c>
      <c r="BV125" s="49">
        <f t="shared" si="320"/>
        <v>0</v>
      </c>
      <c r="BW125" s="49">
        <f t="shared" si="321"/>
        <v>53565.892301250002</v>
      </c>
      <c r="BX125" s="49">
        <f t="shared" si="322"/>
        <v>0</v>
      </c>
      <c r="BY125" s="49">
        <f t="shared" si="323"/>
        <v>0</v>
      </c>
      <c r="BZ125" s="49">
        <f t="shared" si="324"/>
        <v>53565.892301250002</v>
      </c>
      <c r="CA125" s="49">
        <f t="shared" si="325"/>
        <v>0</v>
      </c>
      <c r="CB125" s="49">
        <f t="shared" si="326"/>
        <v>0</v>
      </c>
      <c r="CC125" s="49">
        <f t="shared" si="327"/>
        <v>12003.561299999999</v>
      </c>
      <c r="CD125" s="49">
        <f t="shared" si="328"/>
        <v>0</v>
      </c>
      <c r="CE125" s="49">
        <f t="shared" si="329"/>
        <v>0</v>
      </c>
      <c r="CF125" s="49">
        <f t="shared" si="330"/>
        <v>12003.561299999999</v>
      </c>
      <c r="CG125" s="49">
        <f t="shared" si="331"/>
        <v>0</v>
      </c>
      <c r="CH125" s="49">
        <f t="shared" si="332"/>
        <v>0</v>
      </c>
      <c r="CI125" s="49">
        <f t="shared" si="333"/>
        <v>16004.7484</v>
      </c>
      <c r="CJ125" s="49">
        <f t="shared" si="334"/>
        <v>0</v>
      </c>
      <c r="CK125" s="49">
        <f t="shared" si="335"/>
        <v>0</v>
      </c>
      <c r="CL125" s="49">
        <f t="shared" si="336"/>
        <v>16004.7484</v>
      </c>
      <c r="CM125" s="49">
        <f t="shared" si="337"/>
        <v>0</v>
      </c>
      <c r="CN125" s="49">
        <f t="shared" si="338"/>
        <v>0</v>
      </c>
      <c r="CO125" s="49">
        <f t="shared" si="339"/>
        <v>158256.95277275</v>
      </c>
      <c r="CP125" s="49">
        <f t="shared" si="340"/>
        <v>0</v>
      </c>
      <c r="CQ125" s="49">
        <f t="shared" si="341"/>
        <v>0</v>
      </c>
      <c r="CR125" s="81">
        <f t="shared" si="342"/>
        <v>158256.95277275</v>
      </c>
      <c r="CS125" s="80">
        <f t="shared" si="343"/>
        <v>241861.75722725003</v>
      </c>
      <c r="CT125" s="54"/>
      <c r="CU125" s="3" t="str">
        <f t="shared" si="344"/>
        <v>ARS</v>
      </c>
      <c r="CV125" s="3">
        <f>VLOOKUP(CU125,DF:DG,2,0)</f>
        <v>6.9185169999999997E-4</v>
      </c>
      <c r="CW125" s="23">
        <f t="shared" si="345"/>
        <v>276.82280971530702</v>
      </c>
      <c r="CX125" s="23">
        <f t="shared" si="346"/>
        <v>11.529670024642536</v>
      </c>
      <c r="CY125" s="23">
        <f t="shared" si="347"/>
        <v>41.523421457296045</v>
      </c>
      <c r="CZ125" s="23">
        <f t="shared" si="348"/>
        <v>37.059653650636726</v>
      </c>
      <c r="DA125" s="23">
        <f t="shared" si="349"/>
        <v>8.3046842914592087</v>
      </c>
      <c r="DB125" s="23">
        <f t="shared" si="350"/>
        <v>11.072912388612279</v>
      </c>
      <c r="DC125" s="23">
        <f t="shared" si="351"/>
        <v>167.3324679026602</v>
      </c>
      <c r="DD125" s="34" t="str">
        <f>VLOOKUP(A125,'Billing Report'!H:I,2,FALSE)</f>
        <v>2035_sp_2026_financia-tus-vacaciones_feb_arg_trafico_cpc</v>
      </c>
      <c r="DE125" s="34"/>
      <c r="DF125" s="61"/>
      <c r="DG125" s="62"/>
      <c r="DH125"/>
      <c r="DI125" s="41"/>
      <c r="DJ125" s="41"/>
    </row>
    <row r="126" spans="1:114" ht="14.5" x14ac:dyDescent="0.35">
      <c r="A126" s="63">
        <v>40881330</v>
      </c>
      <c r="B126" s="3" t="s">
        <v>692</v>
      </c>
      <c r="C126" s="3">
        <v>322531401</v>
      </c>
      <c r="D126" s="3" t="s">
        <v>93</v>
      </c>
      <c r="G126" s="38">
        <v>300543.3</v>
      </c>
      <c r="J126" s="33">
        <f>VLOOKUP($B126,'IMS Commission List'!E:CE,79,0)/100</f>
        <v>0.15</v>
      </c>
      <c r="K126" s="79">
        <f t="shared" si="264"/>
        <v>300543.3</v>
      </c>
      <c r="L126" s="3" t="str">
        <f>VLOOKUP($B126,'IMS Commission List'!E:V,18,0)</f>
        <v>ARS</v>
      </c>
      <c r="M126" s="3">
        <v>1</v>
      </c>
      <c r="N126" s="3" t="str">
        <f>VLOOKUP($B126,'IMS Commission List'!E:T,16,0)</f>
        <v>MX</v>
      </c>
      <c r="O126" s="54">
        <f>VLOOKUP($B126,'IMS Commission List'!E:CF,80,0)</f>
        <v>4.9000000000000002E-2</v>
      </c>
      <c r="P126" s="54">
        <f>VLOOKUP($B126,'IMS Commission List'!E:CG,81,0)</f>
        <v>0.1575</v>
      </c>
      <c r="Q126" s="54">
        <f>VLOOKUP($B126,'IMS Commission List'!E:CP,90,0)</f>
        <v>0.03</v>
      </c>
      <c r="R126" s="54">
        <f>VLOOKUP($B126,'IMS Commission List'!E:CQ,91,0)</f>
        <v>0.04</v>
      </c>
      <c r="S126" s="47">
        <f t="shared" si="265"/>
        <v>0</v>
      </c>
      <c r="T126" s="48">
        <f t="shared" si="266"/>
        <v>0</v>
      </c>
      <c r="U126" s="48">
        <f t="shared" si="267"/>
        <v>300543.3</v>
      </c>
      <c r="V126" s="48">
        <f t="shared" si="268"/>
        <v>0</v>
      </c>
      <c r="W126" s="48">
        <f t="shared" si="269"/>
        <v>0</v>
      </c>
      <c r="X126" s="49">
        <f t="shared" si="270"/>
        <v>300543.3</v>
      </c>
      <c r="Y126" s="49">
        <f t="shared" si="271"/>
        <v>0</v>
      </c>
      <c r="Z126" s="49">
        <f t="shared" si="272"/>
        <v>0</v>
      </c>
      <c r="AA126" s="49">
        <f t="shared" si="273"/>
        <v>12517.628445</v>
      </c>
      <c r="AB126" s="49">
        <f t="shared" si="274"/>
        <v>0</v>
      </c>
      <c r="AC126" s="49">
        <f t="shared" si="275"/>
        <v>0</v>
      </c>
      <c r="AD126" s="49">
        <f t="shared" si="276"/>
        <v>12517.628445</v>
      </c>
      <c r="AE126" s="49">
        <f t="shared" si="277"/>
        <v>0</v>
      </c>
      <c r="AF126" s="49">
        <f t="shared" si="278"/>
        <v>0</v>
      </c>
      <c r="AG126" s="49">
        <f t="shared" si="279"/>
        <v>45081.494999999995</v>
      </c>
      <c r="AH126" s="49">
        <f t="shared" si="280"/>
        <v>0</v>
      </c>
      <c r="AI126" s="49">
        <f t="shared" si="281"/>
        <v>0</v>
      </c>
      <c r="AJ126" s="49">
        <f t="shared" si="282"/>
        <v>45081.494999999995</v>
      </c>
      <c r="AK126" s="49">
        <f t="shared" si="283"/>
        <v>0</v>
      </c>
      <c r="AL126" s="49">
        <f t="shared" si="284"/>
        <v>0</v>
      </c>
      <c r="AM126" s="49">
        <f t="shared" si="285"/>
        <v>40235.234287499996</v>
      </c>
      <c r="AN126" s="49">
        <f t="shared" si="286"/>
        <v>0</v>
      </c>
      <c r="AO126" s="49">
        <f t="shared" si="287"/>
        <v>0</v>
      </c>
      <c r="AP126" s="49">
        <f t="shared" si="288"/>
        <v>40235.234287499996</v>
      </c>
      <c r="AQ126" s="49">
        <f t="shared" si="289"/>
        <v>0</v>
      </c>
      <c r="AR126" s="49">
        <f t="shared" si="290"/>
        <v>0</v>
      </c>
      <c r="AS126" s="49">
        <f t="shared" si="291"/>
        <v>9016.2989999999991</v>
      </c>
      <c r="AT126" s="49">
        <f t="shared" si="292"/>
        <v>0</v>
      </c>
      <c r="AU126" s="49">
        <f t="shared" si="293"/>
        <v>0</v>
      </c>
      <c r="AV126" s="49">
        <f t="shared" si="294"/>
        <v>9016.2989999999991</v>
      </c>
      <c r="AW126" s="49">
        <f t="shared" si="295"/>
        <v>0</v>
      </c>
      <c r="AX126" s="49">
        <f t="shared" si="296"/>
        <v>0</v>
      </c>
      <c r="AY126" s="49">
        <f t="shared" si="297"/>
        <v>12021.732</v>
      </c>
      <c r="AZ126" s="49">
        <f t="shared" si="298"/>
        <v>0</v>
      </c>
      <c r="BA126" s="49">
        <f t="shared" si="299"/>
        <v>0</v>
      </c>
      <c r="BB126" s="49">
        <f t="shared" si="300"/>
        <v>12021.732</v>
      </c>
      <c r="BC126" s="49">
        <f t="shared" si="301"/>
        <v>0</v>
      </c>
      <c r="BD126" s="49">
        <f t="shared" si="302"/>
        <v>0</v>
      </c>
      <c r="BE126" s="49">
        <f t="shared" si="303"/>
        <v>118872.3887325</v>
      </c>
      <c r="BF126" s="49">
        <f t="shared" si="304"/>
        <v>0</v>
      </c>
      <c r="BG126" s="49">
        <f t="shared" si="305"/>
        <v>0</v>
      </c>
      <c r="BH126" s="49">
        <f t="shared" si="306"/>
        <v>118872.3887325</v>
      </c>
      <c r="BI126" s="49">
        <f t="shared" si="307"/>
        <v>0</v>
      </c>
      <c r="BJ126" s="49">
        <f t="shared" si="308"/>
        <v>0</v>
      </c>
      <c r="BK126" s="49">
        <f t="shared" si="309"/>
        <v>12517.628445</v>
      </c>
      <c r="BL126" s="49">
        <f t="shared" si="310"/>
        <v>0</v>
      </c>
      <c r="BM126" s="49">
        <f t="shared" si="311"/>
        <v>0</v>
      </c>
      <c r="BN126" s="49">
        <f t="shared" si="312"/>
        <v>12517.628445</v>
      </c>
      <c r="BO126" s="49">
        <f t="shared" si="313"/>
        <v>0</v>
      </c>
      <c r="BP126" s="49">
        <f t="shared" si="314"/>
        <v>0</v>
      </c>
      <c r="BQ126" s="49">
        <f t="shared" si="315"/>
        <v>45081.494999999995</v>
      </c>
      <c r="BR126" s="49">
        <f t="shared" si="316"/>
        <v>0</v>
      </c>
      <c r="BS126" s="49">
        <f t="shared" si="317"/>
        <v>0</v>
      </c>
      <c r="BT126" s="49">
        <f t="shared" si="318"/>
        <v>45081.494999999995</v>
      </c>
      <c r="BU126" s="49">
        <f t="shared" si="319"/>
        <v>0</v>
      </c>
      <c r="BV126" s="49">
        <f t="shared" si="320"/>
        <v>0</v>
      </c>
      <c r="BW126" s="49">
        <f t="shared" si="321"/>
        <v>40235.234287499996</v>
      </c>
      <c r="BX126" s="49">
        <f t="shared" si="322"/>
        <v>0</v>
      </c>
      <c r="BY126" s="49">
        <f t="shared" si="323"/>
        <v>0</v>
      </c>
      <c r="BZ126" s="49">
        <f t="shared" si="324"/>
        <v>40235.234287499996</v>
      </c>
      <c r="CA126" s="49">
        <f t="shared" si="325"/>
        <v>0</v>
      </c>
      <c r="CB126" s="49">
        <f t="shared" si="326"/>
        <v>0</v>
      </c>
      <c r="CC126" s="49">
        <f t="shared" si="327"/>
        <v>9016.2989999999991</v>
      </c>
      <c r="CD126" s="49">
        <f t="shared" si="328"/>
        <v>0</v>
      </c>
      <c r="CE126" s="49">
        <f t="shared" si="329"/>
        <v>0</v>
      </c>
      <c r="CF126" s="49">
        <f t="shared" si="330"/>
        <v>9016.2989999999991</v>
      </c>
      <c r="CG126" s="49">
        <f t="shared" si="331"/>
        <v>0</v>
      </c>
      <c r="CH126" s="49">
        <f t="shared" si="332"/>
        <v>0</v>
      </c>
      <c r="CI126" s="49">
        <f t="shared" si="333"/>
        <v>12021.732</v>
      </c>
      <c r="CJ126" s="49">
        <f t="shared" si="334"/>
        <v>0</v>
      </c>
      <c r="CK126" s="49">
        <f t="shared" si="335"/>
        <v>0</v>
      </c>
      <c r="CL126" s="49">
        <f t="shared" si="336"/>
        <v>12021.732</v>
      </c>
      <c r="CM126" s="49">
        <f t="shared" si="337"/>
        <v>0</v>
      </c>
      <c r="CN126" s="49">
        <f t="shared" si="338"/>
        <v>0</v>
      </c>
      <c r="CO126" s="49">
        <f t="shared" si="339"/>
        <v>118872.3887325</v>
      </c>
      <c r="CP126" s="49">
        <f t="shared" si="340"/>
        <v>0</v>
      </c>
      <c r="CQ126" s="49">
        <f t="shared" si="341"/>
        <v>0</v>
      </c>
      <c r="CR126" s="81">
        <f t="shared" si="342"/>
        <v>118872.3887325</v>
      </c>
      <c r="CS126" s="80">
        <f t="shared" si="343"/>
        <v>181670.91126749999</v>
      </c>
      <c r="CT126" s="54"/>
      <c r="CU126" s="3" t="str">
        <f t="shared" si="344"/>
        <v>ARS</v>
      </c>
      <c r="CV126" s="3">
        <f>VLOOKUP(CU126,DF:DG,2,0)</f>
        <v>6.9185169999999997E-4</v>
      </c>
      <c r="CW126" s="23">
        <f t="shared" si="345"/>
        <v>207.93139302860999</v>
      </c>
      <c r="CX126" s="23">
        <f t="shared" si="346"/>
        <v>8.6603425196416062</v>
      </c>
      <c r="CY126" s="23">
        <f t="shared" si="347"/>
        <v>31.189708954291497</v>
      </c>
      <c r="CZ126" s="23">
        <f t="shared" si="348"/>
        <v>27.83681524170516</v>
      </c>
      <c r="DA126" s="23">
        <f t="shared" si="349"/>
        <v>6.237941790858299</v>
      </c>
      <c r="DB126" s="23">
        <f t="shared" si="350"/>
        <v>8.3172557211443987</v>
      </c>
      <c r="DC126" s="23">
        <f t="shared" si="351"/>
        <v>125.68932880096902</v>
      </c>
      <c r="DD126" s="34" t="str">
        <f>VLOOKUP(A126,'Billing Report'!H:I,2,FALSE)</f>
        <v>2035_sp_2026_financia-tus-vacaciones_feb_arg_alcance_cpm</v>
      </c>
      <c r="DE126" s="34"/>
      <c r="DF126" s="61"/>
      <c r="DG126" s="62"/>
      <c r="DH126"/>
      <c r="DI126" s="41"/>
      <c r="DJ126" s="41"/>
    </row>
    <row r="127" spans="1:114" ht="14.5" x14ac:dyDescent="0.35">
      <c r="A127" s="63">
        <v>40881321</v>
      </c>
      <c r="B127" s="3" t="s">
        <v>692</v>
      </c>
      <c r="C127" s="3">
        <v>322531401</v>
      </c>
      <c r="D127" s="3" t="s">
        <v>93</v>
      </c>
      <c r="G127" s="38">
        <v>803187.57</v>
      </c>
      <c r="J127" s="33">
        <f>VLOOKUP($B127,'IMS Commission List'!E:CE,79,0)/100</f>
        <v>0.15</v>
      </c>
      <c r="K127" s="79">
        <f t="shared" si="264"/>
        <v>803187.57</v>
      </c>
      <c r="L127" s="3" t="str">
        <f>VLOOKUP($B127,'IMS Commission List'!E:V,18,0)</f>
        <v>ARS</v>
      </c>
      <c r="M127" s="3">
        <v>1</v>
      </c>
      <c r="N127" s="3" t="str">
        <f>VLOOKUP($B127,'IMS Commission List'!E:T,16,0)</f>
        <v>MX</v>
      </c>
      <c r="O127" s="54">
        <f>VLOOKUP($B127,'IMS Commission List'!E:CF,80,0)</f>
        <v>4.9000000000000002E-2</v>
      </c>
      <c r="P127" s="54">
        <f>VLOOKUP($B127,'IMS Commission List'!E:CG,81,0)</f>
        <v>0.1575</v>
      </c>
      <c r="Q127" s="54">
        <f>VLOOKUP($B127,'IMS Commission List'!E:CP,90,0)</f>
        <v>0.03</v>
      </c>
      <c r="R127" s="54">
        <f>VLOOKUP($B127,'IMS Commission List'!E:CQ,91,0)</f>
        <v>0.04</v>
      </c>
      <c r="S127" s="47">
        <f t="shared" si="265"/>
        <v>0</v>
      </c>
      <c r="T127" s="48">
        <f t="shared" si="266"/>
        <v>0</v>
      </c>
      <c r="U127" s="48">
        <f t="shared" si="267"/>
        <v>803187.57</v>
      </c>
      <c r="V127" s="48">
        <f t="shared" si="268"/>
        <v>0</v>
      </c>
      <c r="W127" s="48">
        <f t="shared" si="269"/>
        <v>0</v>
      </c>
      <c r="X127" s="49">
        <f t="shared" si="270"/>
        <v>803187.57</v>
      </c>
      <c r="Y127" s="49">
        <f t="shared" si="271"/>
        <v>0</v>
      </c>
      <c r="Z127" s="49">
        <f t="shared" si="272"/>
        <v>0</v>
      </c>
      <c r="AA127" s="49">
        <f t="shared" si="273"/>
        <v>33452.762290499995</v>
      </c>
      <c r="AB127" s="49">
        <f t="shared" si="274"/>
        <v>0</v>
      </c>
      <c r="AC127" s="49">
        <f t="shared" si="275"/>
        <v>0</v>
      </c>
      <c r="AD127" s="49">
        <f t="shared" si="276"/>
        <v>33452.762290499995</v>
      </c>
      <c r="AE127" s="49">
        <f t="shared" si="277"/>
        <v>0</v>
      </c>
      <c r="AF127" s="49">
        <f t="shared" si="278"/>
        <v>0</v>
      </c>
      <c r="AG127" s="49">
        <f t="shared" si="279"/>
        <v>120478.13549999999</v>
      </c>
      <c r="AH127" s="49">
        <f t="shared" si="280"/>
        <v>0</v>
      </c>
      <c r="AI127" s="49">
        <f t="shared" si="281"/>
        <v>0</v>
      </c>
      <c r="AJ127" s="49">
        <f t="shared" si="282"/>
        <v>120478.13549999999</v>
      </c>
      <c r="AK127" s="49">
        <f t="shared" si="283"/>
        <v>0</v>
      </c>
      <c r="AL127" s="49">
        <f t="shared" si="284"/>
        <v>0</v>
      </c>
      <c r="AM127" s="49">
        <f t="shared" si="285"/>
        <v>107526.73593374999</v>
      </c>
      <c r="AN127" s="49">
        <f t="shared" si="286"/>
        <v>0</v>
      </c>
      <c r="AO127" s="49">
        <f t="shared" si="287"/>
        <v>0</v>
      </c>
      <c r="AP127" s="49">
        <f t="shared" si="288"/>
        <v>107526.73593374999</v>
      </c>
      <c r="AQ127" s="49">
        <f t="shared" si="289"/>
        <v>0</v>
      </c>
      <c r="AR127" s="49">
        <f t="shared" si="290"/>
        <v>0</v>
      </c>
      <c r="AS127" s="49">
        <f t="shared" si="291"/>
        <v>24095.627099999998</v>
      </c>
      <c r="AT127" s="49">
        <f t="shared" si="292"/>
        <v>0</v>
      </c>
      <c r="AU127" s="49">
        <f t="shared" si="293"/>
        <v>0</v>
      </c>
      <c r="AV127" s="49">
        <f t="shared" si="294"/>
        <v>24095.627099999998</v>
      </c>
      <c r="AW127" s="49">
        <f t="shared" si="295"/>
        <v>0</v>
      </c>
      <c r="AX127" s="49">
        <f t="shared" si="296"/>
        <v>0</v>
      </c>
      <c r="AY127" s="49">
        <f t="shared" si="297"/>
        <v>32127.502799999998</v>
      </c>
      <c r="AZ127" s="49">
        <f t="shared" si="298"/>
        <v>0</v>
      </c>
      <c r="BA127" s="49">
        <f t="shared" si="299"/>
        <v>0</v>
      </c>
      <c r="BB127" s="49">
        <f t="shared" si="300"/>
        <v>32127.502799999998</v>
      </c>
      <c r="BC127" s="49">
        <f t="shared" si="301"/>
        <v>0</v>
      </c>
      <c r="BD127" s="49">
        <f t="shared" si="302"/>
        <v>0</v>
      </c>
      <c r="BE127" s="49">
        <f t="shared" si="303"/>
        <v>317680.76362425002</v>
      </c>
      <c r="BF127" s="49">
        <f t="shared" si="304"/>
        <v>0</v>
      </c>
      <c r="BG127" s="49">
        <f t="shared" si="305"/>
        <v>0</v>
      </c>
      <c r="BH127" s="49">
        <f t="shared" si="306"/>
        <v>317680.76362425002</v>
      </c>
      <c r="BI127" s="49">
        <f t="shared" si="307"/>
        <v>0</v>
      </c>
      <c r="BJ127" s="49">
        <f t="shared" si="308"/>
        <v>0</v>
      </c>
      <c r="BK127" s="49">
        <f t="shared" si="309"/>
        <v>33452.762290499995</v>
      </c>
      <c r="BL127" s="49">
        <f t="shared" si="310"/>
        <v>0</v>
      </c>
      <c r="BM127" s="49">
        <f t="shared" si="311"/>
        <v>0</v>
      </c>
      <c r="BN127" s="49">
        <f t="shared" si="312"/>
        <v>33452.762290499995</v>
      </c>
      <c r="BO127" s="49">
        <f t="shared" si="313"/>
        <v>0</v>
      </c>
      <c r="BP127" s="49">
        <f t="shared" si="314"/>
        <v>0</v>
      </c>
      <c r="BQ127" s="49">
        <f t="shared" si="315"/>
        <v>120478.13549999999</v>
      </c>
      <c r="BR127" s="49">
        <f t="shared" si="316"/>
        <v>0</v>
      </c>
      <c r="BS127" s="49">
        <f t="shared" si="317"/>
        <v>0</v>
      </c>
      <c r="BT127" s="49">
        <f t="shared" si="318"/>
        <v>120478.13549999999</v>
      </c>
      <c r="BU127" s="49">
        <f t="shared" si="319"/>
        <v>0</v>
      </c>
      <c r="BV127" s="49">
        <f t="shared" si="320"/>
        <v>0</v>
      </c>
      <c r="BW127" s="49">
        <f t="shared" si="321"/>
        <v>107526.73593374999</v>
      </c>
      <c r="BX127" s="49">
        <f t="shared" si="322"/>
        <v>0</v>
      </c>
      <c r="BY127" s="49">
        <f t="shared" si="323"/>
        <v>0</v>
      </c>
      <c r="BZ127" s="49">
        <f t="shared" si="324"/>
        <v>107526.73593374999</v>
      </c>
      <c r="CA127" s="49">
        <f t="shared" si="325"/>
        <v>0</v>
      </c>
      <c r="CB127" s="49">
        <f t="shared" si="326"/>
        <v>0</v>
      </c>
      <c r="CC127" s="49">
        <f t="shared" si="327"/>
        <v>24095.627099999998</v>
      </c>
      <c r="CD127" s="49">
        <f t="shared" si="328"/>
        <v>0</v>
      </c>
      <c r="CE127" s="49">
        <f t="shared" si="329"/>
        <v>0</v>
      </c>
      <c r="CF127" s="49">
        <f t="shared" si="330"/>
        <v>24095.627099999998</v>
      </c>
      <c r="CG127" s="49">
        <f t="shared" si="331"/>
        <v>0</v>
      </c>
      <c r="CH127" s="49">
        <f t="shared" si="332"/>
        <v>0</v>
      </c>
      <c r="CI127" s="49">
        <f t="shared" si="333"/>
        <v>32127.502799999998</v>
      </c>
      <c r="CJ127" s="49">
        <f t="shared" si="334"/>
        <v>0</v>
      </c>
      <c r="CK127" s="49">
        <f t="shared" si="335"/>
        <v>0</v>
      </c>
      <c r="CL127" s="49">
        <f t="shared" si="336"/>
        <v>32127.502799999998</v>
      </c>
      <c r="CM127" s="49">
        <f t="shared" si="337"/>
        <v>0</v>
      </c>
      <c r="CN127" s="49">
        <f t="shared" si="338"/>
        <v>0</v>
      </c>
      <c r="CO127" s="49">
        <f t="shared" si="339"/>
        <v>317680.76362425002</v>
      </c>
      <c r="CP127" s="49">
        <f t="shared" si="340"/>
        <v>0</v>
      </c>
      <c r="CQ127" s="49">
        <f t="shared" si="341"/>
        <v>0</v>
      </c>
      <c r="CR127" s="81">
        <f t="shared" si="342"/>
        <v>317680.76362425002</v>
      </c>
      <c r="CS127" s="80">
        <f t="shared" si="343"/>
        <v>485506.80637574993</v>
      </c>
      <c r="CT127" s="54"/>
      <c r="CU127" s="3" t="str">
        <f t="shared" si="344"/>
        <v>ARS</v>
      </c>
      <c r="CV127" s="3">
        <f>VLOOKUP(CU127,DF:DG,2,0)</f>
        <v>6.9185169999999997E-4</v>
      </c>
      <c r="CW127" s="23">
        <f t="shared" si="345"/>
        <v>555.6866857233689</v>
      </c>
      <c r="CX127" s="23">
        <f t="shared" si="346"/>
        <v>23.144350460378316</v>
      </c>
      <c r="CY127" s="23">
        <f t="shared" si="347"/>
        <v>83.353002858505334</v>
      </c>
      <c r="CZ127" s="23">
        <f t="shared" si="348"/>
        <v>74.392555051216021</v>
      </c>
      <c r="DA127" s="23">
        <f t="shared" si="349"/>
        <v>16.670600571701069</v>
      </c>
      <c r="DB127" s="23">
        <f t="shared" si="350"/>
        <v>22.227467428934759</v>
      </c>
      <c r="DC127" s="23">
        <f t="shared" si="351"/>
        <v>335.89870935263343</v>
      </c>
      <c r="DD127" s="34" t="str">
        <f>VLOOKUP(A127,'Billing Report'!H:I,2,FALSE)</f>
        <v>2035_sp_2026_streaming-hablemos-de-todo_feb_arg_trafico_cpc</v>
      </c>
      <c r="DE127" s="34"/>
      <c r="DF127" s="61"/>
      <c r="DG127" s="62"/>
      <c r="DH127"/>
      <c r="DI127" s="41"/>
      <c r="DJ127" s="41"/>
    </row>
    <row r="128" spans="1:114" ht="14.5" x14ac:dyDescent="0.35">
      <c r="A128" s="63">
        <v>40881312</v>
      </c>
      <c r="B128" s="3" t="s">
        <v>692</v>
      </c>
      <c r="C128" s="3">
        <v>322531401</v>
      </c>
      <c r="D128" s="3" t="s">
        <v>93</v>
      </c>
      <c r="G128" s="38">
        <v>600181.04</v>
      </c>
      <c r="J128" s="33">
        <f>VLOOKUP($B128,'IMS Commission List'!E:CE,79,0)/100</f>
        <v>0.15</v>
      </c>
      <c r="K128" s="79">
        <f t="shared" si="264"/>
        <v>600181.04</v>
      </c>
      <c r="L128" s="3" t="str">
        <f>VLOOKUP($B128,'IMS Commission List'!E:V,18,0)</f>
        <v>ARS</v>
      </c>
      <c r="M128" s="3">
        <v>1</v>
      </c>
      <c r="N128" s="3" t="str">
        <f>VLOOKUP($B128,'IMS Commission List'!E:T,16,0)</f>
        <v>MX</v>
      </c>
      <c r="O128" s="54">
        <f>VLOOKUP($B128,'IMS Commission List'!E:CF,80,0)</f>
        <v>4.9000000000000002E-2</v>
      </c>
      <c r="P128" s="54">
        <f>VLOOKUP($B128,'IMS Commission List'!E:CG,81,0)</f>
        <v>0.1575</v>
      </c>
      <c r="Q128" s="54">
        <f>VLOOKUP($B128,'IMS Commission List'!E:CP,90,0)</f>
        <v>0.03</v>
      </c>
      <c r="R128" s="54">
        <f>VLOOKUP($B128,'IMS Commission List'!E:CQ,91,0)</f>
        <v>0.04</v>
      </c>
      <c r="S128" s="47">
        <f t="shared" si="265"/>
        <v>0</v>
      </c>
      <c r="T128" s="48">
        <f t="shared" si="266"/>
        <v>0</v>
      </c>
      <c r="U128" s="48">
        <f t="shared" si="267"/>
        <v>600181.04</v>
      </c>
      <c r="V128" s="48">
        <f t="shared" si="268"/>
        <v>0</v>
      </c>
      <c r="W128" s="48">
        <f t="shared" si="269"/>
        <v>0</v>
      </c>
      <c r="X128" s="49">
        <f t="shared" si="270"/>
        <v>600181.04</v>
      </c>
      <c r="Y128" s="49">
        <f t="shared" si="271"/>
        <v>0</v>
      </c>
      <c r="Z128" s="49">
        <f t="shared" si="272"/>
        <v>0</v>
      </c>
      <c r="AA128" s="49">
        <f t="shared" si="273"/>
        <v>24997.540316000002</v>
      </c>
      <c r="AB128" s="49">
        <f t="shared" si="274"/>
        <v>0</v>
      </c>
      <c r="AC128" s="49">
        <f t="shared" si="275"/>
        <v>0</v>
      </c>
      <c r="AD128" s="49">
        <f t="shared" si="276"/>
        <v>24997.540316000002</v>
      </c>
      <c r="AE128" s="49">
        <f t="shared" si="277"/>
        <v>0</v>
      </c>
      <c r="AF128" s="49">
        <f t="shared" si="278"/>
        <v>0</v>
      </c>
      <c r="AG128" s="49">
        <f t="shared" si="279"/>
        <v>90027.156000000003</v>
      </c>
      <c r="AH128" s="49">
        <f t="shared" si="280"/>
        <v>0</v>
      </c>
      <c r="AI128" s="49">
        <f t="shared" si="281"/>
        <v>0</v>
      </c>
      <c r="AJ128" s="49">
        <f t="shared" si="282"/>
        <v>90027.156000000003</v>
      </c>
      <c r="AK128" s="49">
        <f t="shared" si="283"/>
        <v>0</v>
      </c>
      <c r="AL128" s="49">
        <f t="shared" si="284"/>
        <v>0</v>
      </c>
      <c r="AM128" s="49">
        <f t="shared" si="285"/>
        <v>80349.236730000004</v>
      </c>
      <c r="AN128" s="49">
        <f t="shared" si="286"/>
        <v>0</v>
      </c>
      <c r="AO128" s="49">
        <f t="shared" si="287"/>
        <v>0</v>
      </c>
      <c r="AP128" s="49">
        <f t="shared" si="288"/>
        <v>80349.236730000004</v>
      </c>
      <c r="AQ128" s="49">
        <f t="shared" si="289"/>
        <v>0</v>
      </c>
      <c r="AR128" s="49">
        <f t="shared" si="290"/>
        <v>0</v>
      </c>
      <c r="AS128" s="49">
        <f t="shared" si="291"/>
        <v>18005.431199999999</v>
      </c>
      <c r="AT128" s="49">
        <f t="shared" si="292"/>
        <v>0</v>
      </c>
      <c r="AU128" s="49">
        <f t="shared" si="293"/>
        <v>0</v>
      </c>
      <c r="AV128" s="49">
        <f t="shared" si="294"/>
        <v>18005.431199999999</v>
      </c>
      <c r="AW128" s="49">
        <f t="shared" si="295"/>
        <v>0</v>
      </c>
      <c r="AX128" s="49">
        <f t="shared" si="296"/>
        <v>0</v>
      </c>
      <c r="AY128" s="49">
        <f t="shared" si="297"/>
        <v>24007.241600000001</v>
      </c>
      <c r="AZ128" s="49">
        <f t="shared" si="298"/>
        <v>0</v>
      </c>
      <c r="BA128" s="49">
        <f t="shared" si="299"/>
        <v>0</v>
      </c>
      <c r="BB128" s="49">
        <f t="shared" si="300"/>
        <v>24007.241600000001</v>
      </c>
      <c r="BC128" s="49">
        <f t="shared" si="301"/>
        <v>0</v>
      </c>
      <c r="BD128" s="49">
        <f t="shared" si="302"/>
        <v>0</v>
      </c>
      <c r="BE128" s="49">
        <f t="shared" si="303"/>
        <v>237386.60584600002</v>
      </c>
      <c r="BF128" s="49">
        <f t="shared" si="304"/>
        <v>0</v>
      </c>
      <c r="BG128" s="49">
        <f t="shared" si="305"/>
        <v>0</v>
      </c>
      <c r="BH128" s="49">
        <f t="shared" si="306"/>
        <v>237386.60584600002</v>
      </c>
      <c r="BI128" s="49">
        <f t="shared" si="307"/>
        <v>0</v>
      </c>
      <c r="BJ128" s="49">
        <f t="shared" si="308"/>
        <v>0</v>
      </c>
      <c r="BK128" s="49">
        <f t="shared" si="309"/>
        <v>24997.540316000002</v>
      </c>
      <c r="BL128" s="49">
        <f t="shared" si="310"/>
        <v>0</v>
      </c>
      <c r="BM128" s="49">
        <f t="shared" si="311"/>
        <v>0</v>
      </c>
      <c r="BN128" s="49">
        <f t="shared" si="312"/>
        <v>24997.540316000002</v>
      </c>
      <c r="BO128" s="49">
        <f t="shared" si="313"/>
        <v>0</v>
      </c>
      <c r="BP128" s="49">
        <f t="shared" si="314"/>
        <v>0</v>
      </c>
      <c r="BQ128" s="49">
        <f t="shared" si="315"/>
        <v>90027.156000000003</v>
      </c>
      <c r="BR128" s="49">
        <f t="shared" si="316"/>
        <v>0</v>
      </c>
      <c r="BS128" s="49">
        <f t="shared" si="317"/>
        <v>0</v>
      </c>
      <c r="BT128" s="49">
        <f t="shared" si="318"/>
        <v>90027.156000000003</v>
      </c>
      <c r="BU128" s="49">
        <f t="shared" si="319"/>
        <v>0</v>
      </c>
      <c r="BV128" s="49">
        <f t="shared" si="320"/>
        <v>0</v>
      </c>
      <c r="BW128" s="49">
        <f t="shared" si="321"/>
        <v>80349.236730000004</v>
      </c>
      <c r="BX128" s="49">
        <f t="shared" si="322"/>
        <v>0</v>
      </c>
      <c r="BY128" s="49">
        <f t="shared" si="323"/>
        <v>0</v>
      </c>
      <c r="BZ128" s="49">
        <f t="shared" si="324"/>
        <v>80349.236730000004</v>
      </c>
      <c r="CA128" s="49">
        <f t="shared" si="325"/>
        <v>0</v>
      </c>
      <c r="CB128" s="49">
        <f t="shared" si="326"/>
        <v>0</v>
      </c>
      <c r="CC128" s="49">
        <f t="shared" si="327"/>
        <v>18005.431199999999</v>
      </c>
      <c r="CD128" s="49">
        <f t="shared" si="328"/>
        <v>0</v>
      </c>
      <c r="CE128" s="49">
        <f t="shared" si="329"/>
        <v>0</v>
      </c>
      <c r="CF128" s="49">
        <f t="shared" si="330"/>
        <v>18005.431199999999</v>
      </c>
      <c r="CG128" s="49">
        <f t="shared" si="331"/>
        <v>0</v>
      </c>
      <c r="CH128" s="49">
        <f t="shared" si="332"/>
        <v>0</v>
      </c>
      <c r="CI128" s="49">
        <f t="shared" si="333"/>
        <v>24007.241600000001</v>
      </c>
      <c r="CJ128" s="49">
        <f t="shared" si="334"/>
        <v>0</v>
      </c>
      <c r="CK128" s="49">
        <f t="shared" si="335"/>
        <v>0</v>
      </c>
      <c r="CL128" s="49">
        <f t="shared" si="336"/>
        <v>24007.241600000001</v>
      </c>
      <c r="CM128" s="49">
        <f t="shared" si="337"/>
        <v>0</v>
      </c>
      <c r="CN128" s="49">
        <f t="shared" si="338"/>
        <v>0</v>
      </c>
      <c r="CO128" s="49">
        <f t="shared" si="339"/>
        <v>237386.60584600002</v>
      </c>
      <c r="CP128" s="49">
        <f t="shared" si="340"/>
        <v>0</v>
      </c>
      <c r="CQ128" s="49">
        <f t="shared" si="341"/>
        <v>0</v>
      </c>
      <c r="CR128" s="81">
        <f t="shared" si="342"/>
        <v>237386.60584600002</v>
      </c>
      <c r="CS128" s="80">
        <f t="shared" si="343"/>
        <v>362794.43415400002</v>
      </c>
      <c r="CT128" s="54"/>
      <c r="CU128" s="3" t="str">
        <f t="shared" si="344"/>
        <v>ARS</v>
      </c>
      <c r="CV128" s="3">
        <f>VLOOKUP(CU128,DF:DG,2,0)</f>
        <v>6.9185169999999997E-4</v>
      </c>
      <c r="CW128" s="23">
        <f t="shared" si="345"/>
        <v>415.23627283176802</v>
      </c>
      <c r="CX128" s="23">
        <f t="shared" si="346"/>
        <v>17.294590763443139</v>
      </c>
      <c r="CY128" s="23">
        <f t="shared" si="347"/>
        <v>62.285440924765197</v>
      </c>
      <c r="CZ128" s="23">
        <f t="shared" si="348"/>
        <v>55.589756025352941</v>
      </c>
      <c r="DA128" s="23">
        <f t="shared" si="349"/>
        <v>12.457088184953038</v>
      </c>
      <c r="DB128" s="23">
        <f t="shared" si="350"/>
        <v>16.60945091327072</v>
      </c>
      <c r="DC128" s="23">
        <f t="shared" si="351"/>
        <v>250.99994601998296</v>
      </c>
      <c r="DD128" s="34" t="str">
        <f>VLOOKUP(A128,'Billing Report'!H:I,2,FALSE)</f>
        <v>2035_sp_2026_streaming-hablemos-de-todo-feb_arg_alcance_cpm</v>
      </c>
      <c r="DE128" s="34"/>
      <c r="DF128" s="61"/>
      <c r="DG128" s="62"/>
      <c r="DH128"/>
      <c r="DI128" s="41"/>
      <c r="DJ128" s="41"/>
    </row>
    <row r="129" spans="1:114" ht="14.5" x14ac:dyDescent="0.35">
      <c r="A129" s="63">
        <v>40881305</v>
      </c>
      <c r="B129" s="3" t="s">
        <v>692</v>
      </c>
      <c r="C129" s="3">
        <v>322531401</v>
      </c>
      <c r="D129" s="3" t="s">
        <v>93</v>
      </c>
      <c r="G129" s="38">
        <v>300274.63</v>
      </c>
      <c r="J129" s="33">
        <f>VLOOKUP($B129,'IMS Commission List'!E:CE,79,0)/100</f>
        <v>0.15</v>
      </c>
      <c r="K129" s="79">
        <f t="shared" si="264"/>
        <v>300274.63</v>
      </c>
      <c r="L129" s="3" t="str">
        <f>VLOOKUP($B129,'IMS Commission List'!E:V,18,0)</f>
        <v>ARS</v>
      </c>
      <c r="M129" s="3">
        <v>1</v>
      </c>
      <c r="N129" s="3" t="str">
        <f>VLOOKUP($B129,'IMS Commission List'!E:T,16,0)</f>
        <v>MX</v>
      </c>
      <c r="O129" s="54">
        <f>VLOOKUP($B129,'IMS Commission List'!E:CF,80,0)</f>
        <v>4.9000000000000002E-2</v>
      </c>
      <c r="P129" s="54">
        <f>VLOOKUP($B129,'IMS Commission List'!E:CG,81,0)</f>
        <v>0.1575</v>
      </c>
      <c r="Q129" s="54">
        <f>VLOOKUP($B129,'IMS Commission List'!E:CP,90,0)</f>
        <v>0.03</v>
      </c>
      <c r="R129" s="54">
        <f>VLOOKUP($B129,'IMS Commission List'!E:CQ,91,0)</f>
        <v>0.04</v>
      </c>
      <c r="S129" s="47">
        <f t="shared" si="265"/>
        <v>0</v>
      </c>
      <c r="T129" s="48">
        <f t="shared" si="266"/>
        <v>0</v>
      </c>
      <c r="U129" s="48">
        <f t="shared" si="267"/>
        <v>300274.63</v>
      </c>
      <c r="V129" s="48">
        <f t="shared" si="268"/>
        <v>0</v>
      </c>
      <c r="W129" s="48">
        <f t="shared" si="269"/>
        <v>0</v>
      </c>
      <c r="X129" s="49">
        <f t="shared" si="270"/>
        <v>300274.63</v>
      </c>
      <c r="Y129" s="49">
        <f t="shared" si="271"/>
        <v>0</v>
      </c>
      <c r="Z129" s="49">
        <f t="shared" si="272"/>
        <v>0</v>
      </c>
      <c r="AA129" s="49">
        <f t="shared" si="273"/>
        <v>12506.4383395</v>
      </c>
      <c r="AB129" s="49">
        <f t="shared" si="274"/>
        <v>0</v>
      </c>
      <c r="AC129" s="49">
        <f t="shared" si="275"/>
        <v>0</v>
      </c>
      <c r="AD129" s="49">
        <f t="shared" si="276"/>
        <v>12506.4383395</v>
      </c>
      <c r="AE129" s="49">
        <f t="shared" si="277"/>
        <v>0</v>
      </c>
      <c r="AF129" s="49">
        <f t="shared" si="278"/>
        <v>0</v>
      </c>
      <c r="AG129" s="49">
        <f t="shared" si="279"/>
        <v>45041.194499999998</v>
      </c>
      <c r="AH129" s="49">
        <f t="shared" si="280"/>
        <v>0</v>
      </c>
      <c r="AI129" s="49">
        <f t="shared" si="281"/>
        <v>0</v>
      </c>
      <c r="AJ129" s="49">
        <f t="shared" si="282"/>
        <v>45041.194499999998</v>
      </c>
      <c r="AK129" s="49">
        <f t="shared" si="283"/>
        <v>0</v>
      </c>
      <c r="AL129" s="49">
        <f t="shared" si="284"/>
        <v>0</v>
      </c>
      <c r="AM129" s="49">
        <f t="shared" si="285"/>
        <v>40199.26609125</v>
      </c>
      <c r="AN129" s="49">
        <f t="shared" si="286"/>
        <v>0</v>
      </c>
      <c r="AO129" s="49">
        <f t="shared" si="287"/>
        <v>0</v>
      </c>
      <c r="AP129" s="49">
        <f t="shared" si="288"/>
        <v>40199.26609125</v>
      </c>
      <c r="AQ129" s="49">
        <f t="shared" si="289"/>
        <v>0</v>
      </c>
      <c r="AR129" s="49">
        <f t="shared" si="290"/>
        <v>0</v>
      </c>
      <c r="AS129" s="49">
        <f t="shared" si="291"/>
        <v>9008.2389000000003</v>
      </c>
      <c r="AT129" s="49">
        <f t="shared" si="292"/>
        <v>0</v>
      </c>
      <c r="AU129" s="49">
        <f t="shared" si="293"/>
        <v>0</v>
      </c>
      <c r="AV129" s="49">
        <f t="shared" si="294"/>
        <v>9008.2389000000003</v>
      </c>
      <c r="AW129" s="49">
        <f t="shared" si="295"/>
        <v>0</v>
      </c>
      <c r="AX129" s="49">
        <f t="shared" si="296"/>
        <v>0</v>
      </c>
      <c r="AY129" s="49">
        <f t="shared" si="297"/>
        <v>12010.985200000001</v>
      </c>
      <c r="AZ129" s="49">
        <f t="shared" si="298"/>
        <v>0</v>
      </c>
      <c r="BA129" s="49">
        <f t="shared" si="299"/>
        <v>0</v>
      </c>
      <c r="BB129" s="49">
        <f t="shared" si="300"/>
        <v>12010.985200000001</v>
      </c>
      <c r="BC129" s="49">
        <f t="shared" si="301"/>
        <v>0</v>
      </c>
      <c r="BD129" s="49">
        <f t="shared" si="302"/>
        <v>0</v>
      </c>
      <c r="BE129" s="49">
        <f t="shared" si="303"/>
        <v>118766.12303074999</v>
      </c>
      <c r="BF129" s="49">
        <f t="shared" si="304"/>
        <v>0</v>
      </c>
      <c r="BG129" s="49">
        <f t="shared" si="305"/>
        <v>0</v>
      </c>
      <c r="BH129" s="49">
        <f t="shared" si="306"/>
        <v>118766.12303074999</v>
      </c>
      <c r="BI129" s="49">
        <f t="shared" si="307"/>
        <v>0</v>
      </c>
      <c r="BJ129" s="49">
        <f t="shared" si="308"/>
        <v>0</v>
      </c>
      <c r="BK129" s="49">
        <f t="shared" si="309"/>
        <v>12506.4383395</v>
      </c>
      <c r="BL129" s="49">
        <f t="shared" si="310"/>
        <v>0</v>
      </c>
      <c r="BM129" s="49">
        <f t="shared" si="311"/>
        <v>0</v>
      </c>
      <c r="BN129" s="49">
        <f t="shared" si="312"/>
        <v>12506.4383395</v>
      </c>
      <c r="BO129" s="49">
        <f t="shared" si="313"/>
        <v>0</v>
      </c>
      <c r="BP129" s="49">
        <f t="shared" si="314"/>
        <v>0</v>
      </c>
      <c r="BQ129" s="49">
        <f t="shared" si="315"/>
        <v>45041.194499999998</v>
      </c>
      <c r="BR129" s="49">
        <f t="shared" si="316"/>
        <v>0</v>
      </c>
      <c r="BS129" s="49">
        <f t="shared" si="317"/>
        <v>0</v>
      </c>
      <c r="BT129" s="49">
        <f t="shared" si="318"/>
        <v>45041.194499999998</v>
      </c>
      <c r="BU129" s="49">
        <f t="shared" si="319"/>
        <v>0</v>
      </c>
      <c r="BV129" s="49">
        <f t="shared" si="320"/>
        <v>0</v>
      </c>
      <c r="BW129" s="49">
        <f t="shared" si="321"/>
        <v>40199.26609125</v>
      </c>
      <c r="BX129" s="49">
        <f t="shared" si="322"/>
        <v>0</v>
      </c>
      <c r="BY129" s="49">
        <f t="shared" si="323"/>
        <v>0</v>
      </c>
      <c r="BZ129" s="49">
        <f t="shared" si="324"/>
        <v>40199.26609125</v>
      </c>
      <c r="CA129" s="49">
        <f t="shared" si="325"/>
        <v>0</v>
      </c>
      <c r="CB129" s="49">
        <f t="shared" si="326"/>
        <v>0</v>
      </c>
      <c r="CC129" s="49">
        <f t="shared" si="327"/>
        <v>9008.2389000000003</v>
      </c>
      <c r="CD129" s="49">
        <f t="shared" si="328"/>
        <v>0</v>
      </c>
      <c r="CE129" s="49">
        <f t="shared" si="329"/>
        <v>0</v>
      </c>
      <c r="CF129" s="49">
        <f t="shared" si="330"/>
        <v>9008.2389000000003</v>
      </c>
      <c r="CG129" s="49">
        <f t="shared" si="331"/>
        <v>0</v>
      </c>
      <c r="CH129" s="49">
        <f t="shared" si="332"/>
        <v>0</v>
      </c>
      <c r="CI129" s="49">
        <f t="shared" si="333"/>
        <v>12010.985200000001</v>
      </c>
      <c r="CJ129" s="49">
        <f t="shared" si="334"/>
        <v>0</v>
      </c>
      <c r="CK129" s="49">
        <f t="shared" si="335"/>
        <v>0</v>
      </c>
      <c r="CL129" s="49">
        <f t="shared" si="336"/>
        <v>12010.985200000001</v>
      </c>
      <c r="CM129" s="49">
        <f t="shared" si="337"/>
        <v>0</v>
      </c>
      <c r="CN129" s="49">
        <f t="shared" si="338"/>
        <v>0</v>
      </c>
      <c r="CO129" s="49">
        <f t="shared" si="339"/>
        <v>118766.12303074999</v>
      </c>
      <c r="CP129" s="49">
        <f t="shared" si="340"/>
        <v>0</v>
      </c>
      <c r="CQ129" s="49">
        <f t="shared" si="341"/>
        <v>0</v>
      </c>
      <c r="CR129" s="81">
        <f t="shared" si="342"/>
        <v>118766.12303074999</v>
      </c>
      <c r="CS129" s="80">
        <f t="shared" si="343"/>
        <v>181508.50696925001</v>
      </c>
      <c r="CT129" s="54"/>
      <c r="CU129" s="3" t="str">
        <f t="shared" si="344"/>
        <v>ARS</v>
      </c>
      <c r="CV129" s="3">
        <f>VLOOKUP(CU129,DF:DG,2,0)</f>
        <v>6.9185169999999997E-4</v>
      </c>
      <c r="CW129" s="23">
        <f t="shared" si="345"/>
        <v>207.745513232371</v>
      </c>
      <c r="CX129" s="23">
        <f t="shared" si="346"/>
        <v>8.6526006261282529</v>
      </c>
      <c r="CY129" s="23">
        <f t="shared" si="347"/>
        <v>31.161826984855647</v>
      </c>
      <c r="CZ129" s="23">
        <f t="shared" si="348"/>
        <v>27.811930583983667</v>
      </c>
      <c r="DA129" s="23">
        <f t="shared" si="349"/>
        <v>6.2323653969711303</v>
      </c>
      <c r="DB129" s="23">
        <f t="shared" si="350"/>
        <v>8.3098205292948411</v>
      </c>
      <c r="DC129" s="23">
        <f t="shared" si="351"/>
        <v>125.57696911113746</v>
      </c>
      <c r="DD129" s="34" t="str">
        <f>VLOOKUP(A129,'Billing Report'!H:I,2,FALSE)</f>
        <v>2035_sp_2026_streaming-hablemos-de-seguridad_feb_arg_trafico_cpc</v>
      </c>
      <c r="DE129" s="34"/>
      <c r="DF129" s="61"/>
      <c r="DG129" s="62"/>
      <c r="DH129"/>
      <c r="DI129" s="41"/>
      <c r="DJ129" s="41"/>
    </row>
    <row r="130" spans="1:114" ht="14.5" x14ac:dyDescent="0.35">
      <c r="A130" s="63">
        <v>40881295</v>
      </c>
      <c r="B130" s="3" t="s">
        <v>692</v>
      </c>
      <c r="C130" s="3">
        <v>322531401</v>
      </c>
      <c r="D130" s="3" t="s">
        <v>93</v>
      </c>
      <c r="G130" s="38">
        <v>150054.58000000002</v>
      </c>
      <c r="J130" s="33">
        <f>VLOOKUP($B130,'IMS Commission List'!E:CE,79,0)/100</f>
        <v>0.15</v>
      </c>
      <c r="K130" s="79">
        <f t="shared" si="264"/>
        <v>150054.58000000002</v>
      </c>
      <c r="L130" s="3" t="str">
        <f>VLOOKUP($B130,'IMS Commission List'!E:V,18,0)</f>
        <v>ARS</v>
      </c>
      <c r="M130" s="3">
        <v>1</v>
      </c>
      <c r="N130" s="3" t="str">
        <f>VLOOKUP($B130,'IMS Commission List'!E:T,16,0)</f>
        <v>MX</v>
      </c>
      <c r="O130" s="54">
        <f>VLOOKUP($B130,'IMS Commission List'!E:CF,80,0)</f>
        <v>4.9000000000000002E-2</v>
      </c>
      <c r="P130" s="54">
        <f>VLOOKUP($B130,'IMS Commission List'!E:CG,81,0)</f>
        <v>0.1575</v>
      </c>
      <c r="Q130" s="54">
        <f>VLOOKUP($B130,'IMS Commission List'!E:CP,90,0)</f>
        <v>0.03</v>
      </c>
      <c r="R130" s="54">
        <f>VLOOKUP($B130,'IMS Commission List'!E:CQ,91,0)</f>
        <v>0.04</v>
      </c>
      <c r="S130" s="47">
        <f t="shared" si="265"/>
        <v>0</v>
      </c>
      <c r="T130" s="48">
        <f t="shared" si="266"/>
        <v>0</v>
      </c>
      <c r="U130" s="48">
        <f t="shared" si="267"/>
        <v>150054.58000000002</v>
      </c>
      <c r="V130" s="48">
        <f t="shared" si="268"/>
        <v>0</v>
      </c>
      <c r="W130" s="48">
        <f t="shared" si="269"/>
        <v>0</v>
      </c>
      <c r="X130" s="49">
        <f t="shared" si="270"/>
        <v>150054.58000000002</v>
      </c>
      <c r="Y130" s="49">
        <f t="shared" si="271"/>
        <v>0</v>
      </c>
      <c r="Z130" s="49">
        <f t="shared" si="272"/>
        <v>0</v>
      </c>
      <c r="AA130" s="49">
        <f t="shared" si="273"/>
        <v>6249.7732570000007</v>
      </c>
      <c r="AB130" s="49">
        <f t="shared" si="274"/>
        <v>0</v>
      </c>
      <c r="AC130" s="49">
        <f t="shared" si="275"/>
        <v>0</v>
      </c>
      <c r="AD130" s="49">
        <f t="shared" si="276"/>
        <v>6249.7732570000007</v>
      </c>
      <c r="AE130" s="49">
        <f t="shared" si="277"/>
        <v>0</v>
      </c>
      <c r="AF130" s="49">
        <f t="shared" si="278"/>
        <v>0</v>
      </c>
      <c r="AG130" s="49">
        <f t="shared" si="279"/>
        <v>22508.187000000002</v>
      </c>
      <c r="AH130" s="49">
        <f t="shared" si="280"/>
        <v>0</v>
      </c>
      <c r="AI130" s="49">
        <f t="shared" si="281"/>
        <v>0</v>
      </c>
      <c r="AJ130" s="49">
        <f t="shared" si="282"/>
        <v>22508.187000000002</v>
      </c>
      <c r="AK130" s="49">
        <f t="shared" si="283"/>
        <v>0</v>
      </c>
      <c r="AL130" s="49">
        <f t="shared" si="284"/>
        <v>0</v>
      </c>
      <c r="AM130" s="49">
        <f t="shared" si="285"/>
        <v>20088.556897500002</v>
      </c>
      <c r="AN130" s="49">
        <f t="shared" si="286"/>
        <v>0</v>
      </c>
      <c r="AO130" s="49">
        <f t="shared" si="287"/>
        <v>0</v>
      </c>
      <c r="AP130" s="49">
        <f t="shared" si="288"/>
        <v>20088.556897500002</v>
      </c>
      <c r="AQ130" s="49">
        <f t="shared" si="289"/>
        <v>0</v>
      </c>
      <c r="AR130" s="49">
        <f t="shared" si="290"/>
        <v>0</v>
      </c>
      <c r="AS130" s="49">
        <f t="shared" si="291"/>
        <v>4501.6374000000005</v>
      </c>
      <c r="AT130" s="49">
        <f t="shared" si="292"/>
        <v>0</v>
      </c>
      <c r="AU130" s="49">
        <f t="shared" si="293"/>
        <v>0</v>
      </c>
      <c r="AV130" s="49">
        <f t="shared" si="294"/>
        <v>4501.6374000000005</v>
      </c>
      <c r="AW130" s="49">
        <f t="shared" si="295"/>
        <v>0</v>
      </c>
      <c r="AX130" s="49">
        <f t="shared" si="296"/>
        <v>0</v>
      </c>
      <c r="AY130" s="49">
        <f t="shared" si="297"/>
        <v>6002.1832000000004</v>
      </c>
      <c r="AZ130" s="49">
        <f t="shared" si="298"/>
        <v>0</v>
      </c>
      <c r="BA130" s="49">
        <f t="shared" si="299"/>
        <v>0</v>
      </c>
      <c r="BB130" s="49">
        <f t="shared" si="300"/>
        <v>6002.1832000000004</v>
      </c>
      <c r="BC130" s="49">
        <f t="shared" si="301"/>
        <v>0</v>
      </c>
      <c r="BD130" s="49">
        <f t="shared" si="302"/>
        <v>0</v>
      </c>
      <c r="BE130" s="49">
        <f t="shared" si="303"/>
        <v>59350.337754500004</v>
      </c>
      <c r="BF130" s="49">
        <f t="shared" si="304"/>
        <v>0</v>
      </c>
      <c r="BG130" s="49">
        <f t="shared" si="305"/>
        <v>0</v>
      </c>
      <c r="BH130" s="49">
        <f t="shared" si="306"/>
        <v>59350.337754500004</v>
      </c>
      <c r="BI130" s="49">
        <f t="shared" si="307"/>
        <v>0</v>
      </c>
      <c r="BJ130" s="49">
        <f t="shared" si="308"/>
        <v>0</v>
      </c>
      <c r="BK130" s="49">
        <f t="shared" si="309"/>
        <v>6249.7732570000007</v>
      </c>
      <c r="BL130" s="49">
        <f t="shared" si="310"/>
        <v>0</v>
      </c>
      <c r="BM130" s="49">
        <f t="shared" si="311"/>
        <v>0</v>
      </c>
      <c r="BN130" s="49">
        <f t="shared" si="312"/>
        <v>6249.7732570000007</v>
      </c>
      <c r="BO130" s="49">
        <f t="shared" si="313"/>
        <v>0</v>
      </c>
      <c r="BP130" s="49">
        <f t="shared" si="314"/>
        <v>0</v>
      </c>
      <c r="BQ130" s="49">
        <f t="shared" si="315"/>
        <v>22508.187000000002</v>
      </c>
      <c r="BR130" s="49">
        <f t="shared" si="316"/>
        <v>0</v>
      </c>
      <c r="BS130" s="49">
        <f t="shared" si="317"/>
        <v>0</v>
      </c>
      <c r="BT130" s="49">
        <f t="shared" si="318"/>
        <v>22508.187000000002</v>
      </c>
      <c r="BU130" s="49">
        <f t="shared" si="319"/>
        <v>0</v>
      </c>
      <c r="BV130" s="49">
        <f t="shared" si="320"/>
        <v>0</v>
      </c>
      <c r="BW130" s="49">
        <f t="shared" si="321"/>
        <v>20088.556897500002</v>
      </c>
      <c r="BX130" s="49">
        <f t="shared" si="322"/>
        <v>0</v>
      </c>
      <c r="BY130" s="49">
        <f t="shared" si="323"/>
        <v>0</v>
      </c>
      <c r="BZ130" s="49">
        <f t="shared" si="324"/>
        <v>20088.556897500002</v>
      </c>
      <c r="CA130" s="49">
        <f t="shared" si="325"/>
        <v>0</v>
      </c>
      <c r="CB130" s="49">
        <f t="shared" si="326"/>
        <v>0</v>
      </c>
      <c r="CC130" s="49">
        <f t="shared" si="327"/>
        <v>4501.6374000000005</v>
      </c>
      <c r="CD130" s="49">
        <f t="shared" si="328"/>
        <v>0</v>
      </c>
      <c r="CE130" s="49">
        <f t="shared" si="329"/>
        <v>0</v>
      </c>
      <c r="CF130" s="49">
        <f t="shared" si="330"/>
        <v>4501.6374000000005</v>
      </c>
      <c r="CG130" s="49">
        <f t="shared" si="331"/>
        <v>0</v>
      </c>
      <c r="CH130" s="49">
        <f t="shared" si="332"/>
        <v>0</v>
      </c>
      <c r="CI130" s="49">
        <f t="shared" si="333"/>
        <v>6002.1832000000004</v>
      </c>
      <c r="CJ130" s="49">
        <f t="shared" si="334"/>
        <v>0</v>
      </c>
      <c r="CK130" s="49">
        <f t="shared" si="335"/>
        <v>0</v>
      </c>
      <c r="CL130" s="49">
        <f t="shared" si="336"/>
        <v>6002.1832000000004</v>
      </c>
      <c r="CM130" s="49">
        <f t="shared" si="337"/>
        <v>0</v>
      </c>
      <c r="CN130" s="49">
        <f t="shared" si="338"/>
        <v>0</v>
      </c>
      <c r="CO130" s="49">
        <f t="shared" si="339"/>
        <v>59350.337754500004</v>
      </c>
      <c r="CP130" s="49">
        <f t="shared" si="340"/>
        <v>0</v>
      </c>
      <c r="CQ130" s="49">
        <f t="shared" si="341"/>
        <v>0</v>
      </c>
      <c r="CR130" s="81">
        <f t="shared" si="342"/>
        <v>59350.337754500004</v>
      </c>
      <c r="CS130" s="80">
        <f t="shared" si="343"/>
        <v>90704.242245500005</v>
      </c>
      <c r="CT130" s="54"/>
      <c r="CU130" s="3" t="str">
        <f t="shared" si="344"/>
        <v>ARS</v>
      </c>
      <c r="CV130" s="3">
        <f>VLOOKUP(CU130,DF:DG,2,0)</f>
        <v>6.9185169999999997E-4</v>
      </c>
      <c r="CW130" s="23">
        <f t="shared" si="345"/>
        <v>103.815516265786</v>
      </c>
      <c r="CX130" s="23">
        <f t="shared" si="346"/>
        <v>4.3239162524699868</v>
      </c>
      <c r="CY130" s="23">
        <f t="shared" si="347"/>
        <v>15.5723274398679</v>
      </c>
      <c r="CZ130" s="23">
        <f t="shared" si="348"/>
        <v>13.898302240082101</v>
      </c>
      <c r="DA130" s="23">
        <f t="shared" si="349"/>
        <v>3.1144654879735802</v>
      </c>
      <c r="DB130" s="23">
        <f t="shared" si="350"/>
        <v>4.15262065063144</v>
      </c>
      <c r="DC130" s="23">
        <f t="shared" si="351"/>
        <v>62.753884194760992</v>
      </c>
      <c r="DD130" s="34" t="str">
        <f>VLOOKUP(A130,'Billing Report'!H:I,2,FALSE)</f>
        <v>2035_sp_2026_streaming-hablemos-de-seguridad_feb_arg_alcance_cpm</v>
      </c>
      <c r="DE130" s="34"/>
      <c r="DF130" s="61"/>
      <c r="DG130" s="62"/>
      <c r="DH130"/>
      <c r="DI130" s="41"/>
      <c r="DJ130" s="41"/>
    </row>
    <row r="131" spans="1:114" ht="14.5" x14ac:dyDescent="0.35">
      <c r="A131" s="63">
        <v>40881229</v>
      </c>
      <c r="B131" s="3" t="s">
        <v>692</v>
      </c>
      <c r="C131" s="3">
        <v>322531401</v>
      </c>
      <c r="D131" s="3" t="s">
        <v>93</v>
      </c>
      <c r="G131" s="38">
        <v>347311.14</v>
      </c>
      <c r="J131" s="33">
        <f>VLOOKUP($B131,'IMS Commission List'!E:CE,79,0)/100</f>
        <v>0.15</v>
      </c>
      <c r="K131" s="79">
        <f t="shared" si="264"/>
        <v>347311.14</v>
      </c>
      <c r="L131" s="3" t="str">
        <f>VLOOKUP($B131,'IMS Commission List'!E:V,18,0)</f>
        <v>ARS</v>
      </c>
      <c r="M131" s="3">
        <v>1</v>
      </c>
      <c r="N131" s="3" t="str">
        <f>VLOOKUP($B131,'IMS Commission List'!E:T,16,0)</f>
        <v>MX</v>
      </c>
      <c r="O131" s="54">
        <f>VLOOKUP($B131,'IMS Commission List'!E:CF,80,0)</f>
        <v>4.9000000000000002E-2</v>
      </c>
      <c r="P131" s="54">
        <f>VLOOKUP($B131,'IMS Commission List'!E:CG,81,0)</f>
        <v>0.1575</v>
      </c>
      <c r="Q131" s="54">
        <f>VLOOKUP($B131,'IMS Commission List'!E:CP,90,0)</f>
        <v>0.03</v>
      </c>
      <c r="R131" s="54">
        <f>VLOOKUP($B131,'IMS Commission List'!E:CQ,91,0)</f>
        <v>0.04</v>
      </c>
      <c r="S131" s="47">
        <f t="shared" si="265"/>
        <v>0</v>
      </c>
      <c r="T131" s="48">
        <f t="shared" si="266"/>
        <v>0</v>
      </c>
      <c r="U131" s="48">
        <f t="shared" si="267"/>
        <v>347311.14</v>
      </c>
      <c r="V131" s="48">
        <f t="shared" si="268"/>
        <v>0</v>
      </c>
      <c r="W131" s="48">
        <f t="shared" si="269"/>
        <v>0</v>
      </c>
      <c r="X131" s="49">
        <f t="shared" si="270"/>
        <v>347311.14</v>
      </c>
      <c r="Y131" s="49">
        <f t="shared" si="271"/>
        <v>0</v>
      </c>
      <c r="Z131" s="49">
        <f t="shared" si="272"/>
        <v>0</v>
      </c>
      <c r="AA131" s="49">
        <f t="shared" si="273"/>
        <v>14465.508981000003</v>
      </c>
      <c r="AB131" s="49">
        <f t="shared" si="274"/>
        <v>0</v>
      </c>
      <c r="AC131" s="49">
        <f t="shared" si="275"/>
        <v>0</v>
      </c>
      <c r="AD131" s="49">
        <f t="shared" si="276"/>
        <v>14465.508981000003</v>
      </c>
      <c r="AE131" s="49">
        <f t="shared" si="277"/>
        <v>0</v>
      </c>
      <c r="AF131" s="49">
        <f t="shared" si="278"/>
        <v>0</v>
      </c>
      <c r="AG131" s="49">
        <f t="shared" si="279"/>
        <v>52096.671000000002</v>
      </c>
      <c r="AH131" s="49">
        <f t="shared" si="280"/>
        <v>0</v>
      </c>
      <c r="AI131" s="49">
        <f t="shared" si="281"/>
        <v>0</v>
      </c>
      <c r="AJ131" s="49">
        <f t="shared" si="282"/>
        <v>52096.671000000002</v>
      </c>
      <c r="AK131" s="49">
        <f t="shared" si="283"/>
        <v>0</v>
      </c>
      <c r="AL131" s="49">
        <f t="shared" si="284"/>
        <v>0</v>
      </c>
      <c r="AM131" s="49">
        <f t="shared" si="285"/>
        <v>46496.278867500005</v>
      </c>
      <c r="AN131" s="49">
        <f t="shared" si="286"/>
        <v>0</v>
      </c>
      <c r="AO131" s="49">
        <f t="shared" si="287"/>
        <v>0</v>
      </c>
      <c r="AP131" s="49">
        <f t="shared" si="288"/>
        <v>46496.278867500005</v>
      </c>
      <c r="AQ131" s="49">
        <f t="shared" si="289"/>
        <v>0</v>
      </c>
      <c r="AR131" s="49">
        <f t="shared" si="290"/>
        <v>0</v>
      </c>
      <c r="AS131" s="49">
        <f t="shared" si="291"/>
        <v>10419.334199999999</v>
      </c>
      <c r="AT131" s="49">
        <f t="shared" si="292"/>
        <v>0</v>
      </c>
      <c r="AU131" s="49">
        <f t="shared" si="293"/>
        <v>0</v>
      </c>
      <c r="AV131" s="49">
        <f t="shared" si="294"/>
        <v>10419.334199999999</v>
      </c>
      <c r="AW131" s="49">
        <f t="shared" si="295"/>
        <v>0</v>
      </c>
      <c r="AX131" s="49">
        <f t="shared" si="296"/>
        <v>0</v>
      </c>
      <c r="AY131" s="49">
        <f t="shared" si="297"/>
        <v>13892.445600000001</v>
      </c>
      <c r="AZ131" s="49">
        <f t="shared" si="298"/>
        <v>0</v>
      </c>
      <c r="BA131" s="49">
        <f t="shared" si="299"/>
        <v>0</v>
      </c>
      <c r="BB131" s="49">
        <f t="shared" si="300"/>
        <v>13892.445600000001</v>
      </c>
      <c r="BC131" s="49">
        <f t="shared" si="301"/>
        <v>0</v>
      </c>
      <c r="BD131" s="49">
        <f t="shared" si="302"/>
        <v>0</v>
      </c>
      <c r="BE131" s="49">
        <f t="shared" si="303"/>
        <v>137370.2386485</v>
      </c>
      <c r="BF131" s="49">
        <f t="shared" si="304"/>
        <v>0</v>
      </c>
      <c r="BG131" s="49">
        <f t="shared" si="305"/>
        <v>0</v>
      </c>
      <c r="BH131" s="49">
        <f t="shared" si="306"/>
        <v>137370.2386485</v>
      </c>
      <c r="BI131" s="49">
        <f t="shared" si="307"/>
        <v>0</v>
      </c>
      <c r="BJ131" s="49">
        <f t="shared" si="308"/>
        <v>0</v>
      </c>
      <c r="BK131" s="49">
        <f t="shared" si="309"/>
        <v>14465.508981000003</v>
      </c>
      <c r="BL131" s="49">
        <f t="shared" si="310"/>
        <v>0</v>
      </c>
      <c r="BM131" s="49">
        <f t="shared" si="311"/>
        <v>0</v>
      </c>
      <c r="BN131" s="49">
        <f t="shared" si="312"/>
        <v>14465.508981000003</v>
      </c>
      <c r="BO131" s="49">
        <f t="shared" si="313"/>
        <v>0</v>
      </c>
      <c r="BP131" s="49">
        <f t="shared" si="314"/>
        <v>0</v>
      </c>
      <c r="BQ131" s="49">
        <f t="shared" si="315"/>
        <v>52096.671000000002</v>
      </c>
      <c r="BR131" s="49">
        <f t="shared" si="316"/>
        <v>0</v>
      </c>
      <c r="BS131" s="49">
        <f t="shared" si="317"/>
        <v>0</v>
      </c>
      <c r="BT131" s="49">
        <f t="shared" si="318"/>
        <v>52096.671000000002</v>
      </c>
      <c r="BU131" s="49">
        <f t="shared" si="319"/>
        <v>0</v>
      </c>
      <c r="BV131" s="49">
        <f t="shared" si="320"/>
        <v>0</v>
      </c>
      <c r="BW131" s="49">
        <f t="shared" si="321"/>
        <v>46496.278867500005</v>
      </c>
      <c r="BX131" s="49">
        <f t="shared" si="322"/>
        <v>0</v>
      </c>
      <c r="BY131" s="49">
        <f t="shared" si="323"/>
        <v>0</v>
      </c>
      <c r="BZ131" s="49">
        <f t="shared" si="324"/>
        <v>46496.278867500005</v>
      </c>
      <c r="CA131" s="49">
        <f t="shared" si="325"/>
        <v>0</v>
      </c>
      <c r="CB131" s="49">
        <f t="shared" si="326"/>
        <v>0</v>
      </c>
      <c r="CC131" s="49">
        <f t="shared" si="327"/>
        <v>10419.334199999999</v>
      </c>
      <c r="CD131" s="49">
        <f t="shared" si="328"/>
        <v>0</v>
      </c>
      <c r="CE131" s="49">
        <f t="shared" si="329"/>
        <v>0</v>
      </c>
      <c r="CF131" s="49">
        <f t="shared" si="330"/>
        <v>10419.334199999999</v>
      </c>
      <c r="CG131" s="49">
        <f t="shared" si="331"/>
        <v>0</v>
      </c>
      <c r="CH131" s="49">
        <f t="shared" si="332"/>
        <v>0</v>
      </c>
      <c r="CI131" s="49">
        <f t="shared" si="333"/>
        <v>13892.445600000001</v>
      </c>
      <c r="CJ131" s="49">
        <f t="shared" si="334"/>
        <v>0</v>
      </c>
      <c r="CK131" s="49">
        <f t="shared" si="335"/>
        <v>0</v>
      </c>
      <c r="CL131" s="49">
        <f t="shared" si="336"/>
        <v>13892.445600000001</v>
      </c>
      <c r="CM131" s="49">
        <f t="shared" si="337"/>
        <v>0</v>
      </c>
      <c r="CN131" s="49">
        <f t="shared" si="338"/>
        <v>0</v>
      </c>
      <c r="CO131" s="49">
        <f t="shared" si="339"/>
        <v>137370.2386485</v>
      </c>
      <c r="CP131" s="49">
        <f t="shared" si="340"/>
        <v>0</v>
      </c>
      <c r="CQ131" s="49">
        <f t="shared" si="341"/>
        <v>0</v>
      </c>
      <c r="CR131" s="81">
        <f t="shared" si="342"/>
        <v>137370.2386485</v>
      </c>
      <c r="CS131" s="80">
        <f t="shared" si="343"/>
        <v>209940.90135150001</v>
      </c>
      <c r="CT131" s="54"/>
      <c r="CU131" s="3" t="str">
        <f t="shared" si="344"/>
        <v>ARS</v>
      </c>
      <c r="CV131" s="3">
        <f>VLOOKUP(CU131,DF:DG,2,0)</f>
        <v>6.9185169999999997E-4</v>
      </c>
      <c r="CW131" s="23">
        <f t="shared" si="345"/>
        <v>240.287802637938</v>
      </c>
      <c r="CX131" s="23">
        <f t="shared" si="346"/>
        <v>10.007986979870118</v>
      </c>
      <c r="CY131" s="23">
        <f t="shared" si="347"/>
        <v>36.043170395690701</v>
      </c>
      <c r="CZ131" s="23">
        <f t="shared" si="348"/>
        <v>32.168529578153951</v>
      </c>
      <c r="DA131" s="23">
        <f t="shared" si="349"/>
        <v>7.2086340791381396</v>
      </c>
      <c r="DB131" s="23">
        <f t="shared" si="350"/>
        <v>9.6115121055175194</v>
      </c>
      <c r="DC131" s="23">
        <f t="shared" si="351"/>
        <v>145.24796949956757</v>
      </c>
      <c r="DD131" s="34" t="str">
        <f>VLOOKUP(A131,'Billing Report'!H:I,2,FALSE)</f>
        <v>2035_sp_2026_streaming-hablemos-de-guita_feb_arg_trafico_cpc</v>
      </c>
      <c r="DE131" s="34"/>
      <c r="DF131" s="61"/>
      <c r="DG131" s="62"/>
      <c r="DH131"/>
      <c r="DI131" s="41"/>
      <c r="DJ131" s="41"/>
    </row>
    <row r="132" spans="1:114" ht="14.5" x14ac:dyDescent="0.35">
      <c r="A132" s="63">
        <v>40881218</v>
      </c>
      <c r="B132" s="3" t="s">
        <v>692</v>
      </c>
      <c r="C132" s="3">
        <v>322531401</v>
      </c>
      <c r="D132" s="3" t="s">
        <v>93</v>
      </c>
      <c r="G132" s="38">
        <v>200310.12</v>
      </c>
      <c r="J132" s="33">
        <f>VLOOKUP($B132,'IMS Commission List'!E:CE,79,0)/100</f>
        <v>0.15</v>
      </c>
      <c r="K132" s="79">
        <f t="shared" si="264"/>
        <v>200310.12</v>
      </c>
      <c r="L132" s="3" t="str">
        <f>VLOOKUP($B132,'IMS Commission List'!E:V,18,0)</f>
        <v>ARS</v>
      </c>
      <c r="M132" s="3">
        <v>1</v>
      </c>
      <c r="N132" s="3" t="str">
        <f>VLOOKUP($B132,'IMS Commission List'!E:T,16,0)</f>
        <v>MX</v>
      </c>
      <c r="O132" s="54">
        <f>VLOOKUP($B132,'IMS Commission List'!E:CF,80,0)</f>
        <v>4.9000000000000002E-2</v>
      </c>
      <c r="P132" s="54">
        <f>VLOOKUP($B132,'IMS Commission List'!E:CG,81,0)</f>
        <v>0.1575</v>
      </c>
      <c r="Q132" s="54">
        <f>VLOOKUP($B132,'IMS Commission List'!E:CP,90,0)</f>
        <v>0.03</v>
      </c>
      <c r="R132" s="54">
        <f>VLOOKUP($B132,'IMS Commission List'!E:CQ,91,0)</f>
        <v>0.04</v>
      </c>
      <c r="S132" s="47">
        <f t="shared" si="265"/>
        <v>0</v>
      </c>
      <c r="T132" s="48">
        <f t="shared" si="266"/>
        <v>0</v>
      </c>
      <c r="U132" s="48">
        <f t="shared" si="267"/>
        <v>200310.12</v>
      </c>
      <c r="V132" s="48">
        <f t="shared" si="268"/>
        <v>0</v>
      </c>
      <c r="W132" s="48">
        <f t="shared" si="269"/>
        <v>0</v>
      </c>
      <c r="X132" s="49">
        <f t="shared" si="270"/>
        <v>200310.12</v>
      </c>
      <c r="Y132" s="49">
        <f t="shared" si="271"/>
        <v>0</v>
      </c>
      <c r="Z132" s="49">
        <f t="shared" si="272"/>
        <v>0</v>
      </c>
      <c r="AA132" s="49">
        <f t="shared" si="273"/>
        <v>8342.9164979999987</v>
      </c>
      <c r="AB132" s="49">
        <f t="shared" si="274"/>
        <v>0</v>
      </c>
      <c r="AC132" s="49">
        <f t="shared" si="275"/>
        <v>0</v>
      </c>
      <c r="AD132" s="49">
        <f t="shared" si="276"/>
        <v>8342.9164979999987</v>
      </c>
      <c r="AE132" s="49">
        <f t="shared" si="277"/>
        <v>0</v>
      </c>
      <c r="AF132" s="49">
        <f t="shared" si="278"/>
        <v>0</v>
      </c>
      <c r="AG132" s="49">
        <f t="shared" si="279"/>
        <v>30046.517999999996</v>
      </c>
      <c r="AH132" s="49">
        <f t="shared" si="280"/>
        <v>0</v>
      </c>
      <c r="AI132" s="49">
        <f t="shared" si="281"/>
        <v>0</v>
      </c>
      <c r="AJ132" s="49">
        <f t="shared" si="282"/>
        <v>30046.517999999996</v>
      </c>
      <c r="AK132" s="49">
        <f t="shared" si="283"/>
        <v>0</v>
      </c>
      <c r="AL132" s="49">
        <f t="shared" si="284"/>
        <v>0</v>
      </c>
      <c r="AM132" s="49">
        <f t="shared" si="285"/>
        <v>26816.517315000001</v>
      </c>
      <c r="AN132" s="49">
        <f t="shared" si="286"/>
        <v>0</v>
      </c>
      <c r="AO132" s="49">
        <f t="shared" si="287"/>
        <v>0</v>
      </c>
      <c r="AP132" s="49">
        <f t="shared" si="288"/>
        <v>26816.517315000001</v>
      </c>
      <c r="AQ132" s="49">
        <f t="shared" si="289"/>
        <v>0</v>
      </c>
      <c r="AR132" s="49">
        <f t="shared" si="290"/>
        <v>0</v>
      </c>
      <c r="AS132" s="49">
        <f t="shared" si="291"/>
        <v>6009.3035999999993</v>
      </c>
      <c r="AT132" s="49">
        <f t="shared" si="292"/>
        <v>0</v>
      </c>
      <c r="AU132" s="49">
        <f t="shared" si="293"/>
        <v>0</v>
      </c>
      <c r="AV132" s="49">
        <f t="shared" si="294"/>
        <v>6009.3035999999993</v>
      </c>
      <c r="AW132" s="49">
        <f t="shared" si="295"/>
        <v>0</v>
      </c>
      <c r="AX132" s="49">
        <f t="shared" si="296"/>
        <v>0</v>
      </c>
      <c r="AY132" s="49">
        <f t="shared" si="297"/>
        <v>8012.4048000000003</v>
      </c>
      <c r="AZ132" s="49">
        <f t="shared" si="298"/>
        <v>0</v>
      </c>
      <c r="BA132" s="49">
        <f t="shared" si="299"/>
        <v>0</v>
      </c>
      <c r="BB132" s="49">
        <f t="shared" si="300"/>
        <v>8012.4048000000003</v>
      </c>
      <c r="BC132" s="49">
        <f t="shared" si="301"/>
        <v>0</v>
      </c>
      <c r="BD132" s="49">
        <f t="shared" si="302"/>
        <v>0</v>
      </c>
      <c r="BE132" s="49">
        <f t="shared" si="303"/>
        <v>79227.660212999996</v>
      </c>
      <c r="BF132" s="49">
        <f t="shared" si="304"/>
        <v>0</v>
      </c>
      <c r="BG132" s="49">
        <f t="shared" si="305"/>
        <v>0</v>
      </c>
      <c r="BH132" s="49">
        <f t="shared" si="306"/>
        <v>79227.660212999996</v>
      </c>
      <c r="BI132" s="49">
        <f t="shared" si="307"/>
        <v>0</v>
      </c>
      <c r="BJ132" s="49">
        <f t="shared" si="308"/>
        <v>0</v>
      </c>
      <c r="BK132" s="49">
        <f t="shared" si="309"/>
        <v>8342.9164979999987</v>
      </c>
      <c r="BL132" s="49">
        <f t="shared" si="310"/>
        <v>0</v>
      </c>
      <c r="BM132" s="49">
        <f t="shared" si="311"/>
        <v>0</v>
      </c>
      <c r="BN132" s="49">
        <f t="shared" si="312"/>
        <v>8342.9164979999987</v>
      </c>
      <c r="BO132" s="49">
        <f t="shared" si="313"/>
        <v>0</v>
      </c>
      <c r="BP132" s="49">
        <f t="shared" si="314"/>
        <v>0</v>
      </c>
      <c r="BQ132" s="49">
        <f t="shared" si="315"/>
        <v>30046.517999999996</v>
      </c>
      <c r="BR132" s="49">
        <f t="shared" si="316"/>
        <v>0</v>
      </c>
      <c r="BS132" s="49">
        <f t="shared" si="317"/>
        <v>0</v>
      </c>
      <c r="BT132" s="49">
        <f t="shared" si="318"/>
        <v>30046.517999999996</v>
      </c>
      <c r="BU132" s="49">
        <f t="shared" si="319"/>
        <v>0</v>
      </c>
      <c r="BV132" s="49">
        <f t="shared" si="320"/>
        <v>0</v>
      </c>
      <c r="BW132" s="49">
        <f t="shared" si="321"/>
        <v>26816.517315000001</v>
      </c>
      <c r="BX132" s="49">
        <f t="shared" si="322"/>
        <v>0</v>
      </c>
      <c r="BY132" s="49">
        <f t="shared" si="323"/>
        <v>0</v>
      </c>
      <c r="BZ132" s="49">
        <f t="shared" si="324"/>
        <v>26816.517315000001</v>
      </c>
      <c r="CA132" s="49">
        <f t="shared" si="325"/>
        <v>0</v>
      </c>
      <c r="CB132" s="49">
        <f t="shared" si="326"/>
        <v>0</v>
      </c>
      <c r="CC132" s="49">
        <f t="shared" si="327"/>
        <v>6009.3035999999993</v>
      </c>
      <c r="CD132" s="49">
        <f t="shared" si="328"/>
        <v>0</v>
      </c>
      <c r="CE132" s="49">
        <f t="shared" si="329"/>
        <v>0</v>
      </c>
      <c r="CF132" s="49">
        <f t="shared" si="330"/>
        <v>6009.3035999999993</v>
      </c>
      <c r="CG132" s="49">
        <f t="shared" si="331"/>
        <v>0</v>
      </c>
      <c r="CH132" s="49">
        <f t="shared" si="332"/>
        <v>0</v>
      </c>
      <c r="CI132" s="49">
        <f t="shared" si="333"/>
        <v>8012.4048000000003</v>
      </c>
      <c r="CJ132" s="49">
        <f t="shared" si="334"/>
        <v>0</v>
      </c>
      <c r="CK132" s="49">
        <f t="shared" si="335"/>
        <v>0</v>
      </c>
      <c r="CL132" s="49">
        <f t="shared" si="336"/>
        <v>8012.4048000000003</v>
      </c>
      <c r="CM132" s="49">
        <f t="shared" si="337"/>
        <v>0</v>
      </c>
      <c r="CN132" s="49">
        <f t="shared" si="338"/>
        <v>0</v>
      </c>
      <c r="CO132" s="49">
        <f t="shared" si="339"/>
        <v>79227.660212999996</v>
      </c>
      <c r="CP132" s="49">
        <f t="shared" si="340"/>
        <v>0</v>
      </c>
      <c r="CQ132" s="49">
        <f t="shared" si="341"/>
        <v>0</v>
      </c>
      <c r="CR132" s="81">
        <f t="shared" si="342"/>
        <v>79227.660212999996</v>
      </c>
      <c r="CS132" s="80">
        <f t="shared" si="343"/>
        <v>121082.459787</v>
      </c>
      <c r="CT132" s="54"/>
      <c r="CU132" s="3" t="str">
        <f t="shared" si="344"/>
        <v>ARS</v>
      </c>
      <c r="CV132" s="3">
        <f>VLOOKUP(CU132,DF:DG,2,0)</f>
        <v>6.9185169999999997E-4</v>
      </c>
      <c r="CW132" s="23">
        <f t="shared" si="345"/>
        <v>138.58489704920399</v>
      </c>
      <c r="CX132" s="23">
        <f t="shared" si="346"/>
        <v>5.7720609620993457</v>
      </c>
      <c r="CY132" s="23">
        <f t="shared" si="347"/>
        <v>20.787734557380595</v>
      </c>
      <c r="CZ132" s="23">
        <f t="shared" si="348"/>
        <v>18.553053092462186</v>
      </c>
      <c r="DA132" s="23">
        <f t="shared" si="349"/>
        <v>4.1575469114761194</v>
      </c>
      <c r="DB132" s="23">
        <f t="shared" si="350"/>
        <v>5.5433958819681601</v>
      </c>
      <c r="DC132" s="23">
        <f t="shared" si="351"/>
        <v>83.771105643817577</v>
      </c>
      <c r="DD132" s="34" t="str">
        <f>VLOOKUP(A132,'Billing Report'!H:I,2,FALSE)</f>
        <v>2035_sp_2026_streaming-hablemos-de-guita_feb_arg_alcance_cpm</v>
      </c>
      <c r="DE132" s="34"/>
      <c r="DF132" s="61"/>
      <c r="DG132" s="62"/>
      <c r="DH132"/>
      <c r="DI132" s="41"/>
      <c r="DJ132" s="41"/>
    </row>
    <row r="133" spans="1:114" ht="14.5" x14ac:dyDescent="0.35">
      <c r="A133" s="63">
        <v>40881181</v>
      </c>
      <c r="B133" s="3" t="s">
        <v>692</v>
      </c>
      <c r="C133" s="3">
        <v>322531401</v>
      </c>
      <c r="D133" s="3" t="s">
        <v>93</v>
      </c>
      <c r="G133" s="38">
        <v>100078.08</v>
      </c>
      <c r="J133" s="33">
        <f>VLOOKUP($B133,'IMS Commission List'!E:CE,79,0)/100</f>
        <v>0.15</v>
      </c>
      <c r="K133" s="79">
        <f t="shared" si="264"/>
        <v>100078.08</v>
      </c>
      <c r="L133" s="3" t="str">
        <f>VLOOKUP($B133,'IMS Commission List'!E:V,18,0)</f>
        <v>ARS</v>
      </c>
      <c r="M133" s="3">
        <v>1</v>
      </c>
      <c r="N133" s="3" t="str">
        <f>VLOOKUP($B133,'IMS Commission List'!E:T,16,0)</f>
        <v>MX</v>
      </c>
      <c r="O133" s="54">
        <f>VLOOKUP($B133,'IMS Commission List'!E:CF,80,0)</f>
        <v>4.9000000000000002E-2</v>
      </c>
      <c r="P133" s="54">
        <f>VLOOKUP($B133,'IMS Commission List'!E:CG,81,0)</f>
        <v>0.1575</v>
      </c>
      <c r="Q133" s="54">
        <f>VLOOKUP($B133,'IMS Commission List'!E:CP,90,0)</f>
        <v>0.03</v>
      </c>
      <c r="R133" s="54">
        <f>VLOOKUP($B133,'IMS Commission List'!E:CQ,91,0)</f>
        <v>0.04</v>
      </c>
      <c r="S133" s="47">
        <f t="shared" si="265"/>
        <v>0</v>
      </c>
      <c r="T133" s="48">
        <f t="shared" si="266"/>
        <v>0</v>
      </c>
      <c r="U133" s="48">
        <f t="shared" si="267"/>
        <v>100078.08</v>
      </c>
      <c r="V133" s="48">
        <f t="shared" si="268"/>
        <v>0</v>
      </c>
      <c r="W133" s="48">
        <f t="shared" si="269"/>
        <v>0</v>
      </c>
      <c r="X133" s="49">
        <f t="shared" si="270"/>
        <v>100078.08</v>
      </c>
      <c r="Y133" s="49">
        <f t="shared" si="271"/>
        <v>0</v>
      </c>
      <c r="Z133" s="49">
        <f t="shared" si="272"/>
        <v>0</v>
      </c>
      <c r="AA133" s="49">
        <f t="shared" si="273"/>
        <v>4168.2520320000003</v>
      </c>
      <c r="AB133" s="49">
        <f t="shared" si="274"/>
        <v>0</v>
      </c>
      <c r="AC133" s="49">
        <f t="shared" si="275"/>
        <v>0</v>
      </c>
      <c r="AD133" s="49">
        <f t="shared" si="276"/>
        <v>4168.2520320000003</v>
      </c>
      <c r="AE133" s="49">
        <f t="shared" si="277"/>
        <v>0</v>
      </c>
      <c r="AF133" s="49">
        <f t="shared" si="278"/>
        <v>0</v>
      </c>
      <c r="AG133" s="49">
        <f t="shared" si="279"/>
        <v>15011.712</v>
      </c>
      <c r="AH133" s="49">
        <f t="shared" si="280"/>
        <v>0</v>
      </c>
      <c r="AI133" s="49">
        <f t="shared" si="281"/>
        <v>0</v>
      </c>
      <c r="AJ133" s="49">
        <f t="shared" si="282"/>
        <v>15011.712</v>
      </c>
      <c r="AK133" s="49">
        <f t="shared" si="283"/>
        <v>0</v>
      </c>
      <c r="AL133" s="49">
        <f t="shared" si="284"/>
        <v>0</v>
      </c>
      <c r="AM133" s="49">
        <f t="shared" si="285"/>
        <v>13397.952959999999</v>
      </c>
      <c r="AN133" s="49">
        <f t="shared" si="286"/>
        <v>0</v>
      </c>
      <c r="AO133" s="49">
        <f t="shared" si="287"/>
        <v>0</v>
      </c>
      <c r="AP133" s="49">
        <f t="shared" si="288"/>
        <v>13397.952959999999</v>
      </c>
      <c r="AQ133" s="49">
        <f t="shared" si="289"/>
        <v>0</v>
      </c>
      <c r="AR133" s="49">
        <f t="shared" si="290"/>
        <v>0</v>
      </c>
      <c r="AS133" s="49">
        <f t="shared" si="291"/>
        <v>3002.3424</v>
      </c>
      <c r="AT133" s="49">
        <f t="shared" si="292"/>
        <v>0</v>
      </c>
      <c r="AU133" s="49">
        <f t="shared" si="293"/>
        <v>0</v>
      </c>
      <c r="AV133" s="49">
        <f t="shared" si="294"/>
        <v>3002.3424</v>
      </c>
      <c r="AW133" s="49">
        <f t="shared" si="295"/>
        <v>0</v>
      </c>
      <c r="AX133" s="49">
        <f t="shared" si="296"/>
        <v>0</v>
      </c>
      <c r="AY133" s="49">
        <f t="shared" si="297"/>
        <v>4003.1232</v>
      </c>
      <c r="AZ133" s="49">
        <f t="shared" si="298"/>
        <v>0</v>
      </c>
      <c r="BA133" s="49">
        <f t="shared" si="299"/>
        <v>0</v>
      </c>
      <c r="BB133" s="49">
        <f t="shared" si="300"/>
        <v>4003.1232</v>
      </c>
      <c r="BC133" s="49">
        <f t="shared" si="301"/>
        <v>0</v>
      </c>
      <c r="BD133" s="49">
        <f t="shared" si="302"/>
        <v>0</v>
      </c>
      <c r="BE133" s="49">
        <f t="shared" si="303"/>
        <v>39583.382592000002</v>
      </c>
      <c r="BF133" s="49">
        <f t="shared" si="304"/>
        <v>0</v>
      </c>
      <c r="BG133" s="49">
        <f t="shared" si="305"/>
        <v>0</v>
      </c>
      <c r="BH133" s="49">
        <f t="shared" si="306"/>
        <v>39583.382592000002</v>
      </c>
      <c r="BI133" s="49">
        <f t="shared" si="307"/>
        <v>0</v>
      </c>
      <c r="BJ133" s="49">
        <f t="shared" si="308"/>
        <v>0</v>
      </c>
      <c r="BK133" s="49">
        <f t="shared" si="309"/>
        <v>4168.2520320000003</v>
      </c>
      <c r="BL133" s="49">
        <f t="shared" si="310"/>
        <v>0</v>
      </c>
      <c r="BM133" s="49">
        <f t="shared" si="311"/>
        <v>0</v>
      </c>
      <c r="BN133" s="49">
        <f t="shared" si="312"/>
        <v>4168.2520320000003</v>
      </c>
      <c r="BO133" s="49">
        <f t="shared" si="313"/>
        <v>0</v>
      </c>
      <c r="BP133" s="49">
        <f t="shared" si="314"/>
        <v>0</v>
      </c>
      <c r="BQ133" s="49">
        <f t="shared" si="315"/>
        <v>15011.712</v>
      </c>
      <c r="BR133" s="49">
        <f t="shared" si="316"/>
        <v>0</v>
      </c>
      <c r="BS133" s="49">
        <f t="shared" si="317"/>
        <v>0</v>
      </c>
      <c r="BT133" s="49">
        <f t="shared" si="318"/>
        <v>15011.712</v>
      </c>
      <c r="BU133" s="49">
        <f t="shared" si="319"/>
        <v>0</v>
      </c>
      <c r="BV133" s="49">
        <f t="shared" si="320"/>
        <v>0</v>
      </c>
      <c r="BW133" s="49">
        <f t="shared" si="321"/>
        <v>13397.952959999999</v>
      </c>
      <c r="BX133" s="49">
        <f t="shared" si="322"/>
        <v>0</v>
      </c>
      <c r="BY133" s="49">
        <f t="shared" si="323"/>
        <v>0</v>
      </c>
      <c r="BZ133" s="49">
        <f t="shared" si="324"/>
        <v>13397.952959999999</v>
      </c>
      <c r="CA133" s="49">
        <f t="shared" si="325"/>
        <v>0</v>
      </c>
      <c r="CB133" s="49">
        <f t="shared" si="326"/>
        <v>0</v>
      </c>
      <c r="CC133" s="49">
        <f t="shared" si="327"/>
        <v>3002.3424</v>
      </c>
      <c r="CD133" s="49">
        <f t="shared" si="328"/>
        <v>0</v>
      </c>
      <c r="CE133" s="49">
        <f t="shared" si="329"/>
        <v>0</v>
      </c>
      <c r="CF133" s="49">
        <f t="shared" si="330"/>
        <v>3002.3424</v>
      </c>
      <c r="CG133" s="49">
        <f t="shared" si="331"/>
        <v>0</v>
      </c>
      <c r="CH133" s="49">
        <f t="shared" si="332"/>
        <v>0</v>
      </c>
      <c r="CI133" s="49">
        <f t="shared" si="333"/>
        <v>4003.1232</v>
      </c>
      <c r="CJ133" s="49">
        <f t="shared" si="334"/>
        <v>0</v>
      </c>
      <c r="CK133" s="49">
        <f t="shared" si="335"/>
        <v>0</v>
      </c>
      <c r="CL133" s="49">
        <f t="shared" si="336"/>
        <v>4003.1232</v>
      </c>
      <c r="CM133" s="49">
        <f t="shared" si="337"/>
        <v>0</v>
      </c>
      <c r="CN133" s="49">
        <f t="shared" si="338"/>
        <v>0</v>
      </c>
      <c r="CO133" s="49">
        <f t="shared" si="339"/>
        <v>39583.382592000002</v>
      </c>
      <c r="CP133" s="49">
        <f t="shared" si="340"/>
        <v>0</v>
      </c>
      <c r="CQ133" s="49">
        <f t="shared" si="341"/>
        <v>0</v>
      </c>
      <c r="CR133" s="81">
        <f t="shared" si="342"/>
        <v>39583.382592000002</v>
      </c>
      <c r="CS133" s="80">
        <f t="shared" si="343"/>
        <v>60494.697408</v>
      </c>
      <c r="CT133" s="54"/>
      <c r="CU133" s="3" t="str">
        <f t="shared" si="344"/>
        <v>ARS</v>
      </c>
      <c r="CV133" s="3">
        <f>VLOOKUP(CU133,DF:DG,2,0)</f>
        <v>6.9185169999999997E-4</v>
      </c>
      <c r="CW133" s="23">
        <f t="shared" si="345"/>
        <v>69.239189780735998</v>
      </c>
      <c r="CX133" s="23">
        <f t="shared" si="346"/>
        <v>2.8838122543676543</v>
      </c>
      <c r="CY133" s="23">
        <f t="shared" si="347"/>
        <v>10.3858784671104</v>
      </c>
      <c r="CZ133" s="23">
        <f t="shared" si="348"/>
        <v>9.2693965318960299</v>
      </c>
      <c r="DA133" s="23">
        <f t="shared" si="349"/>
        <v>2.0771756934220797</v>
      </c>
      <c r="DB133" s="23">
        <f t="shared" si="350"/>
        <v>2.76956759122944</v>
      </c>
      <c r="DC133" s="23">
        <f t="shared" si="351"/>
        <v>41.85335924271039</v>
      </c>
      <c r="DD133" s="34" t="str">
        <f>VLOOKUP(A133,'Billing Report'!H:I,2,FALSE)</f>
        <v>2035_sp_2026_spot-plazo-fijo-cuenta-dni_feb_arg_trafico_cpc</v>
      </c>
      <c r="DE133" s="34"/>
      <c r="DF133" s="61"/>
      <c r="DG133" s="62"/>
      <c r="DH133"/>
      <c r="DI133" s="41"/>
      <c r="DJ133" s="41"/>
    </row>
    <row r="134" spans="1:114" ht="14.5" x14ac:dyDescent="0.35">
      <c r="A134" s="63">
        <v>40881172</v>
      </c>
      <c r="B134" s="3" t="s">
        <v>692</v>
      </c>
      <c r="C134" s="3">
        <v>322531401</v>
      </c>
      <c r="D134" s="3" t="s">
        <v>93</v>
      </c>
      <c r="G134" s="38">
        <v>99993.63</v>
      </c>
      <c r="J134" s="33">
        <f>VLOOKUP($B134,'IMS Commission List'!E:CE,79,0)/100</f>
        <v>0.15</v>
      </c>
      <c r="K134" s="79">
        <f t="shared" si="264"/>
        <v>99993.63</v>
      </c>
      <c r="L134" s="3" t="str">
        <f>VLOOKUP($B134,'IMS Commission List'!E:V,18,0)</f>
        <v>ARS</v>
      </c>
      <c r="M134" s="3">
        <v>1</v>
      </c>
      <c r="N134" s="3" t="str">
        <f>VLOOKUP($B134,'IMS Commission List'!E:T,16,0)</f>
        <v>MX</v>
      </c>
      <c r="O134" s="54">
        <f>VLOOKUP($B134,'IMS Commission List'!E:CF,80,0)</f>
        <v>4.9000000000000002E-2</v>
      </c>
      <c r="P134" s="54">
        <f>VLOOKUP($B134,'IMS Commission List'!E:CG,81,0)</f>
        <v>0.1575</v>
      </c>
      <c r="Q134" s="54">
        <f>VLOOKUP($B134,'IMS Commission List'!E:CP,90,0)</f>
        <v>0.03</v>
      </c>
      <c r="R134" s="54">
        <f>VLOOKUP($B134,'IMS Commission List'!E:CQ,91,0)</f>
        <v>0.04</v>
      </c>
      <c r="S134" s="47">
        <f t="shared" si="265"/>
        <v>0</v>
      </c>
      <c r="T134" s="48">
        <f t="shared" si="266"/>
        <v>0</v>
      </c>
      <c r="U134" s="48">
        <f t="shared" si="267"/>
        <v>99993.63</v>
      </c>
      <c r="V134" s="48">
        <f t="shared" si="268"/>
        <v>0</v>
      </c>
      <c r="W134" s="48">
        <f t="shared" si="269"/>
        <v>0</v>
      </c>
      <c r="X134" s="49">
        <f t="shared" si="270"/>
        <v>99993.63</v>
      </c>
      <c r="Y134" s="49">
        <f t="shared" si="271"/>
        <v>0</v>
      </c>
      <c r="Z134" s="49">
        <f t="shared" si="272"/>
        <v>0</v>
      </c>
      <c r="AA134" s="49">
        <f t="shared" si="273"/>
        <v>4164.7346895000001</v>
      </c>
      <c r="AB134" s="49">
        <f t="shared" si="274"/>
        <v>0</v>
      </c>
      <c r="AC134" s="49">
        <f t="shared" si="275"/>
        <v>0</v>
      </c>
      <c r="AD134" s="49">
        <f t="shared" si="276"/>
        <v>4164.7346895000001</v>
      </c>
      <c r="AE134" s="49">
        <f t="shared" si="277"/>
        <v>0</v>
      </c>
      <c r="AF134" s="49">
        <f t="shared" si="278"/>
        <v>0</v>
      </c>
      <c r="AG134" s="49">
        <f t="shared" si="279"/>
        <v>14999.0445</v>
      </c>
      <c r="AH134" s="49">
        <f t="shared" si="280"/>
        <v>0</v>
      </c>
      <c r="AI134" s="49">
        <f t="shared" si="281"/>
        <v>0</v>
      </c>
      <c r="AJ134" s="49">
        <f t="shared" si="282"/>
        <v>14999.0445</v>
      </c>
      <c r="AK134" s="49">
        <f t="shared" si="283"/>
        <v>0</v>
      </c>
      <c r="AL134" s="49">
        <f t="shared" si="284"/>
        <v>0</v>
      </c>
      <c r="AM134" s="49">
        <f t="shared" si="285"/>
        <v>13386.647216250001</v>
      </c>
      <c r="AN134" s="49">
        <f t="shared" si="286"/>
        <v>0</v>
      </c>
      <c r="AO134" s="49">
        <f t="shared" si="287"/>
        <v>0</v>
      </c>
      <c r="AP134" s="49">
        <f t="shared" si="288"/>
        <v>13386.647216250001</v>
      </c>
      <c r="AQ134" s="49">
        <f t="shared" si="289"/>
        <v>0</v>
      </c>
      <c r="AR134" s="49">
        <f t="shared" si="290"/>
        <v>0</v>
      </c>
      <c r="AS134" s="49">
        <f t="shared" si="291"/>
        <v>2999.8089</v>
      </c>
      <c r="AT134" s="49">
        <f t="shared" si="292"/>
        <v>0</v>
      </c>
      <c r="AU134" s="49">
        <f t="shared" si="293"/>
        <v>0</v>
      </c>
      <c r="AV134" s="49">
        <f t="shared" si="294"/>
        <v>2999.8089</v>
      </c>
      <c r="AW134" s="49">
        <f t="shared" si="295"/>
        <v>0</v>
      </c>
      <c r="AX134" s="49">
        <f t="shared" si="296"/>
        <v>0</v>
      </c>
      <c r="AY134" s="49">
        <f t="shared" si="297"/>
        <v>3999.7452000000003</v>
      </c>
      <c r="AZ134" s="49">
        <f t="shared" si="298"/>
        <v>0</v>
      </c>
      <c r="BA134" s="49">
        <f t="shared" si="299"/>
        <v>0</v>
      </c>
      <c r="BB134" s="49">
        <f t="shared" si="300"/>
        <v>3999.7452000000003</v>
      </c>
      <c r="BC134" s="49">
        <f t="shared" si="301"/>
        <v>0</v>
      </c>
      <c r="BD134" s="49">
        <f t="shared" si="302"/>
        <v>0</v>
      </c>
      <c r="BE134" s="49">
        <f t="shared" si="303"/>
        <v>39549.980505749998</v>
      </c>
      <c r="BF134" s="49">
        <f t="shared" si="304"/>
        <v>0</v>
      </c>
      <c r="BG134" s="49">
        <f t="shared" si="305"/>
        <v>0</v>
      </c>
      <c r="BH134" s="49">
        <f t="shared" si="306"/>
        <v>39549.980505749998</v>
      </c>
      <c r="BI134" s="49">
        <f t="shared" si="307"/>
        <v>0</v>
      </c>
      <c r="BJ134" s="49">
        <f t="shared" si="308"/>
        <v>0</v>
      </c>
      <c r="BK134" s="49">
        <f t="shared" si="309"/>
        <v>4164.7346895000001</v>
      </c>
      <c r="BL134" s="49">
        <f t="shared" si="310"/>
        <v>0</v>
      </c>
      <c r="BM134" s="49">
        <f t="shared" si="311"/>
        <v>0</v>
      </c>
      <c r="BN134" s="49">
        <f t="shared" si="312"/>
        <v>4164.7346895000001</v>
      </c>
      <c r="BO134" s="49">
        <f t="shared" si="313"/>
        <v>0</v>
      </c>
      <c r="BP134" s="49">
        <f t="shared" si="314"/>
        <v>0</v>
      </c>
      <c r="BQ134" s="49">
        <f t="shared" si="315"/>
        <v>14999.0445</v>
      </c>
      <c r="BR134" s="49">
        <f t="shared" si="316"/>
        <v>0</v>
      </c>
      <c r="BS134" s="49">
        <f t="shared" si="317"/>
        <v>0</v>
      </c>
      <c r="BT134" s="49">
        <f t="shared" si="318"/>
        <v>14999.0445</v>
      </c>
      <c r="BU134" s="49">
        <f t="shared" si="319"/>
        <v>0</v>
      </c>
      <c r="BV134" s="49">
        <f t="shared" si="320"/>
        <v>0</v>
      </c>
      <c r="BW134" s="49">
        <f t="shared" si="321"/>
        <v>13386.647216250001</v>
      </c>
      <c r="BX134" s="49">
        <f t="shared" si="322"/>
        <v>0</v>
      </c>
      <c r="BY134" s="49">
        <f t="shared" si="323"/>
        <v>0</v>
      </c>
      <c r="BZ134" s="49">
        <f t="shared" si="324"/>
        <v>13386.647216250001</v>
      </c>
      <c r="CA134" s="49">
        <f t="shared" si="325"/>
        <v>0</v>
      </c>
      <c r="CB134" s="49">
        <f t="shared" si="326"/>
        <v>0</v>
      </c>
      <c r="CC134" s="49">
        <f t="shared" si="327"/>
        <v>2999.8089</v>
      </c>
      <c r="CD134" s="49">
        <f t="shared" si="328"/>
        <v>0</v>
      </c>
      <c r="CE134" s="49">
        <f t="shared" si="329"/>
        <v>0</v>
      </c>
      <c r="CF134" s="49">
        <f t="shared" si="330"/>
        <v>2999.8089</v>
      </c>
      <c r="CG134" s="49">
        <f t="shared" si="331"/>
        <v>0</v>
      </c>
      <c r="CH134" s="49">
        <f t="shared" si="332"/>
        <v>0</v>
      </c>
      <c r="CI134" s="49">
        <f t="shared" si="333"/>
        <v>3999.7452000000003</v>
      </c>
      <c r="CJ134" s="49">
        <f t="shared" si="334"/>
        <v>0</v>
      </c>
      <c r="CK134" s="49">
        <f t="shared" si="335"/>
        <v>0</v>
      </c>
      <c r="CL134" s="49">
        <f t="shared" si="336"/>
        <v>3999.7452000000003</v>
      </c>
      <c r="CM134" s="49">
        <f t="shared" si="337"/>
        <v>0</v>
      </c>
      <c r="CN134" s="49">
        <f t="shared" si="338"/>
        <v>0</v>
      </c>
      <c r="CO134" s="49">
        <f t="shared" si="339"/>
        <v>39549.980505749998</v>
      </c>
      <c r="CP134" s="49">
        <f t="shared" si="340"/>
        <v>0</v>
      </c>
      <c r="CQ134" s="49">
        <f t="shared" si="341"/>
        <v>0</v>
      </c>
      <c r="CR134" s="81">
        <f t="shared" si="342"/>
        <v>39549.980505749998</v>
      </c>
      <c r="CS134" s="80">
        <f t="shared" si="343"/>
        <v>60443.649494250007</v>
      </c>
      <c r="CT134" s="54"/>
      <c r="CU134" s="3" t="str">
        <f t="shared" si="344"/>
        <v>ARS</v>
      </c>
      <c r="CV134" s="3">
        <f>VLOOKUP(CU134,DF:DG,2,0)</f>
        <v>6.9185169999999997E-4</v>
      </c>
      <c r="CW134" s="23">
        <f t="shared" si="345"/>
        <v>69.180762904670999</v>
      </c>
      <c r="CX134" s="23">
        <f t="shared" si="346"/>
        <v>2.881378774979547</v>
      </c>
      <c r="CY134" s="23">
        <f t="shared" si="347"/>
        <v>10.37711443570065</v>
      </c>
      <c r="CZ134" s="23">
        <f t="shared" si="348"/>
        <v>9.2615746338628302</v>
      </c>
      <c r="DA134" s="23">
        <f t="shared" si="349"/>
        <v>2.0754228871401299</v>
      </c>
      <c r="DB134" s="23">
        <f t="shared" si="350"/>
        <v>2.76723051618684</v>
      </c>
      <c r="DC134" s="23">
        <f t="shared" si="351"/>
        <v>41.818041656801007</v>
      </c>
      <c r="DD134" s="34" t="str">
        <f>VLOOKUP(A134,'Billing Report'!H:I,2,FALSE)</f>
        <v>2035_sp_2026_plazo-fijo-cuenta-dni_feb_arg_trafico_cpc</v>
      </c>
      <c r="DE134" s="34"/>
      <c r="DF134" s="61"/>
      <c r="DG134" s="62"/>
      <c r="DH134"/>
      <c r="DI134" s="41"/>
      <c r="DJ134" s="41"/>
    </row>
    <row r="135" spans="1:114" ht="14.5" x14ac:dyDescent="0.35">
      <c r="A135" s="63">
        <v>40881162</v>
      </c>
      <c r="B135" s="3" t="s">
        <v>692</v>
      </c>
      <c r="C135" s="3">
        <v>322531401</v>
      </c>
      <c r="D135" s="3" t="s">
        <v>93</v>
      </c>
      <c r="G135" s="38">
        <v>150082.68000000002</v>
      </c>
      <c r="J135" s="33">
        <f>VLOOKUP($B135,'IMS Commission List'!E:CE,79,0)/100</f>
        <v>0.15</v>
      </c>
      <c r="K135" s="79">
        <f t="shared" ref="K135:K166" si="352">SUM(E135:I135)</f>
        <v>150082.68000000002</v>
      </c>
      <c r="L135" s="3" t="str">
        <f>VLOOKUP($B135,'IMS Commission List'!E:V,18,0)</f>
        <v>ARS</v>
      </c>
      <c r="M135" s="3">
        <v>1</v>
      </c>
      <c r="N135" s="3" t="str">
        <f>VLOOKUP($B135,'IMS Commission List'!E:T,16,0)</f>
        <v>MX</v>
      </c>
      <c r="O135" s="54">
        <f>VLOOKUP($B135,'IMS Commission List'!E:CF,80,0)</f>
        <v>4.9000000000000002E-2</v>
      </c>
      <c r="P135" s="54">
        <f>VLOOKUP($B135,'IMS Commission List'!E:CG,81,0)</f>
        <v>0.1575</v>
      </c>
      <c r="Q135" s="54">
        <f>VLOOKUP($B135,'IMS Commission List'!E:CP,90,0)</f>
        <v>0.03</v>
      </c>
      <c r="R135" s="54">
        <f>VLOOKUP($B135,'IMS Commission List'!E:CQ,91,0)</f>
        <v>0.04</v>
      </c>
      <c r="S135" s="47">
        <f t="shared" ref="S135:S166" si="353">$E135*$M135</f>
        <v>0</v>
      </c>
      <c r="T135" s="48">
        <f t="shared" ref="T135:T166" si="354">$F135*$M135</f>
        <v>0</v>
      </c>
      <c r="U135" s="48">
        <f t="shared" ref="U135:U166" si="355">$G135*$M135</f>
        <v>150082.68000000002</v>
      </c>
      <c r="V135" s="48">
        <f t="shared" ref="V135:V166" si="356">$H135*$M135</f>
        <v>0</v>
      </c>
      <c r="W135" s="48">
        <f t="shared" ref="W135:W166" si="357">$I135*$M135</f>
        <v>0</v>
      </c>
      <c r="X135" s="49">
        <f t="shared" ref="X135:X166" si="358">$K135*$M135</f>
        <v>150082.68000000002</v>
      </c>
      <c r="Y135" s="49">
        <f t="shared" ref="Y135:Y166" si="359">(S135*$O135)*(1-J135)</f>
        <v>0</v>
      </c>
      <c r="Z135" s="49">
        <f t="shared" ref="Z135:Z166" si="360">(T135*$O135)*(1-J135)</f>
        <v>0</v>
      </c>
      <c r="AA135" s="49">
        <f t="shared" ref="AA135:AA166" si="361">(U135*$O135)*(1-J135)</f>
        <v>6250.9436220000007</v>
      </c>
      <c r="AB135" s="49">
        <f t="shared" ref="AB135:AB166" si="362">(V135*$O135)*(1-J135)</f>
        <v>0</v>
      </c>
      <c r="AC135" s="49">
        <f t="shared" ref="AC135:AC166" si="363">(W135*$O135)*(1-J135)</f>
        <v>0</v>
      </c>
      <c r="AD135" s="49">
        <f t="shared" ref="AD135:AD166" si="364">SUM(Y135:AC135)</f>
        <v>6250.9436220000007</v>
      </c>
      <c r="AE135" s="49">
        <f t="shared" ref="AE135:AE166" si="365">S135*$J135</f>
        <v>0</v>
      </c>
      <c r="AF135" s="49">
        <f t="shared" ref="AF135:AF166" si="366">T135*$J135</f>
        <v>0</v>
      </c>
      <c r="AG135" s="49">
        <f t="shared" ref="AG135:AG166" si="367">U135*$J135</f>
        <v>22512.402000000002</v>
      </c>
      <c r="AH135" s="49">
        <f t="shared" ref="AH135:AH166" si="368">V135*$J135</f>
        <v>0</v>
      </c>
      <c r="AI135" s="49">
        <f t="shared" ref="AI135:AI166" si="369">W135*$J135</f>
        <v>0</v>
      </c>
      <c r="AJ135" s="49">
        <f t="shared" ref="AJ135:AJ166" si="370">SUM(AE135:AI135)</f>
        <v>22512.402000000002</v>
      </c>
      <c r="AK135" s="49">
        <f t="shared" ref="AK135:AK166" si="371">($P135*S135)*(1-$J135)</f>
        <v>0</v>
      </c>
      <c r="AL135" s="49">
        <f t="shared" ref="AL135:AL166" si="372">($P135*T135)*(1-$J135)</f>
        <v>0</v>
      </c>
      <c r="AM135" s="49">
        <f t="shared" ref="AM135:AM166" si="373">($P135*U135)*(1-$J135)</f>
        <v>20092.318784999999</v>
      </c>
      <c r="AN135" s="49">
        <f t="shared" ref="AN135:AN166" si="374">($P135*V135)*(1-$J135)</f>
        <v>0</v>
      </c>
      <c r="AO135" s="49">
        <f t="shared" ref="AO135:AO166" si="375">($P135*W135)*(1-$J135)</f>
        <v>0</v>
      </c>
      <c r="AP135" s="49">
        <f t="shared" ref="AP135:AP166" si="376">SUM(AK135:AO135)</f>
        <v>20092.318784999999</v>
      </c>
      <c r="AQ135" s="49">
        <f t="shared" ref="AQ135:AQ166" si="377">S135*$Q135</f>
        <v>0</v>
      </c>
      <c r="AR135" s="49">
        <f t="shared" ref="AR135:AR166" si="378">T135*$Q135</f>
        <v>0</v>
      </c>
      <c r="AS135" s="49">
        <f t="shared" ref="AS135:AS166" si="379">U135*$Q135</f>
        <v>4502.4804000000004</v>
      </c>
      <c r="AT135" s="49">
        <f t="shared" ref="AT135:AT166" si="380">V135*$Q135</f>
        <v>0</v>
      </c>
      <c r="AU135" s="49">
        <f t="shared" ref="AU135:AU166" si="381">W135*$Q135</f>
        <v>0</v>
      </c>
      <c r="AV135" s="49">
        <f t="shared" ref="AV135:AV166" si="382">SUM(AQ135:AU135)</f>
        <v>4502.4804000000004</v>
      </c>
      <c r="AW135" s="49">
        <f t="shared" ref="AW135:AW166" si="383">S135*$R135</f>
        <v>0</v>
      </c>
      <c r="AX135" s="49">
        <f t="shared" ref="AX135:AX166" si="384">T135*$R135</f>
        <v>0</v>
      </c>
      <c r="AY135" s="49">
        <f t="shared" ref="AY135:AY166" si="385">U135*$R135</f>
        <v>6003.3072000000011</v>
      </c>
      <c r="AZ135" s="49">
        <f t="shared" ref="AZ135:AZ166" si="386">V135*$R135</f>
        <v>0</v>
      </c>
      <c r="BA135" s="49">
        <f t="shared" ref="BA135:BA166" si="387">W135*$R135</f>
        <v>0</v>
      </c>
      <c r="BB135" s="49">
        <f t="shared" ref="BB135:BB166" si="388">SUM(AW135:BA135)</f>
        <v>6003.3072000000011</v>
      </c>
      <c r="BC135" s="49">
        <f t="shared" ref="BC135:BC166" si="389">$Y135+$AE135+$AK135+$AQ135+AW135</f>
        <v>0</v>
      </c>
      <c r="BD135" s="49">
        <f t="shared" ref="BD135:BD166" si="390">$Z135+$AF135+$AL135+AR135+AX135</f>
        <v>0</v>
      </c>
      <c r="BE135" s="49">
        <f t="shared" ref="BE135:BE166" si="391">$AA135+$AG135+$AM135+AS135+AY135</f>
        <v>59361.452007000007</v>
      </c>
      <c r="BF135" s="49">
        <f t="shared" ref="BF135:BF166" si="392">$AB135+$AH135+$AN135+AT135+AZ135</f>
        <v>0</v>
      </c>
      <c r="BG135" s="49">
        <f t="shared" ref="BG135:BG166" si="393">$AC135+$AI135+$AO135+AU135+BA135</f>
        <v>0</v>
      </c>
      <c r="BH135" s="49">
        <f t="shared" ref="BH135:BH166" si="394">SUM(BC135:BG135)</f>
        <v>59361.452007000007</v>
      </c>
      <c r="BI135" s="49">
        <f t="shared" ref="BI135:BI166" si="395">$Y135/$M135</f>
        <v>0</v>
      </c>
      <c r="BJ135" s="49">
        <f t="shared" ref="BJ135:BJ166" si="396">$Z135/$M135</f>
        <v>0</v>
      </c>
      <c r="BK135" s="49">
        <f t="shared" ref="BK135:BK166" si="397">$AA135/$M135</f>
        <v>6250.9436220000007</v>
      </c>
      <c r="BL135" s="49">
        <f t="shared" ref="BL135:BL166" si="398">$AB135/$M135</f>
        <v>0</v>
      </c>
      <c r="BM135" s="49">
        <f t="shared" ref="BM135:BM166" si="399">$AC135/$M135</f>
        <v>0</v>
      </c>
      <c r="BN135" s="49">
        <f t="shared" ref="BN135:BN166" si="400">$AD135/$M135</f>
        <v>6250.9436220000007</v>
      </c>
      <c r="BO135" s="49">
        <f t="shared" ref="BO135:BO166" si="401">$AE135/$M135</f>
        <v>0</v>
      </c>
      <c r="BP135" s="49">
        <f t="shared" ref="BP135:BP166" si="402">$AF135/$M135</f>
        <v>0</v>
      </c>
      <c r="BQ135" s="49">
        <f t="shared" ref="BQ135:BQ166" si="403">$AG135/$M135</f>
        <v>22512.402000000002</v>
      </c>
      <c r="BR135" s="49">
        <f t="shared" ref="BR135:BR166" si="404">$AH135/$M135</f>
        <v>0</v>
      </c>
      <c r="BS135" s="49">
        <f t="shared" ref="BS135:BS166" si="405">$AI135/$M135</f>
        <v>0</v>
      </c>
      <c r="BT135" s="49">
        <f t="shared" ref="BT135:BT166" si="406">$AJ135/$M135</f>
        <v>22512.402000000002</v>
      </c>
      <c r="BU135" s="49">
        <f t="shared" ref="BU135:BU166" si="407">$AK135/$M135</f>
        <v>0</v>
      </c>
      <c r="BV135" s="49">
        <f t="shared" ref="BV135:BV166" si="408">$AL135/$M135</f>
        <v>0</v>
      </c>
      <c r="BW135" s="49">
        <f t="shared" ref="BW135:BW166" si="409">$AM135/$M135</f>
        <v>20092.318784999999</v>
      </c>
      <c r="BX135" s="49">
        <f t="shared" ref="BX135:BX166" si="410">$AN135/$M135</f>
        <v>0</v>
      </c>
      <c r="BY135" s="49">
        <f t="shared" ref="BY135:BY166" si="411">$AO135/$M135</f>
        <v>0</v>
      </c>
      <c r="BZ135" s="49">
        <f t="shared" ref="BZ135:BZ166" si="412">$AP135/$M135</f>
        <v>20092.318784999999</v>
      </c>
      <c r="CA135" s="49">
        <f t="shared" ref="CA135:CA166" si="413">AQ135/$M135</f>
        <v>0</v>
      </c>
      <c r="CB135" s="49">
        <f t="shared" ref="CB135:CB166" si="414">AR135/$M135</f>
        <v>0</v>
      </c>
      <c r="CC135" s="49">
        <f t="shared" ref="CC135:CC166" si="415">AS135/$M135</f>
        <v>4502.4804000000004</v>
      </c>
      <c r="CD135" s="49">
        <f t="shared" ref="CD135:CD166" si="416">AT135/$M135</f>
        <v>0</v>
      </c>
      <c r="CE135" s="49">
        <f t="shared" ref="CE135:CE166" si="417">AU135/$M135</f>
        <v>0</v>
      </c>
      <c r="CF135" s="49">
        <f t="shared" ref="CF135:CF166" si="418">AV135/$M135</f>
        <v>4502.4804000000004</v>
      </c>
      <c r="CG135" s="49">
        <f t="shared" ref="CG135:CG166" si="419">AW135/$M135</f>
        <v>0</v>
      </c>
      <c r="CH135" s="49">
        <f t="shared" ref="CH135:CH166" si="420">AX135/$M135</f>
        <v>0</v>
      </c>
      <c r="CI135" s="49">
        <f t="shared" ref="CI135:CI166" si="421">AY135/$M135</f>
        <v>6003.3072000000011</v>
      </c>
      <c r="CJ135" s="49">
        <f t="shared" ref="CJ135:CJ166" si="422">AZ135/$M135</f>
        <v>0</v>
      </c>
      <c r="CK135" s="49">
        <f t="shared" ref="CK135:CK166" si="423">BA135/$M135</f>
        <v>0</v>
      </c>
      <c r="CL135" s="49">
        <f t="shared" ref="CL135:CL166" si="424">BB135/$M135</f>
        <v>6003.3072000000011</v>
      </c>
      <c r="CM135" s="49">
        <f t="shared" ref="CM135:CM166" si="425">$BC135/$M135</f>
        <v>0</v>
      </c>
      <c r="CN135" s="49">
        <f t="shared" ref="CN135:CN166" si="426">$BD135/$M135</f>
        <v>0</v>
      </c>
      <c r="CO135" s="49">
        <f t="shared" ref="CO135:CO166" si="427">$BE135/$M135</f>
        <v>59361.452007000007</v>
      </c>
      <c r="CP135" s="49">
        <f t="shared" ref="CP135:CP166" si="428">$BF135/$M135</f>
        <v>0</v>
      </c>
      <c r="CQ135" s="49">
        <f t="shared" ref="CQ135:CQ166" si="429">$BG135/$M135</f>
        <v>0</v>
      </c>
      <c r="CR135" s="81">
        <f t="shared" ref="CR135:CR166" si="430">SUM(CM135:CQ135)</f>
        <v>59361.452007000007</v>
      </c>
      <c r="CS135" s="80">
        <f t="shared" ref="CS135:CS166" si="431">K135-CR135</f>
        <v>90721.227993000008</v>
      </c>
      <c r="CT135" s="54"/>
      <c r="CU135" s="3" t="str">
        <f t="shared" ref="CU135:CU166" si="432">D135</f>
        <v>ARS</v>
      </c>
      <c r="CV135" s="3">
        <f>VLOOKUP(CU135,DF:DG,2,0)</f>
        <v>6.9185169999999997E-4</v>
      </c>
      <c r="CW135" s="23">
        <f t="shared" ref="CW135:CW166" si="433">K135*CV135</f>
        <v>103.83495729855601</v>
      </c>
      <c r="CX135" s="23">
        <f t="shared" ref="CX135:CX166" si="434">BN135*CV135</f>
        <v>4.3247259714848578</v>
      </c>
      <c r="CY135" s="23">
        <f t="shared" ref="CY135:CY166" si="435">BT135*CV135</f>
        <v>15.5752435947834</v>
      </c>
      <c r="CZ135" s="23">
        <f t="shared" ref="CZ135:CZ166" si="436">BZ135*CV135</f>
        <v>13.900904908344183</v>
      </c>
      <c r="DA135" s="23">
        <f t="shared" ref="DA135:DA166" si="437">CF135*CV135</f>
        <v>3.1150487189566802</v>
      </c>
      <c r="DB135" s="23">
        <f t="shared" ref="DB135:DB166" si="438">CL135*CV135</f>
        <v>4.1533982919422403</v>
      </c>
      <c r="DC135" s="23">
        <f t="shared" ref="DC135:DC166" si="439">CS135*CV135</f>
        <v>62.765635813044639</v>
      </c>
      <c r="DD135" s="34" t="str">
        <f>VLOOKUP(A135,'Billing Report'!H:I,2,FALSE)</f>
        <v>2035_sp_2026_spot-plazo-fijo-cuenta-dni_feb_arg_alcance_cpm</v>
      </c>
      <c r="DE135" s="34"/>
      <c r="DF135" s="61"/>
      <c r="DG135" s="62"/>
      <c r="DH135"/>
      <c r="DI135" s="41"/>
      <c r="DJ135" s="41"/>
    </row>
    <row r="136" spans="1:114" ht="14.5" x14ac:dyDescent="0.35">
      <c r="A136" s="63">
        <v>40881149</v>
      </c>
      <c r="B136" s="3" t="s">
        <v>692</v>
      </c>
      <c r="C136" s="3">
        <v>322531401</v>
      </c>
      <c r="D136" s="3" t="s">
        <v>93</v>
      </c>
      <c r="G136" s="38">
        <v>150057.48000000001</v>
      </c>
      <c r="J136" s="33">
        <f>VLOOKUP($B136,'IMS Commission List'!E:CE,79,0)/100</f>
        <v>0.15</v>
      </c>
      <c r="K136" s="79">
        <f t="shared" si="352"/>
        <v>150057.48000000001</v>
      </c>
      <c r="L136" s="3" t="str">
        <f>VLOOKUP($B136,'IMS Commission List'!E:V,18,0)</f>
        <v>ARS</v>
      </c>
      <c r="M136" s="3">
        <v>1</v>
      </c>
      <c r="N136" s="3" t="str">
        <f>VLOOKUP($B136,'IMS Commission List'!E:T,16,0)</f>
        <v>MX</v>
      </c>
      <c r="O136" s="54">
        <f>VLOOKUP($B136,'IMS Commission List'!E:CF,80,0)</f>
        <v>4.9000000000000002E-2</v>
      </c>
      <c r="P136" s="54">
        <f>VLOOKUP($B136,'IMS Commission List'!E:CG,81,0)</f>
        <v>0.1575</v>
      </c>
      <c r="Q136" s="54">
        <f>VLOOKUP($B136,'IMS Commission List'!E:CP,90,0)</f>
        <v>0.03</v>
      </c>
      <c r="R136" s="54">
        <f>VLOOKUP($B136,'IMS Commission List'!E:CQ,91,0)</f>
        <v>0.04</v>
      </c>
      <c r="S136" s="47">
        <f t="shared" si="353"/>
        <v>0</v>
      </c>
      <c r="T136" s="48">
        <f t="shared" si="354"/>
        <v>0</v>
      </c>
      <c r="U136" s="48">
        <f t="shared" si="355"/>
        <v>150057.48000000001</v>
      </c>
      <c r="V136" s="48">
        <f t="shared" si="356"/>
        <v>0</v>
      </c>
      <c r="W136" s="48">
        <f t="shared" si="357"/>
        <v>0</v>
      </c>
      <c r="X136" s="49">
        <f t="shared" si="358"/>
        <v>150057.48000000001</v>
      </c>
      <c r="Y136" s="49">
        <f t="shared" si="359"/>
        <v>0</v>
      </c>
      <c r="Z136" s="49">
        <f t="shared" si="360"/>
        <v>0</v>
      </c>
      <c r="AA136" s="49">
        <f t="shared" si="361"/>
        <v>6249.8940420000008</v>
      </c>
      <c r="AB136" s="49">
        <f t="shared" si="362"/>
        <v>0</v>
      </c>
      <c r="AC136" s="49">
        <f t="shared" si="363"/>
        <v>0</v>
      </c>
      <c r="AD136" s="49">
        <f t="shared" si="364"/>
        <v>6249.8940420000008</v>
      </c>
      <c r="AE136" s="49">
        <f t="shared" si="365"/>
        <v>0</v>
      </c>
      <c r="AF136" s="49">
        <f t="shared" si="366"/>
        <v>0</v>
      </c>
      <c r="AG136" s="49">
        <f t="shared" si="367"/>
        <v>22508.621999999999</v>
      </c>
      <c r="AH136" s="49">
        <f t="shared" si="368"/>
        <v>0</v>
      </c>
      <c r="AI136" s="49">
        <f t="shared" si="369"/>
        <v>0</v>
      </c>
      <c r="AJ136" s="49">
        <f t="shared" si="370"/>
        <v>22508.621999999999</v>
      </c>
      <c r="AK136" s="49">
        <f t="shared" si="371"/>
        <v>0</v>
      </c>
      <c r="AL136" s="49">
        <f t="shared" si="372"/>
        <v>0</v>
      </c>
      <c r="AM136" s="49">
        <f t="shared" si="373"/>
        <v>20088.945135000002</v>
      </c>
      <c r="AN136" s="49">
        <f t="shared" si="374"/>
        <v>0</v>
      </c>
      <c r="AO136" s="49">
        <f t="shared" si="375"/>
        <v>0</v>
      </c>
      <c r="AP136" s="49">
        <f t="shared" si="376"/>
        <v>20088.945135000002</v>
      </c>
      <c r="AQ136" s="49">
        <f t="shared" si="377"/>
        <v>0</v>
      </c>
      <c r="AR136" s="49">
        <f t="shared" si="378"/>
        <v>0</v>
      </c>
      <c r="AS136" s="49">
        <f t="shared" si="379"/>
        <v>4501.7244000000001</v>
      </c>
      <c r="AT136" s="49">
        <f t="shared" si="380"/>
        <v>0</v>
      </c>
      <c r="AU136" s="49">
        <f t="shared" si="381"/>
        <v>0</v>
      </c>
      <c r="AV136" s="49">
        <f t="shared" si="382"/>
        <v>4501.7244000000001</v>
      </c>
      <c r="AW136" s="49">
        <f t="shared" si="383"/>
        <v>0</v>
      </c>
      <c r="AX136" s="49">
        <f t="shared" si="384"/>
        <v>0</v>
      </c>
      <c r="AY136" s="49">
        <f t="shared" si="385"/>
        <v>6002.2992000000004</v>
      </c>
      <c r="AZ136" s="49">
        <f t="shared" si="386"/>
        <v>0</v>
      </c>
      <c r="BA136" s="49">
        <f t="shared" si="387"/>
        <v>0</v>
      </c>
      <c r="BB136" s="49">
        <f t="shared" si="388"/>
        <v>6002.2992000000004</v>
      </c>
      <c r="BC136" s="49">
        <f t="shared" si="389"/>
        <v>0</v>
      </c>
      <c r="BD136" s="49">
        <f t="shared" si="390"/>
        <v>0</v>
      </c>
      <c r="BE136" s="49">
        <f t="shared" si="391"/>
        <v>59351.484777000005</v>
      </c>
      <c r="BF136" s="49">
        <f t="shared" si="392"/>
        <v>0</v>
      </c>
      <c r="BG136" s="49">
        <f t="shared" si="393"/>
        <v>0</v>
      </c>
      <c r="BH136" s="49">
        <f t="shared" si="394"/>
        <v>59351.484777000005</v>
      </c>
      <c r="BI136" s="49">
        <f t="shared" si="395"/>
        <v>0</v>
      </c>
      <c r="BJ136" s="49">
        <f t="shared" si="396"/>
        <v>0</v>
      </c>
      <c r="BK136" s="49">
        <f t="shared" si="397"/>
        <v>6249.8940420000008</v>
      </c>
      <c r="BL136" s="49">
        <f t="shared" si="398"/>
        <v>0</v>
      </c>
      <c r="BM136" s="49">
        <f t="shared" si="399"/>
        <v>0</v>
      </c>
      <c r="BN136" s="49">
        <f t="shared" si="400"/>
        <v>6249.8940420000008</v>
      </c>
      <c r="BO136" s="49">
        <f t="shared" si="401"/>
        <v>0</v>
      </c>
      <c r="BP136" s="49">
        <f t="shared" si="402"/>
        <v>0</v>
      </c>
      <c r="BQ136" s="49">
        <f t="shared" si="403"/>
        <v>22508.621999999999</v>
      </c>
      <c r="BR136" s="49">
        <f t="shared" si="404"/>
        <v>0</v>
      </c>
      <c r="BS136" s="49">
        <f t="shared" si="405"/>
        <v>0</v>
      </c>
      <c r="BT136" s="49">
        <f t="shared" si="406"/>
        <v>22508.621999999999</v>
      </c>
      <c r="BU136" s="49">
        <f t="shared" si="407"/>
        <v>0</v>
      </c>
      <c r="BV136" s="49">
        <f t="shared" si="408"/>
        <v>0</v>
      </c>
      <c r="BW136" s="49">
        <f t="shared" si="409"/>
        <v>20088.945135000002</v>
      </c>
      <c r="BX136" s="49">
        <f t="shared" si="410"/>
        <v>0</v>
      </c>
      <c r="BY136" s="49">
        <f t="shared" si="411"/>
        <v>0</v>
      </c>
      <c r="BZ136" s="49">
        <f t="shared" si="412"/>
        <v>20088.945135000002</v>
      </c>
      <c r="CA136" s="49">
        <f t="shared" si="413"/>
        <v>0</v>
      </c>
      <c r="CB136" s="49">
        <f t="shared" si="414"/>
        <v>0</v>
      </c>
      <c r="CC136" s="49">
        <f t="shared" si="415"/>
        <v>4501.7244000000001</v>
      </c>
      <c r="CD136" s="49">
        <f t="shared" si="416"/>
        <v>0</v>
      </c>
      <c r="CE136" s="49">
        <f t="shared" si="417"/>
        <v>0</v>
      </c>
      <c r="CF136" s="49">
        <f t="shared" si="418"/>
        <v>4501.7244000000001</v>
      </c>
      <c r="CG136" s="49">
        <f t="shared" si="419"/>
        <v>0</v>
      </c>
      <c r="CH136" s="49">
        <f t="shared" si="420"/>
        <v>0</v>
      </c>
      <c r="CI136" s="49">
        <f t="shared" si="421"/>
        <v>6002.2992000000004</v>
      </c>
      <c r="CJ136" s="49">
        <f t="shared" si="422"/>
        <v>0</v>
      </c>
      <c r="CK136" s="49">
        <f t="shared" si="423"/>
        <v>0</v>
      </c>
      <c r="CL136" s="49">
        <f t="shared" si="424"/>
        <v>6002.2992000000004</v>
      </c>
      <c r="CM136" s="49">
        <f t="shared" si="425"/>
        <v>0</v>
      </c>
      <c r="CN136" s="49">
        <f t="shared" si="426"/>
        <v>0</v>
      </c>
      <c r="CO136" s="49">
        <f t="shared" si="427"/>
        <v>59351.484777000005</v>
      </c>
      <c r="CP136" s="49">
        <f t="shared" si="428"/>
        <v>0</v>
      </c>
      <c r="CQ136" s="49">
        <f t="shared" si="429"/>
        <v>0</v>
      </c>
      <c r="CR136" s="81">
        <f t="shared" si="430"/>
        <v>59351.484777000005</v>
      </c>
      <c r="CS136" s="80">
        <f t="shared" si="431"/>
        <v>90705.995223000005</v>
      </c>
      <c r="CT136" s="54"/>
      <c r="CU136" s="3" t="str">
        <f t="shared" si="432"/>
        <v>ARS</v>
      </c>
      <c r="CV136" s="3">
        <f>VLOOKUP(CU136,DF:DG,2,0)</f>
        <v>6.9185169999999997E-4</v>
      </c>
      <c r="CW136" s="23">
        <f t="shared" si="433"/>
        <v>103.817522635716</v>
      </c>
      <c r="CX136" s="23">
        <f t="shared" si="434"/>
        <v>4.3239998177775716</v>
      </c>
      <c r="CY136" s="23">
        <f t="shared" si="435"/>
        <v>15.572628395357398</v>
      </c>
      <c r="CZ136" s="23">
        <f t="shared" si="436"/>
        <v>13.898570842856481</v>
      </c>
      <c r="DA136" s="23">
        <f t="shared" si="437"/>
        <v>3.1145256790714799</v>
      </c>
      <c r="DB136" s="23">
        <f t="shared" si="438"/>
        <v>4.1527009054286399</v>
      </c>
      <c r="DC136" s="23">
        <f t="shared" si="439"/>
        <v>62.755096995224427</v>
      </c>
      <c r="DD136" s="34" t="str">
        <f>VLOOKUP(A136,'Billing Report'!H:I,2,FALSE)</f>
        <v>2035_sp_2026_plazo-fijo-cuenta-dni_feb_arg_alcance_cpm</v>
      </c>
      <c r="DE136" s="34"/>
      <c r="DF136" s="61"/>
      <c r="DG136" s="62"/>
      <c r="DH136"/>
      <c r="DI136" s="41"/>
      <c r="DJ136" s="41"/>
    </row>
    <row r="137" spans="1:114" ht="14.5" x14ac:dyDescent="0.35">
      <c r="A137" s="63">
        <v>40823097</v>
      </c>
      <c r="B137" s="3" t="s">
        <v>694</v>
      </c>
      <c r="C137" s="3">
        <v>322534501</v>
      </c>
      <c r="D137" s="3" t="s">
        <v>93</v>
      </c>
      <c r="G137" s="38">
        <v>8088113.9100000001</v>
      </c>
      <c r="J137" s="33">
        <f>VLOOKUP($B137,'IMS Commission List'!E:CE,79,0)/100</f>
        <v>0.08</v>
      </c>
      <c r="K137" s="79">
        <f t="shared" si="352"/>
        <v>8088113.9100000001</v>
      </c>
      <c r="L137" s="3" t="str">
        <f>VLOOKUP($B137,'IMS Commission List'!E:V,18,0)</f>
        <v>ARS</v>
      </c>
      <c r="M137" s="3">
        <v>1</v>
      </c>
      <c r="N137" s="3" t="str">
        <f>VLOOKUP($B137,'IMS Commission List'!E:T,16,0)</f>
        <v>MX</v>
      </c>
      <c r="O137" s="54">
        <f>VLOOKUP($B137,'IMS Commission List'!E:CF,80,0)</f>
        <v>4.9000000000000002E-2</v>
      </c>
      <c r="P137" s="54">
        <f>VLOOKUP($B137,'IMS Commission List'!E:CG,81,0)</f>
        <v>0.1575</v>
      </c>
      <c r="Q137" s="54">
        <f>VLOOKUP($B137,'IMS Commission List'!E:CP,90,0)</f>
        <v>0.03</v>
      </c>
      <c r="R137" s="54">
        <f>VLOOKUP($B137,'IMS Commission List'!E:CQ,91,0)</f>
        <v>0.04</v>
      </c>
      <c r="S137" s="47">
        <f t="shared" si="353"/>
        <v>0</v>
      </c>
      <c r="T137" s="48">
        <f t="shared" si="354"/>
        <v>0</v>
      </c>
      <c r="U137" s="48">
        <f t="shared" si="355"/>
        <v>8088113.9100000001</v>
      </c>
      <c r="V137" s="48">
        <f t="shared" si="356"/>
        <v>0</v>
      </c>
      <c r="W137" s="48">
        <f t="shared" si="357"/>
        <v>0</v>
      </c>
      <c r="X137" s="49">
        <f t="shared" si="358"/>
        <v>8088113.9100000001</v>
      </c>
      <c r="Y137" s="49">
        <f t="shared" si="359"/>
        <v>0</v>
      </c>
      <c r="Z137" s="49">
        <f t="shared" si="360"/>
        <v>0</v>
      </c>
      <c r="AA137" s="49">
        <f t="shared" si="361"/>
        <v>364612.17506280006</v>
      </c>
      <c r="AB137" s="49">
        <f t="shared" si="362"/>
        <v>0</v>
      </c>
      <c r="AC137" s="49">
        <f t="shared" si="363"/>
        <v>0</v>
      </c>
      <c r="AD137" s="49">
        <f t="shared" si="364"/>
        <v>364612.17506280006</v>
      </c>
      <c r="AE137" s="49">
        <f t="shared" si="365"/>
        <v>0</v>
      </c>
      <c r="AF137" s="49">
        <f t="shared" si="366"/>
        <v>0</v>
      </c>
      <c r="AG137" s="49">
        <f t="shared" si="367"/>
        <v>647049.1128</v>
      </c>
      <c r="AH137" s="49">
        <f t="shared" si="368"/>
        <v>0</v>
      </c>
      <c r="AI137" s="49">
        <f t="shared" si="369"/>
        <v>0</v>
      </c>
      <c r="AJ137" s="49">
        <f t="shared" si="370"/>
        <v>647049.1128</v>
      </c>
      <c r="AK137" s="49">
        <f t="shared" si="371"/>
        <v>0</v>
      </c>
      <c r="AL137" s="49">
        <f t="shared" si="372"/>
        <v>0</v>
      </c>
      <c r="AM137" s="49">
        <f t="shared" si="373"/>
        <v>1171967.7055589999</v>
      </c>
      <c r="AN137" s="49">
        <f t="shared" si="374"/>
        <v>0</v>
      </c>
      <c r="AO137" s="49">
        <f t="shared" si="375"/>
        <v>0</v>
      </c>
      <c r="AP137" s="49">
        <f t="shared" si="376"/>
        <v>1171967.7055589999</v>
      </c>
      <c r="AQ137" s="49">
        <f t="shared" si="377"/>
        <v>0</v>
      </c>
      <c r="AR137" s="49">
        <f t="shared" si="378"/>
        <v>0</v>
      </c>
      <c r="AS137" s="49">
        <f t="shared" si="379"/>
        <v>242643.4173</v>
      </c>
      <c r="AT137" s="49">
        <f t="shared" si="380"/>
        <v>0</v>
      </c>
      <c r="AU137" s="49">
        <f t="shared" si="381"/>
        <v>0</v>
      </c>
      <c r="AV137" s="49">
        <f t="shared" si="382"/>
        <v>242643.4173</v>
      </c>
      <c r="AW137" s="49">
        <f t="shared" si="383"/>
        <v>0</v>
      </c>
      <c r="AX137" s="49">
        <f t="shared" si="384"/>
        <v>0</v>
      </c>
      <c r="AY137" s="49">
        <f t="shared" si="385"/>
        <v>323524.5564</v>
      </c>
      <c r="AZ137" s="49">
        <f t="shared" si="386"/>
        <v>0</v>
      </c>
      <c r="BA137" s="49">
        <f t="shared" si="387"/>
        <v>0</v>
      </c>
      <c r="BB137" s="49">
        <f t="shared" si="388"/>
        <v>323524.5564</v>
      </c>
      <c r="BC137" s="49">
        <f t="shared" si="389"/>
        <v>0</v>
      </c>
      <c r="BD137" s="49">
        <f t="shared" si="390"/>
        <v>0</v>
      </c>
      <c r="BE137" s="49">
        <f t="shared" si="391"/>
        <v>2749796.9671217999</v>
      </c>
      <c r="BF137" s="49">
        <f t="shared" si="392"/>
        <v>0</v>
      </c>
      <c r="BG137" s="49">
        <f t="shared" si="393"/>
        <v>0</v>
      </c>
      <c r="BH137" s="49">
        <f t="shared" si="394"/>
        <v>2749796.9671217999</v>
      </c>
      <c r="BI137" s="49">
        <f t="shared" si="395"/>
        <v>0</v>
      </c>
      <c r="BJ137" s="49">
        <f t="shared" si="396"/>
        <v>0</v>
      </c>
      <c r="BK137" s="49">
        <f t="shared" si="397"/>
        <v>364612.17506280006</v>
      </c>
      <c r="BL137" s="49">
        <f t="shared" si="398"/>
        <v>0</v>
      </c>
      <c r="BM137" s="49">
        <f t="shared" si="399"/>
        <v>0</v>
      </c>
      <c r="BN137" s="49">
        <f t="shared" si="400"/>
        <v>364612.17506280006</v>
      </c>
      <c r="BO137" s="49">
        <f t="shared" si="401"/>
        <v>0</v>
      </c>
      <c r="BP137" s="49">
        <f t="shared" si="402"/>
        <v>0</v>
      </c>
      <c r="BQ137" s="49">
        <f t="shared" si="403"/>
        <v>647049.1128</v>
      </c>
      <c r="BR137" s="49">
        <f t="shared" si="404"/>
        <v>0</v>
      </c>
      <c r="BS137" s="49">
        <f t="shared" si="405"/>
        <v>0</v>
      </c>
      <c r="BT137" s="49">
        <f t="shared" si="406"/>
        <v>647049.1128</v>
      </c>
      <c r="BU137" s="49">
        <f t="shared" si="407"/>
        <v>0</v>
      </c>
      <c r="BV137" s="49">
        <f t="shared" si="408"/>
        <v>0</v>
      </c>
      <c r="BW137" s="49">
        <f t="shared" si="409"/>
        <v>1171967.7055589999</v>
      </c>
      <c r="BX137" s="49">
        <f t="shared" si="410"/>
        <v>0</v>
      </c>
      <c r="BY137" s="49">
        <f t="shared" si="411"/>
        <v>0</v>
      </c>
      <c r="BZ137" s="49">
        <f t="shared" si="412"/>
        <v>1171967.7055589999</v>
      </c>
      <c r="CA137" s="49">
        <f t="shared" si="413"/>
        <v>0</v>
      </c>
      <c r="CB137" s="49">
        <f t="shared" si="414"/>
        <v>0</v>
      </c>
      <c r="CC137" s="49">
        <f t="shared" si="415"/>
        <v>242643.4173</v>
      </c>
      <c r="CD137" s="49">
        <f t="shared" si="416"/>
        <v>0</v>
      </c>
      <c r="CE137" s="49">
        <f t="shared" si="417"/>
        <v>0</v>
      </c>
      <c r="CF137" s="49">
        <f t="shared" si="418"/>
        <v>242643.4173</v>
      </c>
      <c r="CG137" s="49">
        <f t="shared" si="419"/>
        <v>0</v>
      </c>
      <c r="CH137" s="49">
        <f t="shared" si="420"/>
        <v>0</v>
      </c>
      <c r="CI137" s="49">
        <f t="shared" si="421"/>
        <v>323524.5564</v>
      </c>
      <c r="CJ137" s="49">
        <f t="shared" si="422"/>
        <v>0</v>
      </c>
      <c r="CK137" s="49">
        <f t="shared" si="423"/>
        <v>0</v>
      </c>
      <c r="CL137" s="49">
        <f t="shared" si="424"/>
        <v>323524.5564</v>
      </c>
      <c r="CM137" s="49">
        <f t="shared" si="425"/>
        <v>0</v>
      </c>
      <c r="CN137" s="49">
        <f t="shared" si="426"/>
        <v>0</v>
      </c>
      <c r="CO137" s="49">
        <f t="shared" si="427"/>
        <v>2749796.9671217999</v>
      </c>
      <c r="CP137" s="49">
        <f t="shared" si="428"/>
        <v>0</v>
      </c>
      <c r="CQ137" s="49">
        <f t="shared" si="429"/>
        <v>0</v>
      </c>
      <c r="CR137" s="81">
        <f t="shared" si="430"/>
        <v>2749796.9671217999</v>
      </c>
      <c r="CS137" s="80">
        <f t="shared" si="431"/>
        <v>5338316.9428781997</v>
      </c>
      <c r="CT137" s="54"/>
      <c r="CU137" s="3" t="str">
        <f t="shared" si="432"/>
        <v>ARS</v>
      </c>
      <c r="CV137" s="3">
        <f>VLOOKUP(CU137,DF:DG,2,0)</f>
        <v>6.9185169999999997E-4</v>
      </c>
      <c r="CW137" s="23">
        <f t="shared" si="433"/>
        <v>5595.7753584271468</v>
      </c>
      <c r="CX137" s="23">
        <f t="shared" si="434"/>
        <v>252.25755315789581</v>
      </c>
      <c r="CY137" s="23">
        <f t="shared" si="435"/>
        <v>447.66202867417172</v>
      </c>
      <c r="CZ137" s="23">
        <f t="shared" si="436"/>
        <v>810.82784943609352</v>
      </c>
      <c r="DA137" s="23">
        <f t="shared" si="437"/>
        <v>167.87326075281439</v>
      </c>
      <c r="DB137" s="23">
        <f t="shared" si="438"/>
        <v>223.83101433708586</v>
      </c>
      <c r="DC137" s="23">
        <f t="shared" si="439"/>
        <v>3693.3236520690853</v>
      </c>
      <c r="DD137" s="34" t="str">
        <f>VLOOKUP(A137,'Billing Report'!H:I,2,FALSE)</f>
        <v>MLA_ML_TW-TWT_GEN_X_BRD-E-GEN-X_ALL_REACH_AFA_X_88896050</v>
      </c>
      <c r="DE137" s="34"/>
      <c r="DF137" s="61"/>
      <c r="DG137" s="62"/>
      <c r="DH137"/>
      <c r="DI137" s="41"/>
      <c r="DJ137" s="41"/>
    </row>
    <row r="138" spans="1:114" ht="14.5" x14ac:dyDescent="0.35">
      <c r="A138" s="63">
        <v>40866152</v>
      </c>
      <c r="B138" s="3" t="s">
        <v>999</v>
      </c>
      <c r="C138" s="3">
        <v>322569101</v>
      </c>
      <c r="D138" s="3" t="s">
        <v>93</v>
      </c>
      <c r="G138" s="38">
        <v>4701458.79</v>
      </c>
      <c r="J138" s="33">
        <f>VLOOKUP($B138,'IMS Commission List'!E:CE,79,0)/100</f>
        <v>0.08</v>
      </c>
      <c r="K138" s="79">
        <f t="shared" si="352"/>
        <v>4701458.79</v>
      </c>
      <c r="L138" s="3" t="str">
        <f>VLOOKUP($B138,'IMS Commission List'!E:V,18,0)</f>
        <v>ARS</v>
      </c>
      <c r="M138" s="3">
        <v>1</v>
      </c>
      <c r="N138" s="3" t="str">
        <f>VLOOKUP($B138,'IMS Commission List'!E:T,16,0)</f>
        <v>MX</v>
      </c>
      <c r="O138" s="54">
        <f>VLOOKUP($B138,'IMS Commission List'!E:CF,80,0)</f>
        <v>4.9000000000000002E-2</v>
      </c>
      <c r="P138" s="54">
        <f>VLOOKUP($B138,'IMS Commission List'!E:CG,81,0)</f>
        <v>0.1575</v>
      </c>
      <c r="Q138" s="54">
        <f>VLOOKUP($B138,'IMS Commission List'!E:CP,90,0)</f>
        <v>0.03</v>
      </c>
      <c r="R138" s="54">
        <f>VLOOKUP($B138,'IMS Commission List'!E:CQ,91,0)</f>
        <v>0.04</v>
      </c>
      <c r="S138" s="47">
        <f t="shared" si="353"/>
        <v>0</v>
      </c>
      <c r="T138" s="48">
        <f t="shared" si="354"/>
        <v>0</v>
      </c>
      <c r="U138" s="48">
        <f t="shared" si="355"/>
        <v>4701458.79</v>
      </c>
      <c r="V138" s="48">
        <f t="shared" si="356"/>
        <v>0</v>
      </c>
      <c r="W138" s="48">
        <f t="shared" si="357"/>
        <v>0</v>
      </c>
      <c r="X138" s="49">
        <f t="shared" si="358"/>
        <v>4701458.79</v>
      </c>
      <c r="Y138" s="49">
        <f t="shared" si="359"/>
        <v>0</v>
      </c>
      <c r="Z138" s="49">
        <f t="shared" si="360"/>
        <v>0</v>
      </c>
      <c r="AA138" s="49">
        <f t="shared" si="361"/>
        <v>211941.76225320002</v>
      </c>
      <c r="AB138" s="49">
        <f t="shared" si="362"/>
        <v>0</v>
      </c>
      <c r="AC138" s="49">
        <f t="shared" si="363"/>
        <v>0</v>
      </c>
      <c r="AD138" s="49">
        <f t="shared" si="364"/>
        <v>211941.76225320002</v>
      </c>
      <c r="AE138" s="49">
        <f t="shared" si="365"/>
        <v>0</v>
      </c>
      <c r="AF138" s="49">
        <f t="shared" si="366"/>
        <v>0</v>
      </c>
      <c r="AG138" s="49">
        <f t="shared" si="367"/>
        <v>376116.70319999999</v>
      </c>
      <c r="AH138" s="49">
        <f t="shared" si="368"/>
        <v>0</v>
      </c>
      <c r="AI138" s="49">
        <f t="shared" si="369"/>
        <v>0</v>
      </c>
      <c r="AJ138" s="49">
        <f t="shared" si="370"/>
        <v>376116.70319999999</v>
      </c>
      <c r="AK138" s="49">
        <f t="shared" si="371"/>
        <v>0</v>
      </c>
      <c r="AL138" s="49">
        <f t="shared" si="372"/>
        <v>0</v>
      </c>
      <c r="AM138" s="49">
        <f t="shared" si="373"/>
        <v>681241.37867100013</v>
      </c>
      <c r="AN138" s="49">
        <f t="shared" si="374"/>
        <v>0</v>
      </c>
      <c r="AO138" s="49">
        <f t="shared" si="375"/>
        <v>0</v>
      </c>
      <c r="AP138" s="49">
        <f t="shared" si="376"/>
        <v>681241.37867100013</v>
      </c>
      <c r="AQ138" s="49">
        <f t="shared" si="377"/>
        <v>0</v>
      </c>
      <c r="AR138" s="49">
        <f t="shared" si="378"/>
        <v>0</v>
      </c>
      <c r="AS138" s="49">
        <f t="shared" si="379"/>
        <v>141043.76370000001</v>
      </c>
      <c r="AT138" s="49">
        <f t="shared" si="380"/>
        <v>0</v>
      </c>
      <c r="AU138" s="49">
        <f t="shared" si="381"/>
        <v>0</v>
      </c>
      <c r="AV138" s="49">
        <f t="shared" si="382"/>
        <v>141043.76370000001</v>
      </c>
      <c r="AW138" s="49">
        <f t="shared" si="383"/>
        <v>0</v>
      </c>
      <c r="AX138" s="49">
        <f t="shared" si="384"/>
        <v>0</v>
      </c>
      <c r="AY138" s="49">
        <f t="shared" si="385"/>
        <v>188058.35159999999</v>
      </c>
      <c r="AZ138" s="49">
        <f t="shared" si="386"/>
        <v>0</v>
      </c>
      <c r="BA138" s="49">
        <f t="shared" si="387"/>
        <v>0</v>
      </c>
      <c r="BB138" s="49">
        <f t="shared" si="388"/>
        <v>188058.35159999999</v>
      </c>
      <c r="BC138" s="49">
        <f t="shared" si="389"/>
        <v>0</v>
      </c>
      <c r="BD138" s="49">
        <f t="shared" si="390"/>
        <v>0</v>
      </c>
      <c r="BE138" s="49">
        <f t="shared" si="391"/>
        <v>1598401.9594242002</v>
      </c>
      <c r="BF138" s="49">
        <f t="shared" si="392"/>
        <v>0</v>
      </c>
      <c r="BG138" s="49">
        <f t="shared" si="393"/>
        <v>0</v>
      </c>
      <c r="BH138" s="49">
        <f t="shared" si="394"/>
        <v>1598401.9594242002</v>
      </c>
      <c r="BI138" s="49">
        <f t="shared" si="395"/>
        <v>0</v>
      </c>
      <c r="BJ138" s="49">
        <f t="shared" si="396"/>
        <v>0</v>
      </c>
      <c r="BK138" s="49">
        <f t="shared" si="397"/>
        <v>211941.76225320002</v>
      </c>
      <c r="BL138" s="49">
        <f t="shared" si="398"/>
        <v>0</v>
      </c>
      <c r="BM138" s="49">
        <f t="shared" si="399"/>
        <v>0</v>
      </c>
      <c r="BN138" s="49">
        <f t="shared" si="400"/>
        <v>211941.76225320002</v>
      </c>
      <c r="BO138" s="49">
        <f t="shared" si="401"/>
        <v>0</v>
      </c>
      <c r="BP138" s="49">
        <f t="shared" si="402"/>
        <v>0</v>
      </c>
      <c r="BQ138" s="49">
        <f t="shared" si="403"/>
        <v>376116.70319999999</v>
      </c>
      <c r="BR138" s="49">
        <f t="shared" si="404"/>
        <v>0</v>
      </c>
      <c r="BS138" s="49">
        <f t="shared" si="405"/>
        <v>0</v>
      </c>
      <c r="BT138" s="49">
        <f t="shared" si="406"/>
        <v>376116.70319999999</v>
      </c>
      <c r="BU138" s="49">
        <f t="shared" si="407"/>
        <v>0</v>
      </c>
      <c r="BV138" s="49">
        <f t="shared" si="408"/>
        <v>0</v>
      </c>
      <c r="BW138" s="49">
        <f t="shared" si="409"/>
        <v>681241.37867100013</v>
      </c>
      <c r="BX138" s="49">
        <f t="shared" si="410"/>
        <v>0</v>
      </c>
      <c r="BY138" s="49">
        <f t="shared" si="411"/>
        <v>0</v>
      </c>
      <c r="BZ138" s="49">
        <f t="shared" si="412"/>
        <v>681241.37867100013</v>
      </c>
      <c r="CA138" s="49">
        <f t="shared" si="413"/>
        <v>0</v>
      </c>
      <c r="CB138" s="49">
        <f t="shared" si="414"/>
        <v>0</v>
      </c>
      <c r="CC138" s="49">
        <f t="shared" si="415"/>
        <v>141043.76370000001</v>
      </c>
      <c r="CD138" s="49">
        <f t="shared" si="416"/>
        <v>0</v>
      </c>
      <c r="CE138" s="49">
        <f t="shared" si="417"/>
        <v>0</v>
      </c>
      <c r="CF138" s="49">
        <f t="shared" si="418"/>
        <v>141043.76370000001</v>
      </c>
      <c r="CG138" s="49">
        <f t="shared" si="419"/>
        <v>0</v>
      </c>
      <c r="CH138" s="49">
        <f t="shared" si="420"/>
        <v>0</v>
      </c>
      <c r="CI138" s="49">
        <f t="shared" si="421"/>
        <v>188058.35159999999</v>
      </c>
      <c r="CJ138" s="49">
        <f t="shared" si="422"/>
        <v>0</v>
      </c>
      <c r="CK138" s="49">
        <f t="shared" si="423"/>
        <v>0</v>
      </c>
      <c r="CL138" s="49">
        <f t="shared" si="424"/>
        <v>188058.35159999999</v>
      </c>
      <c r="CM138" s="49">
        <f t="shared" si="425"/>
        <v>0</v>
      </c>
      <c r="CN138" s="49">
        <f t="shared" si="426"/>
        <v>0</v>
      </c>
      <c r="CO138" s="49">
        <f t="shared" si="427"/>
        <v>1598401.9594242002</v>
      </c>
      <c r="CP138" s="49">
        <f t="shared" si="428"/>
        <v>0</v>
      </c>
      <c r="CQ138" s="49">
        <f t="shared" si="429"/>
        <v>0</v>
      </c>
      <c r="CR138" s="81">
        <f t="shared" si="430"/>
        <v>1598401.9594242002</v>
      </c>
      <c r="CS138" s="80">
        <f t="shared" si="431"/>
        <v>3103056.8305757996</v>
      </c>
      <c r="CT138" s="54"/>
      <c r="CU138" s="3" t="str">
        <f t="shared" si="432"/>
        <v>ARS</v>
      </c>
      <c r="CV138" s="3">
        <f>VLOOKUP(CU138,DF:DG,2,0)</f>
        <v>6.9185169999999997E-4</v>
      </c>
      <c r="CW138" s="23">
        <f t="shared" si="433"/>
        <v>3252.7122563414428</v>
      </c>
      <c r="CX138" s="23">
        <f t="shared" si="434"/>
        <v>146.63226851587225</v>
      </c>
      <c r="CY138" s="23">
        <f t="shared" si="435"/>
        <v>260.21698050731544</v>
      </c>
      <c r="CZ138" s="23">
        <f t="shared" si="436"/>
        <v>471.31800594387516</v>
      </c>
      <c r="DA138" s="23">
        <f t="shared" si="437"/>
        <v>97.581367690243297</v>
      </c>
      <c r="DB138" s="23">
        <f t="shared" si="438"/>
        <v>130.10849025365772</v>
      </c>
      <c r="DC138" s="23">
        <f t="shared" si="439"/>
        <v>2146.8551434304786</v>
      </c>
      <c r="DD138" s="34" t="str">
        <f>VLOOKUP(A138,'Billing Report'!H:I,2,FALSE)</f>
        <v>MLA_MP_TW-IF_W_W-ALL_UF-FAV-MED_Usuarios_REACH_CLPNT-03_X_40919978</v>
      </c>
      <c r="DE138" s="34"/>
      <c r="DF138" s="61"/>
      <c r="DG138" s="62"/>
      <c r="DH138"/>
      <c r="DI138" s="41"/>
      <c r="DJ138" s="41"/>
    </row>
    <row r="139" spans="1:114" ht="14.5" x14ac:dyDescent="0.35">
      <c r="A139" s="63">
        <v>40816115</v>
      </c>
      <c r="B139" s="3" t="s">
        <v>696</v>
      </c>
      <c r="C139" s="3">
        <v>322727401</v>
      </c>
      <c r="D139" s="3" t="s">
        <v>93</v>
      </c>
      <c r="G139" s="38">
        <v>1745729.16</v>
      </c>
      <c r="J139" s="33">
        <f>VLOOKUP($B139,'IMS Commission List'!E:CE,79,0)/100</f>
        <v>0.08</v>
      </c>
      <c r="K139" s="79">
        <f t="shared" si="352"/>
        <v>1745729.16</v>
      </c>
      <c r="L139" s="3" t="str">
        <f>VLOOKUP($B139,'IMS Commission List'!E:V,18,0)</f>
        <v>ARS</v>
      </c>
      <c r="M139" s="3">
        <v>1</v>
      </c>
      <c r="N139" s="3" t="str">
        <f>VLOOKUP($B139,'IMS Commission List'!E:T,16,0)</f>
        <v>MX</v>
      </c>
      <c r="O139" s="54">
        <f>VLOOKUP($B139,'IMS Commission List'!E:CF,80,0)</f>
        <v>4.9000000000000002E-2</v>
      </c>
      <c r="P139" s="54">
        <f>VLOOKUP($B139,'IMS Commission List'!E:CG,81,0)</f>
        <v>0.1575</v>
      </c>
      <c r="Q139" s="54">
        <f>VLOOKUP($B139,'IMS Commission List'!E:CP,90,0)</f>
        <v>0.03</v>
      </c>
      <c r="R139" s="54">
        <f>VLOOKUP($B139,'IMS Commission List'!E:CQ,91,0)</f>
        <v>0.04</v>
      </c>
      <c r="S139" s="47">
        <f t="shared" si="353"/>
        <v>0</v>
      </c>
      <c r="T139" s="48">
        <f t="shared" si="354"/>
        <v>0</v>
      </c>
      <c r="U139" s="48">
        <f t="shared" si="355"/>
        <v>1745729.16</v>
      </c>
      <c r="V139" s="48">
        <f t="shared" si="356"/>
        <v>0</v>
      </c>
      <c r="W139" s="48">
        <f t="shared" si="357"/>
        <v>0</v>
      </c>
      <c r="X139" s="49">
        <f t="shared" si="358"/>
        <v>1745729.16</v>
      </c>
      <c r="Y139" s="49">
        <f t="shared" si="359"/>
        <v>0</v>
      </c>
      <c r="Z139" s="49">
        <f t="shared" si="360"/>
        <v>0</v>
      </c>
      <c r="AA139" s="49">
        <f t="shared" si="361"/>
        <v>78697.470532799998</v>
      </c>
      <c r="AB139" s="49">
        <f t="shared" si="362"/>
        <v>0</v>
      </c>
      <c r="AC139" s="49">
        <f t="shared" si="363"/>
        <v>0</v>
      </c>
      <c r="AD139" s="49">
        <f t="shared" si="364"/>
        <v>78697.470532799998</v>
      </c>
      <c r="AE139" s="49">
        <f t="shared" si="365"/>
        <v>0</v>
      </c>
      <c r="AF139" s="49">
        <f t="shared" si="366"/>
        <v>0</v>
      </c>
      <c r="AG139" s="49">
        <f t="shared" si="367"/>
        <v>139658.3328</v>
      </c>
      <c r="AH139" s="49">
        <f t="shared" si="368"/>
        <v>0</v>
      </c>
      <c r="AI139" s="49">
        <f t="shared" si="369"/>
        <v>0</v>
      </c>
      <c r="AJ139" s="49">
        <f t="shared" si="370"/>
        <v>139658.3328</v>
      </c>
      <c r="AK139" s="49">
        <f t="shared" si="371"/>
        <v>0</v>
      </c>
      <c r="AL139" s="49">
        <f t="shared" si="372"/>
        <v>0</v>
      </c>
      <c r="AM139" s="49">
        <f t="shared" si="373"/>
        <v>252956.15528399998</v>
      </c>
      <c r="AN139" s="49">
        <f t="shared" si="374"/>
        <v>0</v>
      </c>
      <c r="AO139" s="49">
        <f t="shared" si="375"/>
        <v>0</v>
      </c>
      <c r="AP139" s="49">
        <f t="shared" si="376"/>
        <v>252956.15528399998</v>
      </c>
      <c r="AQ139" s="49">
        <f t="shared" si="377"/>
        <v>0</v>
      </c>
      <c r="AR139" s="49">
        <f t="shared" si="378"/>
        <v>0</v>
      </c>
      <c r="AS139" s="49">
        <f t="shared" si="379"/>
        <v>52371.874799999998</v>
      </c>
      <c r="AT139" s="49">
        <f t="shared" si="380"/>
        <v>0</v>
      </c>
      <c r="AU139" s="49">
        <f t="shared" si="381"/>
        <v>0</v>
      </c>
      <c r="AV139" s="49">
        <f t="shared" si="382"/>
        <v>52371.874799999998</v>
      </c>
      <c r="AW139" s="49">
        <f t="shared" si="383"/>
        <v>0</v>
      </c>
      <c r="AX139" s="49">
        <f t="shared" si="384"/>
        <v>0</v>
      </c>
      <c r="AY139" s="49">
        <f t="shared" si="385"/>
        <v>69829.166400000002</v>
      </c>
      <c r="AZ139" s="49">
        <f t="shared" si="386"/>
        <v>0</v>
      </c>
      <c r="BA139" s="49">
        <f t="shared" si="387"/>
        <v>0</v>
      </c>
      <c r="BB139" s="49">
        <f t="shared" si="388"/>
        <v>69829.166400000002</v>
      </c>
      <c r="BC139" s="49">
        <f t="shared" si="389"/>
        <v>0</v>
      </c>
      <c r="BD139" s="49">
        <f t="shared" si="390"/>
        <v>0</v>
      </c>
      <c r="BE139" s="49">
        <f t="shared" si="391"/>
        <v>593512.9998168</v>
      </c>
      <c r="BF139" s="49">
        <f t="shared" si="392"/>
        <v>0</v>
      </c>
      <c r="BG139" s="49">
        <f t="shared" si="393"/>
        <v>0</v>
      </c>
      <c r="BH139" s="49">
        <f t="shared" si="394"/>
        <v>593512.9998168</v>
      </c>
      <c r="BI139" s="49">
        <f t="shared" si="395"/>
        <v>0</v>
      </c>
      <c r="BJ139" s="49">
        <f t="shared" si="396"/>
        <v>0</v>
      </c>
      <c r="BK139" s="49">
        <f t="shared" si="397"/>
        <v>78697.470532799998</v>
      </c>
      <c r="BL139" s="49">
        <f t="shared" si="398"/>
        <v>0</v>
      </c>
      <c r="BM139" s="49">
        <f t="shared" si="399"/>
        <v>0</v>
      </c>
      <c r="BN139" s="49">
        <f t="shared" si="400"/>
        <v>78697.470532799998</v>
      </c>
      <c r="BO139" s="49">
        <f t="shared" si="401"/>
        <v>0</v>
      </c>
      <c r="BP139" s="49">
        <f t="shared" si="402"/>
        <v>0</v>
      </c>
      <c r="BQ139" s="49">
        <f t="shared" si="403"/>
        <v>139658.3328</v>
      </c>
      <c r="BR139" s="49">
        <f t="shared" si="404"/>
        <v>0</v>
      </c>
      <c r="BS139" s="49">
        <f t="shared" si="405"/>
        <v>0</v>
      </c>
      <c r="BT139" s="49">
        <f t="shared" si="406"/>
        <v>139658.3328</v>
      </c>
      <c r="BU139" s="49">
        <f t="shared" si="407"/>
        <v>0</v>
      </c>
      <c r="BV139" s="49">
        <f t="shared" si="408"/>
        <v>0</v>
      </c>
      <c r="BW139" s="49">
        <f t="shared" si="409"/>
        <v>252956.15528399998</v>
      </c>
      <c r="BX139" s="49">
        <f t="shared" si="410"/>
        <v>0</v>
      </c>
      <c r="BY139" s="49">
        <f t="shared" si="411"/>
        <v>0</v>
      </c>
      <c r="BZ139" s="49">
        <f t="shared" si="412"/>
        <v>252956.15528399998</v>
      </c>
      <c r="CA139" s="49">
        <f t="shared" si="413"/>
        <v>0</v>
      </c>
      <c r="CB139" s="49">
        <f t="shared" si="414"/>
        <v>0</v>
      </c>
      <c r="CC139" s="49">
        <f t="shared" si="415"/>
        <v>52371.874799999998</v>
      </c>
      <c r="CD139" s="49">
        <f t="shared" si="416"/>
        <v>0</v>
      </c>
      <c r="CE139" s="49">
        <f t="shared" si="417"/>
        <v>0</v>
      </c>
      <c r="CF139" s="49">
        <f t="shared" si="418"/>
        <v>52371.874799999998</v>
      </c>
      <c r="CG139" s="49">
        <f t="shared" si="419"/>
        <v>0</v>
      </c>
      <c r="CH139" s="49">
        <f t="shared" si="420"/>
        <v>0</v>
      </c>
      <c r="CI139" s="49">
        <f t="shared" si="421"/>
        <v>69829.166400000002</v>
      </c>
      <c r="CJ139" s="49">
        <f t="shared" si="422"/>
        <v>0</v>
      </c>
      <c r="CK139" s="49">
        <f t="shared" si="423"/>
        <v>0</v>
      </c>
      <c r="CL139" s="49">
        <f t="shared" si="424"/>
        <v>69829.166400000002</v>
      </c>
      <c r="CM139" s="49">
        <f t="shared" si="425"/>
        <v>0</v>
      </c>
      <c r="CN139" s="49">
        <f t="shared" si="426"/>
        <v>0</v>
      </c>
      <c r="CO139" s="49">
        <f t="shared" si="427"/>
        <v>593512.9998168</v>
      </c>
      <c r="CP139" s="49">
        <f t="shared" si="428"/>
        <v>0</v>
      </c>
      <c r="CQ139" s="49">
        <f t="shared" si="429"/>
        <v>0</v>
      </c>
      <c r="CR139" s="81">
        <f t="shared" si="430"/>
        <v>593512.9998168</v>
      </c>
      <c r="CS139" s="80">
        <f t="shared" si="431"/>
        <v>1152216.1601831999</v>
      </c>
      <c r="CT139" s="54"/>
      <c r="CU139" s="3" t="str">
        <f t="shared" si="432"/>
        <v>ARS</v>
      </c>
      <c r="CV139" s="3">
        <f>VLOOKUP(CU139,DF:DG,2,0)</f>
        <v>6.9185169999999997E-4</v>
      </c>
      <c r="CW139" s="23">
        <f t="shared" si="433"/>
        <v>1207.7856870855719</v>
      </c>
      <c r="CX139" s="23">
        <f t="shared" si="434"/>
        <v>54.446978773817584</v>
      </c>
      <c r="CY139" s="23">
        <f t="shared" si="435"/>
        <v>96.622854966845765</v>
      </c>
      <c r="CZ139" s="23">
        <f t="shared" si="436"/>
        <v>175.00814605869937</v>
      </c>
      <c r="DA139" s="23">
        <f t="shared" si="437"/>
        <v>36.233570612567156</v>
      </c>
      <c r="DB139" s="23">
        <f t="shared" si="438"/>
        <v>48.311427483422882</v>
      </c>
      <c r="DC139" s="23">
        <f t="shared" si="439"/>
        <v>797.16270919021918</v>
      </c>
      <c r="DD139" s="34" t="str">
        <f>VLOOKUP(A139,'Billing Report'!H:I,2,FALSE)</f>
        <v>MLA_ML_TW-TWT_GEN_X_FE-DD-X_ALL_REACH_DD-02_X_77419279</v>
      </c>
      <c r="DE139" s="34"/>
      <c r="DF139" s="61"/>
      <c r="DG139" s="62"/>
      <c r="DH139"/>
      <c r="DI139" s="41"/>
      <c r="DJ139" s="41"/>
    </row>
    <row r="140" spans="1:114" ht="14.5" x14ac:dyDescent="0.35">
      <c r="A140" s="63">
        <v>40832387</v>
      </c>
      <c r="B140" s="3" t="s">
        <v>699</v>
      </c>
      <c r="C140" s="3">
        <v>323150202</v>
      </c>
      <c r="D140" s="3" t="s">
        <v>93</v>
      </c>
      <c r="G140" s="38">
        <v>92012.77</v>
      </c>
      <c r="J140" s="33">
        <f>VLOOKUP($B140,'IMS Commission List'!E:CE,79,0)/100</f>
        <v>0.15</v>
      </c>
      <c r="K140" s="79">
        <f t="shared" si="352"/>
        <v>92012.77</v>
      </c>
      <c r="L140" s="3" t="str">
        <f>VLOOKUP($B140,'IMS Commission List'!E:V,18,0)</f>
        <v>ARS</v>
      </c>
      <c r="M140" s="3">
        <v>1</v>
      </c>
      <c r="N140" s="3" t="str">
        <f>VLOOKUP($B140,'IMS Commission List'!E:T,16,0)</f>
        <v>MX</v>
      </c>
      <c r="O140" s="54">
        <f>VLOOKUP($B140,'IMS Commission List'!E:CF,80,0)</f>
        <v>4.9000000000000002E-2</v>
      </c>
      <c r="P140" s="54">
        <f>VLOOKUP($B140,'IMS Commission List'!E:CG,81,0)</f>
        <v>0.1575</v>
      </c>
      <c r="Q140" s="54">
        <f>VLOOKUP($B140,'IMS Commission List'!E:CP,90,0)</f>
        <v>0.03</v>
      </c>
      <c r="R140" s="54">
        <f>VLOOKUP($B140,'IMS Commission List'!E:CQ,91,0)</f>
        <v>0.04</v>
      </c>
      <c r="S140" s="47">
        <f t="shared" si="353"/>
        <v>0</v>
      </c>
      <c r="T140" s="48">
        <f t="shared" si="354"/>
        <v>0</v>
      </c>
      <c r="U140" s="48">
        <f t="shared" si="355"/>
        <v>92012.77</v>
      </c>
      <c r="V140" s="48">
        <f t="shared" si="356"/>
        <v>0</v>
      </c>
      <c r="W140" s="48">
        <f t="shared" si="357"/>
        <v>0</v>
      </c>
      <c r="X140" s="49">
        <f t="shared" si="358"/>
        <v>92012.77</v>
      </c>
      <c r="Y140" s="49">
        <f t="shared" si="359"/>
        <v>0</v>
      </c>
      <c r="Z140" s="49">
        <f t="shared" si="360"/>
        <v>0</v>
      </c>
      <c r="AA140" s="49">
        <f t="shared" si="361"/>
        <v>3832.3318705000006</v>
      </c>
      <c r="AB140" s="49">
        <f t="shared" si="362"/>
        <v>0</v>
      </c>
      <c r="AC140" s="49">
        <f t="shared" si="363"/>
        <v>0</v>
      </c>
      <c r="AD140" s="49">
        <f t="shared" si="364"/>
        <v>3832.3318705000006</v>
      </c>
      <c r="AE140" s="49">
        <f t="shared" si="365"/>
        <v>0</v>
      </c>
      <c r="AF140" s="49">
        <f t="shared" si="366"/>
        <v>0</v>
      </c>
      <c r="AG140" s="49">
        <f t="shared" si="367"/>
        <v>13801.915500000001</v>
      </c>
      <c r="AH140" s="49">
        <f t="shared" si="368"/>
        <v>0</v>
      </c>
      <c r="AI140" s="49">
        <f t="shared" si="369"/>
        <v>0</v>
      </c>
      <c r="AJ140" s="49">
        <f t="shared" si="370"/>
        <v>13801.915500000001</v>
      </c>
      <c r="AK140" s="49">
        <f t="shared" si="371"/>
        <v>0</v>
      </c>
      <c r="AL140" s="49">
        <f t="shared" si="372"/>
        <v>0</v>
      </c>
      <c r="AM140" s="49">
        <f t="shared" si="373"/>
        <v>12318.20958375</v>
      </c>
      <c r="AN140" s="49">
        <f t="shared" si="374"/>
        <v>0</v>
      </c>
      <c r="AO140" s="49">
        <f t="shared" si="375"/>
        <v>0</v>
      </c>
      <c r="AP140" s="49">
        <f t="shared" si="376"/>
        <v>12318.20958375</v>
      </c>
      <c r="AQ140" s="49">
        <f t="shared" si="377"/>
        <v>0</v>
      </c>
      <c r="AR140" s="49">
        <f t="shared" si="378"/>
        <v>0</v>
      </c>
      <c r="AS140" s="49">
        <f t="shared" si="379"/>
        <v>2760.3831</v>
      </c>
      <c r="AT140" s="49">
        <f t="shared" si="380"/>
        <v>0</v>
      </c>
      <c r="AU140" s="49">
        <f t="shared" si="381"/>
        <v>0</v>
      </c>
      <c r="AV140" s="49">
        <f t="shared" si="382"/>
        <v>2760.3831</v>
      </c>
      <c r="AW140" s="49">
        <f t="shared" si="383"/>
        <v>0</v>
      </c>
      <c r="AX140" s="49">
        <f t="shared" si="384"/>
        <v>0</v>
      </c>
      <c r="AY140" s="49">
        <f t="shared" si="385"/>
        <v>3680.5108</v>
      </c>
      <c r="AZ140" s="49">
        <f t="shared" si="386"/>
        <v>0</v>
      </c>
      <c r="BA140" s="49">
        <f t="shared" si="387"/>
        <v>0</v>
      </c>
      <c r="BB140" s="49">
        <f t="shared" si="388"/>
        <v>3680.5108</v>
      </c>
      <c r="BC140" s="49">
        <f t="shared" si="389"/>
        <v>0</v>
      </c>
      <c r="BD140" s="49">
        <f t="shared" si="390"/>
        <v>0</v>
      </c>
      <c r="BE140" s="49">
        <f t="shared" si="391"/>
        <v>36393.350854250006</v>
      </c>
      <c r="BF140" s="49">
        <f t="shared" si="392"/>
        <v>0</v>
      </c>
      <c r="BG140" s="49">
        <f t="shared" si="393"/>
        <v>0</v>
      </c>
      <c r="BH140" s="49">
        <f t="shared" si="394"/>
        <v>36393.350854250006</v>
      </c>
      <c r="BI140" s="49">
        <f t="shared" si="395"/>
        <v>0</v>
      </c>
      <c r="BJ140" s="49">
        <f t="shared" si="396"/>
        <v>0</v>
      </c>
      <c r="BK140" s="49">
        <f t="shared" si="397"/>
        <v>3832.3318705000006</v>
      </c>
      <c r="BL140" s="49">
        <f t="shared" si="398"/>
        <v>0</v>
      </c>
      <c r="BM140" s="49">
        <f t="shared" si="399"/>
        <v>0</v>
      </c>
      <c r="BN140" s="49">
        <f t="shared" si="400"/>
        <v>3832.3318705000006</v>
      </c>
      <c r="BO140" s="49">
        <f t="shared" si="401"/>
        <v>0</v>
      </c>
      <c r="BP140" s="49">
        <f t="shared" si="402"/>
        <v>0</v>
      </c>
      <c r="BQ140" s="49">
        <f t="shared" si="403"/>
        <v>13801.915500000001</v>
      </c>
      <c r="BR140" s="49">
        <f t="shared" si="404"/>
        <v>0</v>
      </c>
      <c r="BS140" s="49">
        <f t="shared" si="405"/>
        <v>0</v>
      </c>
      <c r="BT140" s="49">
        <f t="shared" si="406"/>
        <v>13801.915500000001</v>
      </c>
      <c r="BU140" s="49">
        <f t="shared" si="407"/>
        <v>0</v>
      </c>
      <c r="BV140" s="49">
        <f t="shared" si="408"/>
        <v>0</v>
      </c>
      <c r="BW140" s="49">
        <f t="shared" si="409"/>
        <v>12318.20958375</v>
      </c>
      <c r="BX140" s="49">
        <f t="shared" si="410"/>
        <v>0</v>
      </c>
      <c r="BY140" s="49">
        <f t="shared" si="411"/>
        <v>0</v>
      </c>
      <c r="BZ140" s="49">
        <f t="shared" si="412"/>
        <v>12318.20958375</v>
      </c>
      <c r="CA140" s="49">
        <f t="shared" si="413"/>
        <v>0</v>
      </c>
      <c r="CB140" s="49">
        <f t="shared" si="414"/>
        <v>0</v>
      </c>
      <c r="CC140" s="49">
        <f t="shared" si="415"/>
        <v>2760.3831</v>
      </c>
      <c r="CD140" s="49">
        <f t="shared" si="416"/>
        <v>0</v>
      </c>
      <c r="CE140" s="49">
        <f t="shared" si="417"/>
        <v>0</v>
      </c>
      <c r="CF140" s="49">
        <f t="shared" si="418"/>
        <v>2760.3831</v>
      </c>
      <c r="CG140" s="49">
        <f t="shared" si="419"/>
        <v>0</v>
      </c>
      <c r="CH140" s="49">
        <f t="shared" si="420"/>
        <v>0</v>
      </c>
      <c r="CI140" s="49">
        <f t="shared" si="421"/>
        <v>3680.5108</v>
      </c>
      <c r="CJ140" s="49">
        <f t="shared" si="422"/>
        <v>0</v>
      </c>
      <c r="CK140" s="49">
        <f t="shared" si="423"/>
        <v>0</v>
      </c>
      <c r="CL140" s="49">
        <f t="shared" si="424"/>
        <v>3680.5108</v>
      </c>
      <c r="CM140" s="49">
        <f t="shared" si="425"/>
        <v>0</v>
      </c>
      <c r="CN140" s="49">
        <f t="shared" si="426"/>
        <v>0</v>
      </c>
      <c r="CO140" s="49">
        <f t="shared" si="427"/>
        <v>36393.350854250006</v>
      </c>
      <c r="CP140" s="49">
        <f t="shared" si="428"/>
        <v>0</v>
      </c>
      <c r="CQ140" s="49">
        <f t="shared" si="429"/>
        <v>0</v>
      </c>
      <c r="CR140" s="81">
        <f t="shared" si="430"/>
        <v>36393.350854250006</v>
      </c>
      <c r="CS140" s="80">
        <f t="shared" si="431"/>
        <v>55619.419145749998</v>
      </c>
      <c r="CT140" s="54"/>
      <c r="CU140" s="3" t="str">
        <f t="shared" si="432"/>
        <v>ARS</v>
      </c>
      <c r="CV140" s="3">
        <f>VLOOKUP(CU140,DF:DG,2,0)</f>
        <v>6.9185169999999997E-4</v>
      </c>
      <c r="CW140" s="23">
        <f t="shared" si="433"/>
        <v>63.659191346208999</v>
      </c>
      <c r="CX140" s="23">
        <f t="shared" si="434"/>
        <v>2.651405319569605</v>
      </c>
      <c r="CY140" s="23">
        <f t="shared" si="435"/>
        <v>9.5488787019313506</v>
      </c>
      <c r="CZ140" s="23">
        <f t="shared" si="436"/>
        <v>8.5223742414737291</v>
      </c>
      <c r="DA140" s="23">
        <f t="shared" si="437"/>
        <v>1.9097757403862698</v>
      </c>
      <c r="DB140" s="23">
        <f t="shared" si="438"/>
        <v>2.5463676538483599</v>
      </c>
      <c r="DC140" s="23">
        <f t="shared" si="439"/>
        <v>38.480389688999679</v>
      </c>
      <c r="DD140" s="34" t="str">
        <f>VLOOKUP(A140,'Billing Report'!H:I,2,FALSE)</f>
        <v>BK-COSQUIN_ROCK2026-ARG-TWITTER-TOTAL-AWARENESS-LIFESTYLE-ALCANCE-2026</v>
      </c>
      <c r="DE140" s="34"/>
      <c r="DF140" s="61"/>
      <c r="DG140" s="62"/>
      <c r="DH140"/>
      <c r="DI140" s="41"/>
      <c r="DJ140" s="41"/>
    </row>
    <row r="141" spans="1:114" ht="14.5" x14ac:dyDescent="0.35">
      <c r="A141" s="63">
        <v>40822591</v>
      </c>
      <c r="B141" s="3" t="s">
        <v>703</v>
      </c>
      <c r="C141" s="3">
        <v>323164701</v>
      </c>
      <c r="D141" s="3" t="s">
        <v>93</v>
      </c>
      <c r="G141" s="38">
        <v>4109964.98</v>
      </c>
      <c r="J141" s="33">
        <f>VLOOKUP($B141,'IMS Commission List'!E:CE,79,0)/100</f>
        <v>0.15</v>
      </c>
      <c r="K141" s="79">
        <f t="shared" si="352"/>
        <v>4109964.98</v>
      </c>
      <c r="L141" s="3" t="str">
        <f>VLOOKUP($B141,'IMS Commission List'!E:V,18,0)</f>
        <v>ARS</v>
      </c>
      <c r="M141" s="3">
        <v>1</v>
      </c>
      <c r="N141" s="3" t="str">
        <f>VLOOKUP($B141,'IMS Commission List'!E:T,16,0)</f>
        <v>MX</v>
      </c>
      <c r="O141" s="54">
        <f>VLOOKUP($B141,'IMS Commission List'!E:CF,80,0)</f>
        <v>4.9000000000000002E-2</v>
      </c>
      <c r="P141" s="54">
        <f>VLOOKUP($B141,'IMS Commission List'!E:CG,81,0)</f>
        <v>0.1575</v>
      </c>
      <c r="Q141" s="54">
        <f>VLOOKUP($B141,'IMS Commission List'!E:CP,90,0)</f>
        <v>0.03</v>
      </c>
      <c r="R141" s="54">
        <f>VLOOKUP($B141,'IMS Commission List'!E:CQ,91,0)</f>
        <v>0.04</v>
      </c>
      <c r="S141" s="47">
        <f t="shared" si="353"/>
        <v>0</v>
      </c>
      <c r="T141" s="48">
        <f t="shared" si="354"/>
        <v>0</v>
      </c>
      <c r="U141" s="48">
        <f t="shared" si="355"/>
        <v>4109964.98</v>
      </c>
      <c r="V141" s="48">
        <f t="shared" si="356"/>
        <v>0</v>
      </c>
      <c r="W141" s="48">
        <f t="shared" si="357"/>
        <v>0</v>
      </c>
      <c r="X141" s="49">
        <f t="shared" si="358"/>
        <v>4109964.98</v>
      </c>
      <c r="Y141" s="49">
        <f t="shared" si="359"/>
        <v>0</v>
      </c>
      <c r="Z141" s="49">
        <f t="shared" si="360"/>
        <v>0</v>
      </c>
      <c r="AA141" s="49">
        <f t="shared" si="361"/>
        <v>171180.041417</v>
      </c>
      <c r="AB141" s="49">
        <f t="shared" si="362"/>
        <v>0</v>
      </c>
      <c r="AC141" s="49">
        <f t="shared" si="363"/>
        <v>0</v>
      </c>
      <c r="AD141" s="49">
        <f t="shared" si="364"/>
        <v>171180.041417</v>
      </c>
      <c r="AE141" s="49">
        <f t="shared" si="365"/>
        <v>0</v>
      </c>
      <c r="AF141" s="49">
        <f t="shared" si="366"/>
        <v>0</v>
      </c>
      <c r="AG141" s="49">
        <f t="shared" si="367"/>
        <v>616494.74699999997</v>
      </c>
      <c r="AH141" s="49">
        <f t="shared" si="368"/>
        <v>0</v>
      </c>
      <c r="AI141" s="49">
        <f t="shared" si="369"/>
        <v>0</v>
      </c>
      <c r="AJ141" s="49">
        <f t="shared" si="370"/>
        <v>616494.74699999997</v>
      </c>
      <c r="AK141" s="49">
        <f t="shared" si="371"/>
        <v>0</v>
      </c>
      <c r="AL141" s="49">
        <f t="shared" si="372"/>
        <v>0</v>
      </c>
      <c r="AM141" s="49">
        <f t="shared" si="373"/>
        <v>550221.56169750006</v>
      </c>
      <c r="AN141" s="49">
        <f t="shared" si="374"/>
        <v>0</v>
      </c>
      <c r="AO141" s="49">
        <f t="shared" si="375"/>
        <v>0</v>
      </c>
      <c r="AP141" s="49">
        <f t="shared" si="376"/>
        <v>550221.56169750006</v>
      </c>
      <c r="AQ141" s="49">
        <f t="shared" si="377"/>
        <v>0</v>
      </c>
      <c r="AR141" s="49">
        <f t="shared" si="378"/>
        <v>0</v>
      </c>
      <c r="AS141" s="49">
        <f t="shared" si="379"/>
        <v>123298.9494</v>
      </c>
      <c r="AT141" s="49">
        <f t="shared" si="380"/>
        <v>0</v>
      </c>
      <c r="AU141" s="49">
        <f t="shared" si="381"/>
        <v>0</v>
      </c>
      <c r="AV141" s="49">
        <f t="shared" si="382"/>
        <v>123298.9494</v>
      </c>
      <c r="AW141" s="49">
        <f t="shared" si="383"/>
        <v>0</v>
      </c>
      <c r="AX141" s="49">
        <f t="shared" si="384"/>
        <v>0</v>
      </c>
      <c r="AY141" s="49">
        <f t="shared" si="385"/>
        <v>164398.5992</v>
      </c>
      <c r="AZ141" s="49">
        <f t="shared" si="386"/>
        <v>0</v>
      </c>
      <c r="BA141" s="49">
        <f t="shared" si="387"/>
        <v>0</v>
      </c>
      <c r="BB141" s="49">
        <f t="shared" si="388"/>
        <v>164398.5992</v>
      </c>
      <c r="BC141" s="49">
        <f t="shared" si="389"/>
        <v>0</v>
      </c>
      <c r="BD141" s="49">
        <f t="shared" si="390"/>
        <v>0</v>
      </c>
      <c r="BE141" s="49">
        <f t="shared" si="391"/>
        <v>1625593.8987145002</v>
      </c>
      <c r="BF141" s="49">
        <f t="shared" si="392"/>
        <v>0</v>
      </c>
      <c r="BG141" s="49">
        <f t="shared" si="393"/>
        <v>0</v>
      </c>
      <c r="BH141" s="49">
        <f t="shared" si="394"/>
        <v>1625593.8987145002</v>
      </c>
      <c r="BI141" s="49">
        <f t="shared" si="395"/>
        <v>0</v>
      </c>
      <c r="BJ141" s="49">
        <f t="shared" si="396"/>
        <v>0</v>
      </c>
      <c r="BK141" s="49">
        <f t="shared" si="397"/>
        <v>171180.041417</v>
      </c>
      <c r="BL141" s="49">
        <f t="shared" si="398"/>
        <v>0</v>
      </c>
      <c r="BM141" s="49">
        <f t="shared" si="399"/>
        <v>0</v>
      </c>
      <c r="BN141" s="49">
        <f t="shared" si="400"/>
        <v>171180.041417</v>
      </c>
      <c r="BO141" s="49">
        <f t="shared" si="401"/>
        <v>0</v>
      </c>
      <c r="BP141" s="49">
        <f t="shared" si="402"/>
        <v>0</v>
      </c>
      <c r="BQ141" s="49">
        <f t="shared" si="403"/>
        <v>616494.74699999997</v>
      </c>
      <c r="BR141" s="49">
        <f t="shared" si="404"/>
        <v>0</v>
      </c>
      <c r="BS141" s="49">
        <f t="shared" si="405"/>
        <v>0</v>
      </c>
      <c r="BT141" s="49">
        <f t="shared" si="406"/>
        <v>616494.74699999997</v>
      </c>
      <c r="BU141" s="49">
        <f t="shared" si="407"/>
        <v>0</v>
      </c>
      <c r="BV141" s="49">
        <f t="shared" si="408"/>
        <v>0</v>
      </c>
      <c r="BW141" s="49">
        <f t="shared" si="409"/>
        <v>550221.56169750006</v>
      </c>
      <c r="BX141" s="49">
        <f t="shared" si="410"/>
        <v>0</v>
      </c>
      <c r="BY141" s="49">
        <f t="shared" si="411"/>
        <v>0</v>
      </c>
      <c r="BZ141" s="49">
        <f t="shared" si="412"/>
        <v>550221.56169750006</v>
      </c>
      <c r="CA141" s="49">
        <f t="shared" si="413"/>
        <v>0</v>
      </c>
      <c r="CB141" s="49">
        <f t="shared" si="414"/>
        <v>0</v>
      </c>
      <c r="CC141" s="49">
        <f t="shared" si="415"/>
        <v>123298.9494</v>
      </c>
      <c r="CD141" s="49">
        <f t="shared" si="416"/>
        <v>0</v>
      </c>
      <c r="CE141" s="49">
        <f t="shared" si="417"/>
        <v>0</v>
      </c>
      <c r="CF141" s="49">
        <f t="shared" si="418"/>
        <v>123298.9494</v>
      </c>
      <c r="CG141" s="49">
        <f t="shared" si="419"/>
        <v>0</v>
      </c>
      <c r="CH141" s="49">
        <f t="shared" si="420"/>
        <v>0</v>
      </c>
      <c r="CI141" s="49">
        <f t="shared" si="421"/>
        <v>164398.5992</v>
      </c>
      <c r="CJ141" s="49">
        <f t="shared" si="422"/>
        <v>0</v>
      </c>
      <c r="CK141" s="49">
        <f t="shared" si="423"/>
        <v>0</v>
      </c>
      <c r="CL141" s="49">
        <f t="shared" si="424"/>
        <v>164398.5992</v>
      </c>
      <c r="CM141" s="49">
        <f t="shared" si="425"/>
        <v>0</v>
      </c>
      <c r="CN141" s="49">
        <f t="shared" si="426"/>
        <v>0</v>
      </c>
      <c r="CO141" s="49">
        <f t="shared" si="427"/>
        <v>1625593.8987145002</v>
      </c>
      <c r="CP141" s="49">
        <f t="shared" si="428"/>
        <v>0</v>
      </c>
      <c r="CQ141" s="49">
        <f t="shared" si="429"/>
        <v>0</v>
      </c>
      <c r="CR141" s="81">
        <f t="shared" si="430"/>
        <v>1625593.8987145002</v>
      </c>
      <c r="CS141" s="80">
        <f t="shared" si="431"/>
        <v>2484371.0812855</v>
      </c>
      <c r="CT141" s="54"/>
      <c r="CU141" s="3" t="str">
        <f t="shared" si="432"/>
        <v>ARS</v>
      </c>
      <c r="CV141" s="3">
        <f>VLOOKUP(CU141,DF:DG,2,0)</f>
        <v>6.9185169999999997E-4</v>
      </c>
      <c r="CW141" s="23">
        <f t="shared" si="433"/>
        <v>2843.4862583534659</v>
      </c>
      <c r="CX141" s="23">
        <f t="shared" si="434"/>
        <v>118.43120266042186</v>
      </c>
      <c r="CY141" s="23">
        <f t="shared" si="435"/>
        <v>426.52293875301984</v>
      </c>
      <c r="CZ141" s="23">
        <f t="shared" si="436"/>
        <v>380.67172283707026</v>
      </c>
      <c r="DA141" s="23">
        <f t="shared" si="437"/>
        <v>85.304587750603972</v>
      </c>
      <c r="DB141" s="23">
        <f t="shared" si="438"/>
        <v>113.73945033413864</v>
      </c>
      <c r="DC141" s="23">
        <f t="shared" si="439"/>
        <v>1718.8163560182113</v>
      </c>
      <c r="DD141" s="34" t="str">
        <f>VLOOKUP(A141,'Billing Report'!H:I,2,FALSE)</f>
        <v>2026_MODO_BRANDING_PROMO_COTO_GEO_TWITTER_NU_AW_ENE</v>
      </c>
      <c r="DE141" s="34"/>
      <c r="DF141" s="61"/>
      <c r="DG141" s="62"/>
      <c r="DH141"/>
      <c r="DI141" s="41"/>
      <c r="DJ141" s="41"/>
    </row>
    <row r="142" spans="1:114" ht="14.5" x14ac:dyDescent="0.35">
      <c r="A142" s="63">
        <v>40996821</v>
      </c>
      <c r="B142" s="3" t="s">
        <v>704</v>
      </c>
      <c r="C142" s="3">
        <v>323167301</v>
      </c>
      <c r="D142" s="3" t="s">
        <v>93</v>
      </c>
      <c r="G142" s="38">
        <v>148429.29999999999</v>
      </c>
      <c r="J142" s="33">
        <f>VLOOKUP($B142,'IMS Commission List'!E:CE,79,0)/100</f>
        <v>0.15</v>
      </c>
      <c r="K142" s="79">
        <f t="shared" si="352"/>
        <v>148429.29999999999</v>
      </c>
      <c r="L142" s="3" t="str">
        <f>VLOOKUP($B142,'IMS Commission List'!E:V,18,0)</f>
        <v>ARS</v>
      </c>
      <c r="M142" s="3">
        <v>1</v>
      </c>
      <c r="N142" s="3" t="str">
        <f>VLOOKUP($B142,'IMS Commission List'!E:T,16,0)</f>
        <v>MX</v>
      </c>
      <c r="O142" s="54">
        <f>VLOOKUP($B142,'IMS Commission List'!E:CF,80,0)</f>
        <v>4.9000000000000002E-2</v>
      </c>
      <c r="P142" s="54">
        <f>VLOOKUP($B142,'IMS Commission List'!E:CG,81,0)</f>
        <v>0.1575</v>
      </c>
      <c r="Q142" s="54">
        <f>VLOOKUP($B142,'IMS Commission List'!E:CP,90,0)</f>
        <v>0.03</v>
      </c>
      <c r="R142" s="54">
        <f>VLOOKUP($B142,'IMS Commission List'!E:CQ,91,0)</f>
        <v>0.04</v>
      </c>
      <c r="S142" s="47">
        <f t="shared" si="353"/>
        <v>0</v>
      </c>
      <c r="T142" s="48">
        <f t="shared" si="354"/>
        <v>0</v>
      </c>
      <c r="U142" s="48">
        <f t="shared" si="355"/>
        <v>148429.29999999999</v>
      </c>
      <c r="V142" s="48">
        <f t="shared" si="356"/>
        <v>0</v>
      </c>
      <c r="W142" s="48">
        <f t="shared" si="357"/>
        <v>0</v>
      </c>
      <c r="X142" s="49">
        <f t="shared" si="358"/>
        <v>148429.29999999999</v>
      </c>
      <c r="Y142" s="49">
        <f t="shared" si="359"/>
        <v>0</v>
      </c>
      <c r="Z142" s="49">
        <f t="shared" si="360"/>
        <v>0</v>
      </c>
      <c r="AA142" s="49">
        <f t="shared" si="361"/>
        <v>6182.0803449999994</v>
      </c>
      <c r="AB142" s="49">
        <f t="shared" si="362"/>
        <v>0</v>
      </c>
      <c r="AC142" s="49">
        <f t="shared" si="363"/>
        <v>0</v>
      </c>
      <c r="AD142" s="49">
        <f t="shared" si="364"/>
        <v>6182.0803449999994</v>
      </c>
      <c r="AE142" s="49">
        <f t="shared" si="365"/>
        <v>0</v>
      </c>
      <c r="AF142" s="49">
        <f t="shared" si="366"/>
        <v>0</v>
      </c>
      <c r="AG142" s="49">
        <f t="shared" si="367"/>
        <v>22264.394999999997</v>
      </c>
      <c r="AH142" s="49">
        <f t="shared" si="368"/>
        <v>0</v>
      </c>
      <c r="AI142" s="49">
        <f t="shared" si="369"/>
        <v>0</v>
      </c>
      <c r="AJ142" s="49">
        <f t="shared" si="370"/>
        <v>22264.394999999997</v>
      </c>
      <c r="AK142" s="49">
        <f t="shared" si="371"/>
        <v>0</v>
      </c>
      <c r="AL142" s="49">
        <f t="shared" si="372"/>
        <v>0</v>
      </c>
      <c r="AM142" s="49">
        <f t="shared" si="373"/>
        <v>19870.972537499998</v>
      </c>
      <c r="AN142" s="49">
        <f t="shared" si="374"/>
        <v>0</v>
      </c>
      <c r="AO142" s="49">
        <f t="shared" si="375"/>
        <v>0</v>
      </c>
      <c r="AP142" s="49">
        <f t="shared" si="376"/>
        <v>19870.972537499998</v>
      </c>
      <c r="AQ142" s="49">
        <f t="shared" si="377"/>
        <v>0</v>
      </c>
      <c r="AR142" s="49">
        <f t="shared" si="378"/>
        <v>0</v>
      </c>
      <c r="AS142" s="49">
        <f t="shared" si="379"/>
        <v>4452.8789999999999</v>
      </c>
      <c r="AT142" s="49">
        <f t="shared" si="380"/>
        <v>0</v>
      </c>
      <c r="AU142" s="49">
        <f t="shared" si="381"/>
        <v>0</v>
      </c>
      <c r="AV142" s="49">
        <f t="shared" si="382"/>
        <v>4452.8789999999999</v>
      </c>
      <c r="AW142" s="49">
        <f t="shared" si="383"/>
        <v>0</v>
      </c>
      <c r="AX142" s="49">
        <f t="shared" si="384"/>
        <v>0</v>
      </c>
      <c r="AY142" s="49">
        <f t="shared" si="385"/>
        <v>5937.1719999999996</v>
      </c>
      <c r="AZ142" s="49">
        <f t="shared" si="386"/>
        <v>0</v>
      </c>
      <c r="BA142" s="49">
        <f t="shared" si="387"/>
        <v>0</v>
      </c>
      <c r="BB142" s="49">
        <f t="shared" si="388"/>
        <v>5937.1719999999996</v>
      </c>
      <c r="BC142" s="49">
        <f t="shared" si="389"/>
        <v>0</v>
      </c>
      <c r="BD142" s="49">
        <f t="shared" si="390"/>
        <v>0</v>
      </c>
      <c r="BE142" s="49">
        <f t="shared" si="391"/>
        <v>58707.498882499996</v>
      </c>
      <c r="BF142" s="49">
        <f t="shared" si="392"/>
        <v>0</v>
      </c>
      <c r="BG142" s="49">
        <f t="shared" si="393"/>
        <v>0</v>
      </c>
      <c r="BH142" s="49">
        <f t="shared" si="394"/>
        <v>58707.498882499996</v>
      </c>
      <c r="BI142" s="49">
        <f t="shared" si="395"/>
        <v>0</v>
      </c>
      <c r="BJ142" s="49">
        <f t="shared" si="396"/>
        <v>0</v>
      </c>
      <c r="BK142" s="49">
        <f t="shared" si="397"/>
        <v>6182.0803449999994</v>
      </c>
      <c r="BL142" s="49">
        <f t="shared" si="398"/>
        <v>0</v>
      </c>
      <c r="BM142" s="49">
        <f t="shared" si="399"/>
        <v>0</v>
      </c>
      <c r="BN142" s="49">
        <f t="shared" si="400"/>
        <v>6182.0803449999994</v>
      </c>
      <c r="BO142" s="49">
        <f t="shared" si="401"/>
        <v>0</v>
      </c>
      <c r="BP142" s="49">
        <f t="shared" si="402"/>
        <v>0</v>
      </c>
      <c r="BQ142" s="49">
        <f t="shared" si="403"/>
        <v>22264.394999999997</v>
      </c>
      <c r="BR142" s="49">
        <f t="shared" si="404"/>
        <v>0</v>
      </c>
      <c r="BS142" s="49">
        <f t="shared" si="405"/>
        <v>0</v>
      </c>
      <c r="BT142" s="49">
        <f t="shared" si="406"/>
        <v>22264.394999999997</v>
      </c>
      <c r="BU142" s="49">
        <f t="shared" si="407"/>
        <v>0</v>
      </c>
      <c r="BV142" s="49">
        <f t="shared" si="408"/>
        <v>0</v>
      </c>
      <c r="BW142" s="49">
        <f t="shared" si="409"/>
        <v>19870.972537499998</v>
      </c>
      <c r="BX142" s="49">
        <f t="shared" si="410"/>
        <v>0</v>
      </c>
      <c r="BY142" s="49">
        <f t="shared" si="411"/>
        <v>0</v>
      </c>
      <c r="BZ142" s="49">
        <f t="shared" si="412"/>
        <v>19870.972537499998</v>
      </c>
      <c r="CA142" s="49">
        <f t="shared" si="413"/>
        <v>0</v>
      </c>
      <c r="CB142" s="49">
        <f t="shared" si="414"/>
        <v>0</v>
      </c>
      <c r="CC142" s="49">
        <f t="shared" si="415"/>
        <v>4452.8789999999999</v>
      </c>
      <c r="CD142" s="49">
        <f t="shared" si="416"/>
        <v>0</v>
      </c>
      <c r="CE142" s="49">
        <f t="shared" si="417"/>
        <v>0</v>
      </c>
      <c r="CF142" s="49">
        <f t="shared" si="418"/>
        <v>4452.8789999999999</v>
      </c>
      <c r="CG142" s="49">
        <f t="shared" si="419"/>
        <v>0</v>
      </c>
      <c r="CH142" s="49">
        <f t="shared" si="420"/>
        <v>0</v>
      </c>
      <c r="CI142" s="49">
        <f t="shared" si="421"/>
        <v>5937.1719999999996</v>
      </c>
      <c r="CJ142" s="49">
        <f t="shared" si="422"/>
        <v>0</v>
      </c>
      <c r="CK142" s="49">
        <f t="shared" si="423"/>
        <v>0</v>
      </c>
      <c r="CL142" s="49">
        <f t="shared" si="424"/>
        <v>5937.1719999999996</v>
      </c>
      <c r="CM142" s="49">
        <f t="shared" si="425"/>
        <v>0</v>
      </c>
      <c r="CN142" s="49">
        <f t="shared" si="426"/>
        <v>0</v>
      </c>
      <c r="CO142" s="49">
        <f t="shared" si="427"/>
        <v>58707.498882499996</v>
      </c>
      <c r="CP142" s="49">
        <f t="shared" si="428"/>
        <v>0</v>
      </c>
      <c r="CQ142" s="49">
        <f t="shared" si="429"/>
        <v>0</v>
      </c>
      <c r="CR142" s="81">
        <f t="shared" si="430"/>
        <v>58707.498882499996</v>
      </c>
      <c r="CS142" s="80">
        <f t="shared" si="431"/>
        <v>89721.801117499999</v>
      </c>
      <c r="CT142" s="54"/>
      <c r="CU142" s="3" t="str">
        <f t="shared" si="432"/>
        <v>ARS</v>
      </c>
      <c r="CV142" s="3">
        <f>VLOOKUP(CU142,DF:DG,2,0)</f>
        <v>6.9185169999999997E-4</v>
      </c>
      <c r="CW142" s="23">
        <f t="shared" si="433"/>
        <v>102.69106353480998</v>
      </c>
      <c r="CX142" s="23">
        <f t="shared" si="434"/>
        <v>4.2770827962248354</v>
      </c>
      <c r="CY142" s="23">
        <f t="shared" si="435"/>
        <v>15.403659530221496</v>
      </c>
      <c r="CZ142" s="23">
        <f t="shared" si="436"/>
        <v>13.747766130722686</v>
      </c>
      <c r="DA142" s="23">
        <f t="shared" si="437"/>
        <v>3.0807319060442997</v>
      </c>
      <c r="DB142" s="23">
        <f t="shared" si="438"/>
        <v>4.1076425413923996</v>
      </c>
      <c r="DC142" s="23">
        <f t="shared" si="439"/>
        <v>62.074180630204275</v>
      </c>
      <c r="DD142" s="34" t="str">
        <f>VLOOKUP(A142,'Billing Report'!H:I,2,FALSE)</f>
        <v>Febbrero Trafico  Expoagro 1</v>
      </c>
      <c r="DE142" s="34"/>
      <c r="DF142" s="61"/>
      <c r="DG142" s="62"/>
      <c r="DH142"/>
      <c r="DI142" s="41"/>
      <c r="DJ142" s="41"/>
    </row>
    <row r="143" spans="1:114" ht="14.5" x14ac:dyDescent="0.35">
      <c r="A143" s="63">
        <v>40969658</v>
      </c>
      <c r="B143" s="3" t="s">
        <v>704</v>
      </c>
      <c r="C143" s="3">
        <v>323167301</v>
      </c>
      <c r="D143" s="3" t="s">
        <v>93</v>
      </c>
      <c r="G143" s="38">
        <v>249999.87</v>
      </c>
      <c r="J143" s="33">
        <f>VLOOKUP($B143,'IMS Commission List'!E:CE,79,0)/100</f>
        <v>0.15</v>
      </c>
      <c r="K143" s="79">
        <f t="shared" si="352"/>
        <v>249999.87</v>
      </c>
      <c r="L143" s="3" t="str">
        <f>VLOOKUP($B143,'IMS Commission List'!E:V,18,0)</f>
        <v>ARS</v>
      </c>
      <c r="M143" s="3">
        <v>1</v>
      </c>
      <c r="N143" s="3" t="str">
        <f>VLOOKUP($B143,'IMS Commission List'!E:T,16,0)</f>
        <v>MX</v>
      </c>
      <c r="O143" s="54">
        <f>VLOOKUP($B143,'IMS Commission List'!E:CF,80,0)</f>
        <v>4.9000000000000002E-2</v>
      </c>
      <c r="P143" s="54">
        <f>VLOOKUP($B143,'IMS Commission List'!E:CG,81,0)</f>
        <v>0.1575</v>
      </c>
      <c r="Q143" s="54">
        <f>VLOOKUP($B143,'IMS Commission List'!E:CP,90,0)</f>
        <v>0.03</v>
      </c>
      <c r="R143" s="54">
        <f>VLOOKUP($B143,'IMS Commission List'!E:CQ,91,0)</f>
        <v>0.04</v>
      </c>
      <c r="S143" s="47">
        <f t="shared" si="353"/>
        <v>0</v>
      </c>
      <c r="T143" s="48">
        <f t="shared" si="354"/>
        <v>0</v>
      </c>
      <c r="U143" s="48">
        <f t="shared" si="355"/>
        <v>249999.87</v>
      </c>
      <c r="V143" s="48">
        <f t="shared" si="356"/>
        <v>0</v>
      </c>
      <c r="W143" s="48">
        <f t="shared" si="357"/>
        <v>0</v>
      </c>
      <c r="X143" s="49">
        <f t="shared" si="358"/>
        <v>249999.87</v>
      </c>
      <c r="Y143" s="49">
        <f t="shared" si="359"/>
        <v>0</v>
      </c>
      <c r="Z143" s="49">
        <f t="shared" si="360"/>
        <v>0</v>
      </c>
      <c r="AA143" s="49">
        <f t="shared" si="361"/>
        <v>10412.494585500001</v>
      </c>
      <c r="AB143" s="49">
        <f t="shared" si="362"/>
        <v>0</v>
      </c>
      <c r="AC143" s="49">
        <f t="shared" si="363"/>
        <v>0</v>
      </c>
      <c r="AD143" s="49">
        <f t="shared" si="364"/>
        <v>10412.494585500001</v>
      </c>
      <c r="AE143" s="49">
        <f t="shared" si="365"/>
        <v>0</v>
      </c>
      <c r="AF143" s="49">
        <f t="shared" si="366"/>
        <v>0</v>
      </c>
      <c r="AG143" s="49">
        <f t="shared" si="367"/>
        <v>37499.980499999998</v>
      </c>
      <c r="AH143" s="49">
        <f t="shared" si="368"/>
        <v>0</v>
      </c>
      <c r="AI143" s="49">
        <f t="shared" si="369"/>
        <v>0</v>
      </c>
      <c r="AJ143" s="49">
        <f t="shared" si="370"/>
        <v>37499.980499999998</v>
      </c>
      <c r="AK143" s="49">
        <f t="shared" si="371"/>
        <v>0</v>
      </c>
      <c r="AL143" s="49">
        <f t="shared" si="372"/>
        <v>0</v>
      </c>
      <c r="AM143" s="49">
        <f t="shared" si="373"/>
        <v>33468.732596250004</v>
      </c>
      <c r="AN143" s="49">
        <f t="shared" si="374"/>
        <v>0</v>
      </c>
      <c r="AO143" s="49">
        <f t="shared" si="375"/>
        <v>0</v>
      </c>
      <c r="AP143" s="49">
        <f t="shared" si="376"/>
        <v>33468.732596250004</v>
      </c>
      <c r="AQ143" s="49">
        <f t="shared" si="377"/>
        <v>0</v>
      </c>
      <c r="AR143" s="49">
        <f t="shared" si="378"/>
        <v>0</v>
      </c>
      <c r="AS143" s="49">
        <f t="shared" si="379"/>
        <v>7499.9960999999994</v>
      </c>
      <c r="AT143" s="49">
        <f t="shared" si="380"/>
        <v>0</v>
      </c>
      <c r="AU143" s="49">
        <f t="shared" si="381"/>
        <v>0</v>
      </c>
      <c r="AV143" s="49">
        <f t="shared" si="382"/>
        <v>7499.9960999999994</v>
      </c>
      <c r="AW143" s="49">
        <f t="shared" si="383"/>
        <v>0</v>
      </c>
      <c r="AX143" s="49">
        <f t="shared" si="384"/>
        <v>0</v>
      </c>
      <c r="AY143" s="49">
        <f t="shared" si="385"/>
        <v>9999.9948000000004</v>
      </c>
      <c r="AZ143" s="49">
        <f t="shared" si="386"/>
        <v>0</v>
      </c>
      <c r="BA143" s="49">
        <f t="shared" si="387"/>
        <v>0</v>
      </c>
      <c r="BB143" s="49">
        <f t="shared" si="388"/>
        <v>9999.9948000000004</v>
      </c>
      <c r="BC143" s="49">
        <f t="shared" si="389"/>
        <v>0</v>
      </c>
      <c r="BD143" s="49">
        <f t="shared" si="390"/>
        <v>0</v>
      </c>
      <c r="BE143" s="49">
        <f t="shared" si="391"/>
        <v>98881.19858175001</v>
      </c>
      <c r="BF143" s="49">
        <f t="shared" si="392"/>
        <v>0</v>
      </c>
      <c r="BG143" s="49">
        <f t="shared" si="393"/>
        <v>0</v>
      </c>
      <c r="BH143" s="49">
        <f t="shared" si="394"/>
        <v>98881.19858175001</v>
      </c>
      <c r="BI143" s="49">
        <f t="shared" si="395"/>
        <v>0</v>
      </c>
      <c r="BJ143" s="49">
        <f t="shared" si="396"/>
        <v>0</v>
      </c>
      <c r="BK143" s="49">
        <f t="shared" si="397"/>
        <v>10412.494585500001</v>
      </c>
      <c r="BL143" s="49">
        <f t="shared" si="398"/>
        <v>0</v>
      </c>
      <c r="BM143" s="49">
        <f t="shared" si="399"/>
        <v>0</v>
      </c>
      <c r="BN143" s="49">
        <f t="shared" si="400"/>
        <v>10412.494585500001</v>
      </c>
      <c r="BO143" s="49">
        <f t="shared" si="401"/>
        <v>0</v>
      </c>
      <c r="BP143" s="49">
        <f t="shared" si="402"/>
        <v>0</v>
      </c>
      <c r="BQ143" s="49">
        <f t="shared" si="403"/>
        <v>37499.980499999998</v>
      </c>
      <c r="BR143" s="49">
        <f t="shared" si="404"/>
        <v>0</v>
      </c>
      <c r="BS143" s="49">
        <f t="shared" si="405"/>
        <v>0</v>
      </c>
      <c r="BT143" s="49">
        <f t="shared" si="406"/>
        <v>37499.980499999998</v>
      </c>
      <c r="BU143" s="49">
        <f t="shared" si="407"/>
        <v>0</v>
      </c>
      <c r="BV143" s="49">
        <f t="shared" si="408"/>
        <v>0</v>
      </c>
      <c r="BW143" s="49">
        <f t="shared" si="409"/>
        <v>33468.732596250004</v>
      </c>
      <c r="BX143" s="49">
        <f t="shared" si="410"/>
        <v>0</v>
      </c>
      <c r="BY143" s="49">
        <f t="shared" si="411"/>
        <v>0</v>
      </c>
      <c r="BZ143" s="49">
        <f t="shared" si="412"/>
        <v>33468.732596250004</v>
      </c>
      <c r="CA143" s="49">
        <f t="shared" si="413"/>
        <v>0</v>
      </c>
      <c r="CB143" s="49">
        <f t="shared" si="414"/>
        <v>0</v>
      </c>
      <c r="CC143" s="49">
        <f t="shared" si="415"/>
        <v>7499.9960999999994</v>
      </c>
      <c r="CD143" s="49">
        <f t="shared" si="416"/>
        <v>0</v>
      </c>
      <c r="CE143" s="49">
        <f t="shared" si="417"/>
        <v>0</v>
      </c>
      <c r="CF143" s="49">
        <f t="shared" si="418"/>
        <v>7499.9960999999994</v>
      </c>
      <c r="CG143" s="49">
        <f t="shared" si="419"/>
        <v>0</v>
      </c>
      <c r="CH143" s="49">
        <f t="shared" si="420"/>
        <v>0</v>
      </c>
      <c r="CI143" s="49">
        <f t="shared" si="421"/>
        <v>9999.9948000000004</v>
      </c>
      <c r="CJ143" s="49">
        <f t="shared" si="422"/>
        <v>0</v>
      </c>
      <c r="CK143" s="49">
        <f t="shared" si="423"/>
        <v>0</v>
      </c>
      <c r="CL143" s="49">
        <f t="shared" si="424"/>
        <v>9999.9948000000004</v>
      </c>
      <c r="CM143" s="49">
        <f t="shared" si="425"/>
        <v>0</v>
      </c>
      <c r="CN143" s="49">
        <f t="shared" si="426"/>
        <v>0</v>
      </c>
      <c r="CO143" s="49">
        <f t="shared" si="427"/>
        <v>98881.19858175001</v>
      </c>
      <c r="CP143" s="49">
        <f t="shared" si="428"/>
        <v>0</v>
      </c>
      <c r="CQ143" s="49">
        <f t="shared" si="429"/>
        <v>0</v>
      </c>
      <c r="CR143" s="81">
        <f t="shared" si="430"/>
        <v>98881.19858175001</v>
      </c>
      <c r="CS143" s="80">
        <f t="shared" si="431"/>
        <v>151118.67141824999</v>
      </c>
      <c r="CT143" s="54"/>
      <c r="CU143" s="3" t="str">
        <f t="shared" si="432"/>
        <v>ARS</v>
      </c>
      <c r="CV143" s="3">
        <f>VLOOKUP(CU143,DF:DG,2,0)</f>
        <v>6.9185169999999997E-4</v>
      </c>
      <c r="CW143" s="23">
        <f t="shared" si="433"/>
        <v>172.962835059279</v>
      </c>
      <c r="CX143" s="23">
        <f t="shared" si="434"/>
        <v>7.2039020802189704</v>
      </c>
      <c r="CY143" s="23">
        <f t="shared" si="435"/>
        <v>25.944425258891847</v>
      </c>
      <c r="CZ143" s="23">
        <f t="shared" si="436"/>
        <v>23.155399543560979</v>
      </c>
      <c r="DA143" s="23">
        <f t="shared" si="437"/>
        <v>5.1888850517783691</v>
      </c>
      <c r="DB143" s="23">
        <f t="shared" si="438"/>
        <v>6.9185134023711603</v>
      </c>
      <c r="DC143" s="23">
        <f t="shared" si="439"/>
        <v>104.55170972245766</v>
      </c>
      <c r="DD143" s="34" t="str">
        <f>VLOOKUP(A143,'Billing Report'!H:I,2,FALSE)</f>
        <v>Febbrero Trafico Centro de ayuda</v>
      </c>
      <c r="DE143" s="34"/>
      <c r="DF143" s="61"/>
      <c r="DG143" s="62"/>
      <c r="DH143"/>
      <c r="DI143" s="41"/>
      <c r="DJ143" s="41"/>
    </row>
    <row r="144" spans="1:114" ht="14.5" x14ac:dyDescent="0.35">
      <c r="A144" s="63">
        <v>40969650</v>
      </c>
      <c r="B144" s="3" t="s">
        <v>704</v>
      </c>
      <c r="C144" s="3">
        <v>323167301</v>
      </c>
      <c r="D144" s="3" t="s">
        <v>93</v>
      </c>
      <c r="G144" s="38">
        <v>95.44</v>
      </c>
      <c r="J144" s="33">
        <f>VLOOKUP($B144,'IMS Commission List'!E:CE,79,0)/100</f>
        <v>0.15</v>
      </c>
      <c r="K144" s="79">
        <f t="shared" si="352"/>
        <v>95.44</v>
      </c>
      <c r="L144" s="3" t="str">
        <f>VLOOKUP($B144,'IMS Commission List'!E:V,18,0)</f>
        <v>ARS</v>
      </c>
      <c r="M144" s="3">
        <v>1</v>
      </c>
      <c r="N144" s="3" t="str">
        <f>VLOOKUP($B144,'IMS Commission List'!E:T,16,0)</f>
        <v>MX</v>
      </c>
      <c r="O144" s="54">
        <f>VLOOKUP($B144,'IMS Commission List'!E:CF,80,0)</f>
        <v>4.9000000000000002E-2</v>
      </c>
      <c r="P144" s="54">
        <f>VLOOKUP($B144,'IMS Commission List'!E:CG,81,0)</f>
        <v>0.1575</v>
      </c>
      <c r="Q144" s="54">
        <f>VLOOKUP($B144,'IMS Commission List'!E:CP,90,0)</f>
        <v>0.03</v>
      </c>
      <c r="R144" s="54">
        <f>VLOOKUP($B144,'IMS Commission List'!E:CQ,91,0)</f>
        <v>0.04</v>
      </c>
      <c r="S144" s="47">
        <f t="shared" si="353"/>
        <v>0</v>
      </c>
      <c r="T144" s="48">
        <f t="shared" si="354"/>
        <v>0</v>
      </c>
      <c r="U144" s="48">
        <f t="shared" si="355"/>
        <v>95.44</v>
      </c>
      <c r="V144" s="48">
        <f t="shared" si="356"/>
        <v>0</v>
      </c>
      <c r="W144" s="48">
        <f t="shared" si="357"/>
        <v>0</v>
      </c>
      <c r="X144" s="49">
        <f t="shared" si="358"/>
        <v>95.44</v>
      </c>
      <c r="Y144" s="49">
        <f t="shared" si="359"/>
        <v>0</v>
      </c>
      <c r="Z144" s="49">
        <f t="shared" si="360"/>
        <v>0</v>
      </c>
      <c r="AA144" s="49">
        <f t="shared" si="361"/>
        <v>3.9750760000000001</v>
      </c>
      <c r="AB144" s="49">
        <f t="shared" si="362"/>
        <v>0</v>
      </c>
      <c r="AC144" s="49">
        <f t="shared" si="363"/>
        <v>0</v>
      </c>
      <c r="AD144" s="49">
        <f t="shared" si="364"/>
        <v>3.9750760000000001</v>
      </c>
      <c r="AE144" s="49">
        <f t="shared" si="365"/>
        <v>0</v>
      </c>
      <c r="AF144" s="49">
        <f t="shared" si="366"/>
        <v>0</v>
      </c>
      <c r="AG144" s="49">
        <f t="shared" si="367"/>
        <v>14.315999999999999</v>
      </c>
      <c r="AH144" s="49">
        <f t="shared" si="368"/>
        <v>0</v>
      </c>
      <c r="AI144" s="49">
        <f t="shared" si="369"/>
        <v>0</v>
      </c>
      <c r="AJ144" s="49">
        <f t="shared" si="370"/>
        <v>14.315999999999999</v>
      </c>
      <c r="AK144" s="49">
        <f t="shared" si="371"/>
        <v>0</v>
      </c>
      <c r="AL144" s="49">
        <f t="shared" si="372"/>
        <v>0</v>
      </c>
      <c r="AM144" s="49">
        <f t="shared" si="373"/>
        <v>12.77703</v>
      </c>
      <c r="AN144" s="49">
        <f t="shared" si="374"/>
        <v>0</v>
      </c>
      <c r="AO144" s="49">
        <f t="shared" si="375"/>
        <v>0</v>
      </c>
      <c r="AP144" s="49">
        <f t="shared" si="376"/>
        <v>12.77703</v>
      </c>
      <c r="AQ144" s="49">
        <f t="shared" si="377"/>
        <v>0</v>
      </c>
      <c r="AR144" s="49">
        <f t="shared" si="378"/>
        <v>0</v>
      </c>
      <c r="AS144" s="49">
        <f t="shared" si="379"/>
        <v>2.8632</v>
      </c>
      <c r="AT144" s="49">
        <f t="shared" si="380"/>
        <v>0</v>
      </c>
      <c r="AU144" s="49">
        <f t="shared" si="381"/>
        <v>0</v>
      </c>
      <c r="AV144" s="49">
        <f t="shared" si="382"/>
        <v>2.8632</v>
      </c>
      <c r="AW144" s="49">
        <f t="shared" si="383"/>
        <v>0</v>
      </c>
      <c r="AX144" s="49">
        <f t="shared" si="384"/>
        <v>0</v>
      </c>
      <c r="AY144" s="49">
        <f t="shared" si="385"/>
        <v>3.8176000000000001</v>
      </c>
      <c r="AZ144" s="49">
        <f t="shared" si="386"/>
        <v>0</v>
      </c>
      <c r="BA144" s="49">
        <f t="shared" si="387"/>
        <v>0</v>
      </c>
      <c r="BB144" s="49">
        <f t="shared" si="388"/>
        <v>3.8176000000000001</v>
      </c>
      <c r="BC144" s="49">
        <f t="shared" si="389"/>
        <v>0</v>
      </c>
      <c r="BD144" s="49">
        <f t="shared" si="390"/>
        <v>0</v>
      </c>
      <c r="BE144" s="49">
        <f t="shared" si="391"/>
        <v>37.748905999999998</v>
      </c>
      <c r="BF144" s="49">
        <f t="shared" si="392"/>
        <v>0</v>
      </c>
      <c r="BG144" s="49">
        <f t="shared" si="393"/>
        <v>0</v>
      </c>
      <c r="BH144" s="49">
        <f t="shared" si="394"/>
        <v>37.748905999999998</v>
      </c>
      <c r="BI144" s="49">
        <f t="shared" si="395"/>
        <v>0</v>
      </c>
      <c r="BJ144" s="49">
        <f t="shared" si="396"/>
        <v>0</v>
      </c>
      <c r="BK144" s="49">
        <f t="shared" si="397"/>
        <v>3.9750760000000001</v>
      </c>
      <c r="BL144" s="49">
        <f t="shared" si="398"/>
        <v>0</v>
      </c>
      <c r="BM144" s="49">
        <f t="shared" si="399"/>
        <v>0</v>
      </c>
      <c r="BN144" s="49">
        <f t="shared" si="400"/>
        <v>3.9750760000000001</v>
      </c>
      <c r="BO144" s="49">
        <f t="shared" si="401"/>
        <v>0</v>
      </c>
      <c r="BP144" s="49">
        <f t="shared" si="402"/>
        <v>0</v>
      </c>
      <c r="BQ144" s="49">
        <f t="shared" si="403"/>
        <v>14.315999999999999</v>
      </c>
      <c r="BR144" s="49">
        <f t="shared" si="404"/>
        <v>0</v>
      </c>
      <c r="BS144" s="49">
        <f t="shared" si="405"/>
        <v>0</v>
      </c>
      <c r="BT144" s="49">
        <f t="shared" si="406"/>
        <v>14.315999999999999</v>
      </c>
      <c r="BU144" s="49">
        <f t="shared" si="407"/>
        <v>0</v>
      </c>
      <c r="BV144" s="49">
        <f t="shared" si="408"/>
        <v>0</v>
      </c>
      <c r="BW144" s="49">
        <f t="shared" si="409"/>
        <v>12.77703</v>
      </c>
      <c r="BX144" s="49">
        <f t="shared" si="410"/>
        <v>0</v>
      </c>
      <c r="BY144" s="49">
        <f t="shared" si="411"/>
        <v>0</v>
      </c>
      <c r="BZ144" s="49">
        <f t="shared" si="412"/>
        <v>12.77703</v>
      </c>
      <c r="CA144" s="49">
        <f t="shared" si="413"/>
        <v>0</v>
      </c>
      <c r="CB144" s="49">
        <f t="shared" si="414"/>
        <v>0</v>
      </c>
      <c r="CC144" s="49">
        <f t="shared" si="415"/>
        <v>2.8632</v>
      </c>
      <c r="CD144" s="49">
        <f t="shared" si="416"/>
        <v>0</v>
      </c>
      <c r="CE144" s="49">
        <f t="shared" si="417"/>
        <v>0</v>
      </c>
      <c r="CF144" s="49">
        <f t="shared" si="418"/>
        <v>2.8632</v>
      </c>
      <c r="CG144" s="49">
        <f t="shared" si="419"/>
        <v>0</v>
      </c>
      <c r="CH144" s="49">
        <f t="shared" si="420"/>
        <v>0</v>
      </c>
      <c r="CI144" s="49">
        <f t="shared" si="421"/>
        <v>3.8176000000000001</v>
      </c>
      <c r="CJ144" s="49">
        <f t="shared" si="422"/>
        <v>0</v>
      </c>
      <c r="CK144" s="49">
        <f t="shared" si="423"/>
        <v>0</v>
      </c>
      <c r="CL144" s="49">
        <f t="shared" si="424"/>
        <v>3.8176000000000001</v>
      </c>
      <c r="CM144" s="49">
        <f t="shared" si="425"/>
        <v>0</v>
      </c>
      <c r="CN144" s="49">
        <f t="shared" si="426"/>
        <v>0</v>
      </c>
      <c r="CO144" s="49">
        <f t="shared" si="427"/>
        <v>37.748905999999998</v>
      </c>
      <c r="CP144" s="49">
        <f t="shared" si="428"/>
        <v>0</v>
      </c>
      <c r="CQ144" s="49">
        <f t="shared" si="429"/>
        <v>0</v>
      </c>
      <c r="CR144" s="81">
        <f t="shared" si="430"/>
        <v>37.748905999999998</v>
      </c>
      <c r="CS144" s="80">
        <f t="shared" si="431"/>
        <v>57.691094</v>
      </c>
      <c r="CT144" s="54"/>
      <c r="CU144" s="3" t="str">
        <f t="shared" si="432"/>
        <v>ARS</v>
      </c>
      <c r="CV144" s="3">
        <f>VLOOKUP(CU144,DF:DG,2,0)</f>
        <v>6.9185169999999997E-4</v>
      </c>
      <c r="CW144" s="23">
        <f t="shared" si="433"/>
        <v>6.6030326247999996E-2</v>
      </c>
      <c r="CX144" s="23">
        <f t="shared" si="434"/>
        <v>2.7501630882291999E-3</v>
      </c>
      <c r="CY144" s="23">
        <f t="shared" si="435"/>
        <v>9.904548937199999E-3</v>
      </c>
      <c r="CZ144" s="23">
        <f t="shared" si="436"/>
        <v>8.8398099264509998E-3</v>
      </c>
      <c r="DA144" s="23">
        <f t="shared" si="437"/>
        <v>1.9809097874399998E-3</v>
      </c>
      <c r="DB144" s="23">
        <f t="shared" si="438"/>
        <v>2.6412130499199999E-3</v>
      </c>
      <c r="DC144" s="23">
        <f t="shared" si="439"/>
        <v>3.99136814587598E-2</v>
      </c>
      <c r="DD144" s="34" t="str">
        <f>VLOOKUP(A144,'Billing Report'!H:I,2,FALSE)</f>
        <v>Awareness  Febrero 2026 Centro de ayuda</v>
      </c>
      <c r="DE144" s="34"/>
      <c r="DF144" s="61"/>
      <c r="DG144" s="62"/>
      <c r="DH144"/>
      <c r="DI144" s="41"/>
      <c r="DJ144" s="41"/>
    </row>
    <row r="145" spans="1:114" ht="14.5" x14ac:dyDescent="0.35">
      <c r="A145" s="63">
        <v>40915378</v>
      </c>
      <c r="B145" s="3" t="s">
        <v>704</v>
      </c>
      <c r="C145" s="3">
        <v>323167301</v>
      </c>
      <c r="D145" s="3" t="s">
        <v>93</v>
      </c>
      <c r="G145" s="38">
        <v>250000</v>
      </c>
      <c r="J145" s="33">
        <f>VLOOKUP($B145,'IMS Commission List'!E:CE,79,0)/100</f>
        <v>0.15</v>
      </c>
      <c r="K145" s="79">
        <f t="shared" si="352"/>
        <v>250000</v>
      </c>
      <c r="L145" s="3" t="str">
        <f>VLOOKUP($B145,'IMS Commission List'!E:V,18,0)</f>
        <v>ARS</v>
      </c>
      <c r="M145" s="3">
        <v>1</v>
      </c>
      <c r="N145" s="3" t="str">
        <f>VLOOKUP($B145,'IMS Commission List'!E:T,16,0)</f>
        <v>MX</v>
      </c>
      <c r="O145" s="54">
        <f>VLOOKUP($B145,'IMS Commission List'!E:CF,80,0)</f>
        <v>4.9000000000000002E-2</v>
      </c>
      <c r="P145" s="54">
        <f>VLOOKUP($B145,'IMS Commission List'!E:CG,81,0)</f>
        <v>0.1575</v>
      </c>
      <c r="Q145" s="54">
        <f>VLOOKUP($B145,'IMS Commission List'!E:CP,90,0)</f>
        <v>0.03</v>
      </c>
      <c r="R145" s="54">
        <f>VLOOKUP($B145,'IMS Commission List'!E:CQ,91,0)</f>
        <v>0.04</v>
      </c>
      <c r="S145" s="47">
        <f t="shared" si="353"/>
        <v>0</v>
      </c>
      <c r="T145" s="48">
        <f t="shared" si="354"/>
        <v>0</v>
      </c>
      <c r="U145" s="48">
        <f t="shared" si="355"/>
        <v>250000</v>
      </c>
      <c r="V145" s="48">
        <f t="shared" si="356"/>
        <v>0</v>
      </c>
      <c r="W145" s="48">
        <f t="shared" si="357"/>
        <v>0</v>
      </c>
      <c r="X145" s="49">
        <f t="shared" si="358"/>
        <v>250000</v>
      </c>
      <c r="Y145" s="49">
        <f t="shared" si="359"/>
        <v>0</v>
      </c>
      <c r="Z145" s="49">
        <f t="shared" si="360"/>
        <v>0</v>
      </c>
      <c r="AA145" s="49">
        <f t="shared" si="361"/>
        <v>10412.5</v>
      </c>
      <c r="AB145" s="49">
        <f t="shared" si="362"/>
        <v>0</v>
      </c>
      <c r="AC145" s="49">
        <f t="shared" si="363"/>
        <v>0</v>
      </c>
      <c r="AD145" s="49">
        <f t="shared" si="364"/>
        <v>10412.5</v>
      </c>
      <c r="AE145" s="49">
        <f t="shared" si="365"/>
        <v>0</v>
      </c>
      <c r="AF145" s="49">
        <f t="shared" si="366"/>
        <v>0</v>
      </c>
      <c r="AG145" s="49">
        <f t="shared" si="367"/>
        <v>37500</v>
      </c>
      <c r="AH145" s="49">
        <f t="shared" si="368"/>
        <v>0</v>
      </c>
      <c r="AI145" s="49">
        <f t="shared" si="369"/>
        <v>0</v>
      </c>
      <c r="AJ145" s="49">
        <f t="shared" si="370"/>
        <v>37500</v>
      </c>
      <c r="AK145" s="49">
        <f t="shared" si="371"/>
        <v>0</v>
      </c>
      <c r="AL145" s="49">
        <f t="shared" si="372"/>
        <v>0</v>
      </c>
      <c r="AM145" s="49">
        <f t="shared" si="373"/>
        <v>33468.75</v>
      </c>
      <c r="AN145" s="49">
        <f t="shared" si="374"/>
        <v>0</v>
      </c>
      <c r="AO145" s="49">
        <f t="shared" si="375"/>
        <v>0</v>
      </c>
      <c r="AP145" s="49">
        <f t="shared" si="376"/>
        <v>33468.75</v>
      </c>
      <c r="AQ145" s="49">
        <f t="shared" si="377"/>
        <v>0</v>
      </c>
      <c r="AR145" s="49">
        <f t="shared" si="378"/>
        <v>0</v>
      </c>
      <c r="AS145" s="49">
        <f t="shared" si="379"/>
        <v>7500</v>
      </c>
      <c r="AT145" s="49">
        <f t="shared" si="380"/>
        <v>0</v>
      </c>
      <c r="AU145" s="49">
        <f t="shared" si="381"/>
        <v>0</v>
      </c>
      <c r="AV145" s="49">
        <f t="shared" si="382"/>
        <v>7500</v>
      </c>
      <c r="AW145" s="49">
        <f t="shared" si="383"/>
        <v>0</v>
      </c>
      <c r="AX145" s="49">
        <f t="shared" si="384"/>
        <v>0</v>
      </c>
      <c r="AY145" s="49">
        <f t="shared" si="385"/>
        <v>10000</v>
      </c>
      <c r="AZ145" s="49">
        <f t="shared" si="386"/>
        <v>0</v>
      </c>
      <c r="BA145" s="49">
        <f t="shared" si="387"/>
        <v>0</v>
      </c>
      <c r="BB145" s="49">
        <f t="shared" si="388"/>
        <v>10000</v>
      </c>
      <c r="BC145" s="49">
        <f t="shared" si="389"/>
        <v>0</v>
      </c>
      <c r="BD145" s="49">
        <f t="shared" si="390"/>
        <v>0</v>
      </c>
      <c r="BE145" s="49">
        <f t="shared" si="391"/>
        <v>98881.25</v>
      </c>
      <c r="BF145" s="49">
        <f t="shared" si="392"/>
        <v>0</v>
      </c>
      <c r="BG145" s="49">
        <f t="shared" si="393"/>
        <v>0</v>
      </c>
      <c r="BH145" s="49">
        <f t="shared" si="394"/>
        <v>98881.25</v>
      </c>
      <c r="BI145" s="49">
        <f t="shared" si="395"/>
        <v>0</v>
      </c>
      <c r="BJ145" s="49">
        <f t="shared" si="396"/>
        <v>0</v>
      </c>
      <c r="BK145" s="49">
        <f t="shared" si="397"/>
        <v>10412.5</v>
      </c>
      <c r="BL145" s="49">
        <f t="shared" si="398"/>
        <v>0</v>
      </c>
      <c r="BM145" s="49">
        <f t="shared" si="399"/>
        <v>0</v>
      </c>
      <c r="BN145" s="49">
        <f t="shared" si="400"/>
        <v>10412.5</v>
      </c>
      <c r="BO145" s="49">
        <f t="shared" si="401"/>
        <v>0</v>
      </c>
      <c r="BP145" s="49">
        <f t="shared" si="402"/>
        <v>0</v>
      </c>
      <c r="BQ145" s="49">
        <f t="shared" si="403"/>
        <v>37500</v>
      </c>
      <c r="BR145" s="49">
        <f t="shared" si="404"/>
        <v>0</v>
      </c>
      <c r="BS145" s="49">
        <f t="shared" si="405"/>
        <v>0</v>
      </c>
      <c r="BT145" s="49">
        <f t="shared" si="406"/>
        <v>37500</v>
      </c>
      <c r="BU145" s="49">
        <f t="shared" si="407"/>
        <v>0</v>
      </c>
      <c r="BV145" s="49">
        <f t="shared" si="408"/>
        <v>0</v>
      </c>
      <c r="BW145" s="49">
        <f t="shared" si="409"/>
        <v>33468.75</v>
      </c>
      <c r="BX145" s="49">
        <f t="shared" si="410"/>
        <v>0</v>
      </c>
      <c r="BY145" s="49">
        <f t="shared" si="411"/>
        <v>0</v>
      </c>
      <c r="BZ145" s="49">
        <f t="shared" si="412"/>
        <v>33468.75</v>
      </c>
      <c r="CA145" s="49">
        <f t="shared" si="413"/>
        <v>0</v>
      </c>
      <c r="CB145" s="49">
        <f t="shared" si="414"/>
        <v>0</v>
      </c>
      <c r="CC145" s="49">
        <f t="shared" si="415"/>
        <v>7500</v>
      </c>
      <c r="CD145" s="49">
        <f t="shared" si="416"/>
        <v>0</v>
      </c>
      <c r="CE145" s="49">
        <f t="shared" si="417"/>
        <v>0</v>
      </c>
      <c r="CF145" s="49">
        <f t="shared" si="418"/>
        <v>7500</v>
      </c>
      <c r="CG145" s="49">
        <f t="shared" si="419"/>
        <v>0</v>
      </c>
      <c r="CH145" s="49">
        <f t="shared" si="420"/>
        <v>0</v>
      </c>
      <c r="CI145" s="49">
        <f t="shared" si="421"/>
        <v>10000</v>
      </c>
      <c r="CJ145" s="49">
        <f t="shared" si="422"/>
        <v>0</v>
      </c>
      <c r="CK145" s="49">
        <f t="shared" si="423"/>
        <v>0</v>
      </c>
      <c r="CL145" s="49">
        <f t="shared" si="424"/>
        <v>10000</v>
      </c>
      <c r="CM145" s="49">
        <f t="shared" si="425"/>
        <v>0</v>
      </c>
      <c r="CN145" s="49">
        <f t="shared" si="426"/>
        <v>0</v>
      </c>
      <c r="CO145" s="49">
        <f t="shared" si="427"/>
        <v>98881.25</v>
      </c>
      <c r="CP145" s="49">
        <f t="shared" si="428"/>
        <v>0</v>
      </c>
      <c r="CQ145" s="49">
        <f t="shared" si="429"/>
        <v>0</v>
      </c>
      <c r="CR145" s="81">
        <f t="shared" si="430"/>
        <v>98881.25</v>
      </c>
      <c r="CS145" s="80">
        <f t="shared" si="431"/>
        <v>151118.75</v>
      </c>
      <c r="CT145" s="54"/>
      <c r="CU145" s="3" t="str">
        <f t="shared" si="432"/>
        <v>ARS</v>
      </c>
      <c r="CV145" s="3">
        <f>VLOOKUP(CU145,DF:DG,2,0)</f>
        <v>6.9185169999999997E-4</v>
      </c>
      <c r="CW145" s="23">
        <f t="shared" si="433"/>
        <v>172.96292499999998</v>
      </c>
      <c r="CX145" s="23">
        <f t="shared" si="434"/>
        <v>7.2039058262499998</v>
      </c>
      <c r="CY145" s="23">
        <f t="shared" si="435"/>
        <v>25.94443875</v>
      </c>
      <c r="CZ145" s="23">
        <f t="shared" si="436"/>
        <v>23.155411584374999</v>
      </c>
      <c r="DA145" s="23">
        <f t="shared" si="437"/>
        <v>5.1888877500000001</v>
      </c>
      <c r="DB145" s="23">
        <f t="shared" si="438"/>
        <v>6.9185169999999996</v>
      </c>
      <c r="DC145" s="23">
        <f t="shared" si="439"/>
        <v>104.551764089375</v>
      </c>
      <c r="DD145" s="34" t="str">
        <f>VLOOKUP(A145,'Billing Report'!H:I,2,FALSE)</f>
        <v>Awareness  Febrero 2026 wrapped 2</v>
      </c>
      <c r="DE145" s="34"/>
      <c r="DF145" s="61"/>
      <c r="DG145" s="62"/>
      <c r="DH145"/>
      <c r="DI145" s="41"/>
      <c r="DJ145" s="41"/>
    </row>
    <row r="146" spans="1:114" ht="14.5" x14ac:dyDescent="0.35">
      <c r="A146" s="63">
        <v>40872160</v>
      </c>
      <c r="B146" s="3" t="s">
        <v>704</v>
      </c>
      <c r="C146" s="3">
        <v>323167301</v>
      </c>
      <c r="D146" s="3" t="s">
        <v>93</v>
      </c>
      <c r="G146" s="38">
        <v>150000</v>
      </c>
      <c r="J146" s="33">
        <f>VLOOKUP($B146,'IMS Commission List'!E:CE,79,0)/100</f>
        <v>0.15</v>
      </c>
      <c r="K146" s="79">
        <f t="shared" si="352"/>
        <v>150000</v>
      </c>
      <c r="L146" s="3" t="str">
        <f>VLOOKUP($B146,'IMS Commission List'!E:V,18,0)</f>
        <v>ARS</v>
      </c>
      <c r="M146" s="3">
        <v>1</v>
      </c>
      <c r="N146" s="3" t="str">
        <f>VLOOKUP($B146,'IMS Commission List'!E:T,16,0)</f>
        <v>MX</v>
      </c>
      <c r="O146" s="54">
        <f>VLOOKUP($B146,'IMS Commission List'!E:CF,80,0)</f>
        <v>4.9000000000000002E-2</v>
      </c>
      <c r="P146" s="54">
        <f>VLOOKUP($B146,'IMS Commission List'!E:CG,81,0)</f>
        <v>0.1575</v>
      </c>
      <c r="Q146" s="54">
        <f>VLOOKUP($B146,'IMS Commission List'!E:CP,90,0)</f>
        <v>0.03</v>
      </c>
      <c r="R146" s="54">
        <f>VLOOKUP($B146,'IMS Commission List'!E:CQ,91,0)</f>
        <v>0.04</v>
      </c>
      <c r="S146" s="47">
        <f t="shared" si="353"/>
        <v>0</v>
      </c>
      <c r="T146" s="48">
        <f t="shared" si="354"/>
        <v>0</v>
      </c>
      <c r="U146" s="48">
        <f t="shared" si="355"/>
        <v>150000</v>
      </c>
      <c r="V146" s="48">
        <f t="shared" si="356"/>
        <v>0</v>
      </c>
      <c r="W146" s="48">
        <f t="shared" si="357"/>
        <v>0</v>
      </c>
      <c r="X146" s="49">
        <f t="shared" si="358"/>
        <v>150000</v>
      </c>
      <c r="Y146" s="49">
        <f t="shared" si="359"/>
        <v>0</v>
      </c>
      <c r="Z146" s="49">
        <f t="shared" si="360"/>
        <v>0</v>
      </c>
      <c r="AA146" s="49">
        <f t="shared" si="361"/>
        <v>6247.5</v>
      </c>
      <c r="AB146" s="49">
        <f t="shared" si="362"/>
        <v>0</v>
      </c>
      <c r="AC146" s="49">
        <f t="shared" si="363"/>
        <v>0</v>
      </c>
      <c r="AD146" s="49">
        <f t="shared" si="364"/>
        <v>6247.5</v>
      </c>
      <c r="AE146" s="49">
        <f t="shared" si="365"/>
        <v>0</v>
      </c>
      <c r="AF146" s="49">
        <f t="shared" si="366"/>
        <v>0</v>
      </c>
      <c r="AG146" s="49">
        <f t="shared" si="367"/>
        <v>22500</v>
      </c>
      <c r="AH146" s="49">
        <f t="shared" si="368"/>
        <v>0</v>
      </c>
      <c r="AI146" s="49">
        <f t="shared" si="369"/>
        <v>0</v>
      </c>
      <c r="AJ146" s="49">
        <f t="shared" si="370"/>
        <v>22500</v>
      </c>
      <c r="AK146" s="49">
        <f t="shared" si="371"/>
        <v>0</v>
      </c>
      <c r="AL146" s="49">
        <f t="shared" si="372"/>
        <v>0</v>
      </c>
      <c r="AM146" s="49">
        <f t="shared" si="373"/>
        <v>20081.25</v>
      </c>
      <c r="AN146" s="49">
        <f t="shared" si="374"/>
        <v>0</v>
      </c>
      <c r="AO146" s="49">
        <f t="shared" si="375"/>
        <v>0</v>
      </c>
      <c r="AP146" s="49">
        <f t="shared" si="376"/>
        <v>20081.25</v>
      </c>
      <c r="AQ146" s="49">
        <f t="shared" si="377"/>
        <v>0</v>
      </c>
      <c r="AR146" s="49">
        <f t="shared" si="378"/>
        <v>0</v>
      </c>
      <c r="AS146" s="49">
        <f t="shared" si="379"/>
        <v>4500</v>
      </c>
      <c r="AT146" s="49">
        <f t="shared" si="380"/>
        <v>0</v>
      </c>
      <c r="AU146" s="49">
        <f t="shared" si="381"/>
        <v>0</v>
      </c>
      <c r="AV146" s="49">
        <f t="shared" si="382"/>
        <v>4500</v>
      </c>
      <c r="AW146" s="49">
        <f t="shared" si="383"/>
        <v>0</v>
      </c>
      <c r="AX146" s="49">
        <f t="shared" si="384"/>
        <v>0</v>
      </c>
      <c r="AY146" s="49">
        <f t="shared" si="385"/>
        <v>6000</v>
      </c>
      <c r="AZ146" s="49">
        <f t="shared" si="386"/>
        <v>0</v>
      </c>
      <c r="BA146" s="49">
        <f t="shared" si="387"/>
        <v>0</v>
      </c>
      <c r="BB146" s="49">
        <f t="shared" si="388"/>
        <v>6000</v>
      </c>
      <c r="BC146" s="49">
        <f t="shared" si="389"/>
        <v>0</v>
      </c>
      <c r="BD146" s="49">
        <f t="shared" si="390"/>
        <v>0</v>
      </c>
      <c r="BE146" s="49">
        <f t="shared" si="391"/>
        <v>59328.75</v>
      </c>
      <c r="BF146" s="49">
        <f t="shared" si="392"/>
        <v>0</v>
      </c>
      <c r="BG146" s="49">
        <f t="shared" si="393"/>
        <v>0</v>
      </c>
      <c r="BH146" s="49">
        <f t="shared" si="394"/>
        <v>59328.75</v>
      </c>
      <c r="BI146" s="49">
        <f t="shared" si="395"/>
        <v>0</v>
      </c>
      <c r="BJ146" s="49">
        <f t="shared" si="396"/>
        <v>0</v>
      </c>
      <c r="BK146" s="49">
        <f t="shared" si="397"/>
        <v>6247.5</v>
      </c>
      <c r="BL146" s="49">
        <f t="shared" si="398"/>
        <v>0</v>
      </c>
      <c r="BM146" s="49">
        <f t="shared" si="399"/>
        <v>0</v>
      </c>
      <c r="BN146" s="49">
        <f t="shared" si="400"/>
        <v>6247.5</v>
      </c>
      <c r="BO146" s="49">
        <f t="shared" si="401"/>
        <v>0</v>
      </c>
      <c r="BP146" s="49">
        <f t="shared" si="402"/>
        <v>0</v>
      </c>
      <c r="BQ146" s="49">
        <f t="shared" si="403"/>
        <v>22500</v>
      </c>
      <c r="BR146" s="49">
        <f t="shared" si="404"/>
        <v>0</v>
      </c>
      <c r="BS146" s="49">
        <f t="shared" si="405"/>
        <v>0</v>
      </c>
      <c r="BT146" s="49">
        <f t="shared" si="406"/>
        <v>22500</v>
      </c>
      <c r="BU146" s="49">
        <f t="shared" si="407"/>
        <v>0</v>
      </c>
      <c r="BV146" s="49">
        <f t="shared" si="408"/>
        <v>0</v>
      </c>
      <c r="BW146" s="49">
        <f t="shared" si="409"/>
        <v>20081.25</v>
      </c>
      <c r="BX146" s="49">
        <f t="shared" si="410"/>
        <v>0</v>
      </c>
      <c r="BY146" s="49">
        <f t="shared" si="411"/>
        <v>0</v>
      </c>
      <c r="BZ146" s="49">
        <f t="shared" si="412"/>
        <v>20081.25</v>
      </c>
      <c r="CA146" s="49">
        <f t="shared" si="413"/>
        <v>0</v>
      </c>
      <c r="CB146" s="49">
        <f t="shared" si="414"/>
        <v>0</v>
      </c>
      <c r="CC146" s="49">
        <f t="shared" si="415"/>
        <v>4500</v>
      </c>
      <c r="CD146" s="49">
        <f t="shared" si="416"/>
        <v>0</v>
      </c>
      <c r="CE146" s="49">
        <f t="shared" si="417"/>
        <v>0</v>
      </c>
      <c r="CF146" s="49">
        <f t="shared" si="418"/>
        <v>4500</v>
      </c>
      <c r="CG146" s="49">
        <f t="shared" si="419"/>
        <v>0</v>
      </c>
      <c r="CH146" s="49">
        <f t="shared" si="420"/>
        <v>0</v>
      </c>
      <c r="CI146" s="49">
        <f t="shared" si="421"/>
        <v>6000</v>
      </c>
      <c r="CJ146" s="49">
        <f t="shared" si="422"/>
        <v>0</v>
      </c>
      <c r="CK146" s="49">
        <f t="shared" si="423"/>
        <v>0</v>
      </c>
      <c r="CL146" s="49">
        <f t="shared" si="424"/>
        <v>6000</v>
      </c>
      <c r="CM146" s="49">
        <f t="shared" si="425"/>
        <v>0</v>
      </c>
      <c r="CN146" s="49">
        <f t="shared" si="426"/>
        <v>0</v>
      </c>
      <c r="CO146" s="49">
        <f t="shared" si="427"/>
        <v>59328.75</v>
      </c>
      <c r="CP146" s="49">
        <f t="shared" si="428"/>
        <v>0</v>
      </c>
      <c r="CQ146" s="49">
        <f t="shared" si="429"/>
        <v>0</v>
      </c>
      <c r="CR146" s="81">
        <f t="shared" si="430"/>
        <v>59328.75</v>
      </c>
      <c r="CS146" s="80">
        <f t="shared" si="431"/>
        <v>90671.25</v>
      </c>
      <c r="CT146" s="54"/>
      <c r="CU146" s="3" t="str">
        <f t="shared" si="432"/>
        <v>ARS</v>
      </c>
      <c r="CV146" s="3">
        <f>VLOOKUP(CU146,DF:DG,2,0)</f>
        <v>6.9185169999999997E-4</v>
      </c>
      <c r="CW146" s="23">
        <f t="shared" si="433"/>
        <v>103.777755</v>
      </c>
      <c r="CX146" s="23">
        <f t="shared" si="434"/>
        <v>4.3223434957500002</v>
      </c>
      <c r="CY146" s="23">
        <f t="shared" si="435"/>
        <v>15.56666325</v>
      </c>
      <c r="CZ146" s="23">
        <f t="shared" si="436"/>
        <v>13.893246950624999</v>
      </c>
      <c r="DA146" s="23">
        <f t="shared" si="437"/>
        <v>3.1133326499999998</v>
      </c>
      <c r="DB146" s="23">
        <f t="shared" si="438"/>
        <v>4.1511101999999998</v>
      </c>
      <c r="DC146" s="23">
        <f t="shared" si="439"/>
        <v>62.731058453624996</v>
      </c>
      <c r="DD146" s="34" t="str">
        <f>VLOOKUP(A146,'Billing Report'!H:I,2,FALSE)</f>
        <v>Awareness  Enero 2026 nueva funcionalidad</v>
      </c>
      <c r="DE146" s="34"/>
      <c r="DF146" s="61"/>
      <c r="DG146" s="62"/>
      <c r="DH146"/>
      <c r="DI146" s="41"/>
      <c r="DJ146" s="41"/>
    </row>
    <row r="147" spans="1:114" ht="14.5" x14ac:dyDescent="0.35">
      <c r="A147" s="63">
        <v>40832864</v>
      </c>
      <c r="B147" s="3" t="s">
        <v>705</v>
      </c>
      <c r="C147" s="3">
        <v>323378801</v>
      </c>
      <c r="D147" s="3" t="s">
        <v>93</v>
      </c>
      <c r="G147" s="38">
        <v>2028302.04</v>
      </c>
      <c r="J147" s="33">
        <f>VLOOKUP($B147,'IMS Commission List'!E:CE,79,0)/100</f>
        <v>0.15</v>
      </c>
      <c r="K147" s="79">
        <f t="shared" si="352"/>
        <v>2028302.04</v>
      </c>
      <c r="L147" s="3" t="str">
        <f>VLOOKUP($B147,'IMS Commission List'!E:V,18,0)</f>
        <v>ARS</v>
      </c>
      <c r="M147" s="3">
        <v>1</v>
      </c>
      <c r="N147" s="3" t="str">
        <f>VLOOKUP($B147,'IMS Commission List'!E:T,16,0)</f>
        <v>MX</v>
      </c>
      <c r="O147" s="54">
        <f>VLOOKUP($B147,'IMS Commission List'!E:CF,80,0)</f>
        <v>4.9000000000000002E-2</v>
      </c>
      <c r="P147" s="54">
        <f>VLOOKUP($B147,'IMS Commission List'!E:CG,81,0)</f>
        <v>0.1575</v>
      </c>
      <c r="Q147" s="54">
        <f>VLOOKUP($B147,'IMS Commission List'!E:CP,90,0)</f>
        <v>0.03</v>
      </c>
      <c r="R147" s="54">
        <f>VLOOKUP($B147,'IMS Commission List'!E:CQ,91,0)</f>
        <v>0.04</v>
      </c>
      <c r="S147" s="47">
        <f t="shared" si="353"/>
        <v>0</v>
      </c>
      <c r="T147" s="48">
        <f t="shared" si="354"/>
        <v>0</v>
      </c>
      <c r="U147" s="48">
        <f t="shared" si="355"/>
        <v>2028302.04</v>
      </c>
      <c r="V147" s="48">
        <f t="shared" si="356"/>
        <v>0</v>
      </c>
      <c r="W147" s="48">
        <f t="shared" si="357"/>
        <v>0</v>
      </c>
      <c r="X147" s="49">
        <f t="shared" si="358"/>
        <v>2028302.04</v>
      </c>
      <c r="Y147" s="49">
        <f t="shared" si="359"/>
        <v>0</v>
      </c>
      <c r="Z147" s="49">
        <f t="shared" si="360"/>
        <v>0</v>
      </c>
      <c r="AA147" s="49">
        <f t="shared" si="361"/>
        <v>84478.779966000002</v>
      </c>
      <c r="AB147" s="49">
        <f t="shared" si="362"/>
        <v>0</v>
      </c>
      <c r="AC147" s="49">
        <f t="shared" si="363"/>
        <v>0</v>
      </c>
      <c r="AD147" s="49">
        <f t="shared" si="364"/>
        <v>84478.779966000002</v>
      </c>
      <c r="AE147" s="49">
        <f t="shared" si="365"/>
        <v>0</v>
      </c>
      <c r="AF147" s="49">
        <f t="shared" si="366"/>
        <v>0</v>
      </c>
      <c r="AG147" s="49">
        <f t="shared" si="367"/>
        <v>304245.30599999998</v>
      </c>
      <c r="AH147" s="49">
        <f t="shared" si="368"/>
        <v>0</v>
      </c>
      <c r="AI147" s="49">
        <f t="shared" si="369"/>
        <v>0</v>
      </c>
      <c r="AJ147" s="49">
        <f t="shared" si="370"/>
        <v>304245.30599999998</v>
      </c>
      <c r="AK147" s="49">
        <f t="shared" si="371"/>
        <v>0</v>
      </c>
      <c r="AL147" s="49">
        <f t="shared" si="372"/>
        <v>0</v>
      </c>
      <c r="AM147" s="49">
        <f t="shared" si="373"/>
        <v>271538.93560500001</v>
      </c>
      <c r="AN147" s="49">
        <f t="shared" si="374"/>
        <v>0</v>
      </c>
      <c r="AO147" s="49">
        <f t="shared" si="375"/>
        <v>0</v>
      </c>
      <c r="AP147" s="49">
        <f t="shared" si="376"/>
        <v>271538.93560500001</v>
      </c>
      <c r="AQ147" s="49">
        <f t="shared" si="377"/>
        <v>0</v>
      </c>
      <c r="AR147" s="49">
        <f t="shared" si="378"/>
        <v>0</v>
      </c>
      <c r="AS147" s="49">
        <f t="shared" si="379"/>
        <v>60849.061199999996</v>
      </c>
      <c r="AT147" s="49">
        <f t="shared" si="380"/>
        <v>0</v>
      </c>
      <c r="AU147" s="49">
        <f t="shared" si="381"/>
        <v>0</v>
      </c>
      <c r="AV147" s="49">
        <f t="shared" si="382"/>
        <v>60849.061199999996</v>
      </c>
      <c r="AW147" s="49">
        <f t="shared" si="383"/>
        <v>0</v>
      </c>
      <c r="AX147" s="49">
        <f t="shared" si="384"/>
        <v>0</v>
      </c>
      <c r="AY147" s="49">
        <f t="shared" si="385"/>
        <v>81132.081600000005</v>
      </c>
      <c r="AZ147" s="49">
        <f t="shared" si="386"/>
        <v>0</v>
      </c>
      <c r="BA147" s="49">
        <f t="shared" si="387"/>
        <v>0</v>
      </c>
      <c r="BB147" s="49">
        <f t="shared" si="388"/>
        <v>81132.081600000005</v>
      </c>
      <c r="BC147" s="49">
        <f t="shared" si="389"/>
        <v>0</v>
      </c>
      <c r="BD147" s="49">
        <f t="shared" si="390"/>
        <v>0</v>
      </c>
      <c r="BE147" s="49">
        <f t="shared" si="391"/>
        <v>802244.16437100002</v>
      </c>
      <c r="BF147" s="49">
        <f t="shared" si="392"/>
        <v>0</v>
      </c>
      <c r="BG147" s="49">
        <f t="shared" si="393"/>
        <v>0</v>
      </c>
      <c r="BH147" s="49">
        <f t="shared" si="394"/>
        <v>802244.16437100002</v>
      </c>
      <c r="BI147" s="49">
        <f t="shared" si="395"/>
        <v>0</v>
      </c>
      <c r="BJ147" s="49">
        <f t="shared" si="396"/>
        <v>0</v>
      </c>
      <c r="BK147" s="49">
        <f t="shared" si="397"/>
        <v>84478.779966000002</v>
      </c>
      <c r="BL147" s="49">
        <f t="shared" si="398"/>
        <v>0</v>
      </c>
      <c r="BM147" s="49">
        <f t="shared" si="399"/>
        <v>0</v>
      </c>
      <c r="BN147" s="49">
        <f t="shared" si="400"/>
        <v>84478.779966000002</v>
      </c>
      <c r="BO147" s="49">
        <f t="shared" si="401"/>
        <v>0</v>
      </c>
      <c r="BP147" s="49">
        <f t="shared" si="402"/>
        <v>0</v>
      </c>
      <c r="BQ147" s="49">
        <f t="shared" si="403"/>
        <v>304245.30599999998</v>
      </c>
      <c r="BR147" s="49">
        <f t="shared" si="404"/>
        <v>0</v>
      </c>
      <c r="BS147" s="49">
        <f t="shared" si="405"/>
        <v>0</v>
      </c>
      <c r="BT147" s="49">
        <f t="shared" si="406"/>
        <v>304245.30599999998</v>
      </c>
      <c r="BU147" s="49">
        <f t="shared" si="407"/>
        <v>0</v>
      </c>
      <c r="BV147" s="49">
        <f t="shared" si="408"/>
        <v>0</v>
      </c>
      <c r="BW147" s="49">
        <f t="shared" si="409"/>
        <v>271538.93560500001</v>
      </c>
      <c r="BX147" s="49">
        <f t="shared" si="410"/>
        <v>0</v>
      </c>
      <c r="BY147" s="49">
        <f t="shared" si="411"/>
        <v>0</v>
      </c>
      <c r="BZ147" s="49">
        <f t="shared" si="412"/>
        <v>271538.93560500001</v>
      </c>
      <c r="CA147" s="49">
        <f t="shared" si="413"/>
        <v>0</v>
      </c>
      <c r="CB147" s="49">
        <f t="shared" si="414"/>
        <v>0</v>
      </c>
      <c r="CC147" s="49">
        <f t="shared" si="415"/>
        <v>60849.061199999996</v>
      </c>
      <c r="CD147" s="49">
        <f t="shared" si="416"/>
        <v>0</v>
      </c>
      <c r="CE147" s="49">
        <f t="shared" si="417"/>
        <v>0</v>
      </c>
      <c r="CF147" s="49">
        <f t="shared" si="418"/>
        <v>60849.061199999996</v>
      </c>
      <c r="CG147" s="49">
        <f t="shared" si="419"/>
        <v>0</v>
      </c>
      <c r="CH147" s="49">
        <f t="shared" si="420"/>
        <v>0</v>
      </c>
      <c r="CI147" s="49">
        <f t="shared" si="421"/>
        <v>81132.081600000005</v>
      </c>
      <c r="CJ147" s="49">
        <f t="shared" si="422"/>
        <v>0</v>
      </c>
      <c r="CK147" s="49">
        <f t="shared" si="423"/>
        <v>0</v>
      </c>
      <c r="CL147" s="49">
        <f t="shared" si="424"/>
        <v>81132.081600000005</v>
      </c>
      <c r="CM147" s="49">
        <f t="shared" si="425"/>
        <v>0</v>
      </c>
      <c r="CN147" s="49">
        <f t="shared" si="426"/>
        <v>0</v>
      </c>
      <c r="CO147" s="49">
        <f t="shared" si="427"/>
        <v>802244.16437100002</v>
      </c>
      <c r="CP147" s="49">
        <f t="shared" si="428"/>
        <v>0</v>
      </c>
      <c r="CQ147" s="49">
        <f t="shared" si="429"/>
        <v>0</v>
      </c>
      <c r="CR147" s="81">
        <f t="shared" si="430"/>
        <v>802244.16437100002</v>
      </c>
      <c r="CS147" s="80">
        <f t="shared" si="431"/>
        <v>1226057.8756289999</v>
      </c>
      <c r="CT147" s="54"/>
      <c r="CU147" s="3" t="str">
        <f t="shared" si="432"/>
        <v>ARS</v>
      </c>
      <c r="CV147" s="3">
        <f>VLOOKUP(CU147,DF:DG,2,0)</f>
        <v>6.9185169999999997E-4</v>
      </c>
      <c r="CW147" s="23">
        <f t="shared" si="433"/>
        <v>1403.284214487468</v>
      </c>
      <c r="CX147" s="23">
        <f t="shared" si="434"/>
        <v>58.44678753340304</v>
      </c>
      <c r="CY147" s="23">
        <f t="shared" si="435"/>
        <v>210.49263217312017</v>
      </c>
      <c r="CZ147" s="23">
        <f t="shared" si="436"/>
        <v>187.86467421450976</v>
      </c>
      <c r="DA147" s="23">
        <f t="shared" si="437"/>
        <v>42.098526434624034</v>
      </c>
      <c r="DB147" s="23">
        <f t="shared" si="438"/>
        <v>56.131368579498719</v>
      </c>
      <c r="DC147" s="23">
        <f t="shared" si="439"/>
        <v>848.25022555231214</v>
      </c>
      <c r="DD147" s="34" t="str">
        <f>VLOOKUP(A147,'Billing Report'!H:I,2,FALSE)</f>
        <v>HCM-ALCANCE-WRV-PRELANZAMIENTO-2026</v>
      </c>
      <c r="DE147" s="34"/>
      <c r="DF147" s="61"/>
      <c r="DG147" s="62"/>
      <c r="DH147"/>
      <c r="DI147" s="41"/>
      <c r="DJ147" s="41"/>
    </row>
    <row r="148" spans="1:114" ht="14.5" x14ac:dyDescent="0.35">
      <c r="A148" s="63">
        <v>40985054</v>
      </c>
      <c r="B148" s="3" t="s">
        <v>711</v>
      </c>
      <c r="C148" s="3">
        <v>323565201</v>
      </c>
      <c r="D148" s="3" t="s">
        <v>93</v>
      </c>
      <c r="G148" s="38">
        <v>291081.57</v>
      </c>
      <c r="J148" s="33">
        <f>VLOOKUP($B148,'IMS Commission List'!E:CE,79,0)/100</f>
        <v>0.15</v>
      </c>
      <c r="K148" s="79">
        <f t="shared" si="352"/>
        <v>291081.57</v>
      </c>
      <c r="L148" s="3" t="str">
        <f>VLOOKUP($B148,'IMS Commission List'!E:V,18,0)</f>
        <v>ARS</v>
      </c>
      <c r="M148" s="3">
        <v>1</v>
      </c>
      <c r="N148" s="3" t="str">
        <f>VLOOKUP($B148,'IMS Commission List'!E:T,16,0)</f>
        <v>MX</v>
      </c>
      <c r="O148" s="54">
        <f>VLOOKUP($B148,'IMS Commission List'!E:CF,80,0)</f>
        <v>4.9000000000000002E-2</v>
      </c>
      <c r="P148" s="54">
        <f>VLOOKUP($B148,'IMS Commission List'!E:CG,81,0)</f>
        <v>0.1575</v>
      </c>
      <c r="Q148" s="54">
        <f>VLOOKUP($B148,'IMS Commission List'!E:CP,90,0)</f>
        <v>0.03</v>
      </c>
      <c r="R148" s="54">
        <f>VLOOKUP($B148,'IMS Commission List'!E:CQ,91,0)</f>
        <v>0.04</v>
      </c>
      <c r="S148" s="47">
        <f t="shared" si="353"/>
        <v>0</v>
      </c>
      <c r="T148" s="48">
        <f t="shared" si="354"/>
        <v>0</v>
      </c>
      <c r="U148" s="48">
        <f t="shared" si="355"/>
        <v>291081.57</v>
      </c>
      <c r="V148" s="48">
        <f t="shared" si="356"/>
        <v>0</v>
      </c>
      <c r="W148" s="48">
        <f t="shared" si="357"/>
        <v>0</v>
      </c>
      <c r="X148" s="49">
        <f t="shared" si="358"/>
        <v>291081.57</v>
      </c>
      <c r="Y148" s="49">
        <f t="shared" si="359"/>
        <v>0</v>
      </c>
      <c r="Z148" s="49">
        <f t="shared" si="360"/>
        <v>0</v>
      </c>
      <c r="AA148" s="49">
        <f t="shared" si="361"/>
        <v>12123.5473905</v>
      </c>
      <c r="AB148" s="49">
        <f t="shared" si="362"/>
        <v>0</v>
      </c>
      <c r="AC148" s="49">
        <f t="shared" si="363"/>
        <v>0</v>
      </c>
      <c r="AD148" s="49">
        <f t="shared" si="364"/>
        <v>12123.5473905</v>
      </c>
      <c r="AE148" s="49">
        <f t="shared" si="365"/>
        <v>0</v>
      </c>
      <c r="AF148" s="49">
        <f t="shared" si="366"/>
        <v>0</v>
      </c>
      <c r="AG148" s="49">
        <f t="shared" si="367"/>
        <v>43662.235500000003</v>
      </c>
      <c r="AH148" s="49">
        <f t="shared" si="368"/>
        <v>0</v>
      </c>
      <c r="AI148" s="49">
        <f t="shared" si="369"/>
        <v>0</v>
      </c>
      <c r="AJ148" s="49">
        <f t="shared" si="370"/>
        <v>43662.235500000003</v>
      </c>
      <c r="AK148" s="49">
        <f t="shared" si="371"/>
        <v>0</v>
      </c>
      <c r="AL148" s="49">
        <f t="shared" si="372"/>
        <v>0</v>
      </c>
      <c r="AM148" s="49">
        <f t="shared" si="373"/>
        <v>38968.54518375</v>
      </c>
      <c r="AN148" s="49">
        <f t="shared" si="374"/>
        <v>0</v>
      </c>
      <c r="AO148" s="49">
        <f t="shared" si="375"/>
        <v>0</v>
      </c>
      <c r="AP148" s="49">
        <f t="shared" si="376"/>
        <v>38968.54518375</v>
      </c>
      <c r="AQ148" s="49">
        <f t="shared" si="377"/>
        <v>0</v>
      </c>
      <c r="AR148" s="49">
        <f t="shared" si="378"/>
        <v>0</v>
      </c>
      <c r="AS148" s="49">
        <f t="shared" si="379"/>
        <v>8732.4470999999994</v>
      </c>
      <c r="AT148" s="49">
        <f t="shared" si="380"/>
        <v>0</v>
      </c>
      <c r="AU148" s="49">
        <f t="shared" si="381"/>
        <v>0</v>
      </c>
      <c r="AV148" s="49">
        <f t="shared" si="382"/>
        <v>8732.4470999999994</v>
      </c>
      <c r="AW148" s="49">
        <f t="shared" si="383"/>
        <v>0</v>
      </c>
      <c r="AX148" s="49">
        <f t="shared" si="384"/>
        <v>0</v>
      </c>
      <c r="AY148" s="49">
        <f t="shared" si="385"/>
        <v>11643.2628</v>
      </c>
      <c r="AZ148" s="49">
        <f t="shared" si="386"/>
        <v>0</v>
      </c>
      <c r="BA148" s="49">
        <f t="shared" si="387"/>
        <v>0</v>
      </c>
      <c r="BB148" s="49">
        <f t="shared" si="388"/>
        <v>11643.2628</v>
      </c>
      <c r="BC148" s="49">
        <f t="shared" si="389"/>
        <v>0</v>
      </c>
      <c r="BD148" s="49">
        <f t="shared" si="390"/>
        <v>0</v>
      </c>
      <c r="BE148" s="49">
        <f t="shared" si="391"/>
        <v>115130.03797425001</v>
      </c>
      <c r="BF148" s="49">
        <f t="shared" si="392"/>
        <v>0</v>
      </c>
      <c r="BG148" s="49">
        <f t="shared" si="393"/>
        <v>0</v>
      </c>
      <c r="BH148" s="49">
        <f t="shared" si="394"/>
        <v>115130.03797425001</v>
      </c>
      <c r="BI148" s="49">
        <f t="shared" si="395"/>
        <v>0</v>
      </c>
      <c r="BJ148" s="49">
        <f t="shared" si="396"/>
        <v>0</v>
      </c>
      <c r="BK148" s="49">
        <f t="shared" si="397"/>
        <v>12123.5473905</v>
      </c>
      <c r="BL148" s="49">
        <f t="shared" si="398"/>
        <v>0</v>
      </c>
      <c r="BM148" s="49">
        <f t="shared" si="399"/>
        <v>0</v>
      </c>
      <c r="BN148" s="49">
        <f t="shared" si="400"/>
        <v>12123.5473905</v>
      </c>
      <c r="BO148" s="49">
        <f t="shared" si="401"/>
        <v>0</v>
      </c>
      <c r="BP148" s="49">
        <f t="shared" si="402"/>
        <v>0</v>
      </c>
      <c r="BQ148" s="49">
        <f t="shared" si="403"/>
        <v>43662.235500000003</v>
      </c>
      <c r="BR148" s="49">
        <f t="shared" si="404"/>
        <v>0</v>
      </c>
      <c r="BS148" s="49">
        <f t="shared" si="405"/>
        <v>0</v>
      </c>
      <c r="BT148" s="49">
        <f t="shared" si="406"/>
        <v>43662.235500000003</v>
      </c>
      <c r="BU148" s="49">
        <f t="shared" si="407"/>
        <v>0</v>
      </c>
      <c r="BV148" s="49">
        <f t="shared" si="408"/>
        <v>0</v>
      </c>
      <c r="BW148" s="49">
        <f t="shared" si="409"/>
        <v>38968.54518375</v>
      </c>
      <c r="BX148" s="49">
        <f t="shared" si="410"/>
        <v>0</v>
      </c>
      <c r="BY148" s="49">
        <f t="shared" si="411"/>
        <v>0</v>
      </c>
      <c r="BZ148" s="49">
        <f t="shared" si="412"/>
        <v>38968.54518375</v>
      </c>
      <c r="CA148" s="49">
        <f t="shared" si="413"/>
        <v>0</v>
      </c>
      <c r="CB148" s="49">
        <f t="shared" si="414"/>
        <v>0</v>
      </c>
      <c r="CC148" s="49">
        <f t="shared" si="415"/>
        <v>8732.4470999999994</v>
      </c>
      <c r="CD148" s="49">
        <f t="shared" si="416"/>
        <v>0</v>
      </c>
      <c r="CE148" s="49">
        <f t="shared" si="417"/>
        <v>0</v>
      </c>
      <c r="CF148" s="49">
        <f t="shared" si="418"/>
        <v>8732.4470999999994</v>
      </c>
      <c r="CG148" s="49">
        <f t="shared" si="419"/>
        <v>0</v>
      </c>
      <c r="CH148" s="49">
        <f t="shared" si="420"/>
        <v>0</v>
      </c>
      <c r="CI148" s="49">
        <f t="shared" si="421"/>
        <v>11643.2628</v>
      </c>
      <c r="CJ148" s="49">
        <f t="shared" si="422"/>
        <v>0</v>
      </c>
      <c r="CK148" s="49">
        <f t="shared" si="423"/>
        <v>0</v>
      </c>
      <c r="CL148" s="49">
        <f t="shared" si="424"/>
        <v>11643.2628</v>
      </c>
      <c r="CM148" s="49">
        <f t="shared" si="425"/>
        <v>0</v>
      </c>
      <c r="CN148" s="49">
        <f t="shared" si="426"/>
        <v>0</v>
      </c>
      <c r="CO148" s="49">
        <f t="shared" si="427"/>
        <v>115130.03797425001</v>
      </c>
      <c r="CP148" s="49">
        <f t="shared" si="428"/>
        <v>0</v>
      </c>
      <c r="CQ148" s="49">
        <f t="shared" si="429"/>
        <v>0</v>
      </c>
      <c r="CR148" s="81">
        <f t="shared" si="430"/>
        <v>115130.03797425001</v>
      </c>
      <c r="CS148" s="80">
        <f t="shared" si="431"/>
        <v>175951.53202575</v>
      </c>
      <c r="CT148" s="54"/>
      <c r="CU148" s="3" t="str">
        <f t="shared" si="432"/>
        <v>ARS</v>
      </c>
      <c r="CV148" s="3">
        <f>VLOOKUP(CU148,DF:DG,2,0)</f>
        <v>6.9185169999999997E-4</v>
      </c>
      <c r="CW148" s="23">
        <f t="shared" si="433"/>
        <v>201.38527904316899</v>
      </c>
      <c r="CX148" s="23">
        <f t="shared" si="434"/>
        <v>8.3876968721479876</v>
      </c>
      <c r="CY148" s="23">
        <f t="shared" si="435"/>
        <v>30.20779185647535</v>
      </c>
      <c r="CZ148" s="23">
        <f t="shared" si="436"/>
        <v>26.960454231904247</v>
      </c>
      <c r="DA148" s="23">
        <f t="shared" si="437"/>
        <v>6.0415583712950696</v>
      </c>
      <c r="DB148" s="23">
        <f t="shared" si="438"/>
        <v>8.0554111617267594</v>
      </c>
      <c r="DC148" s="23">
        <f t="shared" si="439"/>
        <v>121.73236654961957</v>
      </c>
      <c r="DD148" s="34" t="str">
        <f>VLOOKUP(A148,'Billing Report'!H:I,2,FALSE)</f>
        <v>ypf_combustibles-tw-alcance-season-beneficiobnamodo_descuento6-2026-feb</v>
      </c>
      <c r="DE148" s="34"/>
      <c r="DF148" s="61"/>
      <c r="DG148" s="62"/>
      <c r="DH148"/>
      <c r="DI148" s="41"/>
      <c r="DJ148" s="41"/>
    </row>
    <row r="149" spans="1:114" ht="14.5" x14ac:dyDescent="0.35">
      <c r="A149" s="63">
        <v>40957334</v>
      </c>
      <c r="B149" s="3" t="s">
        <v>711</v>
      </c>
      <c r="C149" s="3">
        <v>323565201</v>
      </c>
      <c r="D149" s="3" t="s">
        <v>93</v>
      </c>
      <c r="G149" s="38">
        <v>390125.88</v>
      </c>
      <c r="J149" s="33">
        <f>VLOOKUP($B149,'IMS Commission List'!E:CE,79,0)/100</f>
        <v>0.15</v>
      </c>
      <c r="K149" s="79">
        <f t="shared" si="352"/>
        <v>390125.88</v>
      </c>
      <c r="L149" s="3" t="str">
        <f>VLOOKUP($B149,'IMS Commission List'!E:V,18,0)</f>
        <v>ARS</v>
      </c>
      <c r="M149" s="3">
        <v>1</v>
      </c>
      <c r="N149" s="3" t="str">
        <f>VLOOKUP($B149,'IMS Commission List'!E:T,16,0)</f>
        <v>MX</v>
      </c>
      <c r="O149" s="54">
        <f>VLOOKUP($B149,'IMS Commission List'!E:CF,80,0)</f>
        <v>4.9000000000000002E-2</v>
      </c>
      <c r="P149" s="54">
        <f>VLOOKUP($B149,'IMS Commission List'!E:CG,81,0)</f>
        <v>0.1575</v>
      </c>
      <c r="Q149" s="54">
        <f>VLOOKUP($B149,'IMS Commission List'!E:CP,90,0)</f>
        <v>0.03</v>
      </c>
      <c r="R149" s="54">
        <f>VLOOKUP($B149,'IMS Commission List'!E:CQ,91,0)</f>
        <v>0.04</v>
      </c>
      <c r="S149" s="47">
        <f t="shared" si="353"/>
        <v>0</v>
      </c>
      <c r="T149" s="48">
        <f t="shared" si="354"/>
        <v>0</v>
      </c>
      <c r="U149" s="48">
        <f t="shared" si="355"/>
        <v>390125.88</v>
      </c>
      <c r="V149" s="48">
        <f t="shared" si="356"/>
        <v>0</v>
      </c>
      <c r="W149" s="48">
        <f t="shared" si="357"/>
        <v>0</v>
      </c>
      <c r="X149" s="49">
        <f t="shared" si="358"/>
        <v>390125.88</v>
      </c>
      <c r="Y149" s="49">
        <f t="shared" si="359"/>
        <v>0</v>
      </c>
      <c r="Z149" s="49">
        <f t="shared" si="360"/>
        <v>0</v>
      </c>
      <c r="AA149" s="49">
        <f t="shared" si="361"/>
        <v>16248.742902000002</v>
      </c>
      <c r="AB149" s="49">
        <f t="shared" si="362"/>
        <v>0</v>
      </c>
      <c r="AC149" s="49">
        <f t="shared" si="363"/>
        <v>0</v>
      </c>
      <c r="AD149" s="49">
        <f t="shared" si="364"/>
        <v>16248.742902000002</v>
      </c>
      <c r="AE149" s="49">
        <f t="shared" si="365"/>
        <v>0</v>
      </c>
      <c r="AF149" s="49">
        <f t="shared" si="366"/>
        <v>0</v>
      </c>
      <c r="AG149" s="49">
        <f t="shared" si="367"/>
        <v>58518.881999999998</v>
      </c>
      <c r="AH149" s="49">
        <f t="shared" si="368"/>
        <v>0</v>
      </c>
      <c r="AI149" s="49">
        <f t="shared" si="369"/>
        <v>0</v>
      </c>
      <c r="AJ149" s="49">
        <f t="shared" si="370"/>
        <v>58518.881999999998</v>
      </c>
      <c r="AK149" s="49">
        <f t="shared" si="371"/>
        <v>0</v>
      </c>
      <c r="AL149" s="49">
        <f t="shared" si="372"/>
        <v>0</v>
      </c>
      <c r="AM149" s="49">
        <f t="shared" si="373"/>
        <v>52228.102184999996</v>
      </c>
      <c r="AN149" s="49">
        <f t="shared" si="374"/>
        <v>0</v>
      </c>
      <c r="AO149" s="49">
        <f t="shared" si="375"/>
        <v>0</v>
      </c>
      <c r="AP149" s="49">
        <f t="shared" si="376"/>
        <v>52228.102184999996</v>
      </c>
      <c r="AQ149" s="49">
        <f t="shared" si="377"/>
        <v>0</v>
      </c>
      <c r="AR149" s="49">
        <f t="shared" si="378"/>
        <v>0</v>
      </c>
      <c r="AS149" s="49">
        <f t="shared" si="379"/>
        <v>11703.776399999999</v>
      </c>
      <c r="AT149" s="49">
        <f t="shared" si="380"/>
        <v>0</v>
      </c>
      <c r="AU149" s="49">
        <f t="shared" si="381"/>
        <v>0</v>
      </c>
      <c r="AV149" s="49">
        <f t="shared" si="382"/>
        <v>11703.776399999999</v>
      </c>
      <c r="AW149" s="49">
        <f t="shared" si="383"/>
        <v>0</v>
      </c>
      <c r="AX149" s="49">
        <f t="shared" si="384"/>
        <v>0</v>
      </c>
      <c r="AY149" s="49">
        <f t="shared" si="385"/>
        <v>15605.0352</v>
      </c>
      <c r="AZ149" s="49">
        <f t="shared" si="386"/>
        <v>0</v>
      </c>
      <c r="BA149" s="49">
        <f t="shared" si="387"/>
        <v>0</v>
      </c>
      <c r="BB149" s="49">
        <f t="shared" si="388"/>
        <v>15605.0352</v>
      </c>
      <c r="BC149" s="49">
        <f t="shared" si="389"/>
        <v>0</v>
      </c>
      <c r="BD149" s="49">
        <f t="shared" si="390"/>
        <v>0</v>
      </c>
      <c r="BE149" s="49">
        <f t="shared" si="391"/>
        <v>154304.53868699999</v>
      </c>
      <c r="BF149" s="49">
        <f t="shared" si="392"/>
        <v>0</v>
      </c>
      <c r="BG149" s="49">
        <f t="shared" si="393"/>
        <v>0</v>
      </c>
      <c r="BH149" s="49">
        <f t="shared" si="394"/>
        <v>154304.53868699999</v>
      </c>
      <c r="BI149" s="49">
        <f t="shared" si="395"/>
        <v>0</v>
      </c>
      <c r="BJ149" s="49">
        <f t="shared" si="396"/>
        <v>0</v>
      </c>
      <c r="BK149" s="49">
        <f t="shared" si="397"/>
        <v>16248.742902000002</v>
      </c>
      <c r="BL149" s="49">
        <f t="shared" si="398"/>
        <v>0</v>
      </c>
      <c r="BM149" s="49">
        <f t="shared" si="399"/>
        <v>0</v>
      </c>
      <c r="BN149" s="49">
        <f t="shared" si="400"/>
        <v>16248.742902000002</v>
      </c>
      <c r="BO149" s="49">
        <f t="shared" si="401"/>
        <v>0</v>
      </c>
      <c r="BP149" s="49">
        <f t="shared" si="402"/>
        <v>0</v>
      </c>
      <c r="BQ149" s="49">
        <f t="shared" si="403"/>
        <v>58518.881999999998</v>
      </c>
      <c r="BR149" s="49">
        <f t="shared" si="404"/>
        <v>0</v>
      </c>
      <c r="BS149" s="49">
        <f t="shared" si="405"/>
        <v>0</v>
      </c>
      <c r="BT149" s="49">
        <f t="shared" si="406"/>
        <v>58518.881999999998</v>
      </c>
      <c r="BU149" s="49">
        <f t="shared" si="407"/>
        <v>0</v>
      </c>
      <c r="BV149" s="49">
        <f t="shared" si="408"/>
        <v>0</v>
      </c>
      <c r="BW149" s="49">
        <f t="shared" si="409"/>
        <v>52228.102184999996</v>
      </c>
      <c r="BX149" s="49">
        <f t="shared" si="410"/>
        <v>0</v>
      </c>
      <c r="BY149" s="49">
        <f t="shared" si="411"/>
        <v>0</v>
      </c>
      <c r="BZ149" s="49">
        <f t="shared" si="412"/>
        <v>52228.102184999996</v>
      </c>
      <c r="CA149" s="49">
        <f t="shared" si="413"/>
        <v>0</v>
      </c>
      <c r="CB149" s="49">
        <f t="shared" si="414"/>
        <v>0</v>
      </c>
      <c r="CC149" s="49">
        <f t="shared" si="415"/>
        <v>11703.776399999999</v>
      </c>
      <c r="CD149" s="49">
        <f t="shared" si="416"/>
        <v>0</v>
      </c>
      <c r="CE149" s="49">
        <f t="shared" si="417"/>
        <v>0</v>
      </c>
      <c r="CF149" s="49">
        <f t="shared" si="418"/>
        <v>11703.776399999999</v>
      </c>
      <c r="CG149" s="49">
        <f t="shared" si="419"/>
        <v>0</v>
      </c>
      <c r="CH149" s="49">
        <f t="shared" si="420"/>
        <v>0</v>
      </c>
      <c r="CI149" s="49">
        <f t="shared" si="421"/>
        <v>15605.0352</v>
      </c>
      <c r="CJ149" s="49">
        <f t="shared" si="422"/>
        <v>0</v>
      </c>
      <c r="CK149" s="49">
        <f t="shared" si="423"/>
        <v>0</v>
      </c>
      <c r="CL149" s="49">
        <f t="shared" si="424"/>
        <v>15605.0352</v>
      </c>
      <c r="CM149" s="49">
        <f t="shared" si="425"/>
        <v>0</v>
      </c>
      <c r="CN149" s="49">
        <f t="shared" si="426"/>
        <v>0</v>
      </c>
      <c r="CO149" s="49">
        <f t="shared" si="427"/>
        <v>154304.53868699999</v>
      </c>
      <c r="CP149" s="49">
        <f t="shared" si="428"/>
        <v>0</v>
      </c>
      <c r="CQ149" s="49">
        <f t="shared" si="429"/>
        <v>0</v>
      </c>
      <c r="CR149" s="81">
        <f t="shared" si="430"/>
        <v>154304.53868699999</v>
      </c>
      <c r="CS149" s="80">
        <f t="shared" si="431"/>
        <v>235821.34131300001</v>
      </c>
      <c r="CT149" s="54"/>
      <c r="CU149" s="3" t="str">
        <f t="shared" si="432"/>
        <v>ARS</v>
      </c>
      <c r="CV149" s="3">
        <f>VLOOKUP(CU149,DF:DG,2,0)</f>
        <v>6.9185169999999997E-4</v>
      </c>
      <c r="CW149" s="23">
        <f t="shared" si="433"/>
        <v>269.90925329199598</v>
      </c>
      <c r="CX149" s="23">
        <f t="shared" si="434"/>
        <v>11.241720399611633</v>
      </c>
      <c r="CY149" s="23">
        <f t="shared" si="435"/>
        <v>40.486387993799397</v>
      </c>
      <c r="CZ149" s="23">
        <f t="shared" si="436"/>
        <v>36.134101284465963</v>
      </c>
      <c r="DA149" s="23">
        <f t="shared" si="437"/>
        <v>8.0972775987598791</v>
      </c>
      <c r="DB149" s="23">
        <f t="shared" si="438"/>
        <v>10.79637013167984</v>
      </c>
      <c r="DC149" s="23">
        <f t="shared" si="439"/>
        <v>163.15339588367928</v>
      </c>
      <c r="DD149" s="34" t="str">
        <f>VLOOKUP(A149,'Billing Report'!H:I,2,FALSE)</f>
        <v>ypf_combustibles-tw-alcance-season-beneficiobnamodo_descuento5-2026-feb</v>
      </c>
      <c r="DE149" s="34"/>
      <c r="DF149" s="61"/>
      <c r="DG149" s="62"/>
      <c r="DH149"/>
      <c r="DI149" s="41"/>
      <c r="DJ149" s="41"/>
    </row>
    <row r="150" spans="1:114" ht="14.5" x14ac:dyDescent="0.35">
      <c r="A150" s="63">
        <v>40930745</v>
      </c>
      <c r="B150" s="3" t="s">
        <v>711</v>
      </c>
      <c r="C150" s="3">
        <v>323565201</v>
      </c>
      <c r="D150" s="3" t="s">
        <v>93</v>
      </c>
      <c r="G150" s="38">
        <v>388489.58</v>
      </c>
      <c r="J150" s="33">
        <f>VLOOKUP($B150,'IMS Commission List'!E:CE,79,0)/100</f>
        <v>0.15</v>
      </c>
      <c r="K150" s="79">
        <f t="shared" si="352"/>
        <v>388489.58</v>
      </c>
      <c r="L150" s="3" t="str">
        <f>VLOOKUP($B150,'IMS Commission List'!E:V,18,0)</f>
        <v>ARS</v>
      </c>
      <c r="M150" s="3">
        <v>1</v>
      </c>
      <c r="N150" s="3" t="str">
        <f>VLOOKUP($B150,'IMS Commission List'!E:T,16,0)</f>
        <v>MX</v>
      </c>
      <c r="O150" s="54">
        <f>VLOOKUP($B150,'IMS Commission List'!E:CF,80,0)</f>
        <v>4.9000000000000002E-2</v>
      </c>
      <c r="P150" s="54">
        <f>VLOOKUP($B150,'IMS Commission List'!E:CG,81,0)</f>
        <v>0.1575</v>
      </c>
      <c r="Q150" s="54">
        <f>VLOOKUP($B150,'IMS Commission List'!E:CP,90,0)</f>
        <v>0.03</v>
      </c>
      <c r="R150" s="54">
        <f>VLOOKUP($B150,'IMS Commission List'!E:CQ,91,0)</f>
        <v>0.04</v>
      </c>
      <c r="S150" s="47">
        <f t="shared" si="353"/>
        <v>0</v>
      </c>
      <c r="T150" s="48">
        <f t="shared" si="354"/>
        <v>0</v>
      </c>
      <c r="U150" s="48">
        <f t="shared" si="355"/>
        <v>388489.58</v>
      </c>
      <c r="V150" s="48">
        <f t="shared" si="356"/>
        <v>0</v>
      </c>
      <c r="W150" s="48">
        <f t="shared" si="357"/>
        <v>0</v>
      </c>
      <c r="X150" s="49">
        <f t="shared" si="358"/>
        <v>388489.58</v>
      </c>
      <c r="Y150" s="49">
        <f t="shared" si="359"/>
        <v>0</v>
      </c>
      <c r="Z150" s="49">
        <f t="shared" si="360"/>
        <v>0</v>
      </c>
      <c r="AA150" s="49">
        <f t="shared" si="361"/>
        <v>16180.591007000001</v>
      </c>
      <c r="AB150" s="49">
        <f t="shared" si="362"/>
        <v>0</v>
      </c>
      <c r="AC150" s="49">
        <f t="shared" si="363"/>
        <v>0</v>
      </c>
      <c r="AD150" s="49">
        <f t="shared" si="364"/>
        <v>16180.591007000001</v>
      </c>
      <c r="AE150" s="49">
        <f t="shared" si="365"/>
        <v>0</v>
      </c>
      <c r="AF150" s="49">
        <f t="shared" si="366"/>
        <v>0</v>
      </c>
      <c r="AG150" s="49">
        <f t="shared" si="367"/>
        <v>58273.436999999998</v>
      </c>
      <c r="AH150" s="49">
        <f t="shared" si="368"/>
        <v>0</v>
      </c>
      <c r="AI150" s="49">
        <f t="shared" si="369"/>
        <v>0</v>
      </c>
      <c r="AJ150" s="49">
        <f t="shared" si="370"/>
        <v>58273.436999999998</v>
      </c>
      <c r="AK150" s="49">
        <f t="shared" si="371"/>
        <v>0</v>
      </c>
      <c r="AL150" s="49">
        <f t="shared" si="372"/>
        <v>0</v>
      </c>
      <c r="AM150" s="49">
        <f t="shared" si="373"/>
        <v>52009.0425225</v>
      </c>
      <c r="AN150" s="49">
        <f t="shared" si="374"/>
        <v>0</v>
      </c>
      <c r="AO150" s="49">
        <f t="shared" si="375"/>
        <v>0</v>
      </c>
      <c r="AP150" s="49">
        <f t="shared" si="376"/>
        <v>52009.0425225</v>
      </c>
      <c r="AQ150" s="49">
        <f t="shared" si="377"/>
        <v>0</v>
      </c>
      <c r="AR150" s="49">
        <f t="shared" si="378"/>
        <v>0</v>
      </c>
      <c r="AS150" s="49">
        <f t="shared" si="379"/>
        <v>11654.687400000001</v>
      </c>
      <c r="AT150" s="49">
        <f t="shared" si="380"/>
        <v>0</v>
      </c>
      <c r="AU150" s="49">
        <f t="shared" si="381"/>
        <v>0</v>
      </c>
      <c r="AV150" s="49">
        <f t="shared" si="382"/>
        <v>11654.687400000001</v>
      </c>
      <c r="AW150" s="49">
        <f t="shared" si="383"/>
        <v>0</v>
      </c>
      <c r="AX150" s="49">
        <f t="shared" si="384"/>
        <v>0</v>
      </c>
      <c r="AY150" s="49">
        <f t="shared" si="385"/>
        <v>15539.583200000001</v>
      </c>
      <c r="AZ150" s="49">
        <f t="shared" si="386"/>
        <v>0</v>
      </c>
      <c r="BA150" s="49">
        <f t="shared" si="387"/>
        <v>0</v>
      </c>
      <c r="BB150" s="49">
        <f t="shared" si="388"/>
        <v>15539.583200000001</v>
      </c>
      <c r="BC150" s="49">
        <f t="shared" si="389"/>
        <v>0</v>
      </c>
      <c r="BD150" s="49">
        <f t="shared" si="390"/>
        <v>0</v>
      </c>
      <c r="BE150" s="49">
        <f t="shared" si="391"/>
        <v>153657.34112949998</v>
      </c>
      <c r="BF150" s="49">
        <f t="shared" si="392"/>
        <v>0</v>
      </c>
      <c r="BG150" s="49">
        <f t="shared" si="393"/>
        <v>0</v>
      </c>
      <c r="BH150" s="49">
        <f t="shared" si="394"/>
        <v>153657.34112949998</v>
      </c>
      <c r="BI150" s="49">
        <f t="shared" si="395"/>
        <v>0</v>
      </c>
      <c r="BJ150" s="49">
        <f t="shared" si="396"/>
        <v>0</v>
      </c>
      <c r="BK150" s="49">
        <f t="shared" si="397"/>
        <v>16180.591007000001</v>
      </c>
      <c r="BL150" s="49">
        <f t="shared" si="398"/>
        <v>0</v>
      </c>
      <c r="BM150" s="49">
        <f t="shared" si="399"/>
        <v>0</v>
      </c>
      <c r="BN150" s="49">
        <f t="shared" si="400"/>
        <v>16180.591007000001</v>
      </c>
      <c r="BO150" s="49">
        <f t="shared" si="401"/>
        <v>0</v>
      </c>
      <c r="BP150" s="49">
        <f t="shared" si="402"/>
        <v>0</v>
      </c>
      <c r="BQ150" s="49">
        <f t="shared" si="403"/>
        <v>58273.436999999998</v>
      </c>
      <c r="BR150" s="49">
        <f t="shared" si="404"/>
        <v>0</v>
      </c>
      <c r="BS150" s="49">
        <f t="shared" si="405"/>
        <v>0</v>
      </c>
      <c r="BT150" s="49">
        <f t="shared" si="406"/>
        <v>58273.436999999998</v>
      </c>
      <c r="BU150" s="49">
        <f t="shared" si="407"/>
        <v>0</v>
      </c>
      <c r="BV150" s="49">
        <f t="shared" si="408"/>
        <v>0</v>
      </c>
      <c r="BW150" s="49">
        <f t="shared" si="409"/>
        <v>52009.0425225</v>
      </c>
      <c r="BX150" s="49">
        <f t="shared" si="410"/>
        <v>0</v>
      </c>
      <c r="BY150" s="49">
        <f t="shared" si="411"/>
        <v>0</v>
      </c>
      <c r="BZ150" s="49">
        <f t="shared" si="412"/>
        <v>52009.0425225</v>
      </c>
      <c r="CA150" s="49">
        <f t="shared" si="413"/>
        <v>0</v>
      </c>
      <c r="CB150" s="49">
        <f t="shared" si="414"/>
        <v>0</v>
      </c>
      <c r="CC150" s="49">
        <f t="shared" si="415"/>
        <v>11654.687400000001</v>
      </c>
      <c r="CD150" s="49">
        <f t="shared" si="416"/>
        <v>0</v>
      </c>
      <c r="CE150" s="49">
        <f t="shared" si="417"/>
        <v>0</v>
      </c>
      <c r="CF150" s="49">
        <f t="shared" si="418"/>
        <v>11654.687400000001</v>
      </c>
      <c r="CG150" s="49">
        <f t="shared" si="419"/>
        <v>0</v>
      </c>
      <c r="CH150" s="49">
        <f t="shared" si="420"/>
        <v>0</v>
      </c>
      <c r="CI150" s="49">
        <f t="shared" si="421"/>
        <v>15539.583200000001</v>
      </c>
      <c r="CJ150" s="49">
        <f t="shared" si="422"/>
        <v>0</v>
      </c>
      <c r="CK150" s="49">
        <f t="shared" si="423"/>
        <v>0</v>
      </c>
      <c r="CL150" s="49">
        <f t="shared" si="424"/>
        <v>15539.583200000001</v>
      </c>
      <c r="CM150" s="49">
        <f t="shared" si="425"/>
        <v>0</v>
      </c>
      <c r="CN150" s="49">
        <f t="shared" si="426"/>
        <v>0</v>
      </c>
      <c r="CO150" s="49">
        <f t="shared" si="427"/>
        <v>153657.34112949998</v>
      </c>
      <c r="CP150" s="49">
        <f t="shared" si="428"/>
        <v>0</v>
      </c>
      <c r="CQ150" s="49">
        <f t="shared" si="429"/>
        <v>0</v>
      </c>
      <c r="CR150" s="81">
        <f t="shared" si="430"/>
        <v>153657.34112949998</v>
      </c>
      <c r="CS150" s="80">
        <f t="shared" si="431"/>
        <v>234832.23887050003</v>
      </c>
      <c r="CT150" s="54"/>
      <c r="CU150" s="3" t="str">
        <f t="shared" si="432"/>
        <v>ARS</v>
      </c>
      <c r="CV150" s="3">
        <f>VLOOKUP(CU150,DF:DG,2,0)</f>
        <v>6.9185169999999997E-4</v>
      </c>
      <c r="CW150" s="23">
        <f t="shared" si="433"/>
        <v>268.77717635528597</v>
      </c>
      <c r="CX150" s="23">
        <f t="shared" si="434"/>
        <v>11.194569395197663</v>
      </c>
      <c r="CY150" s="23">
        <f t="shared" si="435"/>
        <v>40.316576453292896</v>
      </c>
      <c r="CZ150" s="23">
        <f t="shared" si="436"/>
        <v>35.98254448456391</v>
      </c>
      <c r="DA150" s="23">
        <f t="shared" si="437"/>
        <v>8.063315290658581</v>
      </c>
      <c r="DB150" s="23">
        <f t="shared" si="438"/>
        <v>10.751087054211441</v>
      </c>
      <c r="DC150" s="23">
        <f t="shared" si="439"/>
        <v>162.46908367736151</v>
      </c>
      <c r="DD150" s="34" t="str">
        <f>VLOOKUP(A150,'Billing Report'!H:I,2,FALSE)</f>
        <v>ypf_combustibles-tw-alcance-season-beneficiobnamodo_descuento4-2026-feb</v>
      </c>
      <c r="DE150" s="34"/>
      <c r="DF150" s="61"/>
      <c r="DG150" s="62"/>
      <c r="DH150"/>
      <c r="DI150" s="41"/>
      <c r="DJ150" s="41"/>
    </row>
    <row r="151" spans="1:114" ht="14.5" x14ac:dyDescent="0.35">
      <c r="A151" s="63">
        <v>40905285</v>
      </c>
      <c r="B151" s="3" t="s">
        <v>711</v>
      </c>
      <c r="C151" s="3">
        <v>323565201</v>
      </c>
      <c r="D151" s="3" t="s">
        <v>93</v>
      </c>
      <c r="G151" s="38">
        <v>350000</v>
      </c>
      <c r="J151" s="33">
        <f>VLOOKUP($B151,'IMS Commission List'!E:CE,79,0)/100</f>
        <v>0.15</v>
      </c>
      <c r="K151" s="79">
        <f t="shared" si="352"/>
        <v>350000</v>
      </c>
      <c r="L151" s="3" t="str">
        <f>VLOOKUP($B151,'IMS Commission List'!E:V,18,0)</f>
        <v>ARS</v>
      </c>
      <c r="M151" s="3">
        <v>1</v>
      </c>
      <c r="N151" s="3" t="str">
        <f>VLOOKUP($B151,'IMS Commission List'!E:T,16,0)</f>
        <v>MX</v>
      </c>
      <c r="O151" s="54">
        <f>VLOOKUP($B151,'IMS Commission List'!E:CF,80,0)</f>
        <v>4.9000000000000002E-2</v>
      </c>
      <c r="P151" s="54">
        <f>VLOOKUP($B151,'IMS Commission List'!E:CG,81,0)</f>
        <v>0.1575</v>
      </c>
      <c r="Q151" s="54">
        <f>VLOOKUP($B151,'IMS Commission List'!E:CP,90,0)</f>
        <v>0.03</v>
      </c>
      <c r="R151" s="54">
        <f>VLOOKUP($B151,'IMS Commission List'!E:CQ,91,0)</f>
        <v>0.04</v>
      </c>
      <c r="S151" s="47">
        <f t="shared" si="353"/>
        <v>0</v>
      </c>
      <c r="T151" s="48">
        <f t="shared" si="354"/>
        <v>0</v>
      </c>
      <c r="U151" s="48">
        <f t="shared" si="355"/>
        <v>350000</v>
      </c>
      <c r="V151" s="48">
        <f t="shared" si="356"/>
        <v>0</v>
      </c>
      <c r="W151" s="48">
        <f t="shared" si="357"/>
        <v>0</v>
      </c>
      <c r="X151" s="49">
        <f t="shared" si="358"/>
        <v>350000</v>
      </c>
      <c r="Y151" s="49">
        <f t="shared" si="359"/>
        <v>0</v>
      </c>
      <c r="Z151" s="49">
        <f t="shared" si="360"/>
        <v>0</v>
      </c>
      <c r="AA151" s="49">
        <f t="shared" si="361"/>
        <v>14577.5</v>
      </c>
      <c r="AB151" s="49">
        <f t="shared" si="362"/>
        <v>0</v>
      </c>
      <c r="AC151" s="49">
        <f t="shared" si="363"/>
        <v>0</v>
      </c>
      <c r="AD151" s="49">
        <f t="shared" si="364"/>
        <v>14577.5</v>
      </c>
      <c r="AE151" s="49">
        <f t="shared" si="365"/>
        <v>0</v>
      </c>
      <c r="AF151" s="49">
        <f t="shared" si="366"/>
        <v>0</v>
      </c>
      <c r="AG151" s="49">
        <f t="shared" si="367"/>
        <v>52500</v>
      </c>
      <c r="AH151" s="49">
        <f t="shared" si="368"/>
        <v>0</v>
      </c>
      <c r="AI151" s="49">
        <f t="shared" si="369"/>
        <v>0</v>
      </c>
      <c r="AJ151" s="49">
        <f t="shared" si="370"/>
        <v>52500</v>
      </c>
      <c r="AK151" s="49">
        <f t="shared" si="371"/>
        <v>0</v>
      </c>
      <c r="AL151" s="49">
        <f t="shared" si="372"/>
        <v>0</v>
      </c>
      <c r="AM151" s="49">
        <f t="shared" si="373"/>
        <v>46856.25</v>
      </c>
      <c r="AN151" s="49">
        <f t="shared" si="374"/>
        <v>0</v>
      </c>
      <c r="AO151" s="49">
        <f t="shared" si="375"/>
        <v>0</v>
      </c>
      <c r="AP151" s="49">
        <f t="shared" si="376"/>
        <v>46856.25</v>
      </c>
      <c r="AQ151" s="49">
        <f t="shared" si="377"/>
        <v>0</v>
      </c>
      <c r="AR151" s="49">
        <f t="shared" si="378"/>
        <v>0</v>
      </c>
      <c r="AS151" s="49">
        <f t="shared" si="379"/>
        <v>10500</v>
      </c>
      <c r="AT151" s="49">
        <f t="shared" si="380"/>
        <v>0</v>
      </c>
      <c r="AU151" s="49">
        <f t="shared" si="381"/>
        <v>0</v>
      </c>
      <c r="AV151" s="49">
        <f t="shared" si="382"/>
        <v>10500</v>
      </c>
      <c r="AW151" s="49">
        <f t="shared" si="383"/>
        <v>0</v>
      </c>
      <c r="AX151" s="49">
        <f t="shared" si="384"/>
        <v>0</v>
      </c>
      <c r="AY151" s="49">
        <f t="shared" si="385"/>
        <v>14000</v>
      </c>
      <c r="AZ151" s="49">
        <f t="shared" si="386"/>
        <v>0</v>
      </c>
      <c r="BA151" s="49">
        <f t="shared" si="387"/>
        <v>0</v>
      </c>
      <c r="BB151" s="49">
        <f t="shared" si="388"/>
        <v>14000</v>
      </c>
      <c r="BC151" s="49">
        <f t="shared" si="389"/>
        <v>0</v>
      </c>
      <c r="BD151" s="49">
        <f t="shared" si="390"/>
        <v>0</v>
      </c>
      <c r="BE151" s="49">
        <f t="shared" si="391"/>
        <v>138433.75</v>
      </c>
      <c r="BF151" s="49">
        <f t="shared" si="392"/>
        <v>0</v>
      </c>
      <c r="BG151" s="49">
        <f t="shared" si="393"/>
        <v>0</v>
      </c>
      <c r="BH151" s="49">
        <f t="shared" si="394"/>
        <v>138433.75</v>
      </c>
      <c r="BI151" s="49">
        <f t="shared" si="395"/>
        <v>0</v>
      </c>
      <c r="BJ151" s="49">
        <f t="shared" si="396"/>
        <v>0</v>
      </c>
      <c r="BK151" s="49">
        <f t="shared" si="397"/>
        <v>14577.5</v>
      </c>
      <c r="BL151" s="49">
        <f t="shared" si="398"/>
        <v>0</v>
      </c>
      <c r="BM151" s="49">
        <f t="shared" si="399"/>
        <v>0</v>
      </c>
      <c r="BN151" s="49">
        <f t="shared" si="400"/>
        <v>14577.5</v>
      </c>
      <c r="BO151" s="49">
        <f t="shared" si="401"/>
        <v>0</v>
      </c>
      <c r="BP151" s="49">
        <f t="shared" si="402"/>
        <v>0</v>
      </c>
      <c r="BQ151" s="49">
        <f t="shared" si="403"/>
        <v>52500</v>
      </c>
      <c r="BR151" s="49">
        <f t="shared" si="404"/>
        <v>0</v>
      </c>
      <c r="BS151" s="49">
        <f t="shared" si="405"/>
        <v>0</v>
      </c>
      <c r="BT151" s="49">
        <f t="shared" si="406"/>
        <v>52500</v>
      </c>
      <c r="BU151" s="49">
        <f t="shared" si="407"/>
        <v>0</v>
      </c>
      <c r="BV151" s="49">
        <f t="shared" si="408"/>
        <v>0</v>
      </c>
      <c r="BW151" s="49">
        <f t="shared" si="409"/>
        <v>46856.25</v>
      </c>
      <c r="BX151" s="49">
        <f t="shared" si="410"/>
        <v>0</v>
      </c>
      <c r="BY151" s="49">
        <f t="shared" si="411"/>
        <v>0</v>
      </c>
      <c r="BZ151" s="49">
        <f t="shared" si="412"/>
        <v>46856.25</v>
      </c>
      <c r="CA151" s="49">
        <f t="shared" si="413"/>
        <v>0</v>
      </c>
      <c r="CB151" s="49">
        <f t="shared" si="414"/>
        <v>0</v>
      </c>
      <c r="CC151" s="49">
        <f t="shared" si="415"/>
        <v>10500</v>
      </c>
      <c r="CD151" s="49">
        <f t="shared" si="416"/>
        <v>0</v>
      </c>
      <c r="CE151" s="49">
        <f t="shared" si="417"/>
        <v>0</v>
      </c>
      <c r="CF151" s="49">
        <f t="shared" si="418"/>
        <v>10500</v>
      </c>
      <c r="CG151" s="49">
        <f t="shared" si="419"/>
        <v>0</v>
      </c>
      <c r="CH151" s="49">
        <f t="shared" si="420"/>
        <v>0</v>
      </c>
      <c r="CI151" s="49">
        <f t="shared" si="421"/>
        <v>14000</v>
      </c>
      <c r="CJ151" s="49">
        <f t="shared" si="422"/>
        <v>0</v>
      </c>
      <c r="CK151" s="49">
        <f t="shared" si="423"/>
        <v>0</v>
      </c>
      <c r="CL151" s="49">
        <f t="shared" si="424"/>
        <v>14000</v>
      </c>
      <c r="CM151" s="49">
        <f t="shared" si="425"/>
        <v>0</v>
      </c>
      <c r="CN151" s="49">
        <f t="shared" si="426"/>
        <v>0</v>
      </c>
      <c r="CO151" s="49">
        <f t="shared" si="427"/>
        <v>138433.75</v>
      </c>
      <c r="CP151" s="49">
        <f t="shared" si="428"/>
        <v>0</v>
      </c>
      <c r="CQ151" s="49">
        <f t="shared" si="429"/>
        <v>0</v>
      </c>
      <c r="CR151" s="81">
        <f t="shared" si="430"/>
        <v>138433.75</v>
      </c>
      <c r="CS151" s="80">
        <f t="shared" si="431"/>
        <v>211566.25</v>
      </c>
      <c r="CT151" s="54"/>
      <c r="CU151" s="3" t="str">
        <f t="shared" si="432"/>
        <v>ARS</v>
      </c>
      <c r="CV151" s="3">
        <f>VLOOKUP(CU151,DF:DG,2,0)</f>
        <v>6.9185169999999997E-4</v>
      </c>
      <c r="CW151" s="23">
        <f t="shared" si="433"/>
        <v>242.14809499999998</v>
      </c>
      <c r="CX151" s="23">
        <f t="shared" si="434"/>
        <v>10.08546815675</v>
      </c>
      <c r="CY151" s="23">
        <f t="shared" si="435"/>
        <v>36.322214250000002</v>
      </c>
      <c r="CZ151" s="23">
        <f t="shared" si="436"/>
        <v>32.417576218124999</v>
      </c>
      <c r="DA151" s="23">
        <f t="shared" si="437"/>
        <v>7.26444285</v>
      </c>
      <c r="DB151" s="23">
        <f t="shared" si="438"/>
        <v>9.6859237999999994</v>
      </c>
      <c r="DC151" s="23">
        <f t="shared" si="439"/>
        <v>146.372469725125</v>
      </c>
      <c r="DD151" s="34" t="str">
        <f>VLOOKUP(A151,'Billing Report'!H:I,2,FALSE)</f>
        <v>ypf_combustibles-tw-alcance-season-beneficiobnamodo-2026-feb</v>
      </c>
      <c r="DE151" s="34"/>
      <c r="DF151" s="61"/>
      <c r="DG151" s="62"/>
      <c r="DH151"/>
      <c r="DI151" s="41"/>
      <c r="DJ151" s="41"/>
    </row>
    <row r="152" spans="1:114" ht="14.5" x14ac:dyDescent="0.35">
      <c r="A152" s="63">
        <v>40898059</v>
      </c>
      <c r="B152" s="3" t="s">
        <v>1021</v>
      </c>
      <c r="C152" s="3">
        <v>323565701</v>
      </c>
      <c r="D152" s="3" t="s">
        <v>93</v>
      </c>
      <c r="F152" s="35">
        <v>801900</v>
      </c>
      <c r="G152" s="38"/>
      <c r="J152" s="33">
        <f>VLOOKUP($B152,'IMS Commission List'!E:CE,79,0)/100</f>
        <v>0.15</v>
      </c>
      <c r="K152" s="79">
        <f t="shared" si="352"/>
        <v>801900</v>
      </c>
      <c r="L152" s="3" t="str">
        <f>VLOOKUP($B152,'IMS Commission List'!E:V,18,0)</f>
        <v>ARS</v>
      </c>
      <c r="M152" s="3">
        <v>1</v>
      </c>
      <c r="N152" s="3" t="str">
        <f>VLOOKUP($B152,'IMS Commission List'!E:T,16,0)</f>
        <v>MX</v>
      </c>
      <c r="O152" s="54">
        <f>VLOOKUP($B152,'IMS Commission List'!E:CF,80,0)</f>
        <v>4.9000000000000002E-2</v>
      </c>
      <c r="P152" s="54">
        <f>VLOOKUP($B152,'IMS Commission List'!E:CG,81,0)</f>
        <v>0.1575</v>
      </c>
      <c r="Q152" s="54">
        <f>VLOOKUP($B152,'IMS Commission List'!E:CP,90,0)</f>
        <v>0.03</v>
      </c>
      <c r="R152" s="54">
        <f>VLOOKUP($B152,'IMS Commission List'!E:CQ,91,0)</f>
        <v>0.04</v>
      </c>
      <c r="S152" s="47">
        <f t="shared" si="353"/>
        <v>0</v>
      </c>
      <c r="T152" s="48">
        <f t="shared" si="354"/>
        <v>801900</v>
      </c>
      <c r="U152" s="48">
        <f t="shared" si="355"/>
        <v>0</v>
      </c>
      <c r="V152" s="48">
        <f t="shared" si="356"/>
        <v>0</v>
      </c>
      <c r="W152" s="48">
        <f t="shared" si="357"/>
        <v>0</v>
      </c>
      <c r="X152" s="49">
        <f t="shared" si="358"/>
        <v>801900</v>
      </c>
      <c r="Y152" s="49">
        <f t="shared" si="359"/>
        <v>0</v>
      </c>
      <c r="Z152" s="49">
        <f t="shared" si="360"/>
        <v>33399.134999999995</v>
      </c>
      <c r="AA152" s="49">
        <f t="shared" si="361"/>
        <v>0</v>
      </c>
      <c r="AB152" s="49">
        <f t="shared" si="362"/>
        <v>0</v>
      </c>
      <c r="AC152" s="49">
        <f t="shared" si="363"/>
        <v>0</v>
      </c>
      <c r="AD152" s="49">
        <f t="shared" si="364"/>
        <v>33399.134999999995</v>
      </c>
      <c r="AE152" s="49">
        <f t="shared" si="365"/>
        <v>0</v>
      </c>
      <c r="AF152" s="49">
        <f t="shared" si="366"/>
        <v>120285</v>
      </c>
      <c r="AG152" s="49">
        <f t="shared" si="367"/>
        <v>0</v>
      </c>
      <c r="AH152" s="49">
        <f t="shared" si="368"/>
        <v>0</v>
      </c>
      <c r="AI152" s="49">
        <f t="shared" si="369"/>
        <v>0</v>
      </c>
      <c r="AJ152" s="49">
        <f t="shared" si="370"/>
        <v>120285</v>
      </c>
      <c r="AK152" s="49">
        <f t="shared" si="371"/>
        <v>0</v>
      </c>
      <c r="AL152" s="49">
        <f t="shared" si="372"/>
        <v>107354.3625</v>
      </c>
      <c r="AM152" s="49">
        <f t="shared" si="373"/>
        <v>0</v>
      </c>
      <c r="AN152" s="49">
        <f t="shared" si="374"/>
        <v>0</v>
      </c>
      <c r="AO152" s="49">
        <f t="shared" si="375"/>
        <v>0</v>
      </c>
      <c r="AP152" s="49">
        <f t="shared" si="376"/>
        <v>107354.3625</v>
      </c>
      <c r="AQ152" s="49">
        <f t="shared" si="377"/>
        <v>0</v>
      </c>
      <c r="AR152" s="49">
        <f t="shared" si="378"/>
        <v>24057</v>
      </c>
      <c r="AS152" s="49">
        <f t="shared" si="379"/>
        <v>0</v>
      </c>
      <c r="AT152" s="49">
        <f t="shared" si="380"/>
        <v>0</v>
      </c>
      <c r="AU152" s="49">
        <f t="shared" si="381"/>
        <v>0</v>
      </c>
      <c r="AV152" s="49">
        <f t="shared" si="382"/>
        <v>24057</v>
      </c>
      <c r="AW152" s="49">
        <f t="shared" si="383"/>
        <v>0</v>
      </c>
      <c r="AX152" s="49">
        <f t="shared" si="384"/>
        <v>32076</v>
      </c>
      <c r="AY152" s="49">
        <f t="shared" si="385"/>
        <v>0</v>
      </c>
      <c r="AZ152" s="49">
        <f t="shared" si="386"/>
        <v>0</v>
      </c>
      <c r="BA152" s="49">
        <f t="shared" si="387"/>
        <v>0</v>
      </c>
      <c r="BB152" s="49">
        <f t="shared" si="388"/>
        <v>32076</v>
      </c>
      <c r="BC152" s="49">
        <f t="shared" si="389"/>
        <v>0</v>
      </c>
      <c r="BD152" s="49">
        <f t="shared" si="390"/>
        <v>317171.4975</v>
      </c>
      <c r="BE152" s="49">
        <f t="shared" si="391"/>
        <v>0</v>
      </c>
      <c r="BF152" s="49">
        <f t="shared" si="392"/>
        <v>0</v>
      </c>
      <c r="BG152" s="49">
        <f t="shared" si="393"/>
        <v>0</v>
      </c>
      <c r="BH152" s="49">
        <f t="shared" si="394"/>
        <v>317171.4975</v>
      </c>
      <c r="BI152" s="49">
        <f t="shared" si="395"/>
        <v>0</v>
      </c>
      <c r="BJ152" s="49">
        <f t="shared" si="396"/>
        <v>33399.134999999995</v>
      </c>
      <c r="BK152" s="49">
        <f t="shared" si="397"/>
        <v>0</v>
      </c>
      <c r="BL152" s="49">
        <f t="shared" si="398"/>
        <v>0</v>
      </c>
      <c r="BM152" s="49">
        <f t="shared" si="399"/>
        <v>0</v>
      </c>
      <c r="BN152" s="49">
        <f t="shared" si="400"/>
        <v>33399.134999999995</v>
      </c>
      <c r="BO152" s="49">
        <f t="shared" si="401"/>
        <v>0</v>
      </c>
      <c r="BP152" s="49">
        <f t="shared" si="402"/>
        <v>120285</v>
      </c>
      <c r="BQ152" s="49">
        <f t="shared" si="403"/>
        <v>0</v>
      </c>
      <c r="BR152" s="49">
        <f t="shared" si="404"/>
        <v>0</v>
      </c>
      <c r="BS152" s="49">
        <f t="shared" si="405"/>
        <v>0</v>
      </c>
      <c r="BT152" s="49">
        <f t="shared" si="406"/>
        <v>120285</v>
      </c>
      <c r="BU152" s="49">
        <f t="shared" si="407"/>
        <v>0</v>
      </c>
      <c r="BV152" s="49">
        <f t="shared" si="408"/>
        <v>107354.3625</v>
      </c>
      <c r="BW152" s="49">
        <f t="shared" si="409"/>
        <v>0</v>
      </c>
      <c r="BX152" s="49">
        <f t="shared" si="410"/>
        <v>0</v>
      </c>
      <c r="BY152" s="49">
        <f t="shared" si="411"/>
        <v>0</v>
      </c>
      <c r="BZ152" s="49">
        <f t="shared" si="412"/>
        <v>107354.3625</v>
      </c>
      <c r="CA152" s="49">
        <f t="shared" si="413"/>
        <v>0</v>
      </c>
      <c r="CB152" s="49">
        <f t="shared" si="414"/>
        <v>24057</v>
      </c>
      <c r="CC152" s="49">
        <f t="shared" si="415"/>
        <v>0</v>
      </c>
      <c r="CD152" s="49">
        <f t="shared" si="416"/>
        <v>0</v>
      </c>
      <c r="CE152" s="49">
        <f t="shared" si="417"/>
        <v>0</v>
      </c>
      <c r="CF152" s="49">
        <f t="shared" si="418"/>
        <v>24057</v>
      </c>
      <c r="CG152" s="49">
        <f t="shared" si="419"/>
        <v>0</v>
      </c>
      <c r="CH152" s="49">
        <f t="shared" si="420"/>
        <v>32076</v>
      </c>
      <c r="CI152" s="49">
        <f t="shared" si="421"/>
        <v>0</v>
      </c>
      <c r="CJ152" s="49">
        <f t="shared" si="422"/>
        <v>0</v>
      </c>
      <c r="CK152" s="49">
        <f t="shared" si="423"/>
        <v>0</v>
      </c>
      <c r="CL152" s="49">
        <f t="shared" si="424"/>
        <v>32076</v>
      </c>
      <c r="CM152" s="49">
        <f t="shared" si="425"/>
        <v>0</v>
      </c>
      <c r="CN152" s="49">
        <f t="shared" si="426"/>
        <v>317171.4975</v>
      </c>
      <c r="CO152" s="49">
        <f t="shared" si="427"/>
        <v>0</v>
      </c>
      <c r="CP152" s="49">
        <f t="shared" si="428"/>
        <v>0</v>
      </c>
      <c r="CQ152" s="49">
        <f t="shared" si="429"/>
        <v>0</v>
      </c>
      <c r="CR152" s="81">
        <f t="shared" si="430"/>
        <v>317171.4975</v>
      </c>
      <c r="CS152" s="80">
        <f t="shared" si="431"/>
        <v>484728.5025</v>
      </c>
      <c r="CT152" s="54"/>
      <c r="CU152" s="3" t="str">
        <f t="shared" si="432"/>
        <v>ARS</v>
      </c>
      <c r="CV152" s="3">
        <f>VLOOKUP(CU152,DF:DG,2,0)</f>
        <v>6.9185169999999997E-4</v>
      </c>
      <c r="CW152" s="23">
        <f t="shared" si="433"/>
        <v>554.79587822999997</v>
      </c>
      <c r="CX152" s="23">
        <f t="shared" si="434"/>
        <v>23.107248328279496</v>
      </c>
      <c r="CY152" s="23">
        <f t="shared" si="435"/>
        <v>83.21938173449999</v>
      </c>
      <c r="CZ152" s="23">
        <f t="shared" si="436"/>
        <v>74.273298198041246</v>
      </c>
      <c r="DA152" s="23">
        <f t="shared" si="437"/>
        <v>16.643876346900001</v>
      </c>
      <c r="DB152" s="23">
        <f t="shared" si="438"/>
        <v>22.191835129199998</v>
      </c>
      <c r="DC152" s="23">
        <f t="shared" si="439"/>
        <v>335.36023849307924</v>
      </c>
      <c r="DD152" s="34" t="str">
        <f>VLOOKUP(A152,'Billing Report'!H:I,2,FALSE)</f>
        <v>Betfunok Estándar 2026-02-09</v>
      </c>
      <c r="DE152" s="34"/>
      <c r="DF152" s="61"/>
      <c r="DG152" s="62"/>
      <c r="DH152"/>
      <c r="DI152" s="41"/>
      <c r="DJ152" s="41"/>
    </row>
    <row r="153" spans="1:114" ht="14.5" x14ac:dyDescent="0.35">
      <c r="A153" s="63">
        <v>40898056</v>
      </c>
      <c r="B153" s="3" t="s">
        <v>1021</v>
      </c>
      <c r="C153" s="3">
        <v>323565702</v>
      </c>
      <c r="D153" s="3" t="s">
        <v>93</v>
      </c>
      <c r="F153" s="35">
        <v>2308500</v>
      </c>
      <c r="G153" s="38"/>
      <c r="J153" s="33">
        <f>VLOOKUP($B153,'IMS Commission List'!E:CE,79,0)/100</f>
        <v>0.15</v>
      </c>
      <c r="K153" s="79">
        <f t="shared" si="352"/>
        <v>2308500</v>
      </c>
      <c r="L153" s="3" t="str">
        <f>VLOOKUP($B153,'IMS Commission List'!E:V,18,0)</f>
        <v>ARS</v>
      </c>
      <c r="M153" s="3">
        <v>1</v>
      </c>
      <c r="N153" s="3" t="str">
        <f>VLOOKUP($B153,'IMS Commission List'!E:T,16,0)</f>
        <v>MX</v>
      </c>
      <c r="O153" s="54">
        <f>VLOOKUP($B153,'IMS Commission List'!E:CF,80,0)</f>
        <v>4.9000000000000002E-2</v>
      </c>
      <c r="P153" s="54">
        <f>VLOOKUP($B153,'IMS Commission List'!E:CG,81,0)</f>
        <v>0.1575</v>
      </c>
      <c r="Q153" s="54">
        <f>VLOOKUP($B153,'IMS Commission List'!E:CP,90,0)</f>
        <v>0.03</v>
      </c>
      <c r="R153" s="54">
        <f>VLOOKUP($B153,'IMS Commission List'!E:CQ,91,0)</f>
        <v>0.04</v>
      </c>
      <c r="S153" s="47">
        <f t="shared" si="353"/>
        <v>0</v>
      </c>
      <c r="T153" s="48">
        <f t="shared" si="354"/>
        <v>2308500</v>
      </c>
      <c r="U153" s="48">
        <f t="shared" si="355"/>
        <v>0</v>
      </c>
      <c r="V153" s="48">
        <f t="shared" si="356"/>
        <v>0</v>
      </c>
      <c r="W153" s="48">
        <f t="shared" si="357"/>
        <v>0</v>
      </c>
      <c r="X153" s="49">
        <f t="shared" si="358"/>
        <v>2308500</v>
      </c>
      <c r="Y153" s="49">
        <f t="shared" si="359"/>
        <v>0</v>
      </c>
      <c r="Z153" s="49">
        <f t="shared" si="360"/>
        <v>96149.024999999994</v>
      </c>
      <c r="AA153" s="49">
        <f t="shared" si="361"/>
        <v>0</v>
      </c>
      <c r="AB153" s="49">
        <f t="shared" si="362"/>
        <v>0</v>
      </c>
      <c r="AC153" s="49">
        <f t="shared" si="363"/>
        <v>0</v>
      </c>
      <c r="AD153" s="49">
        <f t="shared" si="364"/>
        <v>96149.024999999994</v>
      </c>
      <c r="AE153" s="49">
        <f t="shared" si="365"/>
        <v>0</v>
      </c>
      <c r="AF153" s="49">
        <f t="shared" si="366"/>
        <v>346275</v>
      </c>
      <c r="AG153" s="49">
        <f t="shared" si="367"/>
        <v>0</v>
      </c>
      <c r="AH153" s="49">
        <f t="shared" si="368"/>
        <v>0</v>
      </c>
      <c r="AI153" s="49">
        <f t="shared" si="369"/>
        <v>0</v>
      </c>
      <c r="AJ153" s="49">
        <f t="shared" si="370"/>
        <v>346275</v>
      </c>
      <c r="AK153" s="49">
        <f t="shared" si="371"/>
        <v>0</v>
      </c>
      <c r="AL153" s="49">
        <f t="shared" si="372"/>
        <v>309050.4375</v>
      </c>
      <c r="AM153" s="49">
        <f t="shared" si="373"/>
        <v>0</v>
      </c>
      <c r="AN153" s="49">
        <f t="shared" si="374"/>
        <v>0</v>
      </c>
      <c r="AO153" s="49">
        <f t="shared" si="375"/>
        <v>0</v>
      </c>
      <c r="AP153" s="49">
        <f t="shared" si="376"/>
        <v>309050.4375</v>
      </c>
      <c r="AQ153" s="49">
        <f t="shared" si="377"/>
        <v>0</v>
      </c>
      <c r="AR153" s="49">
        <f t="shared" si="378"/>
        <v>69255</v>
      </c>
      <c r="AS153" s="49">
        <f t="shared" si="379"/>
        <v>0</v>
      </c>
      <c r="AT153" s="49">
        <f t="shared" si="380"/>
        <v>0</v>
      </c>
      <c r="AU153" s="49">
        <f t="shared" si="381"/>
        <v>0</v>
      </c>
      <c r="AV153" s="49">
        <f t="shared" si="382"/>
        <v>69255</v>
      </c>
      <c r="AW153" s="49">
        <f t="shared" si="383"/>
        <v>0</v>
      </c>
      <c r="AX153" s="49">
        <f t="shared" si="384"/>
        <v>92340</v>
      </c>
      <c r="AY153" s="49">
        <f t="shared" si="385"/>
        <v>0</v>
      </c>
      <c r="AZ153" s="49">
        <f t="shared" si="386"/>
        <v>0</v>
      </c>
      <c r="BA153" s="49">
        <f t="shared" si="387"/>
        <v>0</v>
      </c>
      <c r="BB153" s="49">
        <f t="shared" si="388"/>
        <v>92340</v>
      </c>
      <c r="BC153" s="49">
        <f t="shared" si="389"/>
        <v>0</v>
      </c>
      <c r="BD153" s="49">
        <f t="shared" si="390"/>
        <v>913069.46250000002</v>
      </c>
      <c r="BE153" s="49">
        <f t="shared" si="391"/>
        <v>0</v>
      </c>
      <c r="BF153" s="49">
        <f t="shared" si="392"/>
        <v>0</v>
      </c>
      <c r="BG153" s="49">
        <f t="shared" si="393"/>
        <v>0</v>
      </c>
      <c r="BH153" s="49">
        <f t="shared" si="394"/>
        <v>913069.46250000002</v>
      </c>
      <c r="BI153" s="49">
        <f t="shared" si="395"/>
        <v>0</v>
      </c>
      <c r="BJ153" s="49">
        <f t="shared" si="396"/>
        <v>96149.024999999994</v>
      </c>
      <c r="BK153" s="49">
        <f t="shared" si="397"/>
        <v>0</v>
      </c>
      <c r="BL153" s="49">
        <f t="shared" si="398"/>
        <v>0</v>
      </c>
      <c r="BM153" s="49">
        <f t="shared" si="399"/>
        <v>0</v>
      </c>
      <c r="BN153" s="49">
        <f t="shared" si="400"/>
        <v>96149.024999999994</v>
      </c>
      <c r="BO153" s="49">
        <f t="shared" si="401"/>
        <v>0</v>
      </c>
      <c r="BP153" s="49">
        <f t="shared" si="402"/>
        <v>346275</v>
      </c>
      <c r="BQ153" s="49">
        <f t="shared" si="403"/>
        <v>0</v>
      </c>
      <c r="BR153" s="49">
        <f t="shared" si="404"/>
        <v>0</v>
      </c>
      <c r="BS153" s="49">
        <f t="shared" si="405"/>
        <v>0</v>
      </c>
      <c r="BT153" s="49">
        <f t="shared" si="406"/>
        <v>346275</v>
      </c>
      <c r="BU153" s="49">
        <f t="shared" si="407"/>
        <v>0</v>
      </c>
      <c r="BV153" s="49">
        <f t="shared" si="408"/>
        <v>309050.4375</v>
      </c>
      <c r="BW153" s="49">
        <f t="shared" si="409"/>
        <v>0</v>
      </c>
      <c r="BX153" s="49">
        <f t="shared" si="410"/>
        <v>0</v>
      </c>
      <c r="BY153" s="49">
        <f t="shared" si="411"/>
        <v>0</v>
      </c>
      <c r="BZ153" s="49">
        <f t="shared" si="412"/>
        <v>309050.4375</v>
      </c>
      <c r="CA153" s="49">
        <f t="shared" si="413"/>
        <v>0</v>
      </c>
      <c r="CB153" s="49">
        <f t="shared" si="414"/>
        <v>69255</v>
      </c>
      <c r="CC153" s="49">
        <f t="shared" si="415"/>
        <v>0</v>
      </c>
      <c r="CD153" s="49">
        <f t="shared" si="416"/>
        <v>0</v>
      </c>
      <c r="CE153" s="49">
        <f t="shared" si="417"/>
        <v>0</v>
      </c>
      <c r="CF153" s="49">
        <f t="shared" si="418"/>
        <v>69255</v>
      </c>
      <c r="CG153" s="49">
        <f t="shared" si="419"/>
        <v>0</v>
      </c>
      <c r="CH153" s="49">
        <f t="shared" si="420"/>
        <v>92340</v>
      </c>
      <c r="CI153" s="49">
        <f t="shared" si="421"/>
        <v>0</v>
      </c>
      <c r="CJ153" s="49">
        <f t="shared" si="422"/>
        <v>0</v>
      </c>
      <c r="CK153" s="49">
        <f t="shared" si="423"/>
        <v>0</v>
      </c>
      <c r="CL153" s="49">
        <f t="shared" si="424"/>
        <v>92340</v>
      </c>
      <c r="CM153" s="49">
        <f t="shared" si="425"/>
        <v>0</v>
      </c>
      <c r="CN153" s="49">
        <f t="shared" si="426"/>
        <v>913069.46250000002</v>
      </c>
      <c r="CO153" s="49">
        <f t="shared" si="427"/>
        <v>0</v>
      </c>
      <c r="CP153" s="49">
        <f t="shared" si="428"/>
        <v>0</v>
      </c>
      <c r="CQ153" s="49">
        <f t="shared" si="429"/>
        <v>0</v>
      </c>
      <c r="CR153" s="81">
        <f t="shared" si="430"/>
        <v>913069.46250000002</v>
      </c>
      <c r="CS153" s="80">
        <f t="shared" si="431"/>
        <v>1395430.5375000001</v>
      </c>
      <c r="CT153" s="54"/>
      <c r="CU153" s="3" t="str">
        <f t="shared" si="432"/>
        <v>ARS</v>
      </c>
      <c r="CV153" s="3">
        <f>VLOOKUP(CU153,DF:DG,2,0)</f>
        <v>6.9185169999999997E-4</v>
      </c>
      <c r="CW153" s="23">
        <f t="shared" si="433"/>
        <v>1597.13964945</v>
      </c>
      <c r="CX153" s="23">
        <f t="shared" si="434"/>
        <v>66.520866399592492</v>
      </c>
      <c r="CY153" s="23">
        <f t="shared" si="435"/>
        <v>239.57094741749998</v>
      </c>
      <c r="CZ153" s="23">
        <f t="shared" si="436"/>
        <v>213.81707057011874</v>
      </c>
      <c r="DA153" s="23">
        <f t="shared" si="437"/>
        <v>47.914189483499996</v>
      </c>
      <c r="DB153" s="23">
        <f t="shared" si="438"/>
        <v>63.885585977999995</v>
      </c>
      <c r="DC153" s="23">
        <f t="shared" si="439"/>
        <v>965.43098960128873</v>
      </c>
      <c r="DD153" s="34" t="str">
        <f>VLOOKUP(A153,'Billing Report'!H:I,2,FALSE)</f>
        <v>Betfunok Timeline Takeover Nivel 1 2026-02-09</v>
      </c>
      <c r="DE153" s="34"/>
      <c r="DF153" s="61"/>
      <c r="DG153" s="62"/>
      <c r="DH153"/>
      <c r="DI153" s="41"/>
      <c r="DJ153" s="41"/>
    </row>
    <row r="154" spans="1:114" ht="14.5" x14ac:dyDescent="0.35">
      <c r="A154" s="63">
        <v>40911892</v>
      </c>
      <c r="B154" s="3" t="s">
        <v>1174</v>
      </c>
      <c r="C154" s="3">
        <v>323787201</v>
      </c>
      <c r="D154" s="3" t="s">
        <v>70</v>
      </c>
      <c r="G154" s="38">
        <v>8.35</v>
      </c>
      <c r="J154" s="33">
        <f>VLOOKUP($B154,'IMS Commission List'!E:CE,79,0)/100</f>
        <v>0.15</v>
      </c>
      <c r="K154" s="79">
        <f t="shared" si="352"/>
        <v>8.35</v>
      </c>
      <c r="L154" s="3" t="str">
        <f>VLOOKUP($B154,'IMS Commission List'!E:V,18,0)</f>
        <v>USD</v>
      </c>
      <c r="M154" s="3">
        <v>1</v>
      </c>
      <c r="N154" s="3" t="str">
        <f>VLOOKUP($B154,'IMS Commission List'!E:T,16,0)</f>
        <v>MX</v>
      </c>
      <c r="O154" s="54">
        <f>VLOOKUP($B154,'IMS Commission List'!E:CF,80,0)</f>
        <v>0</v>
      </c>
      <c r="P154" s="54">
        <f>VLOOKUP($B154,'IMS Commission List'!E:CG,81,0)</f>
        <v>0</v>
      </c>
      <c r="Q154" s="54">
        <f>VLOOKUP($B154,'IMS Commission List'!E:CP,90,0)</f>
        <v>0</v>
      </c>
      <c r="R154" s="54">
        <f>VLOOKUP($B154,'IMS Commission List'!E:CQ,91,0)</f>
        <v>0</v>
      </c>
      <c r="S154" s="47">
        <f t="shared" si="353"/>
        <v>0</v>
      </c>
      <c r="T154" s="48">
        <f t="shared" si="354"/>
        <v>0</v>
      </c>
      <c r="U154" s="48">
        <f t="shared" si="355"/>
        <v>8.35</v>
      </c>
      <c r="V154" s="48">
        <f t="shared" si="356"/>
        <v>0</v>
      </c>
      <c r="W154" s="48">
        <f t="shared" si="357"/>
        <v>0</v>
      </c>
      <c r="X154" s="49">
        <f t="shared" si="358"/>
        <v>8.35</v>
      </c>
      <c r="Y154" s="49">
        <f t="shared" si="359"/>
        <v>0</v>
      </c>
      <c r="Z154" s="49">
        <f t="shared" si="360"/>
        <v>0</v>
      </c>
      <c r="AA154" s="49">
        <f t="shared" si="361"/>
        <v>0</v>
      </c>
      <c r="AB154" s="49">
        <f t="shared" si="362"/>
        <v>0</v>
      </c>
      <c r="AC154" s="49">
        <f t="shared" si="363"/>
        <v>0</v>
      </c>
      <c r="AD154" s="49">
        <f t="shared" si="364"/>
        <v>0</v>
      </c>
      <c r="AE154" s="49">
        <f t="shared" si="365"/>
        <v>0</v>
      </c>
      <c r="AF154" s="49">
        <f t="shared" si="366"/>
        <v>0</v>
      </c>
      <c r="AG154" s="49">
        <f t="shared" si="367"/>
        <v>1.2524999999999999</v>
      </c>
      <c r="AH154" s="49">
        <f t="shared" si="368"/>
        <v>0</v>
      </c>
      <c r="AI154" s="49">
        <f t="shared" si="369"/>
        <v>0</v>
      </c>
      <c r="AJ154" s="49">
        <f t="shared" si="370"/>
        <v>1.2524999999999999</v>
      </c>
      <c r="AK154" s="49">
        <f t="shared" si="371"/>
        <v>0</v>
      </c>
      <c r="AL154" s="49">
        <f t="shared" si="372"/>
        <v>0</v>
      </c>
      <c r="AM154" s="49">
        <f t="shared" si="373"/>
        <v>0</v>
      </c>
      <c r="AN154" s="49">
        <f t="shared" si="374"/>
        <v>0</v>
      </c>
      <c r="AO154" s="49">
        <f t="shared" si="375"/>
        <v>0</v>
      </c>
      <c r="AP154" s="49">
        <f t="shared" si="376"/>
        <v>0</v>
      </c>
      <c r="AQ154" s="49">
        <f t="shared" si="377"/>
        <v>0</v>
      </c>
      <c r="AR154" s="49">
        <f t="shared" si="378"/>
        <v>0</v>
      </c>
      <c r="AS154" s="49">
        <f t="shared" si="379"/>
        <v>0</v>
      </c>
      <c r="AT154" s="49">
        <f t="shared" si="380"/>
        <v>0</v>
      </c>
      <c r="AU154" s="49">
        <f t="shared" si="381"/>
        <v>0</v>
      </c>
      <c r="AV154" s="49">
        <f t="shared" si="382"/>
        <v>0</v>
      </c>
      <c r="AW154" s="49">
        <f t="shared" si="383"/>
        <v>0</v>
      </c>
      <c r="AX154" s="49">
        <f t="shared" si="384"/>
        <v>0</v>
      </c>
      <c r="AY154" s="49">
        <f t="shared" si="385"/>
        <v>0</v>
      </c>
      <c r="AZ154" s="49">
        <f t="shared" si="386"/>
        <v>0</v>
      </c>
      <c r="BA154" s="49">
        <f t="shared" si="387"/>
        <v>0</v>
      </c>
      <c r="BB154" s="49">
        <f t="shared" si="388"/>
        <v>0</v>
      </c>
      <c r="BC154" s="49">
        <f t="shared" si="389"/>
        <v>0</v>
      </c>
      <c r="BD154" s="49">
        <f t="shared" si="390"/>
        <v>0</v>
      </c>
      <c r="BE154" s="49">
        <f t="shared" si="391"/>
        <v>1.2524999999999999</v>
      </c>
      <c r="BF154" s="49">
        <f t="shared" si="392"/>
        <v>0</v>
      </c>
      <c r="BG154" s="49">
        <f t="shared" si="393"/>
        <v>0</v>
      </c>
      <c r="BH154" s="49">
        <f t="shared" si="394"/>
        <v>1.2524999999999999</v>
      </c>
      <c r="BI154" s="49">
        <f t="shared" si="395"/>
        <v>0</v>
      </c>
      <c r="BJ154" s="49">
        <f t="shared" si="396"/>
        <v>0</v>
      </c>
      <c r="BK154" s="49">
        <f t="shared" si="397"/>
        <v>0</v>
      </c>
      <c r="BL154" s="49">
        <f t="shared" si="398"/>
        <v>0</v>
      </c>
      <c r="BM154" s="49">
        <f t="shared" si="399"/>
        <v>0</v>
      </c>
      <c r="BN154" s="49">
        <f t="shared" si="400"/>
        <v>0</v>
      </c>
      <c r="BO154" s="49">
        <f t="shared" si="401"/>
        <v>0</v>
      </c>
      <c r="BP154" s="49">
        <f t="shared" si="402"/>
        <v>0</v>
      </c>
      <c r="BQ154" s="49">
        <f t="shared" si="403"/>
        <v>1.2524999999999999</v>
      </c>
      <c r="BR154" s="49">
        <f t="shared" si="404"/>
        <v>0</v>
      </c>
      <c r="BS154" s="49">
        <f t="shared" si="405"/>
        <v>0</v>
      </c>
      <c r="BT154" s="49">
        <f t="shared" si="406"/>
        <v>1.2524999999999999</v>
      </c>
      <c r="BU154" s="49">
        <f t="shared" si="407"/>
        <v>0</v>
      </c>
      <c r="BV154" s="49">
        <f t="shared" si="408"/>
        <v>0</v>
      </c>
      <c r="BW154" s="49">
        <f t="shared" si="409"/>
        <v>0</v>
      </c>
      <c r="BX154" s="49">
        <f t="shared" si="410"/>
        <v>0</v>
      </c>
      <c r="BY154" s="49">
        <f t="shared" si="411"/>
        <v>0</v>
      </c>
      <c r="BZ154" s="49">
        <f t="shared" si="412"/>
        <v>0</v>
      </c>
      <c r="CA154" s="49">
        <f t="shared" si="413"/>
        <v>0</v>
      </c>
      <c r="CB154" s="49">
        <f t="shared" si="414"/>
        <v>0</v>
      </c>
      <c r="CC154" s="49">
        <f t="shared" si="415"/>
        <v>0</v>
      </c>
      <c r="CD154" s="49">
        <f t="shared" si="416"/>
        <v>0</v>
      </c>
      <c r="CE154" s="49">
        <f t="shared" si="417"/>
        <v>0</v>
      </c>
      <c r="CF154" s="49">
        <f t="shared" si="418"/>
        <v>0</v>
      </c>
      <c r="CG154" s="49">
        <f t="shared" si="419"/>
        <v>0</v>
      </c>
      <c r="CH154" s="49">
        <f t="shared" si="420"/>
        <v>0</v>
      </c>
      <c r="CI154" s="49">
        <f t="shared" si="421"/>
        <v>0</v>
      </c>
      <c r="CJ154" s="49">
        <f t="shared" si="422"/>
        <v>0</v>
      </c>
      <c r="CK154" s="49">
        <f t="shared" si="423"/>
        <v>0</v>
      </c>
      <c r="CL154" s="49">
        <f t="shared" si="424"/>
        <v>0</v>
      </c>
      <c r="CM154" s="49">
        <f t="shared" si="425"/>
        <v>0</v>
      </c>
      <c r="CN154" s="49">
        <f t="shared" si="426"/>
        <v>0</v>
      </c>
      <c r="CO154" s="49">
        <f t="shared" si="427"/>
        <v>1.2524999999999999</v>
      </c>
      <c r="CP154" s="49">
        <f t="shared" si="428"/>
        <v>0</v>
      </c>
      <c r="CQ154" s="49">
        <f t="shared" si="429"/>
        <v>0</v>
      </c>
      <c r="CR154" s="81">
        <f t="shared" si="430"/>
        <v>1.2524999999999999</v>
      </c>
      <c r="CS154" s="80">
        <f t="shared" si="431"/>
        <v>7.0975000000000001</v>
      </c>
      <c r="CT154" s="54"/>
      <c r="CU154" s="3" t="str">
        <f t="shared" si="432"/>
        <v>USD</v>
      </c>
      <c r="CV154" s="3">
        <f>VLOOKUP(CU154,DF:DG,2,0)</f>
        <v>1</v>
      </c>
      <c r="CW154" s="23">
        <f t="shared" si="433"/>
        <v>8.35</v>
      </c>
      <c r="CX154" s="23">
        <f t="shared" si="434"/>
        <v>0</v>
      </c>
      <c r="CY154" s="23">
        <f t="shared" si="435"/>
        <v>1.2524999999999999</v>
      </c>
      <c r="CZ154" s="23">
        <f t="shared" si="436"/>
        <v>0</v>
      </c>
      <c r="DA154" s="23">
        <f t="shared" si="437"/>
        <v>0</v>
      </c>
      <c r="DB154" s="23">
        <f t="shared" si="438"/>
        <v>0</v>
      </c>
      <c r="DC154" s="23">
        <f t="shared" si="439"/>
        <v>7.0975000000000001</v>
      </c>
      <c r="DD154" s="34" t="str">
        <f>VLOOKUP(A154,'Billing Report'!H:I,2,FALSE)</f>
        <v>wf_2601_br_x_display_aw_ba_ext</v>
      </c>
      <c r="DE154" s="34"/>
      <c r="DF154" s="61"/>
      <c r="DG154" s="62"/>
      <c r="DH154"/>
      <c r="DI154" s="41"/>
      <c r="DJ154" s="41"/>
    </row>
    <row r="155" spans="1:114" ht="14.5" x14ac:dyDescent="0.35">
      <c r="A155" s="63">
        <v>40859691</v>
      </c>
      <c r="B155" s="3" t="s">
        <v>715</v>
      </c>
      <c r="C155" s="3">
        <v>323787401</v>
      </c>
      <c r="D155" s="3" t="s">
        <v>70</v>
      </c>
      <c r="G155" s="38">
        <v>1722</v>
      </c>
      <c r="J155" s="33">
        <f>VLOOKUP($B155,'IMS Commission List'!E:CE,79,0)/100</f>
        <v>0.15</v>
      </c>
      <c r="K155" s="79">
        <f t="shared" si="352"/>
        <v>1722</v>
      </c>
      <c r="L155" s="3" t="str">
        <f>VLOOKUP($B155,'IMS Commission List'!E:V,18,0)</f>
        <v>USD</v>
      </c>
      <c r="M155" s="3">
        <v>1</v>
      </c>
      <c r="N155" s="3" t="str">
        <f>VLOOKUP($B155,'IMS Commission List'!E:T,16,0)</f>
        <v>MX</v>
      </c>
      <c r="O155" s="54">
        <f>VLOOKUP($B155,'IMS Commission List'!E:CF,80,0)</f>
        <v>0</v>
      </c>
      <c r="P155" s="54">
        <f>VLOOKUP($B155,'IMS Commission List'!E:CG,81,0)</f>
        <v>0</v>
      </c>
      <c r="Q155" s="54">
        <f>VLOOKUP($B155,'IMS Commission List'!E:CP,90,0)</f>
        <v>0</v>
      </c>
      <c r="R155" s="54">
        <f>VLOOKUP($B155,'IMS Commission List'!E:CQ,91,0)</f>
        <v>0</v>
      </c>
      <c r="S155" s="47">
        <f t="shared" si="353"/>
        <v>0</v>
      </c>
      <c r="T155" s="48">
        <f t="shared" si="354"/>
        <v>0</v>
      </c>
      <c r="U155" s="48">
        <f t="shared" si="355"/>
        <v>1722</v>
      </c>
      <c r="V155" s="48">
        <f t="shared" si="356"/>
        <v>0</v>
      </c>
      <c r="W155" s="48">
        <f t="shared" si="357"/>
        <v>0</v>
      </c>
      <c r="X155" s="49">
        <f t="shared" si="358"/>
        <v>1722</v>
      </c>
      <c r="Y155" s="49">
        <f t="shared" si="359"/>
        <v>0</v>
      </c>
      <c r="Z155" s="49">
        <f t="shared" si="360"/>
        <v>0</v>
      </c>
      <c r="AA155" s="49">
        <f t="shared" si="361"/>
        <v>0</v>
      </c>
      <c r="AB155" s="49">
        <f t="shared" si="362"/>
        <v>0</v>
      </c>
      <c r="AC155" s="49">
        <f t="shared" si="363"/>
        <v>0</v>
      </c>
      <c r="AD155" s="49">
        <f t="shared" si="364"/>
        <v>0</v>
      </c>
      <c r="AE155" s="49">
        <f t="shared" si="365"/>
        <v>0</v>
      </c>
      <c r="AF155" s="49">
        <f t="shared" si="366"/>
        <v>0</v>
      </c>
      <c r="AG155" s="49">
        <f t="shared" si="367"/>
        <v>258.3</v>
      </c>
      <c r="AH155" s="49">
        <f t="shared" si="368"/>
        <v>0</v>
      </c>
      <c r="AI155" s="49">
        <f t="shared" si="369"/>
        <v>0</v>
      </c>
      <c r="AJ155" s="49">
        <f t="shared" si="370"/>
        <v>258.3</v>
      </c>
      <c r="AK155" s="49">
        <f t="shared" si="371"/>
        <v>0</v>
      </c>
      <c r="AL155" s="49">
        <f t="shared" si="372"/>
        <v>0</v>
      </c>
      <c r="AM155" s="49">
        <f t="shared" si="373"/>
        <v>0</v>
      </c>
      <c r="AN155" s="49">
        <f t="shared" si="374"/>
        <v>0</v>
      </c>
      <c r="AO155" s="49">
        <f t="shared" si="375"/>
        <v>0</v>
      </c>
      <c r="AP155" s="49">
        <f t="shared" si="376"/>
        <v>0</v>
      </c>
      <c r="AQ155" s="49">
        <f t="shared" si="377"/>
        <v>0</v>
      </c>
      <c r="AR155" s="49">
        <f t="shared" si="378"/>
        <v>0</v>
      </c>
      <c r="AS155" s="49">
        <f t="shared" si="379"/>
        <v>0</v>
      </c>
      <c r="AT155" s="49">
        <f t="shared" si="380"/>
        <v>0</v>
      </c>
      <c r="AU155" s="49">
        <f t="shared" si="381"/>
        <v>0</v>
      </c>
      <c r="AV155" s="49">
        <f t="shared" si="382"/>
        <v>0</v>
      </c>
      <c r="AW155" s="49">
        <f t="shared" si="383"/>
        <v>0</v>
      </c>
      <c r="AX155" s="49">
        <f t="shared" si="384"/>
        <v>0</v>
      </c>
      <c r="AY155" s="49">
        <f t="shared" si="385"/>
        <v>0</v>
      </c>
      <c r="AZ155" s="49">
        <f t="shared" si="386"/>
        <v>0</v>
      </c>
      <c r="BA155" s="49">
        <f t="shared" si="387"/>
        <v>0</v>
      </c>
      <c r="BB155" s="49">
        <f t="shared" si="388"/>
        <v>0</v>
      </c>
      <c r="BC155" s="49">
        <f t="shared" si="389"/>
        <v>0</v>
      </c>
      <c r="BD155" s="49">
        <f t="shared" si="390"/>
        <v>0</v>
      </c>
      <c r="BE155" s="49">
        <f t="shared" si="391"/>
        <v>258.3</v>
      </c>
      <c r="BF155" s="49">
        <f t="shared" si="392"/>
        <v>0</v>
      </c>
      <c r="BG155" s="49">
        <f t="shared" si="393"/>
        <v>0</v>
      </c>
      <c r="BH155" s="49">
        <f t="shared" si="394"/>
        <v>258.3</v>
      </c>
      <c r="BI155" s="49">
        <f t="shared" si="395"/>
        <v>0</v>
      </c>
      <c r="BJ155" s="49">
        <f t="shared" si="396"/>
        <v>0</v>
      </c>
      <c r="BK155" s="49">
        <f t="shared" si="397"/>
        <v>0</v>
      </c>
      <c r="BL155" s="49">
        <f t="shared" si="398"/>
        <v>0</v>
      </c>
      <c r="BM155" s="49">
        <f t="shared" si="399"/>
        <v>0</v>
      </c>
      <c r="BN155" s="49">
        <f t="shared" si="400"/>
        <v>0</v>
      </c>
      <c r="BO155" s="49">
        <f t="shared" si="401"/>
        <v>0</v>
      </c>
      <c r="BP155" s="49">
        <f t="shared" si="402"/>
        <v>0</v>
      </c>
      <c r="BQ155" s="49">
        <f t="shared" si="403"/>
        <v>258.3</v>
      </c>
      <c r="BR155" s="49">
        <f t="shared" si="404"/>
        <v>0</v>
      </c>
      <c r="BS155" s="49">
        <f t="shared" si="405"/>
        <v>0</v>
      </c>
      <c r="BT155" s="49">
        <f t="shared" si="406"/>
        <v>258.3</v>
      </c>
      <c r="BU155" s="49">
        <f t="shared" si="407"/>
        <v>0</v>
      </c>
      <c r="BV155" s="49">
        <f t="shared" si="408"/>
        <v>0</v>
      </c>
      <c r="BW155" s="49">
        <f t="shared" si="409"/>
        <v>0</v>
      </c>
      <c r="BX155" s="49">
        <f t="shared" si="410"/>
        <v>0</v>
      </c>
      <c r="BY155" s="49">
        <f t="shared" si="411"/>
        <v>0</v>
      </c>
      <c r="BZ155" s="49">
        <f t="shared" si="412"/>
        <v>0</v>
      </c>
      <c r="CA155" s="49">
        <f t="shared" si="413"/>
        <v>0</v>
      </c>
      <c r="CB155" s="49">
        <f t="shared" si="414"/>
        <v>0</v>
      </c>
      <c r="CC155" s="49">
        <f t="shared" si="415"/>
        <v>0</v>
      </c>
      <c r="CD155" s="49">
        <f t="shared" si="416"/>
        <v>0</v>
      </c>
      <c r="CE155" s="49">
        <f t="shared" si="417"/>
        <v>0</v>
      </c>
      <c r="CF155" s="49">
        <f t="shared" si="418"/>
        <v>0</v>
      </c>
      <c r="CG155" s="49">
        <f t="shared" si="419"/>
        <v>0</v>
      </c>
      <c r="CH155" s="49">
        <f t="shared" si="420"/>
        <v>0</v>
      </c>
      <c r="CI155" s="49">
        <f t="shared" si="421"/>
        <v>0</v>
      </c>
      <c r="CJ155" s="49">
        <f t="shared" si="422"/>
        <v>0</v>
      </c>
      <c r="CK155" s="49">
        <f t="shared" si="423"/>
        <v>0</v>
      </c>
      <c r="CL155" s="49">
        <f t="shared" si="424"/>
        <v>0</v>
      </c>
      <c r="CM155" s="49">
        <f t="shared" si="425"/>
        <v>0</v>
      </c>
      <c r="CN155" s="49">
        <f t="shared" si="426"/>
        <v>0</v>
      </c>
      <c r="CO155" s="49">
        <f t="shared" si="427"/>
        <v>258.3</v>
      </c>
      <c r="CP155" s="49">
        <f t="shared" si="428"/>
        <v>0</v>
      </c>
      <c r="CQ155" s="49">
        <f t="shared" si="429"/>
        <v>0</v>
      </c>
      <c r="CR155" s="81">
        <f t="shared" si="430"/>
        <v>258.3</v>
      </c>
      <c r="CS155" s="80">
        <f t="shared" si="431"/>
        <v>1463.7</v>
      </c>
      <c r="CT155" s="54"/>
      <c r="CU155" s="3" t="str">
        <f t="shared" si="432"/>
        <v>USD</v>
      </c>
      <c r="CV155" s="3">
        <f>VLOOKUP(CU155,DF:DG,2,0)</f>
        <v>1</v>
      </c>
      <c r="CW155" s="23">
        <f t="shared" si="433"/>
        <v>1722</v>
      </c>
      <c r="CX155" s="23">
        <f t="shared" si="434"/>
        <v>0</v>
      </c>
      <c r="CY155" s="23">
        <f t="shared" si="435"/>
        <v>258.3</v>
      </c>
      <c r="CZ155" s="23">
        <f t="shared" si="436"/>
        <v>0</v>
      </c>
      <c r="DA155" s="23">
        <f t="shared" si="437"/>
        <v>0</v>
      </c>
      <c r="DB155" s="23">
        <f t="shared" si="438"/>
        <v>0</v>
      </c>
      <c r="DC155" s="23">
        <f t="shared" si="439"/>
        <v>1463.7</v>
      </c>
      <c r="DD155" s="34" t="str">
        <f>VLOOKUP(A155,'Billing Report'!H:I,2,FALSE)</f>
        <v>wf_2601_mx_x_display_aw_ba_ext</v>
      </c>
      <c r="DE155" s="34"/>
      <c r="DF155" s="61"/>
      <c r="DG155" s="62"/>
      <c r="DH155"/>
      <c r="DI155" s="41"/>
      <c r="DJ155" s="41"/>
    </row>
    <row r="156" spans="1:114" ht="14.5" x14ac:dyDescent="0.35">
      <c r="A156" s="63"/>
      <c r="B156" s="3" t="s">
        <v>1026</v>
      </c>
      <c r="C156" s="3">
        <v>323787901</v>
      </c>
      <c r="D156" s="3" t="s">
        <v>93</v>
      </c>
      <c r="G156" s="38">
        <v>-4389.96</v>
      </c>
      <c r="J156" s="33">
        <f>VLOOKUP($B156,'IMS Commission List'!E:CE,79,0)/100</f>
        <v>0.15</v>
      </c>
      <c r="K156" s="79">
        <f t="shared" si="352"/>
        <v>-4389.96</v>
      </c>
      <c r="L156" s="3" t="str">
        <f>VLOOKUP($B156,'IMS Commission List'!E:V,18,0)</f>
        <v>ARS</v>
      </c>
      <c r="M156" s="3">
        <v>1</v>
      </c>
      <c r="N156" s="3" t="str">
        <f>VLOOKUP($B156,'IMS Commission List'!E:T,16,0)</f>
        <v>MX</v>
      </c>
      <c r="O156" s="54">
        <f>VLOOKUP($B156,'IMS Commission List'!E:CF,80,0)</f>
        <v>4.9000000000000002E-2</v>
      </c>
      <c r="P156" s="54">
        <f>VLOOKUP($B156,'IMS Commission List'!E:CG,81,0)</f>
        <v>0.1575</v>
      </c>
      <c r="Q156" s="54">
        <f>VLOOKUP($B156,'IMS Commission List'!E:CP,90,0)</f>
        <v>0.03</v>
      </c>
      <c r="R156" s="54">
        <f>VLOOKUP($B156,'IMS Commission List'!E:CQ,91,0)</f>
        <v>0.04</v>
      </c>
      <c r="S156" s="47">
        <f t="shared" si="353"/>
        <v>0</v>
      </c>
      <c r="T156" s="48">
        <f t="shared" si="354"/>
        <v>0</v>
      </c>
      <c r="U156" s="48">
        <f t="shared" si="355"/>
        <v>-4389.96</v>
      </c>
      <c r="V156" s="48">
        <f t="shared" si="356"/>
        <v>0</v>
      </c>
      <c r="W156" s="48">
        <f t="shared" si="357"/>
        <v>0</v>
      </c>
      <c r="X156" s="49">
        <f t="shared" si="358"/>
        <v>-4389.96</v>
      </c>
      <c r="Y156" s="49">
        <f t="shared" si="359"/>
        <v>0</v>
      </c>
      <c r="Z156" s="49">
        <f t="shared" si="360"/>
        <v>0</v>
      </c>
      <c r="AA156" s="49">
        <f t="shared" si="361"/>
        <v>-182.84183400000001</v>
      </c>
      <c r="AB156" s="49">
        <f t="shared" si="362"/>
        <v>0</v>
      </c>
      <c r="AC156" s="49">
        <f t="shared" si="363"/>
        <v>0</v>
      </c>
      <c r="AD156" s="49">
        <f t="shared" si="364"/>
        <v>-182.84183400000001</v>
      </c>
      <c r="AE156" s="49">
        <f t="shared" si="365"/>
        <v>0</v>
      </c>
      <c r="AF156" s="49">
        <f t="shared" si="366"/>
        <v>0</v>
      </c>
      <c r="AG156" s="49">
        <f t="shared" si="367"/>
        <v>-658.49400000000003</v>
      </c>
      <c r="AH156" s="49">
        <f t="shared" si="368"/>
        <v>0</v>
      </c>
      <c r="AI156" s="49">
        <f t="shared" si="369"/>
        <v>0</v>
      </c>
      <c r="AJ156" s="49">
        <f t="shared" si="370"/>
        <v>-658.49400000000003</v>
      </c>
      <c r="AK156" s="49">
        <f t="shared" si="371"/>
        <v>0</v>
      </c>
      <c r="AL156" s="49">
        <f t="shared" si="372"/>
        <v>0</v>
      </c>
      <c r="AM156" s="49">
        <f t="shared" si="373"/>
        <v>-587.70589500000006</v>
      </c>
      <c r="AN156" s="49">
        <f t="shared" si="374"/>
        <v>0</v>
      </c>
      <c r="AO156" s="49">
        <f t="shared" si="375"/>
        <v>0</v>
      </c>
      <c r="AP156" s="49">
        <f t="shared" si="376"/>
        <v>-587.70589500000006</v>
      </c>
      <c r="AQ156" s="49">
        <f t="shared" si="377"/>
        <v>0</v>
      </c>
      <c r="AR156" s="49">
        <f t="shared" si="378"/>
        <v>0</v>
      </c>
      <c r="AS156" s="49">
        <f t="shared" si="379"/>
        <v>-131.69880000000001</v>
      </c>
      <c r="AT156" s="49">
        <f t="shared" si="380"/>
        <v>0</v>
      </c>
      <c r="AU156" s="49">
        <f t="shared" si="381"/>
        <v>0</v>
      </c>
      <c r="AV156" s="49">
        <f t="shared" si="382"/>
        <v>-131.69880000000001</v>
      </c>
      <c r="AW156" s="49">
        <f t="shared" si="383"/>
        <v>0</v>
      </c>
      <c r="AX156" s="49">
        <f t="shared" si="384"/>
        <v>0</v>
      </c>
      <c r="AY156" s="49">
        <f t="shared" si="385"/>
        <v>-175.5984</v>
      </c>
      <c r="AZ156" s="49">
        <f t="shared" si="386"/>
        <v>0</v>
      </c>
      <c r="BA156" s="49">
        <f t="shared" si="387"/>
        <v>0</v>
      </c>
      <c r="BB156" s="49">
        <f t="shared" si="388"/>
        <v>-175.5984</v>
      </c>
      <c r="BC156" s="49">
        <f t="shared" si="389"/>
        <v>0</v>
      </c>
      <c r="BD156" s="49">
        <f t="shared" si="390"/>
        <v>0</v>
      </c>
      <c r="BE156" s="49">
        <f t="shared" si="391"/>
        <v>-1736.3389290000002</v>
      </c>
      <c r="BF156" s="49">
        <f t="shared" si="392"/>
        <v>0</v>
      </c>
      <c r="BG156" s="49">
        <f t="shared" si="393"/>
        <v>0</v>
      </c>
      <c r="BH156" s="49">
        <f t="shared" si="394"/>
        <v>-1736.3389290000002</v>
      </c>
      <c r="BI156" s="49">
        <f t="shared" si="395"/>
        <v>0</v>
      </c>
      <c r="BJ156" s="49">
        <f t="shared" si="396"/>
        <v>0</v>
      </c>
      <c r="BK156" s="49">
        <f t="shared" si="397"/>
        <v>-182.84183400000001</v>
      </c>
      <c r="BL156" s="49">
        <f t="shared" si="398"/>
        <v>0</v>
      </c>
      <c r="BM156" s="49">
        <f t="shared" si="399"/>
        <v>0</v>
      </c>
      <c r="BN156" s="49">
        <f t="shared" si="400"/>
        <v>-182.84183400000001</v>
      </c>
      <c r="BO156" s="49">
        <f t="shared" si="401"/>
        <v>0</v>
      </c>
      <c r="BP156" s="49">
        <f t="shared" si="402"/>
        <v>0</v>
      </c>
      <c r="BQ156" s="49">
        <f t="shared" si="403"/>
        <v>-658.49400000000003</v>
      </c>
      <c r="BR156" s="49">
        <f t="shared" si="404"/>
        <v>0</v>
      </c>
      <c r="BS156" s="49">
        <f t="shared" si="405"/>
        <v>0</v>
      </c>
      <c r="BT156" s="49">
        <f t="shared" si="406"/>
        <v>-658.49400000000003</v>
      </c>
      <c r="BU156" s="49">
        <f t="shared" si="407"/>
        <v>0</v>
      </c>
      <c r="BV156" s="49">
        <f t="shared" si="408"/>
        <v>0</v>
      </c>
      <c r="BW156" s="49">
        <f t="shared" si="409"/>
        <v>-587.70589500000006</v>
      </c>
      <c r="BX156" s="49">
        <f t="shared" si="410"/>
        <v>0</v>
      </c>
      <c r="BY156" s="49">
        <f t="shared" si="411"/>
        <v>0</v>
      </c>
      <c r="BZ156" s="49">
        <f t="shared" si="412"/>
        <v>-587.70589500000006</v>
      </c>
      <c r="CA156" s="49">
        <f t="shared" si="413"/>
        <v>0</v>
      </c>
      <c r="CB156" s="49">
        <f t="shared" si="414"/>
        <v>0</v>
      </c>
      <c r="CC156" s="49">
        <f t="shared" si="415"/>
        <v>-131.69880000000001</v>
      </c>
      <c r="CD156" s="49">
        <f t="shared" si="416"/>
        <v>0</v>
      </c>
      <c r="CE156" s="49">
        <f t="shared" si="417"/>
        <v>0</v>
      </c>
      <c r="CF156" s="49">
        <f t="shared" si="418"/>
        <v>-131.69880000000001</v>
      </c>
      <c r="CG156" s="49">
        <f t="shared" si="419"/>
        <v>0</v>
      </c>
      <c r="CH156" s="49">
        <f t="shared" si="420"/>
        <v>0</v>
      </c>
      <c r="CI156" s="49">
        <f t="shared" si="421"/>
        <v>-175.5984</v>
      </c>
      <c r="CJ156" s="49">
        <f t="shared" si="422"/>
        <v>0</v>
      </c>
      <c r="CK156" s="49">
        <f t="shared" si="423"/>
        <v>0</v>
      </c>
      <c r="CL156" s="49">
        <f t="shared" si="424"/>
        <v>-175.5984</v>
      </c>
      <c r="CM156" s="49">
        <f t="shared" si="425"/>
        <v>0</v>
      </c>
      <c r="CN156" s="49">
        <f t="shared" si="426"/>
        <v>0</v>
      </c>
      <c r="CO156" s="49">
        <f t="shared" si="427"/>
        <v>-1736.3389290000002</v>
      </c>
      <c r="CP156" s="49">
        <f t="shared" si="428"/>
        <v>0</v>
      </c>
      <c r="CQ156" s="49">
        <f t="shared" si="429"/>
        <v>0</v>
      </c>
      <c r="CR156" s="81">
        <f t="shared" si="430"/>
        <v>-1736.3389290000002</v>
      </c>
      <c r="CS156" s="80">
        <f t="shared" si="431"/>
        <v>-2653.6210709999996</v>
      </c>
      <c r="CT156" s="54"/>
      <c r="CU156" s="3" t="str">
        <f t="shared" si="432"/>
        <v>ARS</v>
      </c>
      <c r="CV156" s="3">
        <f>VLOOKUP(CU156,DF:DG,2,0)</f>
        <v>6.9185169999999997E-4</v>
      </c>
      <c r="CW156" s="23">
        <f t="shared" si="433"/>
        <v>-3.0372012889319997</v>
      </c>
      <c r="CX156" s="23">
        <f t="shared" si="434"/>
        <v>-0.12649943368401781</v>
      </c>
      <c r="CY156" s="23">
        <f t="shared" si="435"/>
        <v>-0.45558019333979999</v>
      </c>
      <c r="CZ156" s="23">
        <f t="shared" si="436"/>
        <v>-0.40660532255577153</v>
      </c>
      <c r="DA156" s="23">
        <f t="shared" si="437"/>
        <v>-9.1116038667960003E-2</v>
      </c>
      <c r="DB156" s="23">
        <f t="shared" si="438"/>
        <v>-0.12148805155728</v>
      </c>
      <c r="DC156" s="23">
        <f t="shared" si="439"/>
        <v>-1.8359122491271702</v>
      </c>
      <c r="DD156" s="34" t="e">
        <f>VLOOKUP(A156,'Billing Report'!H:I,2,FALSE)</f>
        <v>#N/A</v>
      </c>
      <c r="DE156" s="34"/>
      <c r="DF156" s="61"/>
      <c r="DG156" s="62"/>
      <c r="DH156"/>
      <c r="DI156" s="41"/>
      <c r="DJ156" s="41"/>
    </row>
    <row r="157" spans="1:114" ht="14.5" x14ac:dyDescent="0.35">
      <c r="A157" s="63">
        <v>40881249</v>
      </c>
      <c r="B157" s="3" t="s">
        <v>1026</v>
      </c>
      <c r="C157" s="3">
        <v>323787901</v>
      </c>
      <c r="D157" s="3" t="s">
        <v>93</v>
      </c>
      <c r="G157" s="38">
        <v>3090147.74</v>
      </c>
      <c r="J157" s="33">
        <f>VLOOKUP($B157,'IMS Commission List'!E:CE,79,0)/100</f>
        <v>0.15</v>
      </c>
      <c r="K157" s="79">
        <f t="shared" si="352"/>
        <v>3090147.74</v>
      </c>
      <c r="L157" s="3" t="str">
        <f>VLOOKUP($B157,'IMS Commission List'!E:V,18,0)</f>
        <v>ARS</v>
      </c>
      <c r="M157" s="3">
        <v>1</v>
      </c>
      <c r="N157" s="3" t="str">
        <f>VLOOKUP($B157,'IMS Commission List'!E:T,16,0)</f>
        <v>MX</v>
      </c>
      <c r="O157" s="54">
        <f>VLOOKUP($B157,'IMS Commission List'!E:CF,80,0)</f>
        <v>4.9000000000000002E-2</v>
      </c>
      <c r="P157" s="54">
        <f>VLOOKUP($B157,'IMS Commission List'!E:CG,81,0)</f>
        <v>0.1575</v>
      </c>
      <c r="Q157" s="54">
        <f>VLOOKUP($B157,'IMS Commission List'!E:CP,90,0)</f>
        <v>0.03</v>
      </c>
      <c r="R157" s="54">
        <f>VLOOKUP($B157,'IMS Commission List'!E:CQ,91,0)</f>
        <v>0.04</v>
      </c>
      <c r="S157" s="47">
        <f t="shared" si="353"/>
        <v>0</v>
      </c>
      <c r="T157" s="48">
        <f t="shared" si="354"/>
        <v>0</v>
      </c>
      <c r="U157" s="48">
        <f t="shared" si="355"/>
        <v>3090147.74</v>
      </c>
      <c r="V157" s="48">
        <f t="shared" si="356"/>
        <v>0</v>
      </c>
      <c r="W157" s="48">
        <f t="shared" si="357"/>
        <v>0</v>
      </c>
      <c r="X157" s="49">
        <f t="shared" si="358"/>
        <v>3090147.74</v>
      </c>
      <c r="Y157" s="49">
        <f t="shared" si="359"/>
        <v>0</v>
      </c>
      <c r="Z157" s="49">
        <f t="shared" si="360"/>
        <v>0</v>
      </c>
      <c r="AA157" s="49">
        <f t="shared" si="361"/>
        <v>128704.65337100002</v>
      </c>
      <c r="AB157" s="49">
        <f t="shared" si="362"/>
        <v>0</v>
      </c>
      <c r="AC157" s="49">
        <f t="shared" si="363"/>
        <v>0</v>
      </c>
      <c r="AD157" s="49">
        <f t="shared" si="364"/>
        <v>128704.65337100002</v>
      </c>
      <c r="AE157" s="49">
        <f t="shared" si="365"/>
        <v>0</v>
      </c>
      <c r="AF157" s="49">
        <f t="shared" si="366"/>
        <v>0</v>
      </c>
      <c r="AG157" s="49">
        <f t="shared" si="367"/>
        <v>463522.16100000002</v>
      </c>
      <c r="AH157" s="49">
        <f t="shared" si="368"/>
        <v>0</v>
      </c>
      <c r="AI157" s="49">
        <f t="shared" si="369"/>
        <v>0</v>
      </c>
      <c r="AJ157" s="49">
        <f t="shared" si="370"/>
        <v>463522.16100000002</v>
      </c>
      <c r="AK157" s="49">
        <f t="shared" si="371"/>
        <v>0</v>
      </c>
      <c r="AL157" s="49">
        <f t="shared" si="372"/>
        <v>0</v>
      </c>
      <c r="AM157" s="49">
        <f t="shared" si="373"/>
        <v>413693.52869250003</v>
      </c>
      <c r="AN157" s="49">
        <f t="shared" si="374"/>
        <v>0</v>
      </c>
      <c r="AO157" s="49">
        <f t="shared" si="375"/>
        <v>0</v>
      </c>
      <c r="AP157" s="49">
        <f t="shared" si="376"/>
        <v>413693.52869250003</v>
      </c>
      <c r="AQ157" s="49">
        <f t="shared" si="377"/>
        <v>0</v>
      </c>
      <c r="AR157" s="49">
        <f t="shared" si="378"/>
        <v>0</v>
      </c>
      <c r="AS157" s="49">
        <f t="shared" si="379"/>
        <v>92704.43220000001</v>
      </c>
      <c r="AT157" s="49">
        <f t="shared" si="380"/>
        <v>0</v>
      </c>
      <c r="AU157" s="49">
        <f t="shared" si="381"/>
        <v>0</v>
      </c>
      <c r="AV157" s="49">
        <f t="shared" si="382"/>
        <v>92704.43220000001</v>
      </c>
      <c r="AW157" s="49">
        <f t="shared" si="383"/>
        <v>0</v>
      </c>
      <c r="AX157" s="49">
        <f t="shared" si="384"/>
        <v>0</v>
      </c>
      <c r="AY157" s="49">
        <f t="shared" si="385"/>
        <v>123605.90960000001</v>
      </c>
      <c r="AZ157" s="49">
        <f t="shared" si="386"/>
        <v>0</v>
      </c>
      <c r="BA157" s="49">
        <f t="shared" si="387"/>
        <v>0</v>
      </c>
      <c r="BB157" s="49">
        <f t="shared" si="388"/>
        <v>123605.90960000001</v>
      </c>
      <c r="BC157" s="49">
        <f t="shared" si="389"/>
        <v>0</v>
      </c>
      <c r="BD157" s="49">
        <f t="shared" si="390"/>
        <v>0</v>
      </c>
      <c r="BE157" s="49">
        <f t="shared" si="391"/>
        <v>1222230.6848634998</v>
      </c>
      <c r="BF157" s="49">
        <f t="shared" si="392"/>
        <v>0</v>
      </c>
      <c r="BG157" s="49">
        <f t="shared" si="393"/>
        <v>0</v>
      </c>
      <c r="BH157" s="49">
        <f t="shared" si="394"/>
        <v>1222230.6848634998</v>
      </c>
      <c r="BI157" s="49">
        <f t="shared" si="395"/>
        <v>0</v>
      </c>
      <c r="BJ157" s="49">
        <f t="shared" si="396"/>
        <v>0</v>
      </c>
      <c r="BK157" s="49">
        <f t="shared" si="397"/>
        <v>128704.65337100002</v>
      </c>
      <c r="BL157" s="49">
        <f t="shared" si="398"/>
        <v>0</v>
      </c>
      <c r="BM157" s="49">
        <f t="shared" si="399"/>
        <v>0</v>
      </c>
      <c r="BN157" s="49">
        <f t="shared" si="400"/>
        <v>128704.65337100002</v>
      </c>
      <c r="BO157" s="49">
        <f t="shared" si="401"/>
        <v>0</v>
      </c>
      <c r="BP157" s="49">
        <f t="shared" si="402"/>
        <v>0</v>
      </c>
      <c r="BQ157" s="49">
        <f t="shared" si="403"/>
        <v>463522.16100000002</v>
      </c>
      <c r="BR157" s="49">
        <f t="shared" si="404"/>
        <v>0</v>
      </c>
      <c r="BS157" s="49">
        <f t="shared" si="405"/>
        <v>0</v>
      </c>
      <c r="BT157" s="49">
        <f t="shared" si="406"/>
        <v>463522.16100000002</v>
      </c>
      <c r="BU157" s="49">
        <f t="shared" si="407"/>
        <v>0</v>
      </c>
      <c r="BV157" s="49">
        <f t="shared" si="408"/>
        <v>0</v>
      </c>
      <c r="BW157" s="49">
        <f t="shared" si="409"/>
        <v>413693.52869250003</v>
      </c>
      <c r="BX157" s="49">
        <f t="shared" si="410"/>
        <v>0</v>
      </c>
      <c r="BY157" s="49">
        <f t="shared" si="411"/>
        <v>0</v>
      </c>
      <c r="BZ157" s="49">
        <f t="shared" si="412"/>
        <v>413693.52869250003</v>
      </c>
      <c r="CA157" s="49">
        <f t="shared" si="413"/>
        <v>0</v>
      </c>
      <c r="CB157" s="49">
        <f t="shared" si="414"/>
        <v>0</v>
      </c>
      <c r="CC157" s="49">
        <f t="shared" si="415"/>
        <v>92704.43220000001</v>
      </c>
      <c r="CD157" s="49">
        <f t="shared" si="416"/>
        <v>0</v>
      </c>
      <c r="CE157" s="49">
        <f t="shared" si="417"/>
        <v>0</v>
      </c>
      <c r="CF157" s="49">
        <f t="shared" si="418"/>
        <v>92704.43220000001</v>
      </c>
      <c r="CG157" s="49">
        <f t="shared" si="419"/>
        <v>0</v>
      </c>
      <c r="CH157" s="49">
        <f t="shared" si="420"/>
        <v>0</v>
      </c>
      <c r="CI157" s="49">
        <f t="shared" si="421"/>
        <v>123605.90960000001</v>
      </c>
      <c r="CJ157" s="49">
        <f t="shared" si="422"/>
        <v>0</v>
      </c>
      <c r="CK157" s="49">
        <f t="shared" si="423"/>
        <v>0</v>
      </c>
      <c r="CL157" s="49">
        <f t="shared" si="424"/>
        <v>123605.90960000001</v>
      </c>
      <c r="CM157" s="49">
        <f t="shared" si="425"/>
        <v>0</v>
      </c>
      <c r="CN157" s="49">
        <f t="shared" si="426"/>
        <v>0</v>
      </c>
      <c r="CO157" s="49">
        <f t="shared" si="427"/>
        <v>1222230.6848634998</v>
      </c>
      <c r="CP157" s="49">
        <f t="shared" si="428"/>
        <v>0</v>
      </c>
      <c r="CQ157" s="49">
        <f t="shared" si="429"/>
        <v>0</v>
      </c>
      <c r="CR157" s="81">
        <f t="shared" si="430"/>
        <v>1222230.6848634998</v>
      </c>
      <c r="CS157" s="80">
        <f t="shared" si="431"/>
        <v>1867917.0551365004</v>
      </c>
      <c r="CT157" s="54"/>
      <c r="CU157" s="3" t="str">
        <f t="shared" si="432"/>
        <v>ARS</v>
      </c>
      <c r="CV157" s="3">
        <f>VLOOKUP(CU157,DF:DG,2,0)</f>
        <v>6.9185169999999997E-4</v>
      </c>
      <c r="CW157" s="23">
        <f t="shared" si="433"/>
        <v>2137.923967170158</v>
      </c>
      <c r="CX157" s="23">
        <f t="shared" si="434"/>
        <v>89.044533232637093</v>
      </c>
      <c r="CY157" s="23">
        <f t="shared" si="435"/>
        <v>320.68859507552372</v>
      </c>
      <c r="CZ157" s="23">
        <f t="shared" si="436"/>
        <v>286.21457110490491</v>
      </c>
      <c r="DA157" s="23">
        <f t="shared" si="437"/>
        <v>64.13771901510475</v>
      </c>
      <c r="DB157" s="23">
        <f t="shared" si="438"/>
        <v>85.516958686806319</v>
      </c>
      <c r="DC157" s="23">
        <f t="shared" si="439"/>
        <v>1292.3215900551816</v>
      </c>
      <c r="DD157" s="34" t="str">
        <f>VLOOKUP(A157,'Billing Report'!H:I,2,FALSE)</f>
        <v>ccu_schneider_remix limon 2025_reach_suspect_febrero_2026_twitter_op-760699_</v>
      </c>
      <c r="DE157" s="34"/>
      <c r="DF157" s="61"/>
      <c r="DG157" s="62"/>
      <c r="DH157"/>
      <c r="DI157" s="41"/>
      <c r="DJ157" s="41"/>
    </row>
    <row r="158" spans="1:114" ht="14.5" x14ac:dyDescent="0.35">
      <c r="A158" s="63">
        <v>40881231</v>
      </c>
      <c r="B158" s="3" t="s">
        <v>1026</v>
      </c>
      <c r="C158" s="3">
        <v>323787901</v>
      </c>
      <c r="D158" s="3" t="s">
        <v>93</v>
      </c>
      <c r="G158" s="38">
        <v>1914242.22</v>
      </c>
      <c r="J158" s="33">
        <f>VLOOKUP($B158,'IMS Commission List'!E:CE,79,0)/100</f>
        <v>0.15</v>
      </c>
      <c r="K158" s="79">
        <f t="shared" si="352"/>
        <v>1914242.22</v>
      </c>
      <c r="L158" s="3" t="str">
        <f>VLOOKUP($B158,'IMS Commission List'!E:V,18,0)</f>
        <v>ARS</v>
      </c>
      <c r="M158" s="3">
        <v>1</v>
      </c>
      <c r="N158" s="3" t="str">
        <f>VLOOKUP($B158,'IMS Commission List'!E:T,16,0)</f>
        <v>MX</v>
      </c>
      <c r="O158" s="54">
        <f>VLOOKUP($B158,'IMS Commission List'!E:CF,80,0)</f>
        <v>4.9000000000000002E-2</v>
      </c>
      <c r="P158" s="54">
        <f>VLOOKUP($B158,'IMS Commission List'!E:CG,81,0)</f>
        <v>0.1575</v>
      </c>
      <c r="Q158" s="54">
        <f>VLOOKUP($B158,'IMS Commission List'!E:CP,90,0)</f>
        <v>0.03</v>
      </c>
      <c r="R158" s="54">
        <f>VLOOKUP($B158,'IMS Commission List'!E:CQ,91,0)</f>
        <v>0.04</v>
      </c>
      <c r="S158" s="47">
        <f t="shared" si="353"/>
        <v>0</v>
      </c>
      <c r="T158" s="48">
        <f t="shared" si="354"/>
        <v>0</v>
      </c>
      <c r="U158" s="48">
        <f t="shared" si="355"/>
        <v>1914242.22</v>
      </c>
      <c r="V158" s="48">
        <f t="shared" si="356"/>
        <v>0</v>
      </c>
      <c r="W158" s="48">
        <f t="shared" si="357"/>
        <v>0</v>
      </c>
      <c r="X158" s="49">
        <f t="shared" si="358"/>
        <v>1914242.22</v>
      </c>
      <c r="Y158" s="49">
        <f t="shared" si="359"/>
        <v>0</v>
      </c>
      <c r="Z158" s="49">
        <f t="shared" si="360"/>
        <v>0</v>
      </c>
      <c r="AA158" s="49">
        <f t="shared" si="361"/>
        <v>79728.188462999999</v>
      </c>
      <c r="AB158" s="49">
        <f t="shared" si="362"/>
        <v>0</v>
      </c>
      <c r="AC158" s="49">
        <f t="shared" si="363"/>
        <v>0</v>
      </c>
      <c r="AD158" s="49">
        <f t="shared" si="364"/>
        <v>79728.188462999999</v>
      </c>
      <c r="AE158" s="49">
        <f t="shared" si="365"/>
        <v>0</v>
      </c>
      <c r="AF158" s="49">
        <f t="shared" si="366"/>
        <v>0</v>
      </c>
      <c r="AG158" s="49">
        <f t="shared" si="367"/>
        <v>287136.33299999998</v>
      </c>
      <c r="AH158" s="49">
        <f t="shared" si="368"/>
        <v>0</v>
      </c>
      <c r="AI158" s="49">
        <f t="shared" si="369"/>
        <v>0</v>
      </c>
      <c r="AJ158" s="49">
        <f t="shared" si="370"/>
        <v>287136.33299999998</v>
      </c>
      <c r="AK158" s="49">
        <f t="shared" si="371"/>
        <v>0</v>
      </c>
      <c r="AL158" s="49">
        <f t="shared" si="372"/>
        <v>0</v>
      </c>
      <c r="AM158" s="49">
        <f t="shared" si="373"/>
        <v>256269.17720249997</v>
      </c>
      <c r="AN158" s="49">
        <f t="shared" si="374"/>
        <v>0</v>
      </c>
      <c r="AO158" s="49">
        <f t="shared" si="375"/>
        <v>0</v>
      </c>
      <c r="AP158" s="49">
        <f t="shared" si="376"/>
        <v>256269.17720249997</v>
      </c>
      <c r="AQ158" s="49">
        <f t="shared" si="377"/>
        <v>0</v>
      </c>
      <c r="AR158" s="49">
        <f t="shared" si="378"/>
        <v>0</v>
      </c>
      <c r="AS158" s="49">
        <f t="shared" si="379"/>
        <v>57427.266599999995</v>
      </c>
      <c r="AT158" s="49">
        <f t="shared" si="380"/>
        <v>0</v>
      </c>
      <c r="AU158" s="49">
        <f t="shared" si="381"/>
        <v>0</v>
      </c>
      <c r="AV158" s="49">
        <f t="shared" si="382"/>
        <v>57427.266599999995</v>
      </c>
      <c r="AW158" s="49">
        <f t="shared" si="383"/>
        <v>0</v>
      </c>
      <c r="AX158" s="49">
        <f t="shared" si="384"/>
        <v>0</v>
      </c>
      <c r="AY158" s="49">
        <f t="shared" si="385"/>
        <v>76569.688800000004</v>
      </c>
      <c r="AZ158" s="49">
        <f t="shared" si="386"/>
        <v>0</v>
      </c>
      <c r="BA158" s="49">
        <f t="shared" si="387"/>
        <v>0</v>
      </c>
      <c r="BB158" s="49">
        <f t="shared" si="388"/>
        <v>76569.688800000004</v>
      </c>
      <c r="BC158" s="49">
        <f t="shared" si="389"/>
        <v>0</v>
      </c>
      <c r="BD158" s="49">
        <f t="shared" si="390"/>
        <v>0</v>
      </c>
      <c r="BE158" s="49">
        <f t="shared" si="391"/>
        <v>757130.6540654999</v>
      </c>
      <c r="BF158" s="49">
        <f t="shared" si="392"/>
        <v>0</v>
      </c>
      <c r="BG158" s="49">
        <f t="shared" si="393"/>
        <v>0</v>
      </c>
      <c r="BH158" s="49">
        <f t="shared" si="394"/>
        <v>757130.6540654999</v>
      </c>
      <c r="BI158" s="49">
        <f t="shared" si="395"/>
        <v>0</v>
      </c>
      <c r="BJ158" s="49">
        <f t="shared" si="396"/>
        <v>0</v>
      </c>
      <c r="BK158" s="49">
        <f t="shared" si="397"/>
        <v>79728.188462999999</v>
      </c>
      <c r="BL158" s="49">
        <f t="shared" si="398"/>
        <v>0</v>
      </c>
      <c r="BM158" s="49">
        <f t="shared" si="399"/>
        <v>0</v>
      </c>
      <c r="BN158" s="49">
        <f t="shared" si="400"/>
        <v>79728.188462999999</v>
      </c>
      <c r="BO158" s="49">
        <f t="shared" si="401"/>
        <v>0</v>
      </c>
      <c r="BP158" s="49">
        <f t="shared" si="402"/>
        <v>0</v>
      </c>
      <c r="BQ158" s="49">
        <f t="shared" si="403"/>
        <v>287136.33299999998</v>
      </c>
      <c r="BR158" s="49">
        <f t="shared" si="404"/>
        <v>0</v>
      </c>
      <c r="BS158" s="49">
        <f t="shared" si="405"/>
        <v>0</v>
      </c>
      <c r="BT158" s="49">
        <f t="shared" si="406"/>
        <v>287136.33299999998</v>
      </c>
      <c r="BU158" s="49">
        <f t="shared" si="407"/>
        <v>0</v>
      </c>
      <c r="BV158" s="49">
        <f t="shared" si="408"/>
        <v>0</v>
      </c>
      <c r="BW158" s="49">
        <f t="shared" si="409"/>
        <v>256269.17720249997</v>
      </c>
      <c r="BX158" s="49">
        <f t="shared" si="410"/>
        <v>0</v>
      </c>
      <c r="BY158" s="49">
        <f t="shared" si="411"/>
        <v>0</v>
      </c>
      <c r="BZ158" s="49">
        <f t="shared" si="412"/>
        <v>256269.17720249997</v>
      </c>
      <c r="CA158" s="49">
        <f t="shared" si="413"/>
        <v>0</v>
      </c>
      <c r="CB158" s="49">
        <f t="shared" si="414"/>
        <v>0</v>
      </c>
      <c r="CC158" s="49">
        <f t="shared" si="415"/>
        <v>57427.266599999995</v>
      </c>
      <c r="CD158" s="49">
        <f t="shared" si="416"/>
        <v>0</v>
      </c>
      <c r="CE158" s="49">
        <f t="shared" si="417"/>
        <v>0</v>
      </c>
      <c r="CF158" s="49">
        <f t="shared" si="418"/>
        <v>57427.266599999995</v>
      </c>
      <c r="CG158" s="49">
        <f t="shared" si="419"/>
        <v>0</v>
      </c>
      <c r="CH158" s="49">
        <f t="shared" si="420"/>
        <v>0</v>
      </c>
      <c r="CI158" s="49">
        <f t="shared" si="421"/>
        <v>76569.688800000004</v>
      </c>
      <c r="CJ158" s="49">
        <f t="shared" si="422"/>
        <v>0</v>
      </c>
      <c r="CK158" s="49">
        <f t="shared" si="423"/>
        <v>0</v>
      </c>
      <c r="CL158" s="49">
        <f t="shared" si="424"/>
        <v>76569.688800000004</v>
      </c>
      <c r="CM158" s="49">
        <f t="shared" si="425"/>
        <v>0</v>
      </c>
      <c r="CN158" s="49">
        <f t="shared" si="426"/>
        <v>0</v>
      </c>
      <c r="CO158" s="49">
        <f t="shared" si="427"/>
        <v>757130.6540654999</v>
      </c>
      <c r="CP158" s="49">
        <f t="shared" si="428"/>
        <v>0</v>
      </c>
      <c r="CQ158" s="49">
        <f t="shared" si="429"/>
        <v>0</v>
      </c>
      <c r="CR158" s="81">
        <f t="shared" si="430"/>
        <v>757130.6540654999</v>
      </c>
      <c r="CS158" s="80">
        <f t="shared" si="431"/>
        <v>1157111.5659345002</v>
      </c>
      <c r="CT158" s="54"/>
      <c r="CU158" s="3" t="str">
        <f t="shared" si="432"/>
        <v>ARS</v>
      </c>
      <c r="CV158" s="3">
        <f>VLOOKUP(CU158,DF:DG,2,0)</f>
        <v>6.9185169999999997E-4</v>
      </c>
      <c r="CW158" s="23">
        <f t="shared" si="433"/>
        <v>1324.3717341187739</v>
      </c>
      <c r="CX158" s="23">
        <f t="shared" si="434"/>
        <v>55.16008272604693</v>
      </c>
      <c r="CY158" s="23">
        <f t="shared" si="435"/>
        <v>198.65576011781607</v>
      </c>
      <c r="CZ158" s="23">
        <f t="shared" si="436"/>
        <v>177.30026590515084</v>
      </c>
      <c r="DA158" s="23">
        <f t="shared" si="437"/>
        <v>39.731152023563212</v>
      </c>
      <c r="DB158" s="23">
        <f t="shared" si="438"/>
        <v>52.974869364750958</v>
      </c>
      <c r="DC158" s="23">
        <f t="shared" si="439"/>
        <v>800.54960398144601</v>
      </c>
      <c r="DD158" s="34" t="str">
        <f>VLOOKUP(A158,'Billing Report'!H:I,2,FALSE)</f>
        <v>ccu_schneider_remix limon 2025_views_suspect_febrero_2026_twitter_op-760699_</v>
      </c>
      <c r="DE158" s="34"/>
      <c r="DF158" s="61"/>
      <c r="DG158" s="62"/>
      <c r="DH158"/>
      <c r="DI158" s="41"/>
      <c r="DJ158" s="41"/>
    </row>
    <row r="159" spans="1:114" ht="14.5" x14ac:dyDescent="0.35">
      <c r="A159" s="63">
        <v>40989253</v>
      </c>
      <c r="B159" s="3" t="s">
        <v>1030</v>
      </c>
      <c r="C159" s="3">
        <v>323817302</v>
      </c>
      <c r="D159" s="3" t="s">
        <v>93</v>
      </c>
      <c r="F159" s="35">
        <v>1259410</v>
      </c>
      <c r="G159" s="38"/>
      <c r="J159" s="33">
        <f>VLOOKUP($B159,'IMS Commission List'!E:CE,79,0)/100</f>
        <v>0.15</v>
      </c>
      <c r="K159" s="79">
        <f t="shared" si="352"/>
        <v>1259410</v>
      </c>
      <c r="L159" s="3" t="str">
        <f>VLOOKUP($B159,'IMS Commission List'!E:V,18,0)</f>
        <v>ARS</v>
      </c>
      <c r="M159" s="3">
        <v>1</v>
      </c>
      <c r="N159" s="3" t="str">
        <f>VLOOKUP($B159,'IMS Commission List'!E:T,16,0)</f>
        <v>MX</v>
      </c>
      <c r="O159" s="54">
        <f>VLOOKUP($B159,'IMS Commission List'!E:CF,80,0)</f>
        <v>4.9000000000000002E-2</v>
      </c>
      <c r="P159" s="54">
        <f>VLOOKUP($B159,'IMS Commission List'!E:CG,81,0)</f>
        <v>0.1575</v>
      </c>
      <c r="Q159" s="54">
        <f>VLOOKUP($B159,'IMS Commission List'!E:CP,90,0)</f>
        <v>0.03</v>
      </c>
      <c r="R159" s="54">
        <f>VLOOKUP($B159,'IMS Commission List'!E:CQ,91,0)</f>
        <v>0.04</v>
      </c>
      <c r="S159" s="47">
        <f t="shared" si="353"/>
        <v>0</v>
      </c>
      <c r="T159" s="48">
        <f t="shared" si="354"/>
        <v>1259410</v>
      </c>
      <c r="U159" s="48">
        <f t="shared" si="355"/>
        <v>0</v>
      </c>
      <c r="V159" s="48">
        <f t="shared" si="356"/>
        <v>0</v>
      </c>
      <c r="W159" s="48">
        <f t="shared" si="357"/>
        <v>0</v>
      </c>
      <c r="X159" s="49">
        <f t="shared" si="358"/>
        <v>1259410</v>
      </c>
      <c r="Y159" s="49">
        <f t="shared" si="359"/>
        <v>0</v>
      </c>
      <c r="Z159" s="49">
        <f t="shared" si="360"/>
        <v>52454.426500000001</v>
      </c>
      <c r="AA159" s="49">
        <f t="shared" si="361"/>
        <v>0</v>
      </c>
      <c r="AB159" s="49">
        <f t="shared" si="362"/>
        <v>0</v>
      </c>
      <c r="AC159" s="49">
        <f t="shared" si="363"/>
        <v>0</v>
      </c>
      <c r="AD159" s="49">
        <f t="shared" si="364"/>
        <v>52454.426500000001</v>
      </c>
      <c r="AE159" s="49">
        <f t="shared" si="365"/>
        <v>0</v>
      </c>
      <c r="AF159" s="49">
        <f t="shared" si="366"/>
        <v>188911.5</v>
      </c>
      <c r="AG159" s="49">
        <f t="shared" si="367"/>
        <v>0</v>
      </c>
      <c r="AH159" s="49">
        <f t="shared" si="368"/>
        <v>0</v>
      </c>
      <c r="AI159" s="49">
        <f t="shared" si="369"/>
        <v>0</v>
      </c>
      <c r="AJ159" s="49">
        <f t="shared" si="370"/>
        <v>188911.5</v>
      </c>
      <c r="AK159" s="49">
        <f t="shared" si="371"/>
        <v>0</v>
      </c>
      <c r="AL159" s="49">
        <f t="shared" si="372"/>
        <v>168603.51375000001</v>
      </c>
      <c r="AM159" s="49">
        <f t="shared" si="373"/>
        <v>0</v>
      </c>
      <c r="AN159" s="49">
        <f t="shared" si="374"/>
        <v>0</v>
      </c>
      <c r="AO159" s="49">
        <f t="shared" si="375"/>
        <v>0</v>
      </c>
      <c r="AP159" s="49">
        <f t="shared" si="376"/>
        <v>168603.51375000001</v>
      </c>
      <c r="AQ159" s="49">
        <f t="shared" si="377"/>
        <v>0</v>
      </c>
      <c r="AR159" s="49">
        <f t="shared" si="378"/>
        <v>37782.299999999996</v>
      </c>
      <c r="AS159" s="49">
        <f t="shared" si="379"/>
        <v>0</v>
      </c>
      <c r="AT159" s="49">
        <f t="shared" si="380"/>
        <v>0</v>
      </c>
      <c r="AU159" s="49">
        <f t="shared" si="381"/>
        <v>0</v>
      </c>
      <c r="AV159" s="49">
        <f t="shared" si="382"/>
        <v>37782.299999999996</v>
      </c>
      <c r="AW159" s="49">
        <f t="shared" si="383"/>
        <v>0</v>
      </c>
      <c r="AX159" s="49">
        <f t="shared" si="384"/>
        <v>50376.4</v>
      </c>
      <c r="AY159" s="49">
        <f t="shared" si="385"/>
        <v>0</v>
      </c>
      <c r="AZ159" s="49">
        <f t="shared" si="386"/>
        <v>0</v>
      </c>
      <c r="BA159" s="49">
        <f t="shared" si="387"/>
        <v>0</v>
      </c>
      <c r="BB159" s="49">
        <f t="shared" si="388"/>
        <v>50376.4</v>
      </c>
      <c r="BC159" s="49">
        <f t="shared" si="389"/>
        <v>0</v>
      </c>
      <c r="BD159" s="49">
        <f t="shared" si="390"/>
        <v>498128.14025</v>
      </c>
      <c r="BE159" s="49">
        <f t="shared" si="391"/>
        <v>0</v>
      </c>
      <c r="BF159" s="49">
        <f t="shared" si="392"/>
        <v>0</v>
      </c>
      <c r="BG159" s="49">
        <f t="shared" si="393"/>
        <v>0</v>
      </c>
      <c r="BH159" s="49">
        <f t="shared" si="394"/>
        <v>498128.14025</v>
      </c>
      <c r="BI159" s="49">
        <f t="shared" si="395"/>
        <v>0</v>
      </c>
      <c r="BJ159" s="49">
        <f t="shared" si="396"/>
        <v>52454.426500000001</v>
      </c>
      <c r="BK159" s="49">
        <f t="shared" si="397"/>
        <v>0</v>
      </c>
      <c r="BL159" s="49">
        <f t="shared" si="398"/>
        <v>0</v>
      </c>
      <c r="BM159" s="49">
        <f t="shared" si="399"/>
        <v>0</v>
      </c>
      <c r="BN159" s="49">
        <f t="shared" si="400"/>
        <v>52454.426500000001</v>
      </c>
      <c r="BO159" s="49">
        <f t="shared" si="401"/>
        <v>0</v>
      </c>
      <c r="BP159" s="49">
        <f t="shared" si="402"/>
        <v>188911.5</v>
      </c>
      <c r="BQ159" s="49">
        <f t="shared" si="403"/>
        <v>0</v>
      </c>
      <c r="BR159" s="49">
        <f t="shared" si="404"/>
        <v>0</v>
      </c>
      <c r="BS159" s="49">
        <f t="shared" si="405"/>
        <v>0</v>
      </c>
      <c r="BT159" s="49">
        <f t="shared" si="406"/>
        <v>188911.5</v>
      </c>
      <c r="BU159" s="49">
        <f t="shared" si="407"/>
        <v>0</v>
      </c>
      <c r="BV159" s="49">
        <f t="shared" si="408"/>
        <v>168603.51375000001</v>
      </c>
      <c r="BW159" s="49">
        <f t="shared" si="409"/>
        <v>0</v>
      </c>
      <c r="BX159" s="49">
        <f t="shared" si="410"/>
        <v>0</v>
      </c>
      <c r="BY159" s="49">
        <f t="shared" si="411"/>
        <v>0</v>
      </c>
      <c r="BZ159" s="49">
        <f t="shared" si="412"/>
        <v>168603.51375000001</v>
      </c>
      <c r="CA159" s="49">
        <f t="shared" si="413"/>
        <v>0</v>
      </c>
      <c r="CB159" s="49">
        <f t="shared" si="414"/>
        <v>37782.299999999996</v>
      </c>
      <c r="CC159" s="49">
        <f t="shared" si="415"/>
        <v>0</v>
      </c>
      <c r="CD159" s="49">
        <f t="shared" si="416"/>
        <v>0</v>
      </c>
      <c r="CE159" s="49">
        <f t="shared" si="417"/>
        <v>0</v>
      </c>
      <c r="CF159" s="49">
        <f t="shared" si="418"/>
        <v>37782.299999999996</v>
      </c>
      <c r="CG159" s="49">
        <f t="shared" si="419"/>
        <v>0</v>
      </c>
      <c r="CH159" s="49">
        <f t="shared" si="420"/>
        <v>50376.4</v>
      </c>
      <c r="CI159" s="49">
        <f t="shared" si="421"/>
        <v>0</v>
      </c>
      <c r="CJ159" s="49">
        <f t="shared" si="422"/>
        <v>0</v>
      </c>
      <c r="CK159" s="49">
        <f t="shared" si="423"/>
        <v>0</v>
      </c>
      <c r="CL159" s="49">
        <f t="shared" si="424"/>
        <v>50376.4</v>
      </c>
      <c r="CM159" s="49">
        <f t="shared" si="425"/>
        <v>0</v>
      </c>
      <c r="CN159" s="49">
        <f t="shared" si="426"/>
        <v>498128.14025</v>
      </c>
      <c r="CO159" s="49">
        <f t="shared" si="427"/>
        <v>0</v>
      </c>
      <c r="CP159" s="49">
        <f t="shared" si="428"/>
        <v>0</v>
      </c>
      <c r="CQ159" s="49">
        <f t="shared" si="429"/>
        <v>0</v>
      </c>
      <c r="CR159" s="81">
        <f t="shared" si="430"/>
        <v>498128.14025</v>
      </c>
      <c r="CS159" s="80">
        <f t="shared" si="431"/>
        <v>761281.85975000006</v>
      </c>
      <c r="CT159" s="54"/>
      <c r="CU159" s="3" t="str">
        <f t="shared" si="432"/>
        <v>ARS</v>
      </c>
      <c r="CV159" s="3">
        <f>VLOOKUP(CU159,DF:DG,2,0)</f>
        <v>6.9185169999999997E-4</v>
      </c>
      <c r="CW159" s="23">
        <f t="shared" si="433"/>
        <v>871.32494949699992</v>
      </c>
      <c r="CX159" s="23">
        <f t="shared" si="434"/>
        <v>36.290684146550049</v>
      </c>
      <c r="CY159" s="23">
        <f t="shared" si="435"/>
        <v>130.69874242455001</v>
      </c>
      <c r="CZ159" s="23">
        <f t="shared" si="436"/>
        <v>116.64862761391088</v>
      </c>
      <c r="DA159" s="23">
        <f t="shared" si="437"/>
        <v>26.139748484909997</v>
      </c>
      <c r="DB159" s="23">
        <f t="shared" si="438"/>
        <v>34.852997979880001</v>
      </c>
      <c r="DC159" s="23">
        <f t="shared" si="439"/>
        <v>526.69414884719913</v>
      </c>
      <c r="DD159" s="34" t="str">
        <f>VLOOKUP(A159,'Billing Report'!H:I,2,FALSE)</f>
        <v>Flow_ar Estándar 2026-02-27</v>
      </c>
      <c r="DE159" s="34"/>
      <c r="DF159" s="61"/>
      <c r="DG159" s="62"/>
      <c r="DH159"/>
      <c r="DI159" s="41"/>
      <c r="DJ159" s="41"/>
    </row>
    <row r="160" spans="1:114" ht="14.5" x14ac:dyDescent="0.35">
      <c r="A160" s="63">
        <v>40989141</v>
      </c>
      <c r="B160" s="3" t="s">
        <v>1030</v>
      </c>
      <c r="C160" s="3">
        <v>323817301</v>
      </c>
      <c r="D160" s="3" t="s">
        <v>93</v>
      </c>
      <c r="F160" s="35">
        <v>3625356</v>
      </c>
      <c r="G160" s="38"/>
      <c r="J160" s="33">
        <f>VLOOKUP($B160,'IMS Commission List'!E:CE,79,0)/100</f>
        <v>0.15</v>
      </c>
      <c r="K160" s="79">
        <f t="shared" si="352"/>
        <v>3625356</v>
      </c>
      <c r="L160" s="3" t="str">
        <f>VLOOKUP($B160,'IMS Commission List'!E:V,18,0)</f>
        <v>ARS</v>
      </c>
      <c r="M160" s="3">
        <v>1</v>
      </c>
      <c r="N160" s="3" t="str">
        <f>VLOOKUP($B160,'IMS Commission List'!E:T,16,0)</f>
        <v>MX</v>
      </c>
      <c r="O160" s="54">
        <f>VLOOKUP($B160,'IMS Commission List'!E:CF,80,0)</f>
        <v>4.9000000000000002E-2</v>
      </c>
      <c r="P160" s="54">
        <f>VLOOKUP($B160,'IMS Commission List'!E:CG,81,0)</f>
        <v>0.1575</v>
      </c>
      <c r="Q160" s="54">
        <f>VLOOKUP($B160,'IMS Commission List'!E:CP,90,0)</f>
        <v>0.03</v>
      </c>
      <c r="R160" s="54">
        <f>VLOOKUP($B160,'IMS Commission List'!E:CQ,91,0)</f>
        <v>0.04</v>
      </c>
      <c r="S160" s="47">
        <f t="shared" si="353"/>
        <v>0</v>
      </c>
      <c r="T160" s="48">
        <f t="shared" si="354"/>
        <v>3625356</v>
      </c>
      <c r="U160" s="48">
        <f t="shared" si="355"/>
        <v>0</v>
      </c>
      <c r="V160" s="48">
        <f t="shared" si="356"/>
        <v>0</v>
      </c>
      <c r="W160" s="48">
        <f t="shared" si="357"/>
        <v>0</v>
      </c>
      <c r="X160" s="49">
        <f t="shared" si="358"/>
        <v>3625356</v>
      </c>
      <c r="Y160" s="49">
        <f t="shared" si="359"/>
        <v>0</v>
      </c>
      <c r="Z160" s="49">
        <f t="shared" si="360"/>
        <v>150996.07740000001</v>
      </c>
      <c r="AA160" s="49">
        <f t="shared" si="361"/>
        <v>0</v>
      </c>
      <c r="AB160" s="49">
        <f t="shared" si="362"/>
        <v>0</v>
      </c>
      <c r="AC160" s="49">
        <f t="shared" si="363"/>
        <v>0</v>
      </c>
      <c r="AD160" s="49">
        <f t="shared" si="364"/>
        <v>150996.07740000001</v>
      </c>
      <c r="AE160" s="49">
        <f t="shared" si="365"/>
        <v>0</v>
      </c>
      <c r="AF160" s="49">
        <f t="shared" si="366"/>
        <v>543803.4</v>
      </c>
      <c r="AG160" s="49">
        <f t="shared" si="367"/>
        <v>0</v>
      </c>
      <c r="AH160" s="49">
        <f t="shared" si="368"/>
        <v>0</v>
      </c>
      <c r="AI160" s="49">
        <f t="shared" si="369"/>
        <v>0</v>
      </c>
      <c r="AJ160" s="49">
        <f t="shared" si="370"/>
        <v>543803.4</v>
      </c>
      <c r="AK160" s="49">
        <f t="shared" si="371"/>
        <v>0</v>
      </c>
      <c r="AL160" s="49">
        <f t="shared" si="372"/>
        <v>485344.53449999995</v>
      </c>
      <c r="AM160" s="49">
        <f t="shared" si="373"/>
        <v>0</v>
      </c>
      <c r="AN160" s="49">
        <f t="shared" si="374"/>
        <v>0</v>
      </c>
      <c r="AO160" s="49">
        <f t="shared" si="375"/>
        <v>0</v>
      </c>
      <c r="AP160" s="49">
        <f t="shared" si="376"/>
        <v>485344.53449999995</v>
      </c>
      <c r="AQ160" s="49">
        <f t="shared" si="377"/>
        <v>0</v>
      </c>
      <c r="AR160" s="49">
        <f t="shared" si="378"/>
        <v>108760.68</v>
      </c>
      <c r="AS160" s="49">
        <f t="shared" si="379"/>
        <v>0</v>
      </c>
      <c r="AT160" s="49">
        <f t="shared" si="380"/>
        <v>0</v>
      </c>
      <c r="AU160" s="49">
        <f t="shared" si="381"/>
        <v>0</v>
      </c>
      <c r="AV160" s="49">
        <f t="shared" si="382"/>
        <v>108760.68</v>
      </c>
      <c r="AW160" s="49">
        <f t="shared" si="383"/>
        <v>0</v>
      </c>
      <c r="AX160" s="49">
        <f t="shared" si="384"/>
        <v>145014.24</v>
      </c>
      <c r="AY160" s="49">
        <f t="shared" si="385"/>
        <v>0</v>
      </c>
      <c r="AZ160" s="49">
        <f t="shared" si="386"/>
        <v>0</v>
      </c>
      <c r="BA160" s="49">
        <f t="shared" si="387"/>
        <v>0</v>
      </c>
      <c r="BB160" s="49">
        <f t="shared" si="388"/>
        <v>145014.24</v>
      </c>
      <c r="BC160" s="49">
        <f t="shared" si="389"/>
        <v>0</v>
      </c>
      <c r="BD160" s="49">
        <f t="shared" si="390"/>
        <v>1433918.9318999997</v>
      </c>
      <c r="BE160" s="49">
        <f t="shared" si="391"/>
        <v>0</v>
      </c>
      <c r="BF160" s="49">
        <f t="shared" si="392"/>
        <v>0</v>
      </c>
      <c r="BG160" s="49">
        <f t="shared" si="393"/>
        <v>0</v>
      </c>
      <c r="BH160" s="49">
        <f t="shared" si="394"/>
        <v>1433918.9318999997</v>
      </c>
      <c r="BI160" s="49">
        <f t="shared" si="395"/>
        <v>0</v>
      </c>
      <c r="BJ160" s="49">
        <f t="shared" si="396"/>
        <v>150996.07740000001</v>
      </c>
      <c r="BK160" s="49">
        <f t="shared" si="397"/>
        <v>0</v>
      </c>
      <c r="BL160" s="49">
        <f t="shared" si="398"/>
        <v>0</v>
      </c>
      <c r="BM160" s="49">
        <f t="shared" si="399"/>
        <v>0</v>
      </c>
      <c r="BN160" s="49">
        <f t="shared" si="400"/>
        <v>150996.07740000001</v>
      </c>
      <c r="BO160" s="49">
        <f t="shared" si="401"/>
        <v>0</v>
      </c>
      <c r="BP160" s="49">
        <f t="shared" si="402"/>
        <v>543803.4</v>
      </c>
      <c r="BQ160" s="49">
        <f t="shared" si="403"/>
        <v>0</v>
      </c>
      <c r="BR160" s="49">
        <f t="shared" si="404"/>
        <v>0</v>
      </c>
      <c r="BS160" s="49">
        <f t="shared" si="405"/>
        <v>0</v>
      </c>
      <c r="BT160" s="49">
        <f t="shared" si="406"/>
        <v>543803.4</v>
      </c>
      <c r="BU160" s="49">
        <f t="shared" si="407"/>
        <v>0</v>
      </c>
      <c r="BV160" s="49">
        <f t="shared" si="408"/>
        <v>485344.53449999995</v>
      </c>
      <c r="BW160" s="49">
        <f t="shared" si="409"/>
        <v>0</v>
      </c>
      <c r="BX160" s="49">
        <f t="shared" si="410"/>
        <v>0</v>
      </c>
      <c r="BY160" s="49">
        <f t="shared" si="411"/>
        <v>0</v>
      </c>
      <c r="BZ160" s="49">
        <f t="shared" si="412"/>
        <v>485344.53449999995</v>
      </c>
      <c r="CA160" s="49">
        <f t="shared" si="413"/>
        <v>0</v>
      </c>
      <c r="CB160" s="49">
        <f t="shared" si="414"/>
        <v>108760.68</v>
      </c>
      <c r="CC160" s="49">
        <f t="shared" si="415"/>
        <v>0</v>
      </c>
      <c r="CD160" s="49">
        <f t="shared" si="416"/>
        <v>0</v>
      </c>
      <c r="CE160" s="49">
        <f t="shared" si="417"/>
        <v>0</v>
      </c>
      <c r="CF160" s="49">
        <f t="shared" si="418"/>
        <v>108760.68</v>
      </c>
      <c r="CG160" s="49">
        <f t="shared" si="419"/>
        <v>0</v>
      </c>
      <c r="CH160" s="49">
        <f t="shared" si="420"/>
        <v>145014.24</v>
      </c>
      <c r="CI160" s="49">
        <f t="shared" si="421"/>
        <v>0</v>
      </c>
      <c r="CJ160" s="49">
        <f t="shared" si="422"/>
        <v>0</v>
      </c>
      <c r="CK160" s="49">
        <f t="shared" si="423"/>
        <v>0</v>
      </c>
      <c r="CL160" s="49">
        <f t="shared" si="424"/>
        <v>145014.24</v>
      </c>
      <c r="CM160" s="49">
        <f t="shared" si="425"/>
        <v>0</v>
      </c>
      <c r="CN160" s="49">
        <f t="shared" si="426"/>
        <v>1433918.9318999997</v>
      </c>
      <c r="CO160" s="49">
        <f t="shared" si="427"/>
        <v>0</v>
      </c>
      <c r="CP160" s="49">
        <f t="shared" si="428"/>
        <v>0</v>
      </c>
      <c r="CQ160" s="49">
        <f t="shared" si="429"/>
        <v>0</v>
      </c>
      <c r="CR160" s="81">
        <f t="shared" si="430"/>
        <v>1433918.9318999997</v>
      </c>
      <c r="CS160" s="80">
        <f t="shared" si="431"/>
        <v>2191437.0681000003</v>
      </c>
      <c r="CT160" s="54"/>
      <c r="CU160" s="3" t="str">
        <f t="shared" si="432"/>
        <v>ARS</v>
      </c>
      <c r="CV160" s="3">
        <f>VLOOKUP(CU160,DF:DG,2,0)</f>
        <v>6.9185169999999997E-4</v>
      </c>
      <c r="CW160" s="23">
        <f t="shared" si="433"/>
        <v>2508.2087117051997</v>
      </c>
      <c r="CX160" s="23">
        <f t="shared" si="434"/>
        <v>104.46689284252159</v>
      </c>
      <c r="CY160" s="23">
        <f t="shared" si="435"/>
        <v>376.23130675578</v>
      </c>
      <c r="CZ160" s="23">
        <f t="shared" si="436"/>
        <v>335.78644127953362</v>
      </c>
      <c r="DA160" s="23">
        <f t="shared" si="437"/>
        <v>75.246261351155994</v>
      </c>
      <c r="DB160" s="23">
        <f t="shared" si="438"/>
        <v>100.32834846820799</v>
      </c>
      <c r="DC160" s="23">
        <f t="shared" si="439"/>
        <v>1516.1494610080008</v>
      </c>
      <c r="DD160" s="34" t="str">
        <f>VLOOKUP(A160,'Billing Report'!H:I,2,FALSE)</f>
        <v>Flow_ar Timeline Takeover Nivel 1 2026-02-27</v>
      </c>
      <c r="DE160" s="34"/>
      <c r="DF160" s="61"/>
      <c r="DG160" s="62"/>
      <c r="DH160"/>
      <c r="DI160" s="41"/>
      <c r="DJ160" s="41"/>
    </row>
    <row r="161" spans="1:114" ht="14.5" x14ac:dyDescent="0.35">
      <c r="A161" s="63">
        <v>40872144</v>
      </c>
      <c r="B161" s="3" t="s">
        <v>1037</v>
      </c>
      <c r="C161" s="3">
        <v>323836301</v>
      </c>
      <c r="D161" s="3" t="s">
        <v>93</v>
      </c>
      <c r="G161" s="38">
        <v>12365642.550000001</v>
      </c>
      <c r="J161" s="33">
        <f>VLOOKUP($B161,'IMS Commission List'!E:CE,79,0)/100</f>
        <v>0.15</v>
      </c>
      <c r="K161" s="79">
        <f t="shared" si="352"/>
        <v>12365642.550000001</v>
      </c>
      <c r="L161" s="3" t="str">
        <f>VLOOKUP($B161,'IMS Commission List'!E:V,18,0)</f>
        <v>ARS</v>
      </c>
      <c r="M161" s="3">
        <v>1</v>
      </c>
      <c r="N161" s="3" t="str">
        <f>VLOOKUP($B161,'IMS Commission List'!E:T,16,0)</f>
        <v>MX</v>
      </c>
      <c r="O161" s="54">
        <f>VLOOKUP($B161,'IMS Commission List'!E:CF,80,0)</f>
        <v>4.9000000000000002E-2</v>
      </c>
      <c r="P161" s="54">
        <f>VLOOKUP($B161,'IMS Commission List'!E:CG,81,0)</f>
        <v>0.1575</v>
      </c>
      <c r="Q161" s="54">
        <f>VLOOKUP($B161,'IMS Commission List'!E:CP,90,0)</f>
        <v>0.03</v>
      </c>
      <c r="R161" s="54">
        <f>VLOOKUP($B161,'IMS Commission List'!E:CQ,91,0)</f>
        <v>0.04</v>
      </c>
      <c r="S161" s="47">
        <f t="shared" si="353"/>
        <v>0</v>
      </c>
      <c r="T161" s="48">
        <f t="shared" si="354"/>
        <v>0</v>
      </c>
      <c r="U161" s="48">
        <f t="shared" si="355"/>
        <v>12365642.550000001</v>
      </c>
      <c r="V161" s="48">
        <f t="shared" si="356"/>
        <v>0</v>
      </c>
      <c r="W161" s="48">
        <f t="shared" si="357"/>
        <v>0</v>
      </c>
      <c r="X161" s="49">
        <f t="shared" si="358"/>
        <v>12365642.550000001</v>
      </c>
      <c r="Y161" s="49">
        <f t="shared" si="359"/>
        <v>0</v>
      </c>
      <c r="Z161" s="49">
        <f t="shared" si="360"/>
        <v>0</v>
      </c>
      <c r="AA161" s="49">
        <f t="shared" si="361"/>
        <v>515029.01220750005</v>
      </c>
      <c r="AB161" s="49">
        <f t="shared" si="362"/>
        <v>0</v>
      </c>
      <c r="AC161" s="49">
        <f t="shared" si="363"/>
        <v>0</v>
      </c>
      <c r="AD161" s="49">
        <f t="shared" si="364"/>
        <v>515029.01220750005</v>
      </c>
      <c r="AE161" s="49">
        <f t="shared" si="365"/>
        <v>0</v>
      </c>
      <c r="AF161" s="49">
        <f t="shared" si="366"/>
        <v>0</v>
      </c>
      <c r="AG161" s="49">
        <f t="shared" si="367"/>
        <v>1854846.3825000001</v>
      </c>
      <c r="AH161" s="49">
        <f t="shared" si="368"/>
        <v>0</v>
      </c>
      <c r="AI161" s="49">
        <f t="shared" si="369"/>
        <v>0</v>
      </c>
      <c r="AJ161" s="49">
        <f t="shared" si="370"/>
        <v>1854846.3825000001</v>
      </c>
      <c r="AK161" s="49">
        <f t="shared" si="371"/>
        <v>0</v>
      </c>
      <c r="AL161" s="49">
        <f t="shared" si="372"/>
        <v>0</v>
      </c>
      <c r="AM161" s="49">
        <f t="shared" si="373"/>
        <v>1655450.3963812501</v>
      </c>
      <c r="AN161" s="49">
        <f t="shared" si="374"/>
        <v>0</v>
      </c>
      <c r="AO161" s="49">
        <f t="shared" si="375"/>
        <v>0</v>
      </c>
      <c r="AP161" s="49">
        <f t="shared" si="376"/>
        <v>1655450.3963812501</v>
      </c>
      <c r="AQ161" s="49">
        <f t="shared" si="377"/>
        <v>0</v>
      </c>
      <c r="AR161" s="49">
        <f t="shared" si="378"/>
        <v>0</v>
      </c>
      <c r="AS161" s="49">
        <f t="shared" si="379"/>
        <v>370969.27650000004</v>
      </c>
      <c r="AT161" s="49">
        <f t="shared" si="380"/>
        <v>0</v>
      </c>
      <c r="AU161" s="49">
        <f t="shared" si="381"/>
        <v>0</v>
      </c>
      <c r="AV161" s="49">
        <f t="shared" si="382"/>
        <v>370969.27650000004</v>
      </c>
      <c r="AW161" s="49">
        <f t="shared" si="383"/>
        <v>0</v>
      </c>
      <c r="AX161" s="49">
        <f t="shared" si="384"/>
        <v>0</v>
      </c>
      <c r="AY161" s="49">
        <f t="shared" si="385"/>
        <v>494625.70200000005</v>
      </c>
      <c r="AZ161" s="49">
        <f t="shared" si="386"/>
        <v>0</v>
      </c>
      <c r="BA161" s="49">
        <f t="shared" si="387"/>
        <v>0</v>
      </c>
      <c r="BB161" s="49">
        <f t="shared" si="388"/>
        <v>494625.70200000005</v>
      </c>
      <c r="BC161" s="49">
        <f t="shared" si="389"/>
        <v>0</v>
      </c>
      <c r="BD161" s="49">
        <f t="shared" si="390"/>
        <v>0</v>
      </c>
      <c r="BE161" s="49">
        <f t="shared" si="391"/>
        <v>4890920.7695887499</v>
      </c>
      <c r="BF161" s="49">
        <f t="shared" si="392"/>
        <v>0</v>
      </c>
      <c r="BG161" s="49">
        <f t="shared" si="393"/>
        <v>0</v>
      </c>
      <c r="BH161" s="49">
        <f t="shared" si="394"/>
        <v>4890920.7695887499</v>
      </c>
      <c r="BI161" s="49">
        <f t="shared" si="395"/>
        <v>0</v>
      </c>
      <c r="BJ161" s="49">
        <f t="shared" si="396"/>
        <v>0</v>
      </c>
      <c r="BK161" s="49">
        <f t="shared" si="397"/>
        <v>515029.01220750005</v>
      </c>
      <c r="BL161" s="49">
        <f t="shared" si="398"/>
        <v>0</v>
      </c>
      <c r="BM161" s="49">
        <f t="shared" si="399"/>
        <v>0</v>
      </c>
      <c r="BN161" s="49">
        <f t="shared" si="400"/>
        <v>515029.01220750005</v>
      </c>
      <c r="BO161" s="49">
        <f t="shared" si="401"/>
        <v>0</v>
      </c>
      <c r="BP161" s="49">
        <f t="shared" si="402"/>
        <v>0</v>
      </c>
      <c r="BQ161" s="49">
        <f t="shared" si="403"/>
        <v>1854846.3825000001</v>
      </c>
      <c r="BR161" s="49">
        <f t="shared" si="404"/>
        <v>0</v>
      </c>
      <c r="BS161" s="49">
        <f t="shared" si="405"/>
        <v>0</v>
      </c>
      <c r="BT161" s="49">
        <f t="shared" si="406"/>
        <v>1854846.3825000001</v>
      </c>
      <c r="BU161" s="49">
        <f t="shared" si="407"/>
        <v>0</v>
      </c>
      <c r="BV161" s="49">
        <f t="shared" si="408"/>
        <v>0</v>
      </c>
      <c r="BW161" s="49">
        <f t="shared" si="409"/>
        <v>1655450.3963812501</v>
      </c>
      <c r="BX161" s="49">
        <f t="shared" si="410"/>
        <v>0</v>
      </c>
      <c r="BY161" s="49">
        <f t="shared" si="411"/>
        <v>0</v>
      </c>
      <c r="BZ161" s="49">
        <f t="shared" si="412"/>
        <v>1655450.3963812501</v>
      </c>
      <c r="CA161" s="49">
        <f t="shared" si="413"/>
        <v>0</v>
      </c>
      <c r="CB161" s="49">
        <f t="shared" si="414"/>
        <v>0</v>
      </c>
      <c r="CC161" s="49">
        <f t="shared" si="415"/>
        <v>370969.27650000004</v>
      </c>
      <c r="CD161" s="49">
        <f t="shared" si="416"/>
        <v>0</v>
      </c>
      <c r="CE161" s="49">
        <f t="shared" si="417"/>
        <v>0</v>
      </c>
      <c r="CF161" s="49">
        <f t="shared" si="418"/>
        <v>370969.27650000004</v>
      </c>
      <c r="CG161" s="49">
        <f t="shared" si="419"/>
        <v>0</v>
      </c>
      <c r="CH161" s="49">
        <f t="shared" si="420"/>
        <v>0</v>
      </c>
      <c r="CI161" s="49">
        <f t="shared" si="421"/>
        <v>494625.70200000005</v>
      </c>
      <c r="CJ161" s="49">
        <f t="shared" si="422"/>
        <v>0</v>
      </c>
      <c r="CK161" s="49">
        <f t="shared" si="423"/>
        <v>0</v>
      </c>
      <c r="CL161" s="49">
        <f t="shared" si="424"/>
        <v>494625.70200000005</v>
      </c>
      <c r="CM161" s="49">
        <f t="shared" si="425"/>
        <v>0</v>
      </c>
      <c r="CN161" s="49">
        <f t="shared" si="426"/>
        <v>0</v>
      </c>
      <c r="CO161" s="49">
        <f t="shared" si="427"/>
        <v>4890920.7695887499</v>
      </c>
      <c r="CP161" s="49">
        <f t="shared" si="428"/>
        <v>0</v>
      </c>
      <c r="CQ161" s="49">
        <f t="shared" si="429"/>
        <v>0</v>
      </c>
      <c r="CR161" s="81">
        <f t="shared" si="430"/>
        <v>4890920.7695887499</v>
      </c>
      <c r="CS161" s="80">
        <f t="shared" si="431"/>
        <v>7474721.7804112509</v>
      </c>
      <c r="CT161" s="54"/>
      <c r="CU161" s="3" t="str">
        <f t="shared" si="432"/>
        <v>ARS</v>
      </c>
      <c r="CV161" s="3">
        <f>VLOOKUP(CU161,DF:DG,2,0)</f>
        <v>6.9185169999999997E-4</v>
      </c>
      <c r="CW161" s="23">
        <f t="shared" si="433"/>
        <v>8555.1908198098354</v>
      </c>
      <c r="CX161" s="23">
        <f t="shared" si="434"/>
        <v>356.32369764507968</v>
      </c>
      <c r="CY161" s="23">
        <f t="shared" si="435"/>
        <v>1283.2786229714752</v>
      </c>
      <c r="CZ161" s="23">
        <f t="shared" si="436"/>
        <v>1145.3261710020417</v>
      </c>
      <c r="DA161" s="23">
        <f t="shared" si="437"/>
        <v>256.65572459429507</v>
      </c>
      <c r="DB161" s="23">
        <f t="shared" si="438"/>
        <v>342.20763279239344</v>
      </c>
      <c r="DC161" s="23">
        <f t="shared" si="439"/>
        <v>5171.3989708045501</v>
      </c>
      <c r="DD161" s="34" t="str">
        <f>VLOOKUP(A161,'Billing Report'!H:I,2,FALSE)</f>
        <v>ps_bra_mix_gro_ma_PY_AR_OBJ-awr_CH-Twitter_CT-XX_[CPM_NAT_ALL]_DmartWeek_Reach-Feb</v>
      </c>
      <c r="DE161" s="34"/>
      <c r="DF161" s="61"/>
      <c r="DG161" s="62"/>
      <c r="DH161"/>
      <c r="DI161" s="41"/>
      <c r="DJ161" s="41"/>
    </row>
    <row r="162" spans="1:114" ht="14.5" x14ac:dyDescent="0.35">
      <c r="A162" s="63">
        <v>40871129</v>
      </c>
      <c r="B162" s="3" t="s">
        <v>1041</v>
      </c>
      <c r="C162" s="3">
        <v>323839401</v>
      </c>
      <c r="D162" s="3" t="s">
        <v>93</v>
      </c>
      <c r="G162" s="38">
        <v>2489548.4</v>
      </c>
      <c r="J162" s="33">
        <f>VLOOKUP($B162,'IMS Commission List'!E:CE,79,0)/100</f>
        <v>0.15</v>
      </c>
      <c r="K162" s="79">
        <f t="shared" si="352"/>
        <v>2489548.4</v>
      </c>
      <c r="L162" s="3" t="str">
        <f>VLOOKUP($B162,'IMS Commission List'!E:V,18,0)</f>
        <v>ARS</v>
      </c>
      <c r="M162" s="3">
        <v>1</v>
      </c>
      <c r="N162" s="3" t="str">
        <f>VLOOKUP($B162,'IMS Commission List'!E:T,16,0)</f>
        <v>MX</v>
      </c>
      <c r="O162" s="54">
        <f>VLOOKUP($B162,'IMS Commission List'!E:CF,80,0)</f>
        <v>4.9000000000000002E-2</v>
      </c>
      <c r="P162" s="54">
        <f>VLOOKUP($B162,'IMS Commission List'!E:CG,81,0)</f>
        <v>0.1575</v>
      </c>
      <c r="Q162" s="54">
        <f>VLOOKUP($B162,'IMS Commission List'!E:CP,90,0)</f>
        <v>0.03</v>
      </c>
      <c r="R162" s="54">
        <f>VLOOKUP($B162,'IMS Commission List'!E:CQ,91,0)</f>
        <v>0.04</v>
      </c>
      <c r="S162" s="47">
        <f t="shared" si="353"/>
        <v>0</v>
      </c>
      <c r="T162" s="48">
        <f t="shared" si="354"/>
        <v>0</v>
      </c>
      <c r="U162" s="48">
        <f t="shared" si="355"/>
        <v>2489548.4</v>
      </c>
      <c r="V162" s="48">
        <f t="shared" si="356"/>
        <v>0</v>
      </c>
      <c r="W162" s="48">
        <f t="shared" si="357"/>
        <v>0</v>
      </c>
      <c r="X162" s="49">
        <f t="shared" si="358"/>
        <v>2489548.4</v>
      </c>
      <c r="Y162" s="49">
        <f t="shared" si="359"/>
        <v>0</v>
      </c>
      <c r="Z162" s="49">
        <f t="shared" si="360"/>
        <v>0</v>
      </c>
      <c r="AA162" s="49">
        <f t="shared" si="361"/>
        <v>103689.69086</v>
      </c>
      <c r="AB162" s="49">
        <f t="shared" si="362"/>
        <v>0</v>
      </c>
      <c r="AC162" s="49">
        <f t="shared" si="363"/>
        <v>0</v>
      </c>
      <c r="AD162" s="49">
        <f t="shared" si="364"/>
        <v>103689.69086</v>
      </c>
      <c r="AE162" s="49">
        <f t="shared" si="365"/>
        <v>0</v>
      </c>
      <c r="AF162" s="49">
        <f t="shared" si="366"/>
        <v>0</v>
      </c>
      <c r="AG162" s="49">
        <f t="shared" si="367"/>
        <v>373432.25999999995</v>
      </c>
      <c r="AH162" s="49">
        <f t="shared" si="368"/>
        <v>0</v>
      </c>
      <c r="AI162" s="49">
        <f t="shared" si="369"/>
        <v>0</v>
      </c>
      <c r="AJ162" s="49">
        <f t="shared" si="370"/>
        <v>373432.25999999995</v>
      </c>
      <c r="AK162" s="49">
        <f t="shared" si="371"/>
        <v>0</v>
      </c>
      <c r="AL162" s="49">
        <f t="shared" si="372"/>
        <v>0</v>
      </c>
      <c r="AM162" s="49">
        <f t="shared" si="373"/>
        <v>333288.29204999999</v>
      </c>
      <c r="AN162" s="49">
        <f t="shared" si="374"/>
        <v>0</v>
      </c>
      <c r="AO162" s="49">
        <f t="shared" si="375"/>
        <v>0</v>
      </c>
      <c r="AP162" s="49">
        <f t="shared" si="376"/>
        <v>333288.29204999999</v>
      </c>
      <c r="AQ162" s="49">
        <f t="shared" si="377"/>
        <v>0</v>
      </c>
      <c r="AR162" s="49">
        <f t="shared" si="378"/>
        <v>0</v>
      </c>
      <c r="AS162" s="49">
        <f t="shared" si="379"/>
        <v>74686.45199999999</v>
      </c>
      <c r="AT162" s="49">
        <f t="shared" si="380"/>
        <v>0</v>
      </c>
      <c r="AU162" s="49">
        <f t="shared" si="381"/>
        <v>0</v>
      </c>
      <c r="AV162" s="49">
        <f t="shared" si="382"/>
        <v>74686.45199999999</v>
      </c>
      <c r="AW162" s="49">
        <f t="shared" si="383"/>
        <v>0</v>
      </c>
      <c r="AX162" s="49">
        <f t="shared" si="384"/>
        <v>0</v>
      </c>
      <c r="AY162" s="49">
        <f t="shared" si="385"/>
        <v>99581.936000000002</v>
      </c>
      <c r="AZ162" s="49">
        <f t="shared" si="386"/>
        <v>0</v>
      </c>
      <c r="BA162" s="49">
        <f t="shared" si="387"/>
        <v>0</v>
      </c>
      <c r="BB162" s="49">
        <f t="shared" si="388"/>
        <v>99581.936000000002</v>
      </c>
      <c r="BC162" s="49">
        <f t="shared" si="389"/>
        <v>0</v>
      </c>
      <c r="BD162" s="49">
        <f t="shared" si="390"/>
        <v>0</v>
      </c>
      <c r="BE162" s="49">
        <f t="shared" si="391"/>
        <v>984678.63091000007</v>
      </c>
      <c r="BF162" s="49">
        <f t="shared" si="392"/>
        <v>0</v>
      </c>
      <c r="BG162" s="49">
        <f t="shared" si="393"/>
        <v>0</v>
      </c>
      <c r="BH162" s="49">
        <f t="shared" si="394"/>
        <v>984678.63091000007</v>
      </c>
      <c r="BI162" s="49">
        <f t="shared" si="395"/>
        <v>0</v>
      </c>
      <c r="BJ162" s="49">
        <f t="shared" si="396"/>
        <v>0</v>
      </c>
      <c r="BK162" s="49">
        <f t="shared" si="397"/>
        <v>103689.69086</v>
      </c>
      <c r="BL162" s="49">
        <f t="shared" si="398"/>
        <v>0</v>
      </c>
      <c r="BM162" s="49">
        <f t="shared" si="399"/>
        <v>0</v>
      </c>
      <c r="BN162" s="49">
        <f t="shared" si="400"/>
        <v>103689.69086</v>
      </c>
      <c r="BO162" s="49">
        <f t="shared" si="401"/>
        <v>0</v>
      </c>
      <c r="BP162" s="49">
        <f t="shared" si="402"/>
        <v>0</v>
      </c>
      <c r="BQ162" s="49">
        <f t="shared" si="403"/>
        <v>373432.25999999995</v>
      </c>
      <c r="BR162" s="49">
        <f t="shared" si="404"/>
        <v>0</v>
      </c>
      <c r="BS162" s="49">
        <f t="shared" si="405"/>
        <v>0</v>
      </c>
      <c r="BT162" s="49">
        <f t="shared" si="406"/>
        <v>373432.25999999995</v>
      </c>
      <c r="BU162" s="49">
        <f t="shared" si="407"/>
        <v>0</v>
      </c>
      <c r="BV162" s="49">
        <f t="shared" si="408"/>
        <v>0</v>
      </c>
      <c r="BW162" s="49">
        <f t="shared" si="409"/>
        <v>333288.29204999999</v>
      </c>
      <c r="BX162" s="49">
        <f t="shared" si="410"/>
        <v>0</v>
      </c>
      <c r="BY162" s="49">
        <f t="shared" si="411"/>
        <v>0</v>
      </c>
      <c r="BZ162" s="49">
        <f t="shared" si="412"/>
        <v>333288.29204999999</v>
      </c>
      <c r="CA162" s="49">
        <f t="shared" si="413"/>
        <v>0</v>
      </c>
      <c r="CB162" s="49">
        <f t="shared" si="414"/>
        <v>0</v>
      </c>
      <c r="CC162" s="49">
        <f t="shared" si="415"/>
        <v>74686.45199999999</v>
      </c>
      <c r="CD162" s="49">
        <f t="shared" si="416"/>
        <v>0</v>
      </c>
      <c r="CE162" s="49">
        <f t="shared" si="417"/>
        <v>0</v>
      </c>
      <c r="CF162" s="49">
        <f t="shared" si="418"/>
        <v>74686.45199999999</v>
      </c>
      <c r="CG162" s="49">
        <f t="shared" si="419"/>
        <v>0</v>
      </c>
      <c r="CH162" s="49">
        <f t="shared" si="420"/>
        <v>0</v>
      </c>
      <c r="CI162" s="49">
        <f t="shared" si="421"/>
        <v>99581.936000000002</v>
      </c>
      <c r="CJ162" s="49">
        <f t="shared" si="422"/>
        <v>0</v>
      </c>
      <c r="CK162" s="49">
        <f t="shared" si="423"/>
        <v>0</v>
      </c>
      <c r="CL162" s="49">
        <f t="shared" si="424"/>
        <v>99581.936000000002</v>
      </c>
      <c r="CM162" s="49">
        <f t="shared" si="425"/>
        <v>0</v>
      </c>
      <c r="CN162" s="49">
        <f t="shared" si="426"/>
        <v>0</v>
      </c>
      <c r="CO162" s="49">
        <f t="shared" si="427"/>
        <v>984678.63091000007</v>
      </c>
      <c r="CP162" s="49">
        <f t="shared" si="428"/>
        <v>0</v>
      </c>
      <c r="CQ162" s="49">
        <f t="shared" si="429"/>
        <v>0</v>
      </c>
      <c r="CR162" s="81">
        <f t="shared" si="430"/>
        <v>984678.63091000007</v>
      </c>
      <c r="CS162" s="80">
        <f t="shared" si="431"/>
        <v>1504869.7690899998</v>
      </c>
      <c r="CT162" s="54"/>
      <c r="CU162" s="3" t="str">
        <f t="shared" si="432"/>
        <v>ARS</v>
      </c>
      <c r="CV162" s="3">
        <f>VLOOKUP(CU162,DF:DG,2,0)</f>
        <v>6.9185169999999997E-4</v>
      </c>
      <c r="CW162" s="23">
        <f t="shared" si="433"/>
        <v>1722.3982927722798</v>
      </c>
      <c r="CX162" s="23">
        <f t="shared" si="434"/>
        <v>71.737888893965462</v>
      </c>
      <c r="CY162" s="23">
        <f t="shared" si="435"/>
        <v>258.35974391584193</v>
      </c>
      <c r="CZ162" s="23">
        <f t="shared" si="436"/>
        <v>230.58607144488897</v>
      </c>
      <c r="DA162" s="23">
        <f t="shared" si="437"/>
        <v>51.671948783168389</v>
      </c>
      <c r="DB162" s="23">
        <f t="shared" si="438"/>
        <v>68.895931710891205</v>
      </c>
      <c r="DC162" s="23">
        <f t="shared" si="439"/>
        <v>1041.1467080235238</v>
      </c>
      <c r="DD162" s="34" t="str">
        <f>VLOOKUP(A162,'Billing Report'!H:I,2,FALSE)</f>
        <v>BG_LOYALTY_PLAN-PIX_ALCANCE_FEBRERO_2026</v>
      </c>
      <c r="DE162" s="34"/>
      <c r="DF162" s="61"/>
      <c r="DG162" s="62"/>
      <c r="DH162"/>
      <c r="DI162" s="41"/>
      <c r="DJ162" s="41"/>
    </row>
    <row r="163" spans="1:114" ht="14.5" x14ac:dyDescent="0.35">
      <c r="A163" s="63">
        <v>40964316</v>
      </c>
      <c r="B163" s="3" t="s">
        <v>1044</v>
      </c>
      <c r="C163" s="3">
        <v>323866901</v>
      </c>
      <c r="D163" s="3" t="s">
        <v>93</v>
      </c>
      <c r="F163" s="35">
        <v>1133469</v>
      </c>
      <c r="G163" s="38"/>
      <c r="J163" s="33">
        <f>VLOOKUP($B163,'IMS Commission List'!E:CE,79,0)/100</f>
        <v>0.15</v>
      </c>
      <c r="K163" s="79">
        <f t="shared" si="352"/>
        <v>1133469</v>
      </c>
      <c r="L163" s="3" t="str">
        <f>VLOOKUP($B163,'IMS Commission List'!E:V,18,0)</f>
        <v>ARS</v>
      </c>
      <c r="M163" s="3">
        <v>1</v>
      </c>
      <c r="N163" s="3" t="str">
        <f>VLOOKUP($B163,'IMS Commission List'!E:T,16,0)</f>
        <v>MX</v>
      </c>
      <c r="O163" s="54">
        <f>VLOOKUP($B163,'IMS Commission List'!E:CF,80,0)</f>
        <v>0</v>
      </c>
      <c r="P163" s="54">
        <f>VLOOKUP($B163,'IMS Commission List'!E:CG,81,0)</f>
        <v>0</v>
      </c>
      <c r="Q163" s="54">
        <f>VLOOKUP($B163,'IMS Commission List'!E:CP,90,0)</f>
        <v>0.03</v>
      </c>
      <c r="R163" s="54">
        <f>VLOOKUP($B163,'IMS Commission List'!E:CQ,91,0)</f>
        <v>0.04</v>
      </c>
      <c r="S163" s="47">
        <f t="shared" si="353"/>
        <v>0</v>
      </c>
      <c r="T163" s="48">
        <f t="shared" si="354"/>
        <v>1133469</v>
      </c>
      <c r="U163" s="48">
        <f t="shared" si="355"/>
        <v>0</v>
      </c>
      <c r="V163" s="48">
        <f t="shared" si="356"/>
        <v>0</v>
      </c>
      <c r="W163" s="48">
        <f t="shared" si="357"/>
        <v>0</v>
      </c>
      <c r="X163" s="49">
        <f t="shared" si="358"/>
        <v>1133469</v>
      </c>
      <c r="Y163" s="49">
        <f t="shared" si="359"/>
        <v>0</v>
      </c>
      <c r="Z163" s="49">
        <f t="shared" si="360"/>
        <v>0</v>
      </c>
      <c r="AA163" s="49">
        <f t="shared" si="361"/>
        <v>0</v>
      </c>
      <c r="AB163" s="49">
        <f t="shared" si="362"/>
        <v>0</v>
      </c>
      <c r="AC163" s="49">
        <f t="shared" si="363"/>
        <v>0</v>
      </c>
      <c r="AD163" s="49">
        <f t="shared" si="364"/>
        <v>0</v>
      </c>
      <c r="AE163" s="49">
        <f t="shared" si="365"/>
        <v>0</v>
      </c>
      <c r="AF163" s="49">
        <f t="shared" si="366"/>
        <v>170020.35</v>
      </c>
      <c r="AG163" s="49">
        <f t="shared" si="367"/>
        <v>0</v>
      </c>
      <c r="AH163" s="49">
        <f t="shared" si="368"/>
        <v>0</v>
      </c>
      <c r="AI163" s="49">
        <f t="shared" si="369"/>
        <v>0</v>
      </c>
      <c r="AJ163" s="49">
        <f t="shared" si="370"/>
        <v>170020.35</v>
      </c>
      <c r="AK163" s="49">
        <f t="shared" si="371"/>
        <v>0</v>
      </c>
      <c r="AL163" s="49">
        <f t="shared" si="372"/>
        <v>0</v>
      </c>
      <c r="AM163" s="49">
        <f t="shared" si="373"/>
        <v>0</v>
      </c>
      <c r="AN163" s="49">
        <f t="shared" si="374"/>
        <v>0</v>
      </c>
      <c r="AO163" s="49">
        <f t="shared" si="375"/>
        <v>0</v>
      </c>
      <c r="AP163" s="49">
        <f t="shared" si="376"/>
        <v>0</v>
      </c>
      <c r="AQ163" s="49">
        <f t="shared" si="377"/>
        <v>0</v>
      </c>
      <c r="AR163" s="49">
        <f t="shared" si="378"/>
        <v>34004.07</v>
      </c>
      <c r="AS163" s="49">
        <f t="shared" si="379"/>
        <v>0</v>
      </c>
      <c r="AT163" s="49">
        <f t="shared" si="380"/>
        <v>0</v>
      </c>
      <c r="AU163" s="49">
        <f t="shared" si="381"/>
        <v>0</v>
      </c>
      <c r="AV163" s="49">
        <f t="shared" si="382"/>
        <v>34004.07</v>
      </c>
      <c r="AW163" s="49">
        <f t="shared" si="383"/>
        <v>0</v>
      </c>
      <c r="AX163" s="49">
        <f t="shared" si="384"/>
        <v>45338.76</v>
      </c>
      <c r="AY163" s="49">
        <f t="shared" si="385"/>
        <v>0</v>
      </c>
      <c r="AZ163" s="49">
        <f t="shared" si="386"/>
        <v>0</v>
      </c>
      <c r="BA163" s="49">
        <f t="shared" si="387"/>
        <v>0</v>
      </c>
      <c r="BB163" s="49">
        <f t="shared" si="388"/>
        <v>45338.76</v>
      </c>
      <c r="BC163" s="49">
        <f t="shared" si="389"/>
        <v>0</v>
      </c>
      <c r="BD163" s="49">
        <f t="shared" si="390"/>
        <v>249363.18000000002</v>
      </c>
      <c r="BE163" s="49">
        <f t="shared" si="391"/>
        <v>0</v>
      </c>
      <c r="BF163" s="49">
        <f t="shared" si="392"/>
        <v>0</v>
      </c>
      <c r="BG163" s="49">
        <f t="shared" si="393"/>
        <v>0</v>
      </c>
      <c r="BH163" s="49">
        <f t="shared" si="394"/>
        <v>249363.18000000002</v>
      </c>
      <c r="BI163" s="49">
        <f t="shared" si="395"/>
        <v>0</v>
      </c>
      <c r="BJ163" s="49">
        <f t="shared" si="396"/>
        <v>0</v>
      </c>
      <c r="BK163" s="49">
        <f t="shared" si="397"/>
        <v>0</v>
      </c>
      <c r="BL163" s="49">
        <f t="shared" si="398"/>
        <v>0</v>
      </c>
      <c r="BM163" s="49">
        <f t="shared" si="399"/>
        <v>0</v>
      </c>
      <c r="BN163" s="49">
        <f t="shared" si="400"/>
        <v>0</v>
      </c>
      <c r="BO163" s="49">
        <f t="shared" si="401"/>
        <v>0</v>
      </c>
      <c r="BP163" s="49">
        <f t="shared" si="402"/>
        <v>170020.35</v>
      </c>
      <c r="BQ163" s="49">
        <f t="shared" si="403"/>
        <v>0</v>
      </c>
      <c r="BR163" s="49">
        <f t="shared" si="404"/>
        <v>0</v>
      </c>
      <c r="BS163" s="49">
        <f t="shared" si="405"/>
        <v>0</v>
      </c>
      <c r="BT163" s="49">
        <f t="shared" si="406"/>
        <v>170020.35</v>
      </c>
      <c r="BU163" s="49">
        <f t="shared" si="407"/>
        <v>0</v>
      </c>
      <c r="BV163" s="49">
        <f t="shared" si="408"/>
        <v>0</v>
      </c>
      <c r="BW163" s="49">
        <f t="shared" si="409"/>
        <v>0</v>
      </c>
      <c r="BX163" s="49">
        <f t="shared" si="410"/>
        <v>0</v>
      </c>
      <c r="BY163" s="49">
        <f t="shared" si="411"/>
        <v>0</v>
      </c>
      <c r="BZ163" s="49">
        <f t="shared" si="412"/>
        <v>0</v>
      </c>
      <c r="CA163" s="49">
        <f t="shared" si="413"/>
        <v>0</v>
      </c>
      <c r="CB163" s="49">
        <f t="shared" si="414"/>
        <v>34004.07</v>
      </c>
      <c r="CC163" s="49">
        <f t="shared" si="415"/>
        <v>0</v>
      </c>
      <c r="CD163" s="49">
        <f t="shared" si="416"/>
        <v>0</v>
      </c>
      <c r="CE163" s="49">
        <f t="shared" si="417"/>
        <v>0</v>
      </c>
      <c r="CF163" s="49">
        <f t="shared" si="418"/>
        <v>34004.07</v>
      </c>
      <c r="CG163" s="49">
        <f t="shared" si="419"/>
        <v>0</v>
      </c>
      <c r="CH163" s="49">
        <f t="shared" si="420"/>
        <v>45338.76</v>
      </c>
      <c r="CI163" s="49">
        <f t="shared" si="421"/>
        <v>0</v>
      </c>
      <c r="CJ163" s="49">
        <f t="shared" si="422"/>
        <v>0</v>
      </c>
      <c r="CK163" s="49">
        <f t="shared" si="423"/>
        <v>0</v>
      </c>
      <c r="CL163" s="49">
        <f t="shared" si="424"/>
        <v>45338.76</v>
      </c>
      <c r="CM163" s="49">
        <f t="shared" si="425"/>
        <v>0</v>
      </c>
      <c r="CN163" s="49">
        <f t="shared" si="426"/>
        <v>249363.18000000002</v>
      </c>
      <c r="CO163" s="49">
        <f t="shared" si="427"/>
        <v>0</v>
      </c>
      <c r="CP163" s="49">
        <f t="shared" si="428"/>
        <v>0</v>
      </c>
      <c r="CQ163" s="49">
        <f t="shared" si="429"/>
        <v>0</v>
      </c>
      <c r="CR163" s="81">
        <f t="shared" si="430"/>
        <v>249363.18000000002</v>
      </c>
      <c r="CS163" s="80">
        <f t="shared" si="431"/>
        <v>884105.82</v>
      </c>
      <c r="CT163" s="54"/>
      <c r="CU163" s="3" t="str">
        <f t="shared" si="432"/>
        <v>ARS</v>
      </c>
      <c r="CV163" s="3">
        <f>VLOOKUP(CU163,DF:DG,2,0)</f>
        <v>6.9185169999999997E-4</v>
      </c>
      <c r="CW163" s="23">
        <f t="shared" si="433"/>
        <v>784.19245454729992</v>
      </c>
      <c r="CX163" s="23">
        <f t="shared" si="434"/>
        <v>0</v>
      </c>
      <c r="CY163" s="23">
        <f t="shared" si="435"/>
        <v>117.628868182095</v>
      </c>
      <c r="CZ163" s="23">
        <f t="shared" si="436"/>
        <v>0</v>
      </c>
      <c r="DA163" s="23">
        <f t="shared" si="437"/>
        <v>23.525773636419</v>
      </c>
      <c r="DB163" s="23">
        <f t="shared" si="438"/>
        <v>31.367698181891999</v>
      </c>
      <c r="DC163" s="23">
        <f t="shared" si="439"/>
        <v>611.67011454689396</v>
      </c>
      <c r="DD163" s="34" t="str">
        <f>VLOOKUP(A163,'Billing Report'!H:I,2,FALSE)</f>
        <v>BetWarrior_Arg Estándar 2026-02-20</v>
      </c>
      <c r="DE163" s="34"/>
      <c r="DF163" s="61"/>
      <c r="DG163" s="62"/>
      <c r="DH163"/>
      <c r="DI163" s="41"/>
      <c r="DJ163" s="41"/>
    </row>
    <row r="164" spans="1:114" ht="14.5" x14ac:dyDescent="0.35">
      <c r="A164" s="63">
        <v>40964293</v>
      </c>
      <c r="B164" s="3" t="s">
        <v>1044</v>
      </c>
      <c r="C164" s="3">
        <v>323866902</v>
      </c>
      <c r="D164" s="3" t="s">
        <v>93</v>
      </c>
      <c r="F164" s="35">
        <v>3262820.4</v>
      </c>
      <c r="G164" s="38"/>
      <c r="J164" s="33">
        <f>VLOOKUP($B164,'IMS Commission List'!E:CE,79,0)/100</f>
        <v>0.15</v>
      </c>
      <c r="K164" s="79">
        <f t="shared" si="352"/>
        <v>3262820.4</v>
      </c>
      <c r="L164" s="3" t="str">
        <f>VLOOKUP($B164,'IMS Commission List'!E:V,18,0)</f>
        <v>ARS</v>
      </c>
      <c r="M164" s="3">
        <v>1</v>
      </c>
      <c r="N164" s="3" t="str">
        <f>VLOOKUP($B164,'IMS Commission List'!E:T,16,0)</f>
        <v>MX</v>
      </c>
      <c r="O164" s="54">
        <f>VLOOKUP($B164,'IMS Commission List'!E:CF,80,0)</f>
        <v>0</v>
      </c>
      <c r="P164" s="54">
        <f>VLOOKUP($B164,'IMS Commission List'!E:CG,81,0)</f>
        <v>0</v>
      </c>
      <c r="Q164" s="54">
        <f>VLOOKUP($B164,'IMS Commission List'!E:CP,90,0)</f>
        <v>0.03</v>
      </c>
      <c r="R164" s="54">
        <f>VLOOKUP($B164,'IMS Commission List'!E:CQ,91,0)</f>
        <v>0.04</v>
      </c>
      <c r="S164" s="47">
        <f t="shared" si="353"/>
        <v>0</v>
      </c>
      <c r="T164" s="48">
        <f t="shared" si="354"/>
        <v>3262820.4</v>
      </c>
      <c r="U164" s="48">
        <f t="shared" si="355"/>
        <v>0</v>
      </c>
      <c r="V164" s="48">
        <f t="shared" si="356"/>
        <v>0</v>
      </c>
      <c r="W164" s="48">
        <f t="shared" si="357"/>
        <v>0</v>
      </c>
      <c r="X164" s="49">
        <f t="shared" si="358"/>
        <v>3262820.4</v>
      </c>
      <c r="Y164" s="49">
        <f t="shared" si="359"/>
        <v>0</v>
      </c>
      <c r="Z164" s="49">
        <f t="shared" si="360"/>
        <v>0</v>
      </c>
      <c r="AA164" s="49">
        <f t="shared" si="361"/>
        <v>0</v>
      </c>
      <c r="AB164" s="49">
        <f t="shared" si="362"/>
        <v>0</v>
      </c>
      <c r="AC164" s="49">
        <f t="shared" si="363"/>
        <v>0</v>
      </c>
      <c r="AD164" s="49">
        <f t="shared" si="364"/>
        <v>0</v>
      </c>
      <c r="AE164" s="49">
        <f t="shared" si="365"/>
        <v>0</v>
      </c>
      <c r="AF164" s="49">
        <f t="shared" si="366"/>
        <v>489423.05999999994</v>
      </c>
      <c r="AG164" s="49">
        <f t="shared" si="367"/>
        <v>0</v>
      </c>
      <c r="AH164" s="49">
        <f t="shared" si="368"/>
        <v>0</v>
      </c>
      <c r="AI164" s="49">
        <f t="shared" si="369"/>
        <v>0</v>
      </c>
      <c r="AJ164" s="49">
        <f t="shared" si="370"/>
        <v>489423.05999999994</v>
      </c>
      <c r="AK164" s="49">
        <f t="shared" si="371"/>
        <v>0</v>
      </c>
      <c r="AL164" s="49">
        <f t="shared" si="372"/>
        <v>0</v>
      </c>
      <c r="AM164" s="49">
        <f t="shared" si="373"/>
        <v>0</v>
      </c>
      <c r="AN164" s="49">
        <f t="shared" si="374"/>
        <v>0</v>
      </c>
      <c r="AO164" s="49">
        <f t="shared" si="375"/>
        <v>0</v>
      </c>
      <c r="AP164" s="49">
        <f t="shared" si="376"/>
        <v>0</v>
      </c>
      <c r="AQ164" s="49">
        <f t="shared" si="377"/>
        <v>0</v>
      </c>
      <c r="AR164" s="49">
        <f t="shared" si="378"/>
        <v>97884.611999999994</v>
      </c>
      <c r="AS164" s="49">
        <f t="shared" si="379"/>
        <v>0</v>
      </c>
      <c r="AT164" s="49">
        <f t="shared" si="380"/>
        <v>0</v>
      </c>
      <c r="AU164" s="49">
        <f t="shared" si="381"/>
        <v>0</v>
      </c>
      <c r="AV164" s="49">
        <f t="shared" si="382"/>
        <v>97884.611999999994</v>
      </c>
      <c r="AW164" s="49">
        <f t="shared" si="383"/>
        <v>0</v>
      </c>
      <c r="AX164" s="49">
        <f t="shared" si="384"/>
        <v>130512.81600000001</v>
      </c>
      <c r="AY164" s="49">
        <f t="shared" si="385"/>
        <v>0</v>
      </c>
      <c r="AZ164" s="49">
        <f t="shared" si="386"/>
        <v>0</v>
      </c>
      <c r="BA164" s="49">
        <f t="shared" si="387"/>
        <v>0</v>
      </c>
      <c r="BB164" s="49">
        <f t="shared" si="388"/>
        <v>130512.81600000001</v>
      </c>
      <c r="BC164" s="49">
        <f t="shared" si="389"/>
        <v>0</v>
      </c>
      <c r="BD164" s="49">
        <f t="shared" si="390"/>
        <v>717820.4879999999</v>
      </c>
      <c r="BE164" s="49">
        <f t="shared" si="391"/>
        <v>0</v>
      </c>
      <c r="BF164" s="49">
        <f t="shared" si="392"/>
        <v>0</v>
      </c>
      <c r="BG164" s="49">
        <f t="shared" si="393"/>
        <v>0</v>
      </c>
      <c r="BH164" s="49">
        <f t="shared" si="394"/>
        <v>717820.4879999999</v>
      </c>
      <c r="BI164" s="49">
        <f t="shared" si="395"/>
        <v>0</v>
      </c>
      <c r="BJ164" s="49">
        <f t="shared" si="396"/>
        <v>0</v>
      </c>
      <c r="BK164" s="49">
        <f t="shared" si="397"/>
        <v>0</v>
      </c>
      <c r="BL164" s="49">
        <f t="shared" si="398"/>
        <v>0</v>
      </c>
      <c r="BM164" s="49">
        <f t="shared" si="399"/>
        <v>0</v>
      </c>
      <c r="BN164" s="49">
        <f t="shared" si="400"/>
        <v>0</v>
      </c>
      <c r="BO164" s="49">
        <f t="shared" si="401"/>
        <v>0</v>
      </c>
      <c r="BP164" s="49">
        <f t="shared" si="402"/>
        <v>489423.05999999994</v>
      </c>
      <c r="BQ164" s="49">
        <f t="shared" si="403"/>
        <v>0</v>
      </c>
      <c r="BR164" s="49">
        <f t="shared" si="404"/>
        <v>0</v>
      </c>
      <c r="BS164" s="49">
        <f t="shared" si="405"/>
        <v>0</v>
      </c>
      <c r="BT164" s="49">
        <f t="shared" si="406"/>
        <v>489423.05999999994</v>
      </c>
      <c r="BU164" s="49">
        <f t="shared" si="407"/>
        <v>0</v>
      </c>
      <c r="BV164" s="49">
        <f t="shared" si="408"/>
        <v>0</v>
      </c>
      <c r="BW164" s="49">
        <f t="shared" si="409"/>
        <v>0</v>
      </c>
      <c r="BX164" s="49">
        <f t="shared" si="410"/>
        <v>0</v>
      </c>
      <c r="BY164" s="49">
        <f t="shared" si="411"/>
        <v>0</v>
      </c>
      <c r="BZ164" s="49">
        <f t="shared" si="412"/>
        <v>0</v>
      </c>
      <c r="CA164" s="49">
        <f t="shared" si="413"/>
        <v>0</v>
      </c>
      <c r="CB164" s="49">
        <f t="shared" si="414"/>
        <v>97884.611999999994</v>
      </c>
      <c r="CC164" s="49">
        <f t="shared" si="415"/>
        <v>0</v>
      </c>
      <c r="CD164" s="49">
        <f t="shared" si="416"/>
        <v>0</v>
      </c>
      <c r="CE164" s="49">
        <f t="shared" si="417"/>
        <v>0</v>
      </c>
      <c r="CF164" s="49">
        <f t="shared" si="418"/>
        <v>97884.611999999994</v>
      </c>
      <c r="CG164" s="49">
        <f t="shared" si="419"/>
        <v>0</v>
      </c>
      <c r="CH164" s="49">
        <f t="shared" si="420"/>
        <v>130512.81600000001</v>
      </c>
      <c r="CI164" s="49">
        <f t="shared" si="421"/>
        <v>0</v>
      </c>
      <c r="CJ164" s="49">
        <f t="shared" si="422"/>
        <v>0</v>
      </c>
      <c r="CK164" s="49">
        <f t="shared" si="423"/>
        <v>0</v>
      </c>
      <c r="CL164" s="49">
        <f t="shared" si="424"/>
        <v>130512.81600000001</v>
      </c>
      <c r="CM164" s="49">
        <f t="shared" si="425"/>
        <v>0</v>
      </c>
      <c r="CN164" s="49">
        <f t="shared" si="426"/>
        <v>717820.4879999999</v>
      </c>
      <c r="CO164" s="49">
        <f t="shared" si="427"/>
        <v>0</v>
      </c>
      <c r="CP164" s="49">
        <f t="shared" si="428"/>
        <v>0</v>
      </c>
      <c r="CQ164" s="49">
        <f t="shared" si="429"/>
        <v>0</v>
      </c>
      <c r="CR164" s="81">
        <f t="shared" si="430"/>
        <v>717820.4879999999</v>
      </c>
      <c r="CS164" s="80">
        <f t="shared" si="431"/>
        <v>2544999.912</v>
      </c>
      <c r="CT164" s="54"/>
      <c r="CU164" s="3" t="str">
        <f t="shared" si="432"/>
        <v>ARS</v>
      </c>
      <c r="CV164" s="3">
        <f>VLOOKUP(CU164,DF:DG,2,0)</f>
        <v>6.9185169999999997E-4</v>
      </c>
      <c r="CW164" s="23">
        <f t="shared" si="433"/>
        <v>2257.38784053468</v>
      </c>
      <c r="CX164" s="23">
        <f t="shared" si="434"/>
        <v>0</v>
      </c>
      <c r="CY164" s="23">
        <f t="shared" si="435"/>
        <v>338.60817608020193</v>
      </c>
      <c r="CZ164" s="23">
        <f t="shared" si="436"/>
        <v>0</v>
      </c>
      <c r="DA164" s="23">
        <f t="shared" si="437"/>
        <v>67.721635216040397</v>
      </c>
      <c r="DB164" s="23">
        <f t="shared" si="438"/>
        <v>90.295513621387201</v>
      </c>
      <c r="DC164" s="23">
        <f t="shared" si="439"/>
        <v>1760.7625156170504</v>
      </c>
      <c r="DD164" s="34" t="str">
        <f>VLOOKUP(A164,'Billing Report'!H:I,2,FALSE)</f>
        <v>BetWarrior_Arg Timeline Takeover Nivel 1 2026-02-20</v>
      </c>
      <c r="DE164" s="34"/>
      <c r="DF164" s="61"/>
      <c r="DG164" s="62"/>
      <c r="DH164"/>
      <c r="DI164" s="41"/>
      <c r="DJ164" s="41"/>
    </row>
    <row r="165" spans="1:114" ht="14.5" x14ac:dyDescent="0.35">
      <c r="A165" s="63"/>
      <c r="B165" s="3" t="s">
        <v>1054</v>
      </c>
      <c r="C165" s="3">
        <v>323870401</v>
      </c>
      <c r="D165" s="3" t="s">
        <v>93</v>
      </c>
      <c r="G165" s="38">
        <v>-4216.1899999999996</v>
      </c>
      <c r="J165" s="33">
        <f>VLOOKUP($B165,'IMS Commission List'!E:CE,79,0)/100</f>
        <v>0.15</v>
      </c>
      <c r="K165" s="79">
        <f t="shared" si="352"/>
        <v>-4216.1899999999996</v>
      </c>
      <c r="L165" s="3" t="str">
        <f>VLOOKUP($B165,'IMS Commission List'!E:V,18,0)</f>
        <v>ARS</v>
      </c>
      <c r="M165" s="3">
        <v>1</v>
      </c>
      <c r="N165" s="3" t="str">
        <f>VLOOKUP($B165,'IMS Commission List'!E:T,16,0)</f>
        <v>MX</v>
      </c>
      <c r="O165" s="54">
        <f>VLOOKUP($B165,'IMS Commission List'!E:CF,80,0)</f>
        <v>4.9000000000000002E-2</v>
      </c>
      <c r="P165" s="54">
        <f>VLOOKUP($B165,'IMS Commission List'!E:CG,81,0)</f>
        <v>0.1575</v>
      </c>
      <c r="Q165" s="54">
        <f>VLOOKUP($B165,'IMS Commission List'!E:CP,90,0)</f>
        <v>0.03</v>
      </c>
      <c r="R165" s="54">
        <f>VLOOKUP($B165,'IMS Commission List'!E:CQ,91,0)</f>
        <v>0.04</v>
      </c>
      <c r="S165" s="47">
        <f t="shared" si="353"/>
        <v>0</v>
      </c>
      <c r="T165" s="48">
        <f t="shared" si="354"/>
        <v>0</v>
      </c>
      <c r="U165" s="48">
        <f t="shared" si="355"/>
        <v>-4216.1899999999996</v>
      </c>
      <c r="V165" s="48">
        <f t="shared" si="356"/>
        <v>0</v>
      </c>
      <c r="W165" s="48">
        <f t="shared" si="357"/>
        <v>0</v>
      </c>
      <c r="X165" s="49">
        <f t="shared" si="358"/>
        <v>-4216.1899999999996</v>
      </c>
      <c r="Y165" s="49">
        <f t="shared" si="359"/>
        <v>0</v>
      </c>
      <c r="Z165" s="49">
        <f t="shared" si="360"/>
        <v>0</v>
      </c>
      <c r="AA165" s="49">
        <f t="shared" si="361"/>
        <v>-175.60431349999999</v>
      </c>
      <c r="AB165" s="49">
        <f t="shared" si="362"/>
        <v>0</v>
      </c>
      <c r="AC165" s="49">
        <f t="shared" si="363"/>
        <v>0</v>
      </c>
      <c r="AD165" s="49">
        <f t="shared" si="364"/>
        <v>-175.60431349999999</v>
      </c>
      <c r="AE165" s="49">
        <f t="shared" si="365"/>
        <v>0</v>
      </c>
      <c r="AF165" s="49">
        <f t="shared" si="366"/>
        <v>0</v>
      </c>
      <c r="AG165" s="49">
        <f t="shared" si="367"/>
        <v>-632.42849999999987</v>
      </c>
      <c r="AH165" s="49">
        <f t="shared" si="368"/>
        <v>0</v>
      </c>
      <c r="AI165" s="49">
        <f t="shared" si="369"/>
        <v>0</v>
      </c>
      <c r="AJ165" s="49">
        <f t="shared" si="370"/>
        <v>-632.42849999999987</v>
      </c>
      <c r="AK165" s="49">
        <f t="shared" si="371"/>
        <v>0</v>
      </c>
      <c r="AL165" s="49">
        <f t="shared" si="372"/>
        <v>0</v>
      </c>
      <c r="AM165" s="49">
        <f t="shared" si="373"/>
        <v>-564.4424362499999</v>
      </c>
      <c r="AN165" s="49">
        <f t="shared" si="374"/>
        <v>0</v>
      </c>
      <c r="AO165" s="49">
        <f t="shared" si="375"/>
        <v>0</v>
      </c>
      <c r="AP165" s="49">
        <f t="shared" si="376"/>
        <v>-564.4424362499999</v>
      </c>
      <c r="AQ165" s="49">
        <f t="shared" si="377"/>
        <v>0</v>
      </c>
      <c r="AR165" s="49">
        <f t="shared" si="378"/>
        <v>0</v>
      </c>
      <c r="AS165" s="49">
        <f t="shared" si="379"/>
        <v>-126.48569999999998</v>
      </c>
      <c r="AT165" s="49">
        <f t="shared" si="380"/>
        <v>0</v>
      </c>
      <c r="AU165" s="49">
        <f t="shared" si="381"/>
        <v>0</v>
      </c>
      <c r="AV165" s="49">
        <f t="shared" si="382"/>
        <v>-126.48569999999998</v>
      </c>
      <c r="AW165" s="49">
        <f t="shared" si="383"/>
        <v>0</v>
      </c>
      <c r="AX165" s="49">
        <f t="shared" si="384"/>
        <v>0</v>
      </c>
      <c r="AY165" s="49">
        <f t="shared" si="385"/>
        <v>-168.64759999999998</v>
      </c>
      <c r="AZ165" s="49">
        <f t="shared" si="386"/>
        <v>0</v>
      </c>
      <c r="BA165" s="49">
        <f t="shared" si="387"/>
        <v>0</v>
      </c>
      <c r="BB165" s="49">
        <f t="shared" si="388"/>
        <v>-168.64759999999998</v>
      </c>
      <c r="BC165" s="49">
        <f t="shared" si="389"/>
        <v>0</v>
      </c>
      <c r="BD165" s="49">
        <f t="shared" si="390"/>
        <v>0</v>
      </c>
      <c r="BE165" s="49">
        <f t="shared" si="391"/>
        <v>-1667.6085497499998</v>
      </c>
      <c r="BF165" s="49">
        <f t="shared" si="392"/>
        <v>0</v>
      </c>
      <c r="BG165" s="49">
        <f t="shared" si="393"/>
        <v>0</v>
      </c>
      <c r="BH165" s="49">
        <f t="shared" si="394"/>
        <v>-1667.6085497499998</v>
      </c>
      <c r="BI165" s="49">
        <f t="shared" si="395"/>
        <v>0</v>
      </c>
      <c r="BJ165" s="49">
        <f t="shared" si="396"/>
        <v>0</v>
      </c>
      <c r="BK165" s="49">
        <f t="shared" si="397"/>
        <v>-175.60431349999999</v>
      </c>
      <c r="BL165" s="49">
        <f t="shared" si="398"/>
        <v>0</v>
      </c>
      <c r="BM165" s="49">
        <f t="shared" si="399"/>
        <v>0</v>
      </c>
      <c r="BN165" s="49">
        <f t="shared" si="400"/>
        <v>-175.60431349999999</v>
      </c>
      <c r="BO165" s="49">
        <f t="shared" si="401"/>
        <v>0</v>
      </c>
      <c r="BP165" s="49">
        <f t="shared" si="402"/>
        <v>0</v>
      </c>
      <c r="BQ165" s="49">
        <f t="shared" si="403"/>
        <v>-632.42849999999987</v>
      </c>
      <c r="BR165" s="49">
        <f t="shared" si="404"/>
        <v>0</v>
      </c>
      <c r="BS165" s="49">
        <f t="shared" si="405"/>
        <v>0</v>
      </c>
      <c r="BT165" s="49">
        <f t="shared" si="406"/>
        <v>-632.42849999999987</v>
      </c>
      <c r="BU165" s="49">
        <f t="shared" si="407"/>
        <v>0</v>
      </c>
      <c r="BV165" s="49">
        <f t="shared" si="408"/>
        <v>0</v>
      </c>
      <c r="BW165" s="49">
        <f t="shared" si="409"/>
        <v>-564.4424362499999</v>
      </c>
      <c r="BX165" s="49">
        <f t="shared" si="410"/>
        <v>0</v>
      </c>
      <c r="BY165" s="49">
        <f t="shared" si="411"/>
        <v>0</v>
      </c>
      <c r="BZ165" s="49">
        <f t="shared" si="412"/>
        <v>-564.4424362499999</v>
      </c>
      <c r="CA165" s="49">
        <f t="shared" si="413"/>
        <v>0</v>
      </c>
      <c r="CB165" s="49">
        <f t="shared" si="414"/>
        <v>0</v>
      </c>
      <c r="CC165" s="49">
        <f t="shared" si="415"/>
        <v>-126.48569999999998</v>
      </c>
      <c r="CD165" s="49">
        <f t="shared" si="416"/>
        <v>0</v>
      </c>
      <c r="CE165" s="49">
        <f t="shared" si="417"/>
        <v>0</v>
      </c>
      <c r="CF165" s="49">
        <f t="shared" si="418"/>
        <v>-126.48569999999998</v>
      </c>
      <c r="CG165" s="49">
        <f t="shared" si="419"/>
        <v>0</v>
      </c>
      <c r="CH165" s="49">
        <f t="shared" si="420"/>
        <v>0</v>
      </c>
      <c r="CI165" s="49">
        <f t="shared" si="421"/>
        <v>-168.64759999999998</v>
      </c>
      <c r="CJ165" s="49">
        <f t="shared" si="422"/>
        <v>0</v>
      </c>
      <c r="CK165" s="49">
        <f t="shared" si="423"/>
        <v>0</v>
      </c>
      <c r="CL165" s="49">
        <f t="shared" si="424"/>
        <v>-168.64759999999998</v>
      </c>
      <c r="CM165" s="49">
        <f t="shared" si="425"/>
        <v>0</v>
      </c>
      <c r="CN165" s="49">
        <f t="shared" si="426"/>
        <v>0</v>
      </c>
      <c r="CO165" s="49">
        <f t="shared" si="427"/>
        <v>-1667.6085497499998</v>
      </c>
      <c r="CP165" s="49">
        <f t="shared" si="428"/>
        <v>0</v>
      </c>
      <c r="CQ165" s="49">
        <f t="shared" si="429"/>
        <v>0</v>
      </c>
      <c r="CR165" s="81">
        <f t="shared" si="430"/>
        <v>-1667.6085497499998</v>
      </c>
      <c r="CS165" s="80">
        <f t="shared" si="431"/>
        <v>-2548.5814502499998</v>
      </c>
      <c r="CT165" s="54"/>
      <c r="CU165" s="3" t="str">
        <f t="shared" si="432"/>
        <v>ARS</v>
      </c>
      <c r="CV165" s="3">
        <f>VLOOKUP(CU165,DF:DG,2,0)</f>
        <v>6.9185169999999997E-4</v>
      </c>
      <c r="CW165" s="23">
        <f t="shared" si="433"/>
        <v>-2.9169782190229996</v>
      </c>
      <c r="CX165" s="23">
        <f t="shared" si="434"/>
        <v>-0.12149214282230794</v>
      </c>
      <c r="CY165" s="23">
        <f t="shared" si="435"/>
        <v>-0.43754673285344992</v>
      </c>
      <c r="CZ165" s="23">
        <f t="shared" si="436"/>
        <v>-0.39051045907170406</v>
      </c>
      <c r="DA165" s="23">
        <f t="shared" si="437"/>
        <v>-8.7509346570689983E-2</v>
      </c>
      <c r="DB165" s="23">
        <f t="shared" si="438"/>
        <v>-0.11667912876091999</v>
      </c>
      <c r="DC165" s="23">
        <f t="shared" si="439"/>
        <v>-1.7632404089439278</v>
      </c>
      <c r="DD165" s="34" t="e">
        <f>VLOOKUP(A165,'Billing Report'!H:I,2,FALSE)</f>
        <v>#N/A</v>
      </c>
      <c r="DE165" s="34"/>
      <c r="DF165" s="61"/>
      <c r="DG165" s="62"/>
      <c r="DH165"/>
      <c r="DI165" s="41"/>
      <c r="DJ165" s="41"/>
    </row>
    <row r="166" spans="1:114" ht="14.5" x14ac:dyDescent="0.35">
      <c r="A166" s="63">
        <v>40893044</v>
      </c>
      <c r="B166" s="3" t="s">
        <v>1054</v>
      </c>
      <c r="C166" s="3">
        <v>323870401</v>
      </c>
      <c r="D166" s="3" t="s">
        <v>93</v>
      </c>
      <c r="G166" s="38">
        <v>1002600.9</v>
      </c>
      <c r="J166" s="33">
        <f>VLOOKUP($B166,'IMS Commission List'!E:CE,79,0)/100</f>
        <v>0.15</v>
      </c>
      <c r="K166" s="79">
        <f t="shared" si="352"/>
        <v>1002600.9</v>
      </c>
      <c r="L166" s="3" t="str">
        <f>VLOOKUP($B166,'IMS Commission List'!E:V,18,0)</f>
        <v>ARS</v>
      </c>
      <c r="M166" s="3">
        <v>1</v>
      </c>
      <c r="N166" s="3" t="str">
        <f>VLOOKUP($B166,'IMS Commission List'!E:T,16,0)</f>
        <v>MX</v>
      </c>
      <c r="O166" s="54">
        <f>VLOOKUP($B166,'IMS Commission List'!E:CF,80,0)</f>
        <v>4.9000000000000002E-2</v>
      </c>
      <c r="P166" s="54">
        <f>VLOOKUP($B166,'IMS Commission List'!E:CG,81,0)</f>
        <v>0.1575</v>
      </c>
      <c r="Q166" s="54">
        <f>VLOOKUP($B166,'IMS Commission List'!E:CP,90,0)</f>
        <v>0.03</v>
      </c>
      <c r="R166" s="54">
        <f>VLOOKUP($B166,'IMS Commission List'!E:CQ,91,0)</f>
        <v>0.04</v>
      </c>
      <c r="S166" s="47">
        <f t="shared" si="353"/>
        <v>0</v>
      </c>
      <c r="T166" s="48">
        <f t="shared" si="354"/>
        <v>0</v>
      </c>
      <c r="U166" s="48">
        <f t="shared" si="355"/>
        <v>1002600.9</v>
      </c>
      <c r="V166" s="48">
        <f t="shared" si="356"/>
        <v>0</v>
      </c>
      <c r="W166" s="48">
        <f t="shared" si="357"/>
        <v>0</v>
      </c>
      <c r="X166" s="49">
        <f t="shared" si="358"/>
        <v>1002600.9</v>
      </c>
      <c r="Y166" s="49">
        <f t="shared" si="359"/>
        <v>0</v>
      </c>
      <c r="Z166" s="49">
        <f t="shared" si="360"/>
        <v>0</v>
      </c>
      <c r="AA166" s="49">
        <f t="shared" si="361"/>
        <v>41758.327485000002</v>
      </c>
      <c r="AB166" s="49">
        <f t="shared" si="362"/>
        <v>0</v>
      </c>
      <c r="AC166" s="49">
        <f t="shared" si="363"/>
        <v>0</v>
      </c>
      <c r="AD166" s="49">
        <f t="shared" si="364"/>
        <v>41758.327485000002</v>
      </c>
      <c r="AE166" s="49">
        <f t="shared" si="365"/>
        <v>0</v>
      </c>
      <c r="AF166" s="49">
        <f t="shared" si="366"/>
        <v>0</v>
      </c>
      <c r="AG166" s="49">
        <f t="shared" si="367"/>
        <v>150390.13500000001</v>
      </c>
      <c r="AH166" s="49">
        <f t="shared" si="368"/>
        <v>0</v>
      </c>
      <c r="AI166" s="49">
        <f t="shared" si="369"/>
        <v>0</v>
      </c>
      <c r="AJ166" s="49">
        <f t="shared" si="370"/>
        <v>150390.13500000001</v>
      </c>
      <c r="AK166" s="49">
        <f t="shared" si="371"/>
        <v>0</v>
      </c>
      <c r="AL166" s="49">
        <f t="shared" si="372"/>
        <v>0</v>
      </c>
      <c r="AM166" s="49">
        <f t="shared" si="373"/>
        <v>134223.19548749999</v>
      </c>
      <c r="AN166" s="49">
        <f t="shared" si="374"/>
        <v>0</v>
      </c>
      <c r="AO166" s="49">
        <f t="shared" si="375"/>
        <v>0</v>
      </c>
      <c r="AP166" s="49">
        <f t="shared" si="376"/>
        <v>134223.19548749999</v>
      </c>
      <c r="AQ166" s="49">
        <f t="shared" si="377"/>
        <v>0</v>
      </c>
      <c r="AR166" s="49">
        <f t="shared" si="378"/>
        <v>0</v>
      </c>
      <c r="AS166" s="49">
        <f t="shared" si="379"/>
        <v>30078.026999999998</v>
      </c>
      <c r="AT166" s="49">
        <f t="shared" si="380"/>
        <v>0</v>
      </c>
      <c r="AU166" s="49">
        <f t="shared" si="381"/>
        <v>0</v>
      </c>
      <c r="AV166" s="49">
        <f t="shared" si="382"/>
        <v>30078.026999999998</v>
      </c>
      <c r="AW166" s="49">
        <f t="shared" si="383"/>
        <v>0</v>
      </c>
      <c r="AX166" s="49">
        <f t="shared" si="384"/>
        <v>0</v>
      </c>
      <c r="AY166" s="49">
        <f t="shared" si="385"/>
        <v>40104.036</v>
      </c>
      <c r="AZ166" s="49">
        <f t="shared" si="386"/>
        <v>0</v>
      </c>
      <c r="BA166" s="49">
        <f t="shared" si="387"/>
        <v>0</v>
      </c>
      <c r="BB166" s="49">
        <f t="shared" si="388"/>
        <v>40104.036</v>
      </c>
      <c r="BC166" s="49">
        <f t="shared" si="389"/>
        <v>0</v>
      </c>
      <c r="BD166" s="49">
        <f t="shared" si="390"/>
        <v>0</v>
      </c>
      <c r="BE166" s="49">
        <f t="shared" si="391"/>
        <v>396553.72097250004</v>
      </c>
      <c r="BF166" s="49">
        <f t="shared" si="392"/>
        <v>0</v>
      </c>
      <c r="BG166" s="49">
        <f t="shared" si="393"/>
        <v>0</v>
      </c>
      <c r="BH166" s="49">
        <f t="shared" si="394"/>
        <v>396553.72097250004</v>
      </c>
      <c r="BI166" s="49">
        <f t="shared" si="395"/>
        <v>0</v>
      </c>
      <c r="BJ166" s="49">
        <f t="shared" si="396"/>
        <v>0</v>
      </c>
      <c r="BK166" s="49">
        <f t="shared" si="397"/>
        <v>41758.327485000002</v>
      </c>
      <c r="BL166" s="49">
        <f t="shared" si="398"/>
        <v>0</v>
      </c>
      <c r="BM166" s="49">
        <f t="shared" si="399"/>
        <v>0</v>
      </c>
      <c r="BN166" s="49">
        <f t="shared" si="400"/>
        <v>41758.327485000002</v>
      </c>
      <c r="BO166" s="49">
        <f t="shared" si="401"/>
        <v>0</v>
      </c>
      <c r="BP166" s="49">
        <f t="shared" si="402"/>
        <v>0</v>
      </c>
      <c r="BQ166" s="49">
        <f t="shared" si="403"/>
        <v>150390.13500000001</v>
      </c>
      <c r="BR166" s="49">
        <f t="shared" si="404"/>
        <v>0</v>
      </c>
      <c r="BS166" s="49">
        <f t="shared" si="405"/>
        <v>0</v>
      </c>
      <c r="BT166" s="49">
        <f t="shared" si="406"/>
        <v>150390.13500000001</v>
      </c>
      <c r="BU166" s="49">
        <f t="shared" si="407"/>
        <v>0</v>
      </c>
      <c r="BV166" s="49">
        <f t="shared" si="408"/>
        <v>0</v>
      </c>
      <c r="BW166" s="49">
        <f t="shared" si="409"/>
        <v>134223.19548749999</v>
      </c>
      <c r="BX166" s="49">
        <f t="shared" si="410"/>
        <v>0</v>
      </c>
      <c r="BY166" s="49">
        <f t="shared" si="411"/>
        <v>0</v>
      </c>
      <c r="BZ166" s="49">
        <f t="shared" si="412"/>
        <v>134223.19548749999</v>
      </c>
      <c r="CA166" s="49">
        <f t="shared" si="413"/>
        <v>0</v>
      </c>
      <c r="CB166" s="49">
        <f t="shared" si="414"/>
        <v>0</v>
      </c>
      <c r="CC166" s="49">
        <f t="shared" si="415"/>
        <v>30078.026999999998</v>
      </c>
      <c r="CD166" s="49">
        <f t="shared" si="416"/>
        <v>0</v>
      </c>
      <c r="CE166" s="49">
        <f t="shared" si="417"/>
        <v>0</v>
      </c>
      <c r="CF166" s="49">
        <f t="shared" si="418"/>
        <v>30078.026999999998</v>
      </c>
      <c r="CG166" s="49">
        <f t="shared" si="419"/>
        <v>0</v>
      </c>
      <c r="CH166" s="49">
        <f t="shared" si="420"/>
        <v>0</v>
      </c>
      <c r="CI166" s="49">
        <f t="shared" si="421"/>
        <v>40104.036</v>
      </c>
      <c r="CJ166" s="49">
        <f t="shared" si="422"/>
        <v>0</v>
      </c>
      <c r="CK166" s="49">
        <f t="shared" si="423"/>
        <v>0</v>
      </c>
      <c r="CL166" s="49">
        <f t="shared" si="424"/>
        <v>40104.036</v>
      </c>
      <c r="CM166" s="49">
        <f t="shared" si="425"/>
        <v>0</v>
      </c>
      <c r="CN166" s="49">
        <f t="shared" si="426"/>
        <v>0</v>
      </c>
      <c r="CO166" s="49">
        <f t="shared" si="427"/>
        <v>396553.72097250004</v>
      </c>
      <c r="CP166" s="49">
        <f t="shared" si="428"/>
        <v>0</v>
      </c>
      <c r="CQ166" s="49">
        <f t="shared" si="429"/>
        <v>0</v>
      </c>
      <c r="CR166" s="81">
        <f t="shared" si="430"/>
        <v>396553.72097250004</v>
      </c>
      <c r="CS166" s="80">
        <f t="shared" si="431"/>
        <v>606047.17902749998</v>
      </c>
      <c r="CT166" s="54"/>
      <c r="CU166" s="3" t="str">
        <f t="shared" si="432"/>
        <v>ARS</v>
      </c>
      <c r="CV166" s="3">
        <f>VLOOKUP(CU166,DF:DG,2,0)</f>
        <v>6.9185169999999997E-4</v>
      </c>
      <c r="CW166" s="23">
        <f t="shared" si="433"/>
        <v>693.65113708652996</v>
      </c>
      <c r="CX166" s="23">
        <f t="shared" si="434"/>
        <v>28.890569859653976</v>
      </c>
      <c r="CY166" s="23">
        <f t="shared" si="435"/>
        <v>104.0476705629795</v>
      </c>
      <c r="CZ166" s="23">
        <f t="shared" si="436"/>
        <v>92.862545977459192</v>
      </c>
      <c r="DA166" s="23">
        <f t="shared" si="437"/>
        <v>20.809534112595898</v>
      </c>
      <c r="DB166" s="23">
        <f t="shared" si="438"/>
        <v>27.746045483461199</v>
      </c>
      <c r="DC166" s="23">
        <f t="shared" si="439"/>
        <v>419.29477109038021</v>
      </c>
      <c r="DD166" s="34" t="str">
        <f>VLOOKUP(A166,'Billing Report'!H:I,2,FALSE)</f>
        <v>OB-CAH-IOL-Feb-2026</v>
      </c>
      <c r="DE166" s="34"/>
      <c r="DF166" s="61"/>
      <c r="DG166" s="62"/>
      <c r="DH166"/>
      <c r="DI166" s="41"/>
      <c r="DJ166" s="41"/>
    </row>
    <row r="167" spans="1:114" ht="14.5" x14ac:dyDescent="0.35">
      <c r="A167" s="63">
        <v>40892698</v>
      </c>
      <c r="B167" s="3" t="s">
        <v>1054</v>
      </c>
      <c r="C167" s="3">
        <v>323870401</v>
      </c>
      <c r="D167" s="3" t="s">
        <v>93</v>
      </c>
      <c r="G167" s="38">
        <v>1001615.29</v>
      </c>
      <c r="J167" s="33">
        <f>VLOOKUP($B167,'IMS Commission List'!E:CE,79,0)/100</f>
        <v>0.15</v>
      </c>
      <c r="K167" s="79">
        <f t="shared" ref="K167:K200" si="440">SUM(E167:I167)</f>
        <v>1001615.29</v>
      </c>
      <c r="L167" s="3" t="str">
        <f>VLOOKUP($B167,'IMS Commission List'!E:V,18,0)</f>
        <v>ARS</v>
      </c>
      <c r="M167" s="3">
        <v>1</v>
      </c>
      <c r="N167" s="3" t="str">
        <f>VLOOKUP($B167,'IMS Commission List'!E:T,16,0)</f>
        <v>MX</v>
      </c>
      <c r="O167" s="54">
        <f>VLOOKUP($B167,'IMS Commission List'!E:CF,80,0)</f>
        <v>4.9000000000000002E-2</v>
      </c>
      <c r="P167" s="54">
        <f>VLOOKUP($B167,'IMS Commission List'!E:CG,81,0)</f>
        <v>0.1575</v>
      </c>
      <c r="Q167" s="54">
        <f>VLOOKUP($B167,'IMS Commission List'!E:CP,90,0)</f>
        <v>0.03</v>
      </c>
      <c r="R167" s="54">
        <f>VLOOKUP($B167,'IMS Commission List'!E:CQ,91,0)</f>
        <v>0.04</v>
      </c>
      <c r="S167" s="47">
        <f t="shared" ref="S167:S200" si="441">$E167*$M167</f>
        <v>0</v>
      </c>
      <c r="T167" s="48">
        <f t="shared" ref="T167:T200" si="442">$F167*$M167</f>
        <v>0</v>
      </c>
      <c r="U167" s="48">
        <f t="shared" ref="U167:U200" si="443">$G167*$M167</f>
        <v>1001615.29</v>
      </c>
      <c r="V167" s="48">
        <f t="shared" ref="V167:V200" si="444">$H167*$M167</f>
        <v>0</v>
      </c>
      <c r="W167" s="48">
        <f t="shared" ref="W167:W200" si="445">$I167*$M167</f>
        <v>0</v>
      </c>
      <c r="X167" s="49">
        <f t="shared" ref="X167:X200" si="446">$K167*$M167</f>
        <v>1001615.29</v>
      </c>
      <c r="Y167" s="49">
        <f t="shared" ref="Y167:Y200" si="447">(S167*$O167)*(1-J167)</f>
        <v>0</v>
      </c>
      <c r="Z167" s="49">
        <f t="shared" ref="Z167:Z200" si="448">(T167*$O167)*(1-J167)</f>
        <v>0</v>
      </c>
      <c r="AA167" s="49">
        <f t="shared" ref="AA167:AA200" si="449">(U167*$O167)*(1-J167)</f>
        <v>41717.276828499998</v>
      </c>
      <c r="AB167" s="49">
        <f t="shared" ref="AB167:AB200" si="450">(V167*$O167)*(1-J167)</f>
        <v>0</v>
      </c>
      <c r="AC167" s="49">
        <f t="shared" ref="AC167:AC200" si="451">(W167*$O167)*(1-J167)</f>
        <v>0</v>
      </c>
      <c r="AD167" s="49">
        <f t="shared" ref="AD167:AD198" si="452">SUM(Y167:AC167)</f>
        <v>41717.276828499998</v>
      </c>
      <c r="AE167" s="49">
        <f t="shared" ref="AE167:AE200" si="453">S167*$J167</f>
        <v>0</v>
      </c>
      <c r="AF167" s="49">
        <f t="shared" ref="AF167:AF200" si="454">T167*$J167</f>
        <v>0</v>
      </c>
      <c r="AG167" s="49">
        <f t="shared" ref="AG167:AG200" si="455">U167*$J167</f>
        <v>150242.2935</v>
      </c>
      <c r="AH167" s="49">
        <f t="shared" ref="AH167:AH200" si="456">V167*$J167</f>
        <v>0</v>
      </c>
      <c r="AI167" s="49">
        <f t="shared" ref="AI167:AI200" si="457">W167*$J167</f>
        <v>0</v>
      </c>
      <c r="AJ167" s="49">
        <f t="shared" ref="AJ167:AJ198" si="458">SUM(AE167:AI167)</f>
        <v>150242.2935</v>
      </c>
      <c r="AK167" s="49">
        <f t="shared" ref="AK167:AK200" si="459">($P167*S167)*(1-$J167)</f>
        <v>0</v>
      </c>
      <c r="AL167" s="49">
        <f t="shared" ref="AL167:AL200" si="460">($P167*T167)*(1-$J167)</f>
        <v>0</v>
      </c>
      <c r="AM167" s="49">
        <f t="shared" ref="AM167:AM200" si="461">($P167*U167)*(1-$J167)</f>
        <v>134091.24694875002</v>
      </c>
      <c r="AN167" s="49">
        <f t="shared" ref="AN167:AN200" si="462">($P167*V167)*(1-$J167)</f>
        <v>0</v>
      </c>
      <c r="AO167" s="49">
        <f t="shared" ref="AO167:AO200" si="463">($P167*W167)*(1-$J167)</f>
        <v>0</v>
      </c>
      <c r="AP167" s="49">
        <f t="shared" ref="AP167:AP198" si="464">SUM(AK167:AO167)</f>
        <v>134091.24694875002</v>
      </c>
      <c r="AQ167" s="49">
        <f t="shared" ref="AQ167:AQ200" si="465">S167*$Q167</f>
        <v>0</v>
      </c>
      <c r="AR167" s="49">
        <f t="shared" ref="AR167:AR200" si="466">T167*$Q167</f>
        <v>0</v>
      </c>
      <c r="AS167" s="49">
        <f t="shared" ref="AS167:AS200" si="467">U167*$Q167</f>
        <v>30048.458699999999</v>
      </c>
      <c r="AT167" s="49">
        <f t="shared" ref="AT167:AT200" si="468">V167*$Q167</f>
        <v>0</v>
      </c>
      <c r="AU167" s="49">
        <f t="shared" ref="AU167:AU200" si="469">W167*$Q167</f>
        <v>0</v>
      </c>
      <c r="AV167" s="49">
        <f t="shared" ref="AV167:AV198" si="470">SUM(AQ167:AU167)</f>
        <v>30048.458699999999</v>
      </c>
      <c r="AW167" s="49">
        <f t="shared" ref="AW167:AW200" si="471">S167*$R167</f>
        <v>0</v>
      </c>
      <c r="AX167" s="49">
        <f t="shared" ref="AX167:AX200" si="472">T167*$R167</f>
        <v>0</v>
      </c>
      <c r="AY167" s="49">
        <f t="shared" ref="AY167:AY200" si="473">U167*$R167</f>
        <v>40064.611600000004</v>
      </c>
      <c r="AZ167" s="49">
        <f t="shared" ref="AZ167:AZ200" si="474">V167*$R167</f>
        <v>0</v>
      </c>
      <c r="BA167" s="49">
        <f t="shared" ref="BA167:BA200" si="475">W167*$R167</f>
        <v>0</v>
      </c>
      <c r="BB167" s="49">
        <f t="shared" ref="BB167:BB198" si="476">SUM(AW167:BA167)</f>
        <v>40064.611600000004</v>
      </c>
      <c r="BC167" s="49">
        <f t="shared" ref="BC167:BC200" si="477">$Y167+$AE167+$AK167+$AQ167+AW167</f>
        <v>0</v>
      </c>
      <c r="BD167" s="49">
        <f t="shared" ref="BD167:BD200" si="478">$Z167+$AF167+$AL167+AR167+AX167</f>
        <v>0</v>
      </c>
      <c r="BE167" s="49">
        <f t="shared" ref="BE167:BE200" si="479">$AA167+$AG167+$AM167+AS167+AY167</f>
        <v>396163.88757725002</v>
      </c>
      <c r="BF167" s="49">
        <f t="shared" ref="BF167:BF200" si="480">$AB167+$AH167+$AN167+AT167+AZ167</f>
        <v>0</v>
      </c>
      <c r="BG167" s="49">
        <f t="shared" ref="BG167:BG200" si="481">$AC167+$AI167+$AO167+AU167+BA167</f>
        <v>0</v>
      </c>
      <c r="BH167" s="49">
        <f t="shared" ref="BH167:BH198" si="482">SUM(BC167:BG167)</f>
        <v>396163.88757725002</v>
      </c>
      <c r="BI167" s="49">
        <f t="shared" ref="BI167:BI200" si="483">$Y167/$M167</f>
        <v>0</v>
      </c>
      <c r="BJ167" s="49">
        <f t="shared" ref="BJ167:BJ200" si="484">$Z167/$M167</f>
        <v>0</v>
      </c>
      <c r="BK167" s="49">
        <f t="shared" ref="BK167:BK200" si="485">$AA167/$M167</f>
        <v>41717.276828499998</v>
      </c>
      <c r="BL167" s="49">
        <f t="shared" ref="BL167:BL200" si="486">$AB167/$M167</f>
        <v>0</v>
      </c>
      <c r="BM167" s="49">
        <f t="shared" ref="BM167:BM200" si="487">$AC167/$M167</f>
        <v>0</v>
      </c>
      <c r="BN167" s="49">
        <f t="shared" ref="BN167:BN200" si="488">$AD167/$M167</f>
        <v>41717.276828499998</v>
      </c>
      <c r="BO167" s="49">
        <f t="shared" ref="BO167:BO200" si="489">$AE167/$M167</f>
        <v>0</v>
      </c>
      <c r="BP167" s="49">
        <f t="shared" ref="BP167:BP200" si="490">$AF167/$M167</f>
        <v>0</v>
      </c>
      <c r="BQ167" s="49">
        <f t="shared" ref="BQ167:BQ200" si="491">$AG167/$M167</f>
        <v>150242.2935</v>
      </c>
      <c r="BR167" s="49">
        <f t="shared" ref="BR167:BR200" si="492">$AH167/$M167</f>
        <v>0</v>
      </c>
      <c r="BS167" s="49">
        <f t="shared" ref="BS167:BS200" si="493">$AI167/$M167</f>
        <v>0</v>
      </c>
      <c r="BT167" s="49">
        <f t="shared" ref="BT167:BT200" si="494">$AJ167/$M167</f>
        <v>150242.2935</v>
      </c>
      <c r="BU167" s="49">
        <f t="shared" ref="BU167:BU200" si="495">$AK167/$M167</f>
        <v>0</v>
      </c>
      <c r="BV167" s="49">
        <f t="shared" ref="BV167:BV200" si="496">$AL167/$M167</f>
        <v>0</v>
      </c>
      <c r="BW167" s="49">
        <f t="shared" ref="BW167:BW200" si="497">$AM167/$M167</f>
        <v>134091.24694875002</v>
      </c>
      <c r="BX167" s="49">
        <f t="shared" ref="BX167:BX200" si="498">$AN167/$M167</f>
        <v>0</v>
      </c>
      <c r="BY167" s="49">
        <f t="shared" ref="BY167:BY200" si="499">$AO167/$M167</f>
        <v>0</v>
      </c>
      <c r="BZ167" s="49">
        <f t="shared" ref="BZ167:BZ200" si="500">$AP167/$M167</f>
        <v>134091.24694875002</v>
      </c>
      <c r="CA167" s="49">
        <f t="shared" ref="CA167:CA200" si="501">AQ167/$M167</f>
        <v>0</v>
      </c>
      <c r="CB167" s="49">
        <f t="shared" ref="CB167:CB200" si="502">AR167/$M167</f>
        <v>0</v>
      </c>
      <c r="CC167" s="49">
        <f t="shared" ref="CC167:CC200" si="503">AS167/$M167</f>
        <v>30048.458699999999</v>
      </c>
      <c r="CD167" s="49">
        <f t="shared" ref="CD167:CD200" si="504">AT167/$M167</f>
        <v>0</v>
      </c>
      <c r="CE167" s="49">
        <f t="shared" ref="CE167:CE200" si="505">AU167/$M167</f>
        <v>0</v>
      </c>
      <c r="CF167" s="49">
        <f t="shared" ref="CF167:CF200" si="506">AV167/$M167</f>
        <v>30048.458699999999</v>
      </c>
      <c r="CG167" s="49">
        <f t="shared" ref="CG167:CG200" si="507">AW167/$M167</f>
        <v>0</v>
      </c>
      <c r="CH167" s="49">
        <f t="shared" ref="CH167:CH200" si="508">AX167/$M167</f>
        <v>0</v>
      </c>
      <c r="CI167" s="49">
        <f t="shared" ref="CI167:CI200" si="509">AY167/$M167</f>
        <v>40064.611600000004</v>
      </c>
      <c r="CJ167" s="49">
        <f t="shared" ref="CJ167:CJ200" si="510">AZ167/$M167</f>
        <v>0</v>
      </c>
      <c r="CK167" s="49">
        <f t="shared" ref="CK167:CK200" si="511">BA167/$M167</f>
        <v>0</v>
      </c>
      <c r="CL167" s="49">
        <f t="shared" ref="CL167:CL200" si="512">BB167/$M167</f>
        <v>40064.611600000004</v>
      </c>
      <c r="CM167" s="49">
        <f t="shared" ref="CM167:CM200" si="513">$BC167/$M167</f>
        <v>0</v>
      </c>
      <c r="CN167" s="49">
        <f t="shared" ref="CN167:CN200" si="514">$BD167/$M167</f>
        <v>0</v>
      </c>
      <c r="CO167" s="49">
        <f t="shared" ref="CO167:CO200" si="515">$BE167/$M167</f>
        <v>396163.88757725002</v>
      </c>
      <c r="CP167" s="49">
        <f t="shared" ref="CP167:CP200" si="516">$BF167/$M167</f>
        <v>0</v>
      </c>
      <c r="CQ167" s="49">
        <f t="shared" ref="CQ167:CQ200" si="517">$BG167/$M167</f>
        <v>0</v>
      </c>
      <c r="CR167" s="81">
        <f t="shared" ref="CR167:CR198" si="518">SUM(CM167:CQ167)</f>
        <v>396163.88757725002</v>
      </c>
      <c r="CS167" s="80">
        <f t="shared" ref="CS167:CS198" si="519">K167-CR167</f>
        <v>605451.40242275002</v>
      </c>
      <c r="CT167" s="54"/>
      <c r="CU167" s="3" t="str">
        <f t="shared" ref="CU167:CU200" si="520">D167</f>
        <v>ARS</v>
      </c>
      <c r="CV167" s="3">
        <f>VLOOKUP(CU167,DF:DG,2,0)</f>
        <v>6.9185169999999997E-4</v>
      </c>
      <c r="CW167" s="23">
        <f t="shared" ref="CW167:CW198" si="521">K167*CV167</f>
        <v>692.96924113249304</v>
      </c>
      <c r="CX167" s="23">
        <f t="shared" ref="CX167:CX200" si="522">BN167*CV167</f>
        <v>28.862168893168331</v>
      </c>
      <c r="CY167" s="23">
        <f t="shared" ref="CY167:CY200" si="523">BT167*CV167</f>
        <v>103.94538616987394</v>
      </c>
      <c r="CZ167" s="23">
        <f t="shared" ref="CZ167:CZ200" si="524">BZ167*CV167</f>
        <v>92.771257156612506</v>
      </c>
      <c r="DA167" s="23">
        <f t="shared" ref="DA167:DA200" si="525">CF167*CV167</f>
        <v>20.789077233974787</v>
      </c>
      <c r="DB167" s="23">
        <f t="shared" ref="DB167:DB200" si="526">CL167*CV167</f>
        <v>27.718769645299723</v>
      </c>
      <c r="DC167" s="23">
        <f t="shared" ref="DC167:DC200" si="527">CS167*CV167</f>
        <v>418.88258203356372</v>
      </c>
      <c r="DD167" s="34" t="str">
        <f>VLOOKUP(A167,'Billing Report'!H:I,2,FALSE)</f>
        <v>OB-CAH-Selección-Feb-2026</v>
      </c>
      <c r="DE167" s="34"/>
      <c r="DF167" s="61"/>
      <c r="DG167" s="62"/>
      <c r="DH167"/>
      <c r="DI167" s="41"/>
      <c r="DJ167" s="41"/>
    </row>
    <row r="168" spans="1:114" ht="14.5" x14ac:dyDescent="0.35">
      <c r="A168" s="63"/>
      <c r="B168" s="3" t="s">
        <v>1057</v>
      </c>
      <c r="C168" s="3">
        <v>323893901</v>
      </c>
      <c r="D168" s="3" t="s">
        <v>93</v>
      </c>
      <c r="G168" s="38">
        <v>-2572.21</v>
      </c>
      <c r="J168" s="33">
        <f>VLOOKUP($B168,'IMS Commission List'!E:CE,79,0)/100</f>
        <v>0.15</v>
      </c>
      <c r="K168" s="79">
        <f t="shared" si="440"/>
        <v>-2572.21</v>
      </c>
      <c r="L168" s="3" t="str">
        <f>VLOOKUP($B168,'IMS Commission List'!E:V,18,0)</f>
        <v>ARS</v>
      </c>
      <c r="M168" s="3">
        <v>1</v>
      </c>
      <c r="N168" s="3" t="str">
        <f>VLOOKUP($B168,'IMS Commission List'!E:T,16,0)</f>
        <v>MX</v>
      </c>
      <c r="O168" s="54">
        <f>VLOOKUP($B168,'IMS Commission List'!E:CF,80,0)</f>
        <v>4.9000000000000002E-2</v>
      </c>
      <c r="P168" s="54">
        <f>VLOOKUP($B168,'IMS Commission List'!E:CG,81,0)</f>
        <v>0.1575</v>
      </c>
      <c r="Q168" s="54">
        <f>VLOOKUP($B168,'IMS Commission List'!E:CP,90,0)</f>
        <v>0.03</v>
      </c>
      <c r="R168" s="54">
        <f>VLOOKUP($B168,'IMS Commission List'!E:CQ,91,0)</f>
        <v>0.04</v>
      </c>
      <c r="S168" s="47">
        <f t="shared" si="441"/>
        <v>0</v>
      </c>
      <c r="T168" s="48">
        <f t="shared" si="442"/>
        <v>0</v>
      </c>
      <c r="U168" s="48">
        <f t="shared" si="443"/>
        <v>-2572.21</v>
      </c>
      <c r="V168" s="48">
        <f t="shared" si="444"/>
        <v>0</v>
      </c>
      <c r="W168" s="48">
        <f t="shared" si="445"/>
        <v>0</v>
      </c>
      <c r="X168" s="49">
        <f t="shared" si="446"/>
        <v>-2572.21</v>
      </c>
      <c r="Y168" s="49">
        <f t="shared" si="447"/>
        <v>0</v>
      </c>
      <c r="Z168" s="49">
        <f t="shared" si="448"/>
        <v>0</v>
      </c>
      <c r="AA168" s="49">
        <f t="shared" si="449"/>
        <v>-107.1325465</v>
      </c>
      <c r="AB168" s="49">
        <f t="shared" si="450"/>
        <v>0</v>
      </c>
      <c r="AC168" s="49">
        <f t="shared" si="451"/>
        <v>0</v>
      </c>
      <c r="AD168" s="49">
        <f t="shared" si="452"/>
        <v>-107.1325465</v>
      </c>
      <c r="AE168" s="49">
        <f t="shared" si="453"/>
        <v>0</v>
      </c>
      <c r="AF168" s="49">
        <f t="shared" si="454"/>
        <v>0</v>
      </c>
      <c r="AG168" s="49">
        <f t="shared" si="455"/>
        <v>-385.83150000000001</v>
      </c>
      <c r="AH168" s="49">
        <f t="shared" si="456"/>
        <v>0</v>
      </c>
      <c r="AI168" s="49">
        <f t="shared" si="457"/>
        <v>0</v>
      </c>
      <c r="AJ168" s="49">
        <f t="shared" si="458"/>
        <v>-385.83150000000001</v>
      </c>
      <c r="AK168" s="49">
        <f t="shared" si="459"/>
        <v>0</v>
      </c>
      <c r="AL168" s="49">
        <f t="shared" si="460"/>
        <v>0</v>
      </c>
      <c r="AM168" s="49">
        <f t="shared" si="461"/>
        <v>-344.35461375</v>
      </c>
      <c r="AN168" s="49">
        <f t="shared" si="462"/>
        <v>0</v>
      </c>
      <c r="AO168" s="49">
        <f t="shared" si="463"/>
        <v>0</v>
      </c>
      <c r="AP168" s="49">
        <f t="shared" si="464"/>
        <v>-344.35461375</v>
      </c>
      <c r="AQ168" s="49">
        <f t="shared" si="465"/>
        <v>0</v>
      </c>
      <c r="AR168" s="49">
        <f t="shared" si="466"/>
        <v>0</v>
      </c>
      <c r="AS168" s="49">
        <f t="shared" si="467"/>
        <v>-77.166299999999993</v>
      </c>
      <c r="AT168" s="49">
        <f t="shared" si="468"/>
        <v>0</v>
      </c>
      <c r="AU168" s="49">
        <f t="shared" si="469"/>
        <v>0</v>
      </c>
      <c r="AV168" s="49">
        <f t="shared" si="470"/>
        <v>-77.166299999999993</v>
      </c>
      <c r="AW168" s="49">
        <f t="shared" si="471"/>
        <v>0</v>
      </c>
      <c r="AX168" s="49">
        <f t="shared" si="472"/>
        <v>0</v>
      </c>
      <c r="AY168" s="49">
        <f t="shared" si="473"/>
        <v>-102.8884</v>
      </c>
      <c r="AZ168" s="49">
        <f t="shared" si="474"/>
        <v>0</v>
      </c>
      <c r="BA168" s="49">
        <f t="shared" si="475"/>
        <v>0</v>
      </c>
      <c r="BB168" s="49">
        <f t="shared" si="476"/>
        <v>-102.8884</v>
      </c>
      <c r="BC168" s="49">
        <f t="shared" si="477"/>
        <v>0</v>
      </c>
      <c r="BD168" s="49">
        <f t="shared" si="478"/>
        <v>0</v>
      </c>
      <c r="BE168" s="49">
        <f t="shared" si="479"/>
        <v>-1017.37336025</v>
      </c>
      <c r="BF168" s="49">
        <f t="shared" si="480"/>
        <v>0</v>
      </c>
      <c r="BG168" s="49">
        <f t="shared" si="481"/>
        <v>0</v>
      </c>
      <c r="BH168" s="49">
        <f t="shared" si="482"/>
        <v>-1017.37336025</v>
      </c>
      <c r="BI168" s="49">
        <f t="shared" si="483"/>
        <v>0</v>
      </c>
      <c r="BJ168" s="49">
        <f t="shared" si="484"/>
        <v>0</v>
      </c>
      <c r="BK168" s="49">
        <f t="shared" si="485"/>
        <v>-107.1325465</v>
      </c>
      <c r="BL168" s="49">
        <f t="shared" si="486"/>
        <v>0</v>
      </c>
      <c r="BM168" s="49">
        <f t="shared" si="487"/>
        <v>0</v>
      </c>
      <c r="BN168" s="49">
        <f t="shared" si="488"/>
        <v>-107.1325465</v>
      </c>
      <c r="BO168" s="49">
        <f t="shared" si="489"/>
        <v>0</v>
      </c>
      <c r="BP168" s="49">
        <f t="shared" si="490"/>
        <v>0</v>
      </c>
      <c r="BQ168" s="49">
        <f t="shared" si="491"/>
        <v>-385.83150000000001</v>
      </c>
      <c r="BR168" s="49">
        <f t="shared" si="492"/>
        <v>0</v>
      </c>
      <c r="BS168" s="49">
        <f t="shared" si="493"/>
        <v>0</v>
      </c>
      <c r="BT168" s="49">
        <f t="shared" si="494"/>
        <v>-385.83150000000001</v>
      </c>
      <c r="BU168" s="49">
        <f t="shared" si="495"/>
        <v>0</v>
      </c>
      <c r="BV168" s="49">
        <f t="shared" si="496"/>
        <v>0</v>
      </c>
      <c r="BW168" s="49">
        <f t="shared" si="497"/>
        <v>-344.35461375</v>
      </c>
      <c r="BX168" s="49">
        <f t="shared" si="498"/>
        <v>0</v>
      </c>
      <c r="BY168" s="49">
        <f t="shared" si="499"/>
        <v>0</v>
      </c>
      <c r="BZ168" s="49">
        <f t="shared" si="500"/>
        <v>-344.35461375</v>
      </c>
      <c r="CA168" s="49">
        <f t="shared" si="501"/>
        <v>0</v>
      </c>
      <c r="CB168" s="49">
        <f t="shared" si="502"/>
        <v>0</v>
      </c>
      <c r="CC168" s="49">
        <f t="shared" si="503"/>
        <v>-77.166299999999993</v>
      </c>
      <c r="CD168" s="49">
        <f t="shared" si="504"/>
        <v>0</v>
      </c>
      <c r="CE168" s="49">
        <f t="shared" si="505"/>
        <v>0</v>
      </c>
      <c r="CF168" s="49">
        <f t="shared" si="506"/>
        <v>-77.166299999999993</v>
      </c>
      <c r="CG168" s="49">
        <f t="shared" si="507"/>
        <v>0</v>
      </c>
      <c r="CH168" s="49">
        <f t="shared" si="508"/>
        <v>0</v>
      </c>
      <c r="CI168" s="49">
        <f t="shared" si="509"/>
        <v>-102.8884</v>
      </c>
      <c r="CJ168" s="49">
        <f t="shared" si="510"/>
        <v>0</v>
      </c>
      <c r="CK168" s="49">
        <f t="shared" si="511"/>
        <v>0</v>
      </c>
      <c r="CL168" s="49">
        <f t="shared" si="512"/>
        <v>-102.8884</v>
      </c>
      <c r="CM168" s="49">
        <f t="shared" si="513"/>
        <v>0</v>
      </c>
      <c r="CN168" s="49">
        <f t="shared" si="514"/>
        <v>0</v>
      </c>
      <c r="CO168" s="49">
        <f t="shared" si="515"/>
        <v>-1017.37336025</v>
      </c>
      <c r="CP168" s="49">
        <f t="shared" si="516"/>
        <v>0</v>
      </c>
      <c r="CQ168" s="49">
        <f t="shared" si="517"/>
        <v>0</v>
      </c>
      <c r="CR168" s="81">
        <f t="shared" si="518"/>
        <v>-1017.37336025</v>
      </c>
      <c r="CS168" s="80">
        <f t="shared" si="519"/>
        <v>-1554.8366397499999</v>
      </c>
      <c r="CT168" s="54"/>
      <c r="CU168" s="3" t="str">
        <f t="shared" si="520"/>
        <v>ARS</v>
      </c>
      <c r="CV168" s="3">
        <f>VLOOKUP(CU168,DF:DG,2,0)</f>
        <v>6.9185169999999997E-4</v>
      </c>
      <c r="CW168" s="23">
        <f t="shared" si="521"/>
        <v>-1.779587861257</v>
      </c>
      <c r="CX168" s="23">
        <f t="shared" si="522"/>
        <v>-7.4119834421354044E-2</v>
      </c>
      <c r="CY168" s="23">
        <f t="shared" si="523"/>
        <v>-0.26693817918855001</v>
      </c>
      <c r="CZ168" s="23">
        <f t="shared" si="524"/>
        <v>-0.23824232492578087</v>
      </c>
      <c r="DA168" s="23">
        <f t="shared" si="525"/>
        <v>-5.3387635837709994E-2</v>
      </c>
      <c r="DB168" s="23">
        <f t="shared" si="526"/>
        <v>-7.1183514450279997E-2</v>
      </c>
      <c r="DC168" s="23">
        <f t="shared" si="527"/>
        <v>-1.075716372433325</v>
      </c>
      <c r="DD168" s="34" t="e">
        <f>VLOOKUP(A168,'Billing Report'!H:I,2,FALSE)</f>
        <v>#N/A</v>
      </c>
      <c r="DE168" s="34"/>
      <c r="DF168" s="61"/>
      <c r="DG168" s="62"/>
      <c r="DH168"/>
      <c r="DI168" s="41"/>
      <c r="DJ168" s="41"/>
    </row>
    <row r="169" spans="1:114" ht="14.5" x14ac:dyDescent="0.35">
      <c r="A169" s="63">
        <v>40881724</v>
      </c>
      <c r="B169" s="3" t="s">
        <v>1057</v>
      </c>
      <c r="C169" s="3">
        <v>323893901</v>
      </c>
      <c r="D169" s="3" t="s">
        <v>93</v>
      </c>
      <c r="G169" s="38">
        <v>4002572.21</v>
      </c>
      <c r="J169" s="33">
        <f>VLOOKUP($B169,'IMS Commission List'!E:CE,79,0)/100</f>
        <v>0.15</v>
      </c>
      <c r="K169" s="79">
        <f t="shared" si="440"/>
        <v>4002572.21</v>
      </c>
      <c r="L169" s="3" t="str">
        <f>VLOOKUP($B169,'IMS Commission List'!E:V,18,0)</f>
        <v>ARS</v>
      </c>
      <c r="M169" s="3">
        <v>1</v>
      </c>
      <c r="N169" s="3" t="str">
        <f>VLOOKUP($B169,'IMS Commission List'!E:T,16,0)</f>
        <v>MX</v>
      </c>
      <c r="O169" s="54">
        <f>VLOOKUP($B169,'IMS Commission List'!E:CF,80,0)</f>
        <v>4.9000000000000002E-2</v>
      </c>
      <c r="P169" s="54">
        <f>VLOOKUP($B169,'IMS Commission List'!E:CG,81,0)</f>
        <v>0.1575</v>
      </c>
      <c r="Q169" s="54">
        <f>VLOOKUP($B169,'IMS Commission List'!E:CP,90,0)</f>
        <v>0.03</v>
      </c>
      <c r="R169" s="54">
        <f>VLOOKUP($B169,'IMS Commission List'!E:CQ,91,0)</f>
        <v>0.04</v>
      </c>
      <c r="S169" s="47">
        <f t="shared" si="441"/>
        <v>0</v>
      </c>
      <c r="T169" s="48">
        <f t="shared" si="442"/>
        <v>0</v>
      </c>
      <c r="U169" s="48">
        <f t="shared" si="443"/>
        <v>4002572.21</v>
      </c>
      <c r="V169" s="48">
        <f t="shared" si="444"/>
        <v>0</v>
      </c>
      <c r="W169" s="48">
        <f t="shared" si="445"/>
        <v>0</v>
      </c>
      <c r="X169" s="49">
        <f t="shared" si="446"/>
        <v>4002572.21</v>
      </c>
      <c r="Y169" s="49">
        <f t="shared" si="447"/>
        <v>0</v>
      </c>
      <c r="Z169" s="49">
        <f t="shared" si="448"/>
        <v>0</v>
      </c>
      <c r="AA169" s="49">
        <f t="shared" si="449"/>
        <v>166707.13254649998</v>
      </c>
      <c r="AB169" s="49">
        <f t="shared" si="450"/>
        <v>0</v>
      </c>
      <c r="AC169" s="49">
        <f t="shared" si="451"/>
        <v>0</v>
      </c>
      <c r="AD169" s="49">
        <f t="shared" si="452"/>
        <v>166707.13254649998</v>
      </c>
      <c r="AE169" s="49">
        <f t="shared" si="453"/>
        <v>0</v>
      </c>
      <c r="AF169" s="49">
        <f t="shared" si="454"/>
        <v>0</v>
      </c>
      <c r="AG169" s="49">
        <f t="shared" si="455"/>
        <v>600385.83149999997</v>
      </c>
      <c r="AH169" s="49">
        <f t="shared" si="456"/>
        <v>0</v>
      </c>
      <c r="AI169" s="49">
        <f t="shared" si="457"/>
        <v>0</v>
      </c>
      <c r="AJ169" s="49">
        <f t="shared" si="458"/>
        <v>600385.83149999997</v>
      </c>
      <c r="AK169" s="49">
        <f t="shared" si="459"/>
        <v>0</v>
      </c>
      <c r="AL169" s="49">
        <f t="shared" si="460"/>
        <v>0</v>
      </c>
      <c r="AM169" s="49">
        <f t="shared" si="461"/>
        <v>535844.35461375001</v>
      </c>
      <c r="AN169" s="49">
        <f t="shared" si="462"/>
        <v>0</v>
      </c>
      <c r="AO169" s="49">
        <f t="shared" si="463"/>
        <v>0</v>
      </c>
      <c r="AP169" s="49">
        <f t="shared" si="464"/>
        <v>535844.35461375001</v>
      </c>
      <c r="AQ169" s="49">
        <f t="shared" si="465"/>
        <v>0</v>
      </c>
      <c r="AR169" s="49">
        <f t="shared" si="466"/>
        <v>0</v>
      </c>
      <c r="AS169" s="49">
        <f t="shared" si="467"/>
        <v>120077.1663</v>
      </c>
      <c r="AT169" s="49">
        <f t="shared" si="468"/>
        <v>0</v>
      </c>
      <c r="AU169" s="49">
        <f t="shared" si="469"/>
        <v>0</v>
      </c>
      <c r="AV169" s="49">
        <f t="shared" si="470"/>
        <v>120077.1663</v>
      </c>
      <c r="AW169" s="49">
        <f t="shared" si="471"/>
        <v>0</v>
      </c>
      <c r="AX169" s="49">
        <f t="shared" si="472"/>
        <v>0</v>
      </c>
      <c r="AY169" s="49">
        <f t="shared" si="473"/>
        <v>160102.8884</v>
      </c>
      <c r="AZ169" s="49">
        <f t="shared" si="474"/>
        <v>0</v>
      </c>
      <c r="BA169" s="49">
        <f t="shared" si="475"/>
        <v>0</v>
      </c>
      <c r="BB169" s="49">
        <f t="shared" si="476"/>
        <v>160102.8884</v>
      </c>
      <c r="BC169" s="49">
        <f t="shared" si="477"/>
        <v>0</v>
      </c>
      <c r="BD169" s="49">
        <f t="shared" si="478"/>
        <v>0</v>
      </c>
      <c r="BE169" s="49">
        <f t="shared" si="479"/>
        <v>1583117.3733602499</v>
      </c>
      <c r="BF169" s="49">
        <f t="shared" si="480"/>
        <v>0</v>
      </c>
      <c r="BG169" s="49">
        <f t="shared" si="481"/>
        <v>0</v>
      </c>
      <c r="BH169" s="49">
        <f t="shared" si="482"/>
        <v>1583117.3733602499</v>
      </c>
      <c r="BI169" s="49">
        <f t="shared" si="483"/>
        <v>0</v>
      </c>
      <c r="BJ169" s="49">
        <f t="shared" si="484"/>
        <v>0</v>
      </c>
      <c r="BK169" s="49">
        <f t="shared" si="485"/>
        <v>166707.13254649998</v>
      </c>
      <c r="BL169" s="49">
        <f t="shared" si="486"/>
        <v>0</v>
      </c>
      <c r="BM169" s="49">
        <f t="shared" si="487"/>
        <v>0</v>
      </c>
      <c r="BN169" s="49">
        <f t="shared" si="488"/>
        <v>166707.13254649998</v>
      </c>
      <c r="BO169" s="49">
        <f t="shared" si="489"/>
        <v>0</v>
      </c>
      <c r="BP169" s="49">
        <f t="shared" si="490"/>
        <v>0</v>
      </c>
      <c r="BQ169" s="49">
        <f t="shared" si="491"/>
        <v>600385.83149999997</v>
      </c>
      <c r="BR169" s="49">
        <f t="shared" si="492"/>
        <v>0</v>
      </c>
      <c r="BS169" s="49">
        <f t="shared" si="493"/>
        <v>0</v>
      </c>
      <c r="BT169" s="49">
        <f t="shared" si="494"/>
        <v>600385.83149999997</v>
      </c>
      <c r="BU169" s="49">
        <f t="shared" si="495"/>
        <v>0</v>
      </c>
      <c r="BV169" s="49">
        <f t="shared" si="496"/>
        <v>0</v>
      </c>
      <c r="BW169" s="49">
        <f t="shared" si="497"/>
        <v>535844.35461375001</v>
      </c>
      <c r="BX169" s="49">
        <f t="shared" si="498"/>
        <v>0</v>
      </c>
      <c r="BY169" s="49">
        <f t="shared" si="499"/>
        <v>0</v>
      </c>
      <c r="BZ169" s="49">
        <f t="shared" si="500"/>
        <v>535844.35461375001</v>
      </c>
      <c r="CA169" s="49">
        <f t="shared" si="501"/>
        <v>0</v>
      </c>
      <c r="CB169" s="49">
        <f t="shared" si="502"/>
        <v>0</v>
      </c>
      <c r="CC169" s="49">
        <f t="shared" si="503"/>
        <v>120077.1663</v>
      </c>
      <c r="CD169" s="49">
        <f t="shared" si="504"/>
        <v>0</v>
      </c>
      <c r="CE169" s="49">
        <f t="shared" si="505"/>
        <v>0</v>
      </c>
      <c r="CF169" s="49">
        <f t="shared" si="506"/>
        <v>120077.1663</v>
      </c>
      <c r="CG169" s="49">
        <f t="shared" si="507"/>
        <v>0</v>
      </c>
      <c r="CH169" s="49">
        <f t="shared" si="508"/>
        <v>0</v>
      </c>
      <c r="CI169" s="49">
        <f t="shared" si="509"/>
        <v>160102.8884</v>
      </c>
      <c r="CJ169" s="49">
        <f t="shared" si="510"/>
        <v>0</v>
      </c>
      <c r="CK169" s="49">
        <f t="shared" si="511"/>
        <v>0</v>
      </c>
      <c r="CL169" s="49">
        <f t="shared" si="512"/>
        <v>160102.8884</v>
      </c>
      <c r="CM169" s="49">
        <f t="shared" si="513"/>
        <v>0</v>
      </c>
      <c r="CN169" s="49">
        <f t="shared" si="514"/>
        <v>0</v>
      </c>
      <c r="CO169" s="49">
        <f t="shared" si="515"/>
        <v>1583117.3733602499</v>
      </c>
      <c r="CP169" s="49">
        <f t="shared" si="516"/>
        <v>0</v>
      </c>
      <c r="CQ169" s="49">
        <f t="shared" si="517"/>
        <v>0</v>
      </c>
      <c r="CR169" s="81">
        <f t="shared" si="518"/>
        <v>1583117.3733602499</v>
      </c>
      <c r="CS169" s="80">
        <f t="shared" si="519"/>
        <v>2419454.8366397498</v>
      </c>
      <c r="CT169" s="54"/>
      <c r="CU169" s="3" t="str">
        <f t="shared" si="520"/>
        <v>ARS</v>
      </c>
      <c r="CV169" s="3">
        <f>VLOOKUP(CU169,DF:DG,2,0)</f>
        <v>6.9185169999999997E-4</v>
      </c>
      <c r="CW169" s="23">
        <f t="shared" si="521"/>
        <v>2769.1863878612567</v>
      </c>
      <c r="CX169" s="23">
        <f t="shared" si="522"/>
        <v>115.33661305442133</v>
      </c>
      <c r="CY169" s="23">
        <f t="shared" si="523"/>
        <v>415.37795817918851</v>
      </c>
      <c r="CZ169" s="23">
        <f t="shared" si="524"/>
        <v>370.72482767492579</v>
      </c>
      <c r="DA169" s="23">
        <f t="shared" si="525"/>
        <v>83.075591635837711</v>
      </c>
      <c r="DB169" s="23">
        <f t="shared" si="526"/>
        <v>110.76745551445028</v>
      </c>
      <c r="DC169" s="23">
        <f t="shared" si="527"/>
        <v>1673.9039418024331</v>
      </c>
      <c r="DD169" s="34" t="str">
        <f>VLOOKUP(A169,'Billing Report'!H:I,2,FALSE)</f>
        <v>ccu_heineken_credenciales 2026_reach_suspect_febrero_2026_twitter_op-_</v>
      </c>
      <c r="DE169" s="34"/>
      <c r="DF169" s="61"/>
      <c r="DG169" s="62"/>
      <c r="DH169"/>
      <c r="DI169" s="41"/>
      <c r="DJ169" s="41"/>
    </row>
    <row r="170" spans="1:114" ht="14.5" x14ac:dyDescent="0.35">
      <c r="A170" s="63">
        <v>40921631</v>
      </c>
      <c r="B170" s="3" t="s">
        <v>1060</v>
      </c>
      <c r="C170" s="3">
        <v>324252501</v>
      </c>
      <c r="D170" s="3" t="s">
        <v>93</v>
      </c>
      <c r="G170" s="38">
        <v>997649.16</v>
      </c>
      <c r="J170" s="33">
        <f>VLOOKUP($B170,'IMS Commission List'!E:CE,79,0)/100</f>
        <v>0.15</v>
      </c>
      <c r="K170" s="79">
        <f t="shared" si="440"/>
        <v>997649.16</v>
      </c>
      <c r="L170" s="3" t="str">
        <f>VLOOKUP($B170,'IMS Commission List'!E:V,18,0)</f>
        <v>ARS</v>
      </c>
      <c r="M170" s="3">
        <v>1</v>
      </c>
      <c r="N170" s="3" t="str">
        <f>VLOOKUP($B170,'IMS Commission List'!E:T,16,0)</f>
        <v>MX</v>
      </c>
      <c r="O170" s="54">
        <f>VLOOKUP($B170,'IMS Commission List'!E:CF,80,0)</f>
        <v>0</v>
      </c>
      <c r="P170" s="54">
        <f>VLOOKUP($B170,'IMS Commission List'!E:CG,81,0)</f>
        <v>0</v>
      </c>
      <c r="Q170" s="54">
        <f>VLOOKUP($B170,'IMS Commission List'!E:CP,90,0)</f>
        <v>0.03</v>
      </c>
      <c r="R170" s="54">
        <f>VLOOKUP($B170,'IMS Commission List'!E:CQ,91,0)</f>
        <v>0.04</v>
      </c>
      <c r="S170" s="47">
        <f t="shared" si="441"/>
        <v>0</v>
      </c>
      <c r="T170" s="48">
        <f t="shared" si="442"/>
        <v>0</v>
      </c>
      <c r="U170" s="48">
        <f t="shared" si="443"/>
        <v>997649.16</v>
      </c>
      <c r="V170" s="48">
        <f t="shared" si="444"/>
        <v>0</v>
      </c>
      <c r="W170" s="48">
        <f t="shared" si="445"/>
        <v>0</v>
      </c>
      <c r="X170" s="49">
        <f t="shared" si="446"/>
        <v>997649.16</v>
      </c>
      <c r="Y170" s="49">
        <f t="shared" si="447"/>
        <v>0</v>
      </c>
      <c r="Z170" s="49">
        <f t="shared" si="448"/>
        <v>0</v>
      </c>
      <c r="AA170" s="49">
        <f t="shared" si="449"/>
        <v>0</v>
      </c>
      <c r="AB170" s="49">
        <f t="shared" si="450"/>
        <v>0</v>
      </c>
      <c r="AC170" s="49">
        <f t="shared" si="451"/>
        <v>0</v>
      </c>
      <c r="AD170" s="49">
        <f t="shared" si="452"/>
        <v>0</v>
      </c>
      <c r="AE170" s="49">
        <f t="shared" si="453"/>
        <v>0</v>
      </c>
      <c r="AF170" s="49">
        <f t="shared" si="454"/>
        <v>0</v>
      </c>
      <c r="AG170" s="49">
        <f t="shared" si="455"/>
        <v>149647.37400000001</v>
      </c>
      <c r="AH170" s="49">
        <f t="shared" si="456"/>
        <v>0</v>
      </c>
      <c r="AI170" s="49">
        <f t="shared" si="457"/>
        <v>0</v>
      </c>
      <c r="AJ170" s="49">
        <f t="shared" si="458"/>
        <v>149647.37400000001</v>
      </c>
      <c r="AK170" s="49">
        <f t="shared" si="459"/>
        <v>0</v>
      </c>
      <c r="AL170" s="49">
        <f t="shared" si="460"/>
        <v>0</v>
      </c>
      <c r="AM170" s="49">
        <f t="shared" si="461"/>
        <v>0</v>
      </c>
      <c r="AN170" s="49">
        <f t="shared" si="462"/>
        <v>0</v>
      </c>
      <c r="AO170" s="49">
        <f t="shared" si="463"/>
        <v>0</v>
      </c>
      <c r="AP170" s="49">
        <f t="shared" si="464"/>
        <v>0</v>
      </c>
      <c r="AQ170" s="49">
        <f t="shared" si="465"/>
        <v>0</v>
      </c>
      <c r="AR170" s="49">
        <f t="shared" si="466"/>
        <v>0</v>
      </c>
      <c r="AS170" s="49">
        <f t="shared" si="467"/>
        <v>29929.4748</v>
      </c>
      <c r="AT170" s="49">
        <f t="shared" si="468"/>
        <v>0</v>
      </c>
      <c r="AU170" s="49">
        <f t="shared" si="469"/>
        <v>0</v>
      </c>
      <c r="AV170" s="49">
        <f t="shared" si="470"/>
        <v>29929.4748</v>
      </c>
      <c r="AW170" s="49">
        <f t="shared" si="471"/>
        <v>0</v>
      </c>
      <c r="AX170" s="49">
        <f t="shared" si="472"/>
        <v>0</v>
      </c>
      <c r="AY170" s="49">
        <f t="shared" si="473"/>
        <v>39905.966400000005</v>
      </c>
      <c r="AZ170" s="49">
        <f t="shared" si="474"/>
        <v>0</v>
      </c>
      <c r="BA170" s="49">
        <f t="shared" si="475"/>
        <v>0</v>
      </c>
      <c r="BB170" s="49">
        <f t="shared" si="476"/>
        <v>39905.966400000005</v>
      </c>
      <c r="BC170" s="49">
        <f t="shared" si="477"/>
        <v>0</v>
      </c>
      <c r="BD170" s="49">
        <f t="shared" si="478"/>
        <v>0</v>
      </c>
      <c r="BE170" s="49">
        <f t="shared" si="479"/>
        <v>219482.81520000001</v>
      </c>
      <c r="BF170" s="49">
        <f t="shared" si="480"/>
        <v>0</v>
      </c>
      <c r="BG170" s="49">
        <f t="shared" si="481"/>
        <v>0</v>
      </c>
      <c r="BH170" s="49">
        <f t="shared" si="482"/>
        <v>219482.81520000001</v>
      </c>
      <c r="BI170" s="49">
        <f t="shared" si="483"/>
        <v>0</v>
      </c>
      <c r="BJ170" s="49">
        <f t="shared" si="484"/>
        <v>0</v>
      </c>
      <c r="BK170" s="49">
        <f t="shared" si="485"/>
        <v>0</v>
      </c>
      <c r="BL170" s="49">
        <f t="shared" si="486"/>
        <v>0</v>
      </c>
      <c r="BM170" s="49">
        <f t="shared" si="487"/>
        <v>0</v>
      </c>
      <c r="BN170" s="49">
        <f t="shared" si="488"/>
        <v>0</v>
      </c>
      <c r="BO170" s="49">
        <f t="shared" si="489"/>
        <v>0</v>
      </c>
      <c r="BP170" s="49">
        <f t="shared" si="490"/>
        <v>0</v>
      </c>
      <c r="BQ170" s="49">
        <f t="shared" si="491"/>
        <v>149647.37400000001</v>
      </c>
      <c r="BR170" s="49">
        <f t="shared" si="492"/>
        <v>0</v>
      </c>
      <c r="BS170" s="49">
        <f t="shared" si="493"/>
        <v>0</v>
      </c>
      <c r="BT170" s="49">
        <f t="shared" si="494"/>
        <v>149647.37400000001</v>
      </c>
      <c r="BU170" s="49">
        <f t="shared" si="495"/>
        <v>0</v>
      </c>
      <c r="BV170" s="49">
        <f t="shared" si="496"/>
        <v>0</v>
      </c>
      <c r="BW170" s="49">
        <f t="shared" si="497"/>
        <v>0</v>
      </c>
      <c r="BX170" s="49">
        <f t="shared" si="498"/>
        <v>0</v>
      </c>
      <c r="BY170" s="49">
        <f t="shared" si="499"/>
        <v>0</v>
      </c>
      <c r="BZ170" s="49">
        <f t="shared" si="500"/>
        <v>0</v>
      </c>
      <c r="CA170" s="49">
        <f t="shared" si="501"/>
        <v>0</v>
      </c>
      <c r="CB170" s="49">
        <f t="shared" si="502"/>
        <v>0</v>
      </c>
      <c r="CC170" s="49">
        <f t="shared" si="503"/>
        <v>29929.4748</v>
      </c>
      <c r="CD170" s="49">
        <f t="shared" si="504"/>
        <v>0</v>
      </c>
      <c r="CE170" s="49">
        <f t="shared" si="505"/>
        <v>0</v>
      </c>
      <c r="CF170" s="49">
        <f t="shared" si="506"/>
        <v>29929.4748</v>
      </c>
      <c r="CG170" s="49">
        <f t="shared" si="507"/>
        <v>0</v>
      </c>
      <c r="CH170" s="49">
        <f t="shared" si="508"/>
        <v>0</v>
      </c>
      <c r="CI170" s="49">
        <f t="shared" si="509"/>
        <v>39905.966400000005</v>
      </c>
      <c r="CJ170" s="49">
        <f t="shared" si="510"/>
        <v>0</v>
      </c>
      <c r="CK170" s="49">
        <f t="shared" si="511"/>
        <v>0</v>
      </c>
      <c r="CL170" s="49">
        <f t="shared" si="512"/>
        <v>39905.966400000005</v>
      </c>
      <c r="CM170" s="49">
        <f t="shared" si="513"/>
        <v>0</v>
      </c>
      <c r="CN170" s="49">
        <f t="shared" si="514"/>
        <v>0</v>
      </c>
      <c r="CO170" s="49">
        <f t="shared" si="515"/>
        <v>219482.81520000001</v>
      </c>
      <c r="CP170" s="49">
        <f t="shared" si="516"/>
        <v>0</v>
      </c>
      <c r="CQ170" s="49">
        <f t="shared" si="517"/>
        <v>0</v>
      </c>
      <c r="CR170" s="81">
        <f t="shared" si="518"/>
        <v>219482.81520000001</v>
      </c>
      <c r="CS170" s="80">
        <f t="shared" si="519"/>
        <v>778166.34480000008</v>
      </c>
      <c r="CT170" s="54"/>
      <c r="CU170" s="3" t="str">
        <f t="shared" si="520"/>
        <v>ARS</v>
      </c>
      <c r="CV170" s="3">
        <f>VLOOKUP(CU170,DF:DG,2,0)</f>
        <v>6.9185169999999997E-4</v>
      </c>
      <c r="CW170" s="23">
        <f t="shared" si="521"/>
        <v>690.22526734957194</v>
      </c>
      <c r="CX170" s="23">
        <f t="shared" si="522"/>
        <v>0</v>
      </c>
      <c r="CY170" s="23">
        <f t="shared" si="523"/>
        <v>103.5337901024358</v>
      </c>
      <c r="CZ170" s="23">
        <f t="shared" si="524"/>
        <v>0</v>
      </c>
      <c r="DA170" s="23">
        <f t="shared" si="525"/>
        <v>20.706758020487158</v>
      </c>
      <c r="DB170" s="23">
        <f t="shared" si="526"/>
        <v>27.609010693982881</v>
      </c>
      <c r="DC170" s="23">
        <f t="shared" si="527"/>
        <v>538.37570853266618</v>
      </c>
      <c r="DD170" s="34" t="str">
        <f>VLOOKUP(A170,'Billing Report'!H:I,2,FALSE)</f>
        <v>FW_CONT_LLQLL_EXBRD_BRD_NAC_REACH_X</v>
      </c>
      <c r="DE170" s="34"/>
      <c r="DF170" s="61"/>
      <c r="DG170" s="62"/>
      <c r="DH170"/>
      <c r="DI170" s="41"/>
      <c r="DJ170" s="41"/>
    </row>
    <row r="171" spans="1:114" ht="14.5" x14ac:dyDescent="0.35">
      <c r="A171" s="63">
        <v>40899682</v>
      </c>
      <c r="B171" s="3" t="s">
        <v>1064</v>
      </c>
      <c r="C171" s="3">
        <v>324257301</v>
      </c>
      <c r="D171" s="3" t="s">
        <v>93</v>
      </c>
      <c r="G171" s="38">
        <v>7445541.0300000003</v>
      </c>
      <c r="J171" s="33">
        <f>VLOOKUP($B171,'IMS Commission List'!E:CE,79,0)/100</f>
        <v>0.15</v>
      </c>
      <c r="K171" s="79">
        <f t="shared" si="440"/>
        <v>7445541.0300000003</v>
      </c>
      <c r="L171" s="3" t="str">
        <f>VLOOKUP($B171,'IMS Commission List'!E:V,18,0)</f>
        <v>ARS</v>
      </c>
      <c r="M171" s="3">
        <v>1</v>
      </c>
      <c r="N171" s="3" t="str">
        <f>VLOOKUP($B171,'IMS Commission List'!E:T,16,0)</f>
        <v>MX</v>
      </c>
      <c r="O171" s="54">
        <f>VLOOKUP($B171,'IMS Commission List'!E:CF,80,0)</f>
        <v>0</v>
      </c>
      <c r="P171" s="54">
        <f>VLOOKUP($B171,'IMS Commission List'!E:CG,81,0)</f>
        <v>0</v>
      </c>
      <c r="Q171" s="54">
        <f>VLOOKUP($B171,'IMS Commission List'!E:CP,90,0)</f>
        <v>0.03</v>
      </c>
      <c r="R171" s="54">
        <f>VLOOKUP($B171,'IMS Commission List'!E:CQ,91,0)</f>
        <v>0.04</v>
      </c>
      <c r="S171" s="47">
        <f t="shared" si="441"/>
        <v>0</v>
      </c>
      <c r="T171" s="48">
        <f t="shared" si="442"/>
        <v>0</v>
      </c>
      <c r="U171" s="48">
        <f t="shared" si="443"/>
        <v>7445541.0300000003</v>
      </c>
      <c r="V171" s="48">
        <f t="shared" si="444"/>
        <v>0</v>
      </c>
      <c r="W171" s="48">
        <f t="shared" si="445"/>
        <v>0</v>
      </c>
      <c r="X171" s="49">
        <f t="shared" si="446"/>
        <v>7445541.0300000003</v>
      </c>
      <c r="Y171" s="49">
        <f t="shared" si="447"/>
        <v>0</v>
      </c>
      <c r="Z171" s="49">
        <f t="shared" si="448"/>
        <v>0</v>
      </c>
      <c r="AA171" s="49">
        <f t="shared" si="449"/>
        <v>0</v>
      </c>
      <c r="AB171" s="49">
        <f t="shared" si="450"/>
        <v>0</v>
      </c>
      <c r="AC171" s="49">
        <f t="shared" si="451"/>
        <v>0</v>
      </c>
      <c r="AD171" s="49">
        <f t="shared" si="452"/>
        <v>0</v>
      </c>
      <c r="AE171" s="49">
        <f t="shared" si="453"/>
        <v>0</v>
      </c>
      <c r="AF171" s="49">
        <f t="shared" si="454"/>
        <v>0</v>
      </c>
      <c r="AG171" s="49">
        <f t="shared" si="455"/>
        <v>1116831.1544999999</v>
      </c>
      <c r="AH171" s="49">
        <f t="shared" si="456"/>
        <v>0</v>
      </c>
      <c r="AI171" s="49">
        <f t="shared" si="457"/>
        <v>0</v>
      </c>
      <c r="AJ171" s="49">
        <f t="shared" si="458"/>
        <v>1116831.1544999999</v>
      </c>
      <c r="AK171" s="49">
        <f t="shared" si="459"/>
        <v>0</v>
      </c>
      <c r="AL171" s="49">
        <f t="shared" si="460"/>
        <v>0</v>
      </c>
      <c r="AM171" s="49">
        <f t="shared" si="461"/>
        <v>0</v>
      </c>
      <c r="AN171" s="49">
        <f t="shared" si="462"/>
        <v>0</v>
      </c>
      <c r="AO171" s="49">
        <f t="shared" si="463"/>
        <v>0</v>
      </c>
      <c r="AP171" s="49">
        <f t="shared" si="464"/>
        <v>0</v>
      </c>
      <c r="AQ171" s="49">
        <f t="shared" si="465"/>
        <v>0</v>
      </c>
      <c r="AR171" s="49">
        <f t="shared" si="466"/>
        <v>0</v>
      </c>
      <c r="AS171" s="49">
        <f t="shared" si="467"/>
        <v>223366.2309</v>
      </c>
      <c r="AT171" s="49">
        <f t="shared" si="468"/>
        <v>0</v>
      </c>
      <c r="AU171" s="49">
        <f t="shared" si="469"/>
        <v>0</v>
      </c>
      <c r="AV171" s="49">
        <f t="shared" si="470"/>
        <v>223366.2309</v>
      </c>
      <c r="AW171" s="49">
        <f t="shared" si="471"/>
        <v>0</v>
      </c>
      <c r="AX171" s="49">
        <f t="shared" si="472"/>
        <v>0</v>
      </c>
      <c r="AY171" s="49">
        <f t="shared" si="473"/>
        <v>297821.64120000001</v>
      </c>
      <c r="AZ171" s="49">
        <f t="shared" si="474"/>
        <v>0</v>
      </c>
      <c r="BA171" s="49">
        <f t="shared" si="475"/>
        <v>0</v>
      </c>
      <c r="BB171" s="49">
        <f t="shared" si="476"/>
        <v>297821.64120000001</v>
      </c>
      <c r="BC171" s="49">
        <f t="shared" si="477"/>
        <v>0</v>
      </c>
      <c r="BD171" s="49">
        <f t="shared" si="478"/>
        <v>0</v>
      </c>
      <c r="BE171" s="49">
        <f t="shared" si="479"/>
        <v>1638019.0266</v>
      </c>
      <c r="BF171" s="49">
        <f t="shared" si="480"/>
        <v>0</v>
      </c>
      <c r="BG171" s="49">
        <f t="shared" si="481"/>
        <v>0</v>
      </c>
      <c r="BH171" s="49">
        <f t="shared" si="482"/>
        <v>1638019.0266</v>
      </c>
      <c r="BI171" s="49">
        <f t="shared" si="483"/>
        <v>0</v>
      </c>
      <c r="BJ171" s="49">
        <f t="shared" si="484"/>
        <v>0</v>
      </c>
      <c r="BK171" s="49">
        <f t="shared" si="485"/>
        <v>0</v>
      </c>
      <c r="BL171" s="49">
        <f t="shared" si="486"/>
        <v>0</v>
      </c>
      <c r="BM171" s="49">
        <f t="shared" si="487"/>
        <v>0</v>
      </c>
      <c r="BN171" s="49">
        <f t="shared" si="488"/>
        <v>0</v>
      </c>
      <c r="BO171" s="49">
        <f t="shared" si="489"/>
        <v>0</v>
      </c>
      <c r="BP171" s="49">
        <f t="shared" si="490"/>
        <v>0</v>
      </c>
      <c r="BQ171" s="49">
        <f t="shared" si="491"/>
        <v>1116831.1544999999</v>
      </c>
      <c r="BR171" s="49">
        <f t="shared" si="492"/>
        <v>0</v>
      </c>
      <c r="BS171" s="49">
        <f t="shared" si="493"/>
        <v>0</v>
      </c>
      <c r="BT171" s="49">
        <f t="shared" si="494"/>
        <v>1116831.1544999999</v>
      </c>
      <c r="BU171" s="49">
        <f t="shared" si="495"/>
        <v>0</v>
      </c>
      <c r="BV171" s="49">
        <f t="shared" si="496"/>
        <v>0</v>
      </c>
      <c r="BW171" s="49">
        <f t="shared" si="497"/>
        <v>0</v>
      </c>
      <c r="BX171" s="49">
        <f t="shared" si="498"/>
        <v>0</v>
      </c>
      <c r="BY171" s="49">
        <f t="shared" si="499"/>
        <v>0</v>
      </c>
      <c r="BZ171" s="49">
        <f t="shared" si="500"/>
        <v>0</v>
      </c>
      <c r="CA171" s="49">
        <f t="shared" si="501"/>
        <v>0</v>
      </c>
      <c r="CB171" s="49">
        <f t="shared" si="502"/>
        <v>0</v>
      </c>
      <c r="CC171" s="49">
        <f t="shared" si="503"/>
        <v>223366.2309</v>
      </c>
      <c r="CD171" s="49">
        <f t="shared" si="504"/>
        <v>0</v>
      </c>
      <c r="CE171" s="49">
        <f t="shared" si="505"/>
        <v>0</v>
      </c>
      <c r="CF171" s="49">
        <f t="shared" si="506"/>
        <v>223366.2309</v>
      </c>
      <c r="CG171" s="49">
        <f t="shared" si="507"/>
        <v>0</v>
      </c>
      <c r="CH171" s="49">
        <f t="shared" si="508"/>
        <v>0</v>
      </c>
      <c r="CI171" s="49">
        <f t="shared" si="509"/>
        <v>297821.64120000001</v>
      </c>
      <c r="CJ171" s="49">
        <f t="shared" si="510"/>
        <v>0</v>
      </c>
      <c r="CK171" s="49">
        <f t="shared" si="511"/>
        <v>0</v>
      </c>
      <c r="CL171" s="49">
        <f t="shared" si="512"/>
        <v>297821.64120000001</v>
      </c>
      <c r="CM171" s="49">
        <f t="shared" si="513"/>
        <v>0</v>
      </c>
      <c r="CN171" s="49">
        <f t="shared" si="514"/>
        <v>0</v>
      </c>
      <c r="CO171" s="49">
        <f t="shared" si="515"/>
        <v>1638019.0266</v>
      </c>
      <c r="CP171" s="49">
        <f t="shared" si="516"/>
        <v>0</v>
      </c>
      <c r="CQ171" s="49">
        <f t="shared" si="517"/>
        <v>0</v>
      </c>
      <c r="CR171" s="81">
        <f t="shared" si="518"/>
        <v>1638019.0266</v>
      </c>
      <c r="CS171" s="80">
        <f t="shared" si="519"/>
        <v>5807522.0033999998</v>
      </c>
      <c r="CT171" s="54"/>
      <c r="CU171" s="3" t="str">
        <f t="shared" si="520"/>
        <v>ARS</v>
      </c>
      <c r="CV171" s="3">
        <f>VLOOKUP(CU171,DF:DG,2,0)</f>
        <v>6.9185169999999997E-4</v>
      </c>
      <c r="CW171" s="23">
        <f t="shared" si="521"/>
        <v>5151.2102190252508</v>
      </c>
      <c r="CX171" s="23">
        <f t="shared" si="522"/>
        <v>0</v>
      </c>
      <c r="CY171" s="23">
        <f t="shared" si="523"/>
        <v>772.68153285378753</v>
      </c>
      <c r="CZ171" s="23">
        <f t="shared" si="524"/>
        <v>0</v>
      </c>
      <c r="DA171" s="23">
        <f t="shared" si="525"/>
        <v>154.53630657075752</v>
      </c>
      <c r="DB171" s="23">
        <f t="shared" si="526"/>
        <v>206.04840876101005</v>
      </c>
      <c r="DC171" s="23">
        <f t="shared" si="527"/>
        <v>4017.9439708396953</v>
      </c>
      <c r="DD171" s="34" t="str">
        <f>VLOOKUP(A171,'Billing Report'!H:I,2,FALSE)</f>
        <v>Campaña Messi   Trafico - Febrero</v>
      </c>
      <c r="DE171" s="34"/>
      <c r="DF171" s="61"/>
      <c r="DG171" s="62"/>
      <c r="DH171"/>
      <c r="DI171" s="41"/>
      <c r="DJ171" s="41"/>
    </row>
    <row r="172" spans="1:114" ht="14.5" x14ac:dyDescent="0.35">
      <c r="A172" s="63">
        <v>40920286</v>
      </c>
      <c r="B172" s="3" t="s">
        <v>1070</v>
      </c>
      <c r="C172" s="3">
        <v>324261501</v>
      </c>
      <c r="D172" s="3" t="s">
        <v>93</v>
      </c>
      <c r="G172" s="38">
        <v>370590.42</v>
      </c>
      <c r="J172" s="33">
        <f>VLOOKUP($B172,'IMS Commission List'!E:CE,79,0)/100</f>
        <v>0.15</v>
      </c>
      <c r="K172" s="79">
        <f t="shared" si="440"/>
        <v>370590.42</v>
      </c>
      <c r="L172" s="3" t="str">
        <f>VLOOKUP($B172,'IMS Commission List'!E:V,18,0)</f>
        <v>ARS</v>
      </c>
      <c r="M172" s="3">
        <v>1</v>
      </c>
      <c r="N172" s="3" t="str">
        <f>VLOOKUP($B172,'IMS Commission List'!E:T,16,0)</f>
        <v>MX</v>
      </c>
      <c r="O172" s="54">
        <f>VLOOKUP($B172,'IMS Commission List'!E:CF,80,0)</f>
        <v>0</v>
      </c>
      <c r="P172" s="54">
        <f>VLOOKUP($B172,'IMS Commission List'!E:CG,81,0)</f>
        <v>0</v>
      </c>
      <c r="Q172" s="54">
        <f>VLOOKUP($B172,'IMS Commission List'!E:CP,90,0)</f>
        <v>0.03</v>
      </c>
      <c r="R172" s="54">
        <f>VLOOKUP($B172,'IMS Commission List'!E:CQ,91,0)</f>
        <v>0.04</v>
      </c>
      <c r="S172" s="47">
        <f t="shared" si="441"/>
        <v>0</v>
      </c>
      <c r="T172" s="48">
        <f t="shared" si="442"/>
        <v>0</v>
      </c>
      <c r="U172" s="48">
        <f t="shared" si="443"/>
        <v>370590.42</v>
      </c>
      <c r="V172" s="48">
        <f t="shared" si="444"/>
        <v>0</v>
      </c>
      <c r="W172" s="48">
        <f t="shared" si="445"/>
        <v>0</v>
      </c>
      <c r="X172" s="49">
        <f t="shared" si="446"/>
        <v>370590.42</v>
      </c>
      <c r="Y172" s="49">
        <f t="shared" si="447"/>
        <v>0</v>
      </c>
      <c r="Z172" s="49">
        <f t="shared" si="448"/>
        <v>0</v>
      </c>
      <c r="AA172" s="49">
        <f t="shared" si="449"/>
        <v>0</v>
      </c>
      <c r="AB172" s="49">
        <f t="shared" si="450"/>
        <v>0</v>
      </c>
      <c r="AC172" s="49">
        <f t="shared" si="451"/>
        <v>0</v>
      </c>
      <c r="AD172" s="49">
        <f t="shared" si="452"/>
        <v>0</v>
      </c>
      <c r="AE172" s="49">
        <f t="shared" si="453"/>
        <v>0</v>
      </c>
      <c r="AF172" s="49">
        <f t="shared" si="454"/>
        <v>0</v>
      </c>
      <c r="AG172" s="49">
        <f t="shared" si="455"/>
        <v>55588.562999999995</v>
      </c>
      <c r="AH172" s="49">
        <f t="shared" si="456"/>
        <v>0</v>
      </c>
      <c r="AI172" s="49">
        <f t="shared" si="457"/>
        <v>0</v>
      </c>
      <c r="AJ172" s="49">
        <f t="shared" si="458"/>
        <v>55588.562999999995</v>
      </c>
      <c r="AK172" s="49">
        <f t="shared" si="459"/>
        <v>0</v>
      </c>
      <c r="AL172" s="49">
        <f t="shared" si="460"/>
        <v>0</v>
      </c>
      <c r="AM172" s="49">
        <f t="shared" si="461"/>
        <v>0</v>
      </c>
      <c r="AN172" s="49">
        <f t="shared" si="462"/>
        <v>0</v>
      </c>
      <c r="AO172" s="49">
        <f t="shared" si="463"/>
        <v>0</v>
      </c>
      <c r="AP172" s="49">
        <f t="shared" si="464"/>
        <v>0</v>
      </c>
      <c r="AQ172" s="49">
        <f t="shared" si="465"/>
        <v>0</v>
      </c>
      <c r="AR172" s="49">
        <f t="shared" si="466"/>
        <v>0</v>
      </c>
      <c r="AS172" s="49">
        <f t="shared" si="467"/>
        <v>11117.712599999999</v>
      </c>
      <c r="AT172" s="49">
        <f t="shared" si="468"/>
        <v>0</v>
      </c>
      <c r="AU172" s="49">
        <f t="shared" si="469"/>
        <v>0</v>
      </c>
      <c r="AV172" s="49">
        <f t="shared" si="470"/>
        <v>11117.712599999999</v>
      </c>
      <c r="AW172" s="49">
        <f t="shared" si="471"/>
        <v>0</v>
      </c>
      <c r="AX172" s="49">
        <f t="shared" si="472"/>
        <v>0</v>
      </c>
      <c r="AY172" s="49">
        <f t="shared" si="473"/>
        <v>14823.6168</v>
      </c>
      <c r="AZ172" s="49">
        <f t="shared" si="474"/>
        <v>0</v>
      </c>
      <c r="BA172" s="49">
        <f t="shared" si="475"/>
        <v>0</v>
      </c>
      <c r="BB172" s="49">
        <f t="shared" si="476"/>
        <v>14823.6168</v>
      </c>
      <c r="BC172" s="49">
        <f t="shared" si="477"/>
        <v>0</v>
      </c>
      <c r="BD172" s="49">
        <f t="shared" si="478"/>
        <v>0</v>
      </c>
      <c r="BE172" s="49">
        <f t="shared" si="479"/>
        <v>81529.892399999997</v>
      </c>
      <c r="BF172" s="49">
        <f t="shared" si="480"/>
        <v>0</v>
      </c>
      <c r="BG172" s="49">
        <f t="shared" si="481"/>
        <v>0</v>
      </c>
      <c r="BH172" s="49">
        <f t="shared" si="482"/>
        <v>81529.892399999997</v>
      </c>
      <c r="BI172" s="49">
        <f t="shared" si="483"/>
        <v>0</v>
      </c>
      <c r="BJ172" s="49">
        <f t="shared" si="484"/>
        <v>0</v>
      </c>
      <c r="BK172" s="49">
        <f t="shared" si="485"/>
        <v>0</v>
      </c>
      <c r="BL172" s="49">
        <f t="shared" si="486"/>
        <v>0</v>
      </c>
      <c r="BM172" s="49">
        <f t="shared" si="487"/>
        <v>0</v>
      </c>
      <c r="BN172" s="49">
        <f t="shared" si="488"/>
        <v>0</v>
      </c>
      <c r="BO172" s="49">
        <f t="shared" si="489"/>
        <v>0</v>
      </c>
      <c r="BP172" s="49">
        <f t="shared" si="490"/>
        <v>0</v>
      </c>
      <c r="BQ172" s="49">
        <f t="shared" si="491"/>
        <v>55588.562999999995</v>
      </c>
      <c r="BR172" s="49">
        <f t="shared" si="492"/>
        <v>0</v>
      </c>
      <c r="BS172" s="49">
        <f t="shared" si="493"/>
        <v>0</v>
      </c>
      <c r="BT172" s="49">
        <f t="shared" si="494"/>
        <v>55588.562999999995</v>
      </c>
      <c r="BU172" s="49">
        <f t="shared" si="495"/>
        <v>0</v>
      </c>
      <c r="BV172" s="49">
        <f t="shared" si="496"/>
        <v>0</v>
      </c>
      <c r="BW172" s="49">
        <f t="shared" si="497"/>
        <v>0</v>
      </c>
      <c r="BX172" s="49">
        <f t="shared" si="498"/>
        <v>0</v>
      </c>
      <c r="BY172" s="49">
        <f t="shared" si="499"/>
        <v>0</v>
      </c>
      <c r="BZ172" s="49">
        <f t="shared" si="500"/>
        <v>0</v>
      </c>
      <c r="CA172" s="49">
        <f t="shared" si="501"/>
        <v>0</v>
      </c>
      <c r="CB172" s="49">
        <f t="shared" si="502"/>
        <v>0</v>
      </c>
      <c r="CC172" s="49">
        <f t="shared" si="503"/>
        <v>11117.712599999999</v>
      </c>
      <c r="CD172" s="49">
        <f t="shared" si="504"/>
        <v>0</v>
      </c>
      <c r="CE172" s="49">
        <f t="shared" si="505"/>
        <v>0</v>
      </c>
      <c r="CF172" s="49">
        <f t="shared" si="506"/>
        <v>11117.712599999999</v>
      </c>
      <c r="CG172" s="49">
        <f t="shared" si="507"/>
        <v>0</v>
      </c>
      <c r="CH172" s="49">
        <f t="shared" si="508"/>
        <v>0</v>
      </c>
      <c r="CI172" s="49">
        <f t="shared" si="509"/>
        <v>14823.6168</v>
      </c>
      <c r="CJ172" s="49">
        <f t="shared" si="510"/>
        <v>0</v>
      </c>
      <c r="CK172" s="49">
        <f t="shared" si="511"/>
        <v>0</v>
      </c>
      <c r="CL172" s="49">
        <f t="shared" si="512"/>
        <v>14823.6168</v>
      </c>
      <c r="CM172" s="49">
        <f t="shared" si="513"/>
        <v>0</v>
      </c>
      <c r="CN172" s="49">
        <f t="shared" si="514"/>
        <v>0</v>
      </c>
      <c r="CO172" s="49">
        <f t="shared" si="515"/>
        <v>81529.892399999997</v>
      </c>
      <c r="CP172" s="49">
        <f t="shared" si="516"/>
        <v>0</v>
      </c>
      <c r="CQ172" s="49">
        <f t="shared" si="517"/>
        <v>0</v>
      </c>
      <c r="CR172" s="81">
        <f t="shared" si="518"/>
        <v>81529.892399999997</v>
      </c>
      <c r="CS172" s="80">
        <f t="shared" si="519"/>
        <v>289060.52759999997</v>
      </c>
      <c r="CT172" s="54"/>
      <c r="CU172" s="3" t="str">
        <f t="shared" si="520"/>
        <v>ARS</v>
      </c>
      <c r="CV172" s="3">
        <f>VLOOKUP(CU172,DF:DG,2,0)</f>
        <v>6.9185169999999997E-4</v>
      </c>
      <c r="CW172" s="23">
        <f t="shared" si="521"/>
        <v>256.39361208071398</v>
      </c>
      <c r="CX172" s="23">
        <f t="shared" si="522"/>
        <v>0</v>
      </c>
      <c r="CY172" s="23">
        <f t="shared" si="523"/>
        <v>38.459041812107095</v>
      </c>
      <c r="CZ172" s="23">
        <f t="shared" si="524"/>
        <v>0</v>
      </c>
      <c r="DA172" s="23">
        <f t="shared" si="525"/>
        <v>7.6918083624214191</v>
      </c>
      <c r="DB172" s="23">
        <f t="shared" si="526"/>
        <v>10.255744483228559</v>
      </c>
      <c r="DC172" s="23">
        <f t="shared" si="527"/>
        <v>199.98701742295688</v>
      </c>
      <c r="DD172" s="34" t="str">
        <f>VLOOKUP(A172,'Billing Report'!H:I,2,FALSE)</f>
        <v>2026   Febrero   Twitter   20   Reach   Salud   Cuidados del Calor 2025 - Sintomas</v>
      </c>
      <c r="DE172" s="34"/>
      <c r="DF172" s="61"/>
      <c r="DG172" s="62"/>
      <c r="DH172"/>
      <c r="DI172" s="41"/>
      <c r="DJ172" s="41"/>
    </row>
    <row r="173" spans="1:114" ht="14.5" x14ac:dyDescent="0.35">
      <c r="A173" s="63">
        <v>40920272</v>
      </c>
      <c r="B173" s="3" t="s">
        <v>1070</v>
      </c>
      <c r="C173" s="3">
        <v>324261501</v>
      </c>
      <c r="D173" s="3" t="s">
        <v>93</v>
      </c>
      <c r="G173" s="38">
        <v>379349.07</v>
      </c>
      <c r="J173" s="33">
        <f>VLOOKUP($B173,'IMS Commission List'!E:CE,79,0)/100</f>
        <v>0.15</v>
      </c>
      <c r="K173" s="79">
        <f t="shared" si="440"/>
        <v>379349.07</v>
      </c>
      <c r="L173" s="3" t="str">
        <f>VLOOKUP($B173,'IMS Commission List'!E:V,18,0)</f>
        <v>ARS</v>
      </c>
      <c r="M173" s="3">
        <v>1</v>
      </c>
      <c r="N173" s="3" t="str">
        <f>VLOOKUP($B173,'IMS Commission List'!E:T,16,0)</f>
        <v>MX</v>
      </c>
      <c r="O173" s="54">
        <f>VLOOKUP($B173,'IMS Commission List'!E:CF,80,0)</f>
        <v>0</v>
      </c>
      <c r="P173" s="54">
        <f>VLOOKUP($B173,'IMS Commission List'!E:CG,81,0)</f>
        <v>0</v>
      </c>
      <c r="Q173" s="54">
        <f>VLOOKUP($B173,'IMS Commission List'!E:CP,90,0)</f>
        <v>0.03</v>
      </c>
      <c r="R173" s="54">
        <f>VLOOKUP($B173,'IMS Commission List'!E:CQ,91,0)</f>
        <v>0.04</v>
      </c>
      <c r="S173" s="47">
        <f t="shared" si="441"/>
        <v>0</v>
      </c>
      <c r="T173" s="48">
        <f t="shared" si="442"/>
        <v>0</v>
      </c>
      <c r="U173" s="48">
        <f t="shared" si="443"/>
        <v>379349.07</v>
      </c>
      <c r="V173" s="48">
        <f t="shared" si="444"/>
        <v>0</v>
      </c>
      <c r="W173" s="48">
        <f t="shared" si="445"/>
        <v>0</v>
      </c>
      <c r="X173" s="49">
        <f t="shared" si="446"/>
        <v>379349.07</v>
      </c>
      <c r="Y173" s="49">
        <f t="shared" si="447"/>
        <v>0</v>
      </c>
      <c r="Z173" s="49">
        <f t="shared" si="448"/>
        <v>0</v>
      </c>
      <c r="AA173" s="49">
        <f t="shared" si="449"/>
        <v>0</v>
      </c>
      <c r="AB173" s="49">
        <f t="shared" si="450"/>
        <v>0</v>
      </c>
      <c r="AC173" s="49">
        <f t="shared" si="451"/>
        <v>0</v>
      </c>
      <c r="AD173" s="49">
        <f t="shared" si="452"/>
        <v>0</v>
      </c>
      <c r="AE173" s="49">
        <f t="shared" si="453"/>
        <v>0</v>
      </c>
      <c r="AF173" s="49">
        <f t="shared" si="454"/>
        <v>0</v>
      </c>
      <c r="AG173" s="49">
        <f t="shared" si="455"/>
        <v>56902.360500000003</v>
      </c>
      <c r="AH173" s="49">
        <f t="shared" si="456"/>
        <v>0</v>
      </c>
      <c r="AI173" s="49">
        <f t="shared" si="457"/>
        <v>0</v>
      </c>
      <c r="AJ173" s="49">
        <f t="shared" si="458"/>
        <v>56902.360500000003</v>
      </c>
      <c r="AK173" s="49">
        <f t="shared" si="459"/>
        <v>0</v>
      </c>
      <c r="AL173" s="49">
        <f t="shared" si="460"/>
        <v>0</v>
      </c>
      <c r="AM173" s="49">
        <f t="shared" si="461"/>
        <v>0</v>
      </c>
      <c r="AN173" s="49">
        <f t="shared" si="462"/>
        <v>0</v>
      </c>
      <c r="AO173" s="49">
        <f t="shared" si="463"/>
        <v>0</v>
      </c>
      <c r="AP173" s="49">
        <f t="shared" si="464"/>
        <v>0</v>
      </c>
      <c r="AQ173" s="49">
        <f t="shared" si="465"/>
        <v>0</v>
      </c>
      <c r="AR173" s="49">
        <f t="shared" si="466"/>
        <v>0</v>
      </c>
      <c r="AS173" s="49">
        <f t="shared" si="467"/>
        <v>11380.472099999999</v>
      </c>
      <c r="AT173" s="49">
        <f t="shared" si="468"/>
        <v>0</v>
      </c>
      <c r="AU173" s="49">
        <f t="shared" si="469"/>
        <v>0</v>
      </c>
      <c r="AV173" s="49">
        <f t="shared" si="470"/>
        <v>11380.472099999999</v>
      </c>
      <c r="AW173" s="49">
        <f t="shared" si="471"/>
        <v>0</v>
      </c>
      <c r="AX173" s="49">
        <f t="shared" si="472"/>
        <v>0</v>
      </c>
      <c r="AY173" s="49">
        <f t="shared" si="473"/>
        <v>15173.962800000001</v>
      </c>
      <c r="AZ173" s="49">
        <f t="shared" si="474"/>
        <v>0</v>
      </c>
      <c r="BA173" s="49">
        <f t="shared" si="475"/>
        <v>0</v>
      </c>
      <c r="BB173" s="49">
        <f t="shared" si="476"/>
        <v>15173.962800000001</v>
      </c>
      <c r="BC173" s="49">
        <f t="shared" si="477"/>
        <v>0</v>
      </c>
      <c r="BD173" s="49">
        <f t="shared" si="478"/>
        <v>0</v>
      </c>
      <c r="BE173" s="49">
        <f t="shared" si="479"/>
        <v>83456.795400000003</v>
      </c>
      <c r="BF173" s="49">
        <f t="shared" si="480"/>
        <v>0</v>
      </c>
      <c r="BG173" s="49">
        <f t="shared" si="481"/>
        <v>0</v>
      </c>
      <c r="BH173" s="49">
        <f t="shared" si="482"/>
        <v>83456.795400000003</v>
      </c>
      <c r="BI173" s="49">
        <f t="shared" si="483"/>
        <v>0</v>
      </c>
      <c r="BJ173" s="49">
        <f t="shared" si="484"/>
        <v>0</v>
      </c>
      <c r="BK173" s="49">
        <f t="shared" si="485"/>
        <v>0</v>
      </c>
      <c r="BL173" s="49">
        <f t="shared" si="486"/>
        <v>0</v>
      </c>
      <c r="BM173" s="49">
        <f t="shared" si="487"/>
        <v>0</v>
      </c>
      <c r="BN173" s="49">
        <f t="shared" si="488"/>
        <v>0</v>
      </c>
      <c r="BO173" s="49">
        <f t="shared" si="489"/>
        <v>0</v>
      </c>
      <c r="BP173" s="49">
        <f t="shared" si="490"/>
        <v>0</v>
      </c>
      <c r="BQ173" s="49">
        <f t="shared" si="491"/>
        <v>56902.360500000003</v>
      </c>
      <c r="BR173" s="49">
        <f t="shared" si="492"/>
        <v>0</v>
      </c>
      <c r="BS173" s="49">
        <f t="shared" si="493"/>
        <v>0</v>
      </c>
      <c r="BT173" s="49">
        <f t="shared" si="494"/>
        <v>56902.360500000003</v>
      </c>
      <c r="BU173" s="49">
        <f t="shared" si="495"/>
        <v>0</v>
      </c>
      <c r="BV173" s="49">
        <f t="shared" si="496"/>
        <v>0</v>
      </c>
      <c r="BW173" s="49">
        <f t="shared" si="497"/>
        <v>0</v>
      </c>
      <c r="BX173" s="49">
        <f t="shared" si="498"/>
        <v>0</v>
      </c>
      <c r="BY173" s="49">
        <f t="shared" si="499"/>
        <v>0</v>
      </c>
      <c r="BZ173" s="49">
        <f t="shared" si="500"/>
        <v>0</v>
      </c>
      <c r="CA173" s="49">
        <f t="shared" si="501"/>
        <v>0</v>
      </c>
      <c r="CB173" s="49">
        <f t="shared" si="502"/>
        <v>0</v>
      </c>
      <c r="CC173" s="49">
        <f t="shared" si="503"/>
        <v>11380.472099999999</v>
      </c>
      <c r="CD173" s="49">
        <f t="shared" si="504"/>
        <v>0</v>
      </c>
      <c r="CE173" s="49">
        <f t="shared" si="505"/>
        <v>0</v>
      </c>
      <c r="CF173" s="49">
        <f t="shared" si="506"/>
        <v>11380.472099999999</v>
      </c>
      <c r="CG173" s="49">
        <f t="shared" si="507"/>
        <v>0</v>
      </c>
      <c r="CH173" s="49">
        <f t="shared" si="508"/>
        <v>0</v>
      </c>
      <c r="CI173" s="49">
        <f t="shared" si="509"/>
        <v>15173.962800000001</v>
      </c>
      <c r="CJ173" s="49">
        <f t="shared" si="510"/>
        <v>0</v>
      </c>
      <c r="CK173" s="49">
        <f t="shared" si="511"/>
        <v>0</v>
      </c>
      <c r="CL173" s="49">
        <f t="shared" si="512"/>
        <v>15173.962800000001</v>
      </c>
      <c r="CM173" s="49">
        <f t="shared" si="513"/>
        <v>0</v>
      </c>
      <c r="CN173" s="49">
        <f t="shared" si="514"/>
        <v>0</v>
      </c>
      <c r="CO173" s="49">
        <f t="shared" si="515"/>
        <v>83456.795400000003</v>
      </c>
      <c r="CP173" s="49">
        <f t="shared" si="516"/>
        <v>0</v>
      </c>
      <c r="CQ173" s="49">
        <f t="shared" si="517"/>
        <v>0</v>
      </c>
      <c r="CR173" s="81">
        <f t="shared" si="518"/>
        <v>83456.795400000003</v>
      </c>
      <c r="CS173" s="80">
        <f t="shared" si="519"/>
        <v>295892.2746</v>
      </c>
      <c r="CT173" s="54"/>
      <c r="CU173" s="3" t="str">
        <f t="shared" si="520"/>
        <v>ARS</v>
      </c>
      <c r="CV173" s="3">
        <f>VLOOKUP(CU173,DF:DG,2,0)</f>
        <v>6.9185169999999997E-4</v>
      </c>
      <c r="CW173" s="23">
        <f t="shared" si="521"/>
        <v>262.45329897291901</v>
      </c>
      <c r="CX173" s="23">
        <f t="shared" si="522"/>
        <v>0</v>
      </c>
      <c r="CY173" s="23">
        <f t="shared" si="523"/>
        <v>39.367994845937851</v>
      </c>
      <c r="CZ173" s="23">
        <f t="shared" si="524"/>
        <v>0</v>
      </c>
      <c r="DA173" s="23">
        <f t="shared" si="525"/>
        <v>7.8735989691875687</v>
      </c>
      <c r="DB173" s="23">
        <f t="shared" si="526"/>
        <v>10.49813195891676</v>
      </c>
      <c r="DC173" s="23">
        <f t="shared" si="527"/>
        <v>204.71357319887682</v>
      </c>
      <c r="DD173" s="34" t="str">
        <f>VLOOKUP(A173,'Billing Report'!H:I,2,FALSE)</f>
        <v>2026   Febrero   Twitter   20   Reach   Encuentro   Cuidados del Calor 2025 - Prevencion</v>
      </c>
      <c r="DE173" s="34"/>
      <c r="DF173" s="61"/>
      <c r="DG173" s="62"/>
      <c r="DH173"/>
      <c r="DI173" s="41"/>
      <c r="DJ173" s="41"/>
    </row>
    <row r="174" spans="1:114" ht="14.5" x14ac:dyDescent="0.35">
      <c r="A174" s="63">
        <v>40920262</v>
      </c>
      <c r="B174" s="3" t="s">
        <v>1070</v>
      </c>
      <c r="C174" s="3">
        <v>324261501</v>
      </c>
      <c r="D174" s="3" t="s">
        <v>93</v>
      </c>
      <c r="G174" s="38">
        <v>89400.47</v>
      </c>
      <c r="J174" s="33">
        <f>VLOOKUP($B174,'IMS Commission List'!E:CE,79,0)/100</f>
        <v>0.15</v>
      </c>
      <c r="K174" s="79">
        <f t="shared" si="440"/>
        <v>89400.47</v>
      </c>
      <c r="L174" s="3" t="str">
        <f>VLOOKUP($B174,'IMS Commission List'!E:V,18,0)</f>
        <v>ARS</v>
      </c>
      <c r="M174" s="3">
        <v>1</v>
      </c>
      <c r="N174" s="3" t="str">
        <f>VLOOKUP($B174,'IMS Commission List'!E:T,16,0)</f>
        <v>MX</v>
      </c>
      <c r="O174" s="54">
        <f>VLOOKUP($B174,'IMS Commission List'!E:CF,80,0)</f>
        <v>0</v>
      </c>
      <c r="P174" s="54">
        <f>VLOOKUP($B174,'IMS Commission List'!E:CG,81,0)</f>
        <v>0</v>
      </c>
      <c r="Q174" s="54">
        <f>VLOOKUP($B174,'IMS Commission List'!E:CP,90,0)</f>
        <v>0.03</v>
      </c>
      <c r="R174" s="54">
        <f>VLOOKUP($B174,'IMS Commission List'!E:CQ,91,0)</f>
        <v>0.04</v>
      </c>
      <c r="S174" s="47">
        <f t="shared" si="441"/>
        <v>0</v>
      </c>
      <c r="T174" s="48">
        <f t="shared" si="442"/>
        <v>0</v>
      </c>
      <c r="U174" s="48">
        <f t="shared" si="443"/>
        <v>89400.47</v>
      </c>
      <c r="V174" s="48">
        <f t="shared" si="444"/>
        <v>0</v>
      </c>
      <c r="W174" s="48">
        <f t="shared" si="445"/>
        <v>0</v>
      </c>
      <c r="X174" s="49">
        <f t="shared" si="446"/>
        <v>89400.47</v>
      </c>
      <c r="Y174" s="49">
        <f t="shared" si="447"/>
        <v>0</v>
      </c>
      <c r="Z174" s="49">
        <f t="shared" si="448"/>
        <v>0</v>
      </c>
      <c r="AA174" s="49">
        <f t="shared" si="449"/>
        <v>0</v>
      </c>
      <c r="AB174" s="49">
        <f t="shared" si="450"/>
        <v>0</v>
      </c>
      <c r="AC174" s="49">
        <f t="shared" si="451"/>
        <v>0</v>
      </c>
      <c r="AD174" s="49">
        <f t="shared" si="452"/>
        <v>0</v>
      </c>
      <c r="AE174" s="49">
        <f t="shared" si="453"/>
        <v>0</v>
      </c>
      <c r="AF174" s="49">
        <f t="shared" si="454"/>
        <v>0</v>
      </c>
      <c r="AG174" s="49">
        <f t="shared" si="455"/>
        <v>13410.0705</v>
      </c>
      <c r="AH174" s="49">
        <f t="shared" si="456"/>
        <v>0</v>
      </c>
      <c r="AI174" s="49">
        <f t="shared" si="457"/>
        <v>0</v>
      </c>
      <c r="AJ174" s="49">
        <f t="shared" si="458"/>
        <v>13410.0705</v>
      </c>
      <c r="AK174" s="49">
        <f t="shared" si="459"/>
        <v>0</v>
      </c>
      <c r="AL174" s="49">
        <f t="shared" si="460"/>
        <v>0</v>
      </c>
      <c r="AM174" s="49">
        <f t="shared" si="461"/>
        <v>0</v>
      </c>
      <c r="AN174" s="49">
        <f t="shared" si="462"/>
        <v>0</v>
      </c>
      <c r="AO174" s="49">
        <f t="shared" si="463"/>
        <v>0</v>
      </c>
      <c r="AP174" s="49">
        <f t="shared" si="464"/>
        <v>0</v>
      </c>
      <c r="AQ174" s="49">
        <f t="shared" si="465"/>
        <v>0</v>
      </c>
      <c r="AR174" s="49">
        <f t="shared" si="466"/>
        <v>0</v>
      </c>
      <c r="AS174" s="49">
        <f t="shared" si="467"/>
        <v>2682.0140999999999</v>
      </c>
      <c r="AT174" s="49">
        <f t="shared" si="468"/>
        <v>0</v>
      </c>
      <c r="AU174" s="49">
        <f t="shared" si="469"/>
        <v>0</v>
      </c>
      <c r="AV174" s="49">
        <f t="shared" si="470"/>
        <v>2682.0140999999999</v>
      </c>
      <c r="AW174" s="49">
        <f t="shared" si="471"/>
        <v>0</v>
      </c>
      <c r="AX174" s="49">
        <f t="shared" si="472"/>
        <v>0</v>
      </c>
      <c r="AY174" s="49">
        <f t="shared" si="473"/>
        <v>3576.0188000000003</v>
      </c>
      <c r="AZ174" s="49">
        <f t="shared" si="474"/>
        <v>0</v>
      </c>
      <c r="BA174" s="49">
        <f t="shared" si="475"/>
        <v>0</v>
      </c>
      <c r="BB174" s="49">
        <f t="shared" si="476"/>
        <v>3576.0188000000003</v>
      </c>
      <c r="BC174" s="49">
        <f t="shared" si="477"/>
        <v>0</v>
      </c>
      <c r="BD174" s="49">
        <f t="shared" si="478"/>
        <v>0</v>
      </c>
      <c r="BE174" s="49">
        <f t="shared" si="479"/>
        <v>19668.1034</v>
      </c>
      <c r="BF174" s="49">
        <f t="shared" si="480"/>
        <v>0</v>
      </c>
      <c r="BG174" s="49">
        <f t="shared" si="481"/>
        <v>0</v>
      </c>
      <c r="BH174" s="49">
        <f t="shared" si="482"/>
        <v>19668.1034</v>
      </c>
      <c r="BI174" s="49">
        <f t="shared" si="483"/>
        <v>0</v>
      </c>
      <c r="BJ174" s="49">
        <f t="shared" si="484"/>
        <v>0</v>
      </c>
      <c r="BK174" s="49">
        <f t="shared" si="485"/>
        <v>0</v>
      </c>
      <c r="BL174" s="49">
        <f t="shared" si="486"/>
        <v>0</v>
      </c>
      <c r="BM174" s="49">
        <f t="shared" si="487"/>
        <v>0</v>
      </c>
      <c r="BN174" s="49">
        <f t="shared" si="488"/>
        <v>0</v>
      </c>
      <c r="BO174" s="49">
        <f t="shared" si="489"/>
        <v>0</v>
      </c>
      <c r="BP174" s="49">
        <f t="shared" si="490"/>
        <v>0</v>
      </c>
      <c r="BQ174" s="49">
        <f t="shared" si="491"/>
        <v>13410.0705</v>
      </c>
      <c r="BR174" s="49">
        <f t="shared" si="492"/>
        <v>0</v>
      </c>
      <c r="BS174" s="49">
        <f t="shared" si="493"/>
        <v>0</v>
      </c>
      <c r="BT174" s="49">
        <f t="shared" si="494"/>
        <v>13410.0705</v>
      </c>
      <c r="BU174" s="49">
        <f t="shared" si="495"/>
        <v>0</v>
      </c>
      <c r="BV174" s="49">
        <f t="shared" si="496"/>
        <v>0</v>
      </c>
      <c r="BW174" s="49">
        <f t="shared" si="497"/>
        <v>0</v>
      </c>
      <c r="BX174" s="49">
        <f t="shared" si="498"/>
        <v>0</v>
      </c>
      <c r="BY174" s="49">
        <f t="shared" si="499"/>
        <v>0</v>
      </c>
      <c r="BZ174" s="49">
        <f t="shared" si="500"/>
        <v>0</v>
      </c>
      <c r="CA174" s="49">
        <f t="shared" si="501"/>
        <v>0</v>
      </c>
      <c r="CB174" s="49">
        <f t="shared" si="502"/>
        <v>0</v>
      </c>
      <c r="CC174" s="49">
        <f t="shared" si="503"/>
        <v>2682.0140999999999</v>
      </c>
      <c r="CD174" s="49">
        <f t="shared" si="504"/>
        <v>0</v>
      </c>
      <c r="CE174" s="49">
        <f t="shared" si="505"/>
        <v>0</v>
      </c>
      <c r="CF174" s="49">
        <f t="shared" si="506"/>
        <v>2682.0140999999999</v>
      </c>
      <c r="CG174" s="49">
        <f t="shared" si="507"/>
        <v>0</v>
      </c>
      <c r="CH174" s="49">
        <f t="shared" si="508"/>
        <v>0</v>
      </c>
      <c r="CI174" s="49">
        <f t="shared" si="509"/>
        <v>3576.0188000000003</v>
      </c>
      <c r="CJ174" s="49">
        <f t="shared" si="510"/>
        <v>0</v>
      </c>
      <c r="CK174" s="49">
        <f t="shared" si="511"/>
        <v>0</v>
      </c>
      <c r="CL174" s="49">
        <f t="shared" si="512"/>
        <v>3576.0188000000003</v>
      </c>
      <c r="CM174" s="49">
        <f t="shared" si="513"/>
        <v>0</v>
      </c>
      <c r="CN174" s="49">
        <f t="shared" si="514"/>
        <v>0</v>
      </c>
      <c r="CO174" s="49">
        <f t="shared" si="515"/>
        <v>19668.1034</v>
      </c>
      <c r="CP174" s="49">
        <f t="shared" si="516"/>
        <v>0</v>
      </c>
      <c r="CQ174" s="49">
        <f t="shared" si="517"/>
        <v>0</v>
      </c>
      <c r="CR174" s="81">
        <f t="shared" si="518"/>
        <v>19668.1034</v>
      </c>
      <c r="CS174" s="80">
        <f t="shared" si="519"/>
        <v>69732.366600000008</v>
      </c>
      <c r="CT174" s="54"/>
      <c r="CU174" s="3" t="str">
        <f t="shared" si="520"/>
        <v>ARS</v>
      </c>
      <c r="CV174" s="3">
        <f>VLOOKUP(CU174,DF:DG,2,0)</f>
        <v>6.9185169999999997E-4</v>
      </c>
      <c r="CW174" s="23">
        <f t="shared" si="521"/>
        <v>61.851867150299</v>
      </c>
      <c r="CX174" s="23">
        <f t="shared" si="522"/>
        <v>0</v>
      </c>
      <c r="CY174" s="23">
        <f t="shared" si="523"/>
        <v>9.27778007254485</v>
      </c>
      <c r="CZ174" s="23">
        <f t="shared" si="524"/>
        <v>0</v>
      </c>
      <c r="DA174" s="23">
        <f t="shared" si="525"/>
        <v>1.8555560145089698</v>
      </c>
      <c r="DB174" s="23">
        <f t="shared" si="526"/>
        <v>2.47407468601196</v>
      </c>
      <c r="DC174" s="23">
        <f t="shared" si="527"/>
        <v>48.24445637723322</v>
      </c>
      <c r="DD174" s="34" t="str">
        <f>VLOOKUP(A174,'Billing Report'!H:I,2,FALSE)</f>
        <v>2026   Febrero   Twitter   20   Reach   Encuentro   La Ciudad Mas Linda del Mundo</v>
      </c>
      <c r="DE174" s="34"/>
      <c r="DF174" s="61"/>
      <c r="DG174" s="62"/>
      <c r="DH174"/>
      <c r="DI174" s="41"/>
      <c r="DJ174" s="41"/>
    </row>
    <row r="175" spans="1:114" ht="14.5" x14ac:dyDescent="0.35">
      <c r="A175" s="63">
        <v>40898726</v>
      </c>
      <c r="B175" s="3" t="s">
        <v>1072</v>
      </c>
      <c r="C175" s="3">
        <v>324279201</v>
      </c>
      <c r="D175" s="3" t="s">
        <v>93</v>
      </c>
      <c r="G175" s="38">
        <v>1890354.52</v>
      </c>
      <c r="J175" s="33">
        <f>VLOOKUP($B175,'IMS Commission List'!E:CE,79,0)/100</f>
        <v>0.15</v>
      </c>
      <c r="K175" s="79">
        <f t="shared" si="440"/>
        <v>1890354.52</v>
      </c>
      <c r="L175" s="3" t="str">
        <f>VLOOKUP($B175,'IMS Commission List'!E:V,18,0)</f>
        <v>ARS</v>
      </c>
      <c r="M175" s="3">
        <v>1</v>
      </c>
      <c r="N175" s="3" t="str">
        <f>VLOOKUP($B175,'IMS Commission List'!E:T,16,0)</f>
        <v>MX</v>
      </c>
      <c r="O175" s="54">
        <f>VLOOKUP($B175,'IMS Commission List'!E:CF,80,0)</f>
        <v>0</v>
      </c>
      <c r="P175" s="54">
        <f>VLOOKUP($B175,'IMS Commission List'!E:CG,81,0)</f>
        <v>0</v>
      </c>
      <c r="Q175" s="54">
        <f>VLOOKUP($B175,'IMS Commission List'!E:CP,90,0)</f>
        <v>0.03</v>
      </c>
      <c r="R175" s="54">
        <f>VLOOKUP($B175,'IMS Commission List'!E:CQ,91,0)</f>
        <v>0.04</v>
      </c>
      <c r="S175" s="47">
        <f t="shared" si="441"/>
        <v>0</v>
      </c>
      <c r="T175" s="48">
        <f t="shared" si="442"/>
        <v>0</v>
      </c>
      <c r="U175" s="48">
        <f t="shared" si="443"/>
        <v>1890354.52</v>
      </c>
      <c r="V175" s="48">
        <f t="shared" si="444"/>
        <v>0</v>
      </c>
      <c r="W175" s="48">
        <f t="shared" si="445"/>
        <v>0</v>
      </c>
      <c r="X175" s="49">
        <f t="shared" si="446"/>
        <v>1890354.52</v>
      </c>
      <c r="Y175" s="49">
        <f t="shared" si="447"/>
        <v>0</v>
      </c>
      <c r="Z175" s="49">
        <f t="shared" si="448"/>
        <v>0</v>
      </c>
      <c r="AA175" s="49">
        <f t="shared" si="449"/>
        <v>0</v>
      </c>
      <c r="AB175" s="49">
        <f t="shared" si="450"/>
        <v>0</v>
      </c>
      <c r="AC175" s="49">
        <f t="shared" si="451"/>
        <v>0</v>
      </c>
      <c r="AD175" s="49">
        <f t="shared" si="452"/>
        <v>0</v>
      </c>
      <c r="AE175" s="49">
        <f t="shared" si="453"/>
        <v>0</v>
      </c>
      <c r="AF175" s="49">
        <f t="shared" si="454"/>
        <v>0</v>
      </c>
      <c r="AG175" s="49">
        <f t="shared" si="455"/>
        <v>283553.17800000001</v>
      </c>
      <c r="AH175" s="49">
        <f t="shared" si="456"/>
        <v>0</v>
      </c>
      <c r="AI175" s="49">
        <f t="shared" si="457"/>
        <v>0</v>
      </c>
      <c r="AJ175" s="49">
        <f t="shared" si="458"/>
        <v>283553.17800000001</v>
      </c>
      <c r="AK175" s="49">
        <f t="shared" si="459"/>
        <v>0</v>
      </c>
      <c r="AL175" s="49">
        <f t="shared" si="460"/>
        <v>0</v>
      </c>
      <c r="AM175" s="49">
        <f t="shared" si="461"/>
        <v>0</v>
      </c>
      <c r="AN175" s="49">
        <f t="shared" si="462"/>
        <v>0</v>
      </c>
      <c r="AO175" s="49">
        <f t="shared" si="463"/>
        <v>0</v>
      </c>
      <c r="AP175" s="49">
        <f t="shared" si="464"/>
        <v>0</v>
      </c>
      <c r="AQ175" s="49">
        <f t="shared" si="465"/>
        <v>0</v>
      </c>
      <c r="AR175" s="49">
        <f t="shared" si="466"/>
        <v>0</v>
      </c>
      <c r="AS175" s="49">
        <f t="shared" si="467"/>
        <v>56710.635600000001</v>
      </c>
      <c r="AT175" s="49">
        <f t="shared" si="468"/>
        <v>0</v>
      </c>
      <c r="AU175" s="49">
        <f t="shared" si="469"/>
        <v>0</v>
      </c>
      <c r="AV175" s="49">
        <f t="shared" si="470"/>
        <v>56710.635600000001</v>
      </c>
      <c r="AW175" s="49">
        <f t="shared" si="471"/>
        <v>0</v>
      </c>
      <c r="AX175" s="49">
        <f t="shared" si="472"/>
        <v>0</v>
      </c>
      <c r="AY175" s="49">
        <f t="shared" si="473"/>
        <v>75614.180800000002</v>
      </c>
      <c r="AZ175" s="49">
        <f t="shared" si="474"/>
        <v>0</v>
      </c>
      <c r="BA175" s="49">
        <f t="shared" si="475"/>
        <v>0</v>
      </c>
      <c r="BB175" s="49">
        <f t="shared" si="476"/>
        <v>75614.180800000002</v>
      </c>
      <c r="BC175" s="49">
        <f t="shared" si="477"/>
        <v>0</v>
      </c>
      <c r="BD175" s="49">
        <f t="shared" si="478"/>
        <v>0</v>
      </c>
      <c r="BE175" s="49">
        <f t="shared" si="479"/>
        <v>415877.99439999997</v>
      </c>
      <c r="BF175" s="49">
        <f t="shared" si="480"/>
        <v>0</v>
      </c>
      <c r="BG175" s="49">
        <f t="shared" si="481"/>
        <v>0</v>
      </c>
      <c r="BH175" s="49">
        <f t="shared" si="482"/>
        <v>415877.99439999997</v>
      </c>
      <c r="BI175" s="49">
        <f t="shared" si="483"/>
        <v>0</v>
      </c>
      <c r="BJ175" s="49">
        <f t="shared" si="484"/>
        <v>0</v>
      </c>
      <c r="BK175" s="49">
        <f t="shared" si="485"/>
        <v>0</v>
      </c>
      <c r="BL175" s="49">
        <f t="shared" si="486"/>
        <v>0</v>
      </c>
      <c r="BM175" s="49">
        <f t="shared" si="487"/>
        <v>0</v>
      </c>
      <c r="BN175" s="49">
        <f t="shared" si="488"/>
        <v>0</v>
      </c>
      <c r="BO175" s="49">
        <f t="shared" si="489"/>
        <v>0</v>
      </c>
      <c r="BP175" s="49">
        <f t="shared" si="490"/>
        <v>0</v>
      </c>
      <c r="BQ175" s="49">
        <f t="shared" si="491"/>
        <v>283553.17800000001</v>
      </c>
      <c r="BR175" s="49">
        <f t="shared" si="492"/>
        <v>0</v>
      </c>
      <c r="BS175" s="49">
        <f t="shared" si="493"/>
        <v>0</v>
      </c>
      <c r="BT175" s="49">
        <f t="shared" si="494"/>
        <v>283553.17800000001</v>
      </c>
      <c r="BU175" s="49">
        <f t="shared" si="495"/>
        <v>0</v>
      </c>
      <c r="BV175" s="49">
        <f t="shared" si="496"/>
        <v>0</v>
      </c>
      <c r="BW175" s="49">
        <f t="shared" si="497"/>
        <v>0</v>
      </c>
      <c r="BX175" s="49">
        <f t="shared" si="498"/>
        <v>0</v>
      </c>
      <c r="BY175" s="49">
        <f t="shared" si="499"/>
        <v>0</v>
      </c>
      <c r="BZ175" s="49">
        <f t="shared" si="500"/>
        <v>0</v>
      </c>
      <c r="CA175" s="49">
        <f t="shared" si="501"/>
        <v>0</v>
      </c>
      <c r="CB175" s="49">
        <f t="shared" si="502"/>
        <v>0</v>
      </c>
      <c r="CC175" s="49">
        <f t="shared" si="503"/>
        <v>56710.635600000001</v>
      </c>
      <c r="CD175" s="49">
        <f t="shared" si="504"/>
        <v>0</v>
      </c>
      <c r="CE175" s="49">
        <f t="shared" si="505"/>
        <v>0</v>
      </c>
      <c r="CF175" s="49">
        <f t="shared" si="506"/>
        <v>56710.635600000001</v>
      </c>
      <c r="CG175" s="49">
        <f t="shared" si="507"/>
        <v>0</v>
      </c>
      <c r="CH175" s="49">
        <f t="shared" si="508"/>
        <v>0</v>
      </c>
      <c r="CI175" s="49">
        <f t="shared" si="509"/>
        <v>75614.180800000002</v>
      </c>
      <c r="CJ175" s="49">
        <f t="shared" si="510"/>
        <v>0</v>
      </c>
      <c r="CK175" s="49">
        <f t="shared" si="511"/>
        <v>0</v>
      </c>
      <c r="CL175" s="49">
        <f t="shared" si="512"/>
        <v>75614.180800000002</v>
      </c>
      <c r="CM175" s="49">
        <f t="shared" si="513"/>
        <v>0</v>
      </c>
      <c r="CN175" s="49">
        <f t="shared" si="514"/>
        <v>0</v>
      </c>
      <c r="CO175" s="49">
        <f t="shared" si="515"/>
        <v>415877.99439999997</v>
      </c>
      <c r="CP175" s="49">
        <f t="shared" si="516"/>
        <v>0</v>
      </c>
      <c r="CQ175" s="49">
        <f t="shared" si="517"/>
        <v>0</v>
      </c>
      <c r="CR175" s="81">
        <f t="shared" si="518"/>
        <v>415877.99439999997</v>
      </c>
      <c r="CS175" s="80">
        <f t="shared" si="519"/>
        <v>1474476.5256000001</v>
      </c>
      <c r="CT175" s="54"/>
      <c r="CU175" s="3" t="str">
        <f t="shared" si="520"/>
        <v>ARS</v>
      </c>
      <c r="CV175" s="3">
        <f>VLOOKUP(CU175,DF:DG,2,0)</f>
        <v>6.9185169999999997E-4</v>
      </c>
      <c r="CW175" s="23">
        <f t="shared" si="521"/>
        <v>1307.8449882646839</v>
      </c>
      <c r="CX175" s="23">
        <f t="shared" si="522"/>
        <v>0</v>
      </c>
      <c r="CY175" s="23">
        <f t="shared" si="523"/>
        <v>196.17674823970259</v>
      </c>
      <c r="CZ175" s="23">
        <f t="shared" si="524"/>
        <v>0</v>
      </c>
      <c r="DA175" s="23">
        <f t="shared" si="525"/>
        <v>39.235349647940517</v>
      </c>
      <c r="DB175" s="23">
        <f t="shared" si="526"/>
        <v>52.31379953058736</v>
      </c>
      <c r="DC175" s="23">
        <f t="shared" si="527"/>
        <v>1020.1190908464536</v>
      </c>
      <c r="DD175" s="34" t="str">
        <f>VLOOKUP(A175,'Billing Report'!H:I,2,FALSE)</f>
        <v>UIP_PARAMOUNT-SCREAM_7-SOLOENCINES-TWITTER-TOTAL-TRAFICO-INTERESES-CLICKS-OP_PENDIENTE</v>
      </c>
      <c r="DE175" s="34"/>
      <c r="DF175" s="61"/>
      <c r="DG175" s="62"/>
      <c r="DH175"/>
      <c r="DI175" s="41"/>
      <c r="DJ175" s="41"/>
    </row>
    <row r="176" spans="1:114" ht="14.5" x14ac:dyDescent="0.35">
      <c r="A176" s="63">
        <v>40894117</v>
      </c>
      <c r="B176" s="3" t="s">
        <v>1072</v>
      </c>
      <c r="C176" s="3">
        <v>324279201</v>
      </c>
      <c r="D176" s="3" t="s">
        <v>93</v>
      </c>
      <c r="G176" s="38">
        <v>1000053.62</v>
      </c>
      <c r="J176" s="33">
        <f>VLOOKUP($B176,'IMS Commission List'!E:CE,79,0)/100</f>
        <v>0.15</v>
      </c>
      <c r="K176" s="79">
        <f t="shared" si="440"/>
        <v>1000053.62</v>
      </c>
      <c r="L176" s="3" t="str">
        <f>VLOOKUP($B176,'IMS Commission List'!E:V,18,0)</f>
        <v>ARS</v>
      </c>
      <c r="M176" s="3">
        <v>1</v>
      </c>
      <c r="N176" s="3" t="str">
        <f>VLOOKUP($B176,'IMS Commission List'!E:T,16,0)</f>
        <v>MX</v>
      </c>
      <c r="O176" s="54">
        <f>VLOOKUP($B176,'IMS Commission List'!E:CF,80,0)</f>
        <v>0</v>
      </c>
      <c r="P176" s="54">
        <f>VLOOKUP($B176,'IMS Commission List'!E:CG,81,0)</f>
        <v>0</v>
      </c>
      <c r="Q176" s="54">
        <f>VLOOKUP($B176,'IMS Commission List'!E:CP,90,0)</f>
        <v>0.03</v>
      </c>
      <c r="R176" s="54">
        <f>VLOOKUP($B176,'IMS Commission List'!E:CQ,91,0)</f>
        <v>0.04</v>
      </c>
      <c r="S176" s="47">
        <f t="shared" si="441"/>
        <v>0</v>
      </c>
      <c r="T176" s="48">
        <f t="shared" si="442"/>
        <v>0</v>
      </c>
      <c r="U176" s="48">
        <f t="shared" si="443"/>
        <v>1000053.62</v>
      </c>
      <c r="V176" s="48">
        <f t="shared" si="444"/>
        <v>0</v>
      </c>
      <c r="W176" s="48">
        <f t="shared" si="445"/>
        <v>0</v>
      </c>
      <c r="X176" s="49">
        <f t="shared" si="446"/>
        <v>1000053.62</v>
      </c>
      <c r="Y176" s="49">
        <f t="shared" si="447"/>
        <v>0</v>
      </c>
      <c r="Z176" s="49">
        <f t="shared" si="448"/>
        <v>0</v>
      </c>
      <c r="AA176" s="49">
        <f t="shared" si="449"/>
        <v>0</v>
      </c>
      <c r="AB176" s="49">
        <f t="shared" si="450"/>
        <v>0</v>
      </c>
      <c r="AC176" s="49">
        <f t="shared" si="451"/>
        <v>0</v>
      </c>
      <c r="AD176" s="49">
        <f t="shared" si="452"/>
        <v>0</v>
      </c>
      <c r="AE176" s="49">
        <f t="shared" si="453"/>
        <v>0</v>
      </c>
      <c r="AF176" s="49">
        <f t="shared" si="454"/>
        <v>0</v>
      </c>
      <c r="AG176" s="49">
        <f t="shared" si="455"/>
        <v>150008.04300000001</v>
      </c>
      <c r="AH176" s="49">
        <f t="shared" si="456"/>
        <v>0</v>
      </c>
      <c r="AI176" s="49">
        <f t="shared" si="457"/>
        <v>0</v>
      </c>
      <c r="AJ176" s="49">
        <f t="shared" si="458"/>
        <v>150008.04300000001</v>
      </c>
      <c r="AK176" s="49">
        <f t="shared" si="459"/>
        <v>0</v>
      </c>
      <c r="AL176" s="49">
        <f t="shared" si="460"/>
        <v>0</v>
      </c>
      <c r="AM176" s="49">
        <f t="shared" si="461"/>
        <v>0</v>
      </c>
      <c r="AN176" s="49">
        <f t="shared" si="462"/>
        <v>0</v>
      </c>
      <c r="AO176" s="49">
        <f t="shared" si="463"/>
        <v>0</v>
      </c>
      <c r="AP176" s="49">
        <f t="shared" si="464"/>
        <v>0</v>
      </c>
      <c r="AQ176" s="49">
        <f t="shared" si="465"/>
        <v>0</v>
      </c>
      <c r="AR176" s="49">
        <f t="shared" si="466"/>
        <v>0</v>
      </c>
      <c r="AS176" s="49">
        <f t="shared" si="467"/>
        <v>30001.6086</v>
      </c>
      <c r="AT176" s="49">
        <f t="shared" si="468"/>
        <v>0</v>
      </c>
      <c r="AU176" s="49">
        <f t="shared" si="469"/>
        <v>0</v>
      </c>
      <c r="AV176" s="49">
        <f t="shared" si="470"/>
        <v>30001.6086</v>
      </c>
      <c r="AW176" s="49">
        <f t="shared" si="471"/>
        <v>0</v>
      </c>
      <c r="AX176" s="49">
        <f t="shared" si="472"/>
        <v>0</v>
      </c>
      <c r="AY176" s="49">
        <f t="shared" si="473"/>
        <v>40002.144800000002</v>
      </c>
      <c r="AZ176" s="49">
        <f t="shared" si="474"/>
        <v>0</v>
      </c>
      <c r="BA176" s="49">
        <f t="shared" si="475"/>
        <v>0</v>
      </c>
      <c r="BB176" s="49">
        <f t="shared" si="476"/>
        <v>40002.144800000002</v>
      </c>
      <c r="BC176" s="49">
        <f t="shared" si="477"/>
        <v>0</v>
      </c>
      <c r="BD176" s="49">
        <f t="shared" si="478"/>
        <v>0</v>
      </c>
      <c r="BE176" s="49">
        <f t="shared" si="479"/>
        <v>220011.79640000002</v>
      </c>
      <c r="BF176" s="49">
        <f t="shared" si="480"/>
        <v>0</v>
      </c>
      <c r="BG176" s="49">
        <f t="shared" si="481"/>
        <v>0</v>
      </c>
      <c r="BH176" s="49">
        <f t="shared" si="482"/>
        <v>220011.79640000002</v>
      </c>
      <c r="BI176" s="49">
        <f t="shared" si="483"/>
        <v>0</v>
      </c>
      <c r="BJ176" s="49">
        <f t="shared" si="484"/>
        <v>0</v>
      </c>
      <c r="BK176" s="49">
        <f t="shared" si="485"/>
        <v>0</v>
      </c>
      <c r="BL176" s="49">
        <f t="shared" si="486"/>
        <v>0</v>
      </c>
      <c r="BM176" s="49">
        <f t="shared" si="487"/>
        <v>0</v>
      </c>
      <c r="BN176" s="49">
        <f t="shared" si="488"/>
        <v>0</v>
      </c>
      <c r="BO176" s="49">
        <f t="shared" si="489"/>
        <v>0</v>
      </c>
      <c r="BP176" s="49">
        <f t="shared" si="490"/>
        <v>0</v>
      </c>
      <c r="BQ176" s="49">
        <f t="shared" si="491"/>
        <v>150008.04300000001</v>
      </c>
      <c r="BR176" s="49">
        <f t="shared" si="492"/>
        <v>0</v>
      </c>
      <c r="BS176" s="49">
        <f t="shared" si="493"/>
        <v>0</v>
      </c>
      <c r="BT176" s="49">
        <f t="shared" si="494"/>
        <v>150008.04300000001</v>
      </c>
      <c r="BU176" s="49">
        <f t="shared" si="495"/>
        <v>0</v>
      </c>
      <c r="BV176" s="49">
        <f t="shared" si="496"/>
        <v>0</v>
      </c>
      <c r="BW176" s="49">
        <f t="shared" si="497"/>
        <v>0</v>
      </c>
      <c r="BX176" s="49">
        <f t="shared" si="498"/>
        <v>0</v>
      </c>
      <c r="BY176" s="49">
        <f t="shared" si="499"/>
        <v>0</v>
      </c>
      <c r="BZ176" s="49">
        <f t="shared" si="500"/>
        <v>0</v>
      </c>
      <c r="CA176" s="49">
        <f t="shared" si="501"/>
        <v>0</v>
      </c>
      <c r="CB176" s="49">
        <f t="shared" si="502"/>
        <v>0</v>
      </c>
      <c r="CC176" s="49">
        <f t="shared" si="503"/>
        <v>30001.6086</v>
      </c>
      <c r="CD176" s="49">
        <f t="shared" si="504"/>
        <v>0</v>
      </c>
      <c r="CE176" s="49">
        <f t="shared" si="505"/>
        <v>0</v>
      </c>
      <c r="CF176" s="49">
        <f t="shared" si="506"/>
        <v>30001.6086</v>
      </c>
      <c r="CG176" s="49">
        <f t="shared" si="507"/>
        <v>0</v>
      </c>
      <c r="CH176" s="49">
        <f t="shared" si="508"/>
        <v>0</v>
      </c>
      <c r="CI176" s="49">
        <f t="shared" si="509"/>
        <v>40002.144800000002</v>
      </c>
      <c r="CJ176" s="49">
        <f t="shared" si="510"/>
        <v>0</v>
      </c>
      <c r="CK176" s="49">
        <f t="shared" si="511"/>
        <v>0</v>
      </c>
      <c r="CL176" s="49">
        <f t="shared" si="512"/>
        <v>40002.144800000002</v>
      </c>
      <c r="CM176" s="49">
        <f t="shared" si="513"/>
        <v>0</v>
      </c>
      <c r="CN176" s="49">
        <f t="shared" si="514"/>
        <v>0</v>
      </c>
      <c r="CO176" s="49">
        <f t="shared" si="515"/>
        <v>220011.79640000002</v>
      </c>
      <c r="CP176" s="49">
        <f t="shared" si="516"/>
        <v>0</v>
      </c>
      <c r="CQ176" s="49">
        <f t="shared" si="517"/>
        <v>0</v>
      </c>
      <c r="CR176" s="81">
        <f t="shared" si="518"/>
        <v>220011.79640000002</v>
      </c>
      <c r="CS176" s="80">
        <f t="shared" si="519"/>
        <v>780041.8236</v>
      </c>
      <c r="CT176" s="54"/>
      <c r="CU176" s="3" t="str">
        <f t="shared" si="520"/>
        <v>ARS</v>
      </c>
      <c r="CV176" s="3">
        <f>VLOOKUP(CU176,DF:DG,2,0)</f>
        <v>6.9185169999999997E-4</v>
      </c>
      <c r="CW176" s="23">
        <f t="shared" si="521"/>
        <v>691.88879708815398</v>
      </c>
      <c r="CX176" s="23">
        <f t="shared" si="522"/>
        <v>0</v>
      </c>
      <c r="CY176" s="23">
        <f t="shared" si="523"/>
        <v>103.7833195632231</v>
      </c>
      <c r="CZ176" s="23">
        <f t="shared" si="524"/>
        <v>0</v>
      </c>
      <c r="DA176" s="23">
        <f t="shared" si="525"/>
        <v>20.756663912644619</v>
      </c>
      <c r="DB176" s="23">
        <f t="shared" si="526"/>
        <v>27.675551883526161</v>
      </c>
      <c r="DC176" s="23">
        <f t="shared" si="527"/>
        <v>539.67326172876005</v>
      </c>
      <c r="DD176" s="34" t="str">
        <f>VLOOKUP(A176,'Billing Report'!H:I,2,FALSE)</f>
        <v>UIP_PARAMOUNT-SCREAM_7-PROXIMAMENTE-TWITTER-TOTAL-AWARENESS-INTERESES-IMPRESIONES-OP_504952</v>
      </c>
      <c r="DE176" s="34"/>
      <c r="DF176" s="61"/>
      <c r="DG176" s="62"/>
      <c r="DH176"/>
      <c r="DI176" s="41"/>
      <c r="DJ176" s="41"/>
    </row>
    <row r="177" spans="1:114" ht="14.5" x14ac:dyDescent="0.35">
      <c r="A177" s="63">
        <v>40915757</v>
      </c>
      <c r="B177" s="3" t="s">
        <v>1076</v>
      </c>
      <c r="C177" s="3">
        <v>324284001</v>
      </c>
      <c r="D177" s="3" t="s">
        <v>93</v>
      </c>
      <c r="G177" s="38">
        <v>2906163.1</v>
      </c>
      <c r="J177" s="33">
        <f>VLOOKUP($B177,'IMS Commission List'!E:CE,79,0)/100</f>
        <v>0.15</v>
      </c>
      <c r="K177" s="79">
        <f t="shared" si="440"/>
        <v>2906163.1</v>
      </c>
      <c r="L177" s="3" t="str">
        <f>VLOOKUP($B177,'IMS Commission List'!E:V,18,0)</f>
        <v>ARS</v>
      </c>
      <c r="M177" s="3">
        <v>1</v>
      </c>
      <c r="N177" s="3" t="str">
        <f>VLOOKUP($B177,'IMS Commission List'!E:T,16,0)</f>
        <v>MX</v>
      </c>
      <c r="O177" s="54">
        <f>VLOOKUP($B177,'IMS Commission List'!E:CF,80,0)</f>
        <v>0</v>
      </c>
      <c r="P177" s="54">
        <f>VLOOKUP($B177,'IMS Commission List'!E:CG,81,0)</f>
        <v>0</v>
      </c>
      <c r="Q177" s="54">
        <f>VLOOKUP($B177,'IMS Commission List'!E:CP,90,0)</f>
        <v>0.03</v>
      </c>
      <c r="R177" s="54">
        <f>VLOOKUP($B177,'IMS Commission List'!E:CQ,91,0)</f>
        <v>0.04</v>
      </c>
      <c r="S177" s="47">
        <f t="shared" si="441"/>
        <v>0</v>
      </c>
      <c r="T177" s="48">
        <f t="shared" si="442"/>
        <v>0</v>
      </c>
      <c r="U177" s="48">
        <f t="shared" si="443"/>
        <v>2906163.1</v>
      </c>
      <c r="V177" s="48">
        <f t="shared" si="444"/>
        <v>0</v>
      </c>
      <c r="W177" s="48">
        <f t="shared" si="445"/>
        <v>0</v>
      </c>
      <c r="X177" s="49">
        <f t="shared" si="446"/>
        <v>2906163.1</v>
      </c>
      <c r="Y177" s="49">
        <f t="shared" si="447"/>
        <v>0</v>
      </c>
      <c r="Z177" s="49">
        <f t="shared" si="448"/>
        <v>0</v>
      </c>
      <c r="AA177" s="49">
        <f t="shared" si="449"/>
        <v>0</v>
      </c>
      <c r="AB177" s="49">
        <f t="shared" si="450"/>
        <v>0</v>
      </c>
      <c r="AC177" s="49">
        <f t="shared" si="451"/>
        <v>0</v>
      </c>
      <c r="AD177" s="49">
        <f t="shared" si="452"/>
        <v>0</v>
      </c>
      <c r="AE177" s="49">
        <f t="shared" si="453"/>
        <v>0</v>
      </c>
      <c r="AF177" s="49">
        <f t="shared" si="454"/>
        <v>0</v>
      </c>
      <c r="AG177" s="49">
        <f t="shared" si="455"/>
        <v>435924.46500000003</v>
      </c>
      <c r="AH177" s="49">
        <f t="shared" si="456"/>
        <v>0</v>
      </c>
      <c r="AI177" s="49">
        <f t="shared" si="457"/>
        <v>0</v>
      </c>
      <c r="AJ177" s="49">
        <f t="shared" si="458"/>
        <v>435924.46500000003</v>
      </c>
      <c r="AK177" s="49">
        <f t="shared" si="459"/>
        <v>0</v>
      </c>
      <c r="AL177" s="49">
        <f t="shared" si="460"/>
        <v>0</v>
      </c>
      <c r="AM177" s="49">
        <f t="shared" si="461"/>
        <v>0</v>
      </c>
      <c r="AN177" s="49">
        <f t="shared" si="462"/>
        <v>0</v>
      </c>
      <c r="AO177" s="49">
        <f t="shared" si="463"/>
        <v>0</v>
      </c>
      <c r="AP177" s="49">
        <f t="shared" si="464"/>
        <v>0</v>
      </c>
      <c r="AQ177" s="49">
        <f t="shared" si="465"/>
        <v>0</v>
      </c>
      <c r="AR177" s="49">
        <f t="shared" si="466"/>
        <v>0</v>
      </c>
      <c r="AS177" s="49">
        <f t="shared" si="467"/>
        <v>87184.892999999996</v>
      </c>
      <c r="AT177" s="49">
        <f t="shared" si="468"/>
        <v>0</v>
      </c>
      <c r="AU177" s="49">
        <f t="shared" si="469"/>
        <v>0</v>
      </c>
      <c r="AV177" s="49">
        <f t="shared" si="470"/>
        <v>87184.892999999996</v>
      </c>
      <c r="AW177" s="49">
        <f t="shared" si="471"/>
        <v>0</v>
      </c>
      <c r="AX177" s="49">
        <f t="shared" si="472"/>
        <v>0</v>
      </c>
      <c r="AY177" s="49">
        <f t="shared" si="473"/>
        <v>116246.524</v>
      </c>
      <c r="AZ177" s="49">
        <f t="shared" si="474"/>
        <v>0</v>
      </c>
      <c r="BA177" s="49">
        <f t="shared" si="475"/>
        <v>0</v>
      </c>
      <c r="BB177" s="49">
        <f t="shared" si="476"/>
        <v>116246.524</v>
      </c>
      <c r="BC177" s="49">
        <f t="shared" si="477"/>
        <v>0</v>
      </c>
      <c r="BD177" s="49">
        <f t="shared" si="478"/>
        <v>0</v>
      </c>
      <c r="BE177" s="49">
        <f t="shared" si="479"/>
        <v>639355.88199999998</v>
      </c>
      <c r="BF177" s="49">
        <f t="shared" si="480"/>
        <v>0</v>
      </c>
      <c r="BG177" s="49">
        <f t="shared" si="481"/>
        <v>0</v>
      </c>
      <c r="BH177" s="49">
        <f t="shared" si="482"/>
        <v>639355.88199999998</v>
      </c>
      <c r="BI177" s="49">
        <f t="shared" si="483"/>
        <v>0</v>
      </c>
      <c r="BJ177" s="49">
        <f t="shared" si="484"/>
        <v>0</v>
      </c>
      <c r="BK177" s="49">
        <f t="shared" si="485"/>
        <v>0</v>
      </c>
      <c r="BL177" s="49">
        <f t="shared" si="486"/>
        <v>0</v>
      </c>
      <c r="BM177" s="49">
        <f t="shared" si="487"/>
        <v>0</v>
      </c>
      <c r="BN177" s="49">
        <f t="shared" si="488"/>
        <v>0</v>
      </c>
      <c r="BO177" s="49">
        <f t="shared" si="489"/>
        <v>0</v>
      </c>
      <c r="BP177" s="49">
        <f t="shared" si="490"/>
        <v>0</v>
      </c>
      <c r="BQ177" s="49">
        <f t="shared" si="491"/>
        <v>435924.46500000003</v>
      </c>
      <c r="BR177" s="49">
        <f t="shared" si="492"/>
        <v>0</v>
      </c>
      <c r="BS177" s="49">
        <f t="shared" si="493"/>
        <v>0</v>
      </c>
      <c r="BT177" s="49">
        <f t="shared" si="494"/>
        <v>435924.46500000003</v>
      </c>
      <c r="BU177" s="49">
        <f t="shared" si="495"/>
        <v>0</v>
      </c>
      <c r="BV177" s="49">
        <f t="shared" si="496"/>
        <v>0</v>
      </c>
      <c r="BW177" s="49">
        <f t="shared" si="497"/>
        <v>0</v>
      </c>
      <c r="BX177" s="49">
        <f t="shared" si="498"/>
        <v>0</v>
      </c>
      <c r="BY177" s="49">
        <f t="shared" si="499"/>
        <v>0</v>
      </c>
      <c r="BZ177" s="49">
        <f t="shared" si="500"/>
        <v>0</v>
      </c>
      <c r="CA177" s="49">
        <f t="shared" si="501"/>
        <v>0</v>
      </c>
      <c r="CB177" s="49">
        <f t="shared" si="502"/>
        <v>0</v>
      </c>
      <c r="CC177" s="49">
        <f t="shared" si="503"/>
        <v>87184.892999999996</v>
      </c>
      <c r="CD177" s="49">
        <f t="shared" si="504"/>
        <v>0</v>
      </c>
      <c r="CE177" s="49">
        <f t="shared" si="505"/>
        <v>0</v>
      </c>
      <c r="CF177" s="49">
        <f t="shared" si="506"/>
        <v>87184.892999999996</v>
      </c>
      <c r="CG177" s="49">
        <f t="shared" si="507"/>
        <v>0</v>
      </c>
      <c r="CH177" s="49">
        <f t="shared" si="508"/>
        <v>0</v>
      </c>
      <c r="CI177" s="49">
        <f t="shared" si="509"/>
        <v>116246.524</v>
      </c>
      <c r="CJ177" s="49">
        <f t="shared" si="510"/>
        <v>0</v>
      </c>
      <c r="CK177" s="49">
        <f t="shared" si="511"/>
        <v>0</v>
      </c>
      <c r="CL177" s="49">
        <f t="shared" si="512"/>
        <v>116246.524</v>
      </c>
      <c r="CM177" s="49">
        <f t="shared" si="513"/>
        <v>0</v>
      </c>
      <c r="CN177" s="49">
        <f t="shared" si="514"/>
        <v>0</v>
      </c>
      <c r="CO177" s="49">
        <f t="shared" si="515"/>
        <v>639355.88199999998</v>
      </c>
      <c r="CP177" s="49">
        <f t="shared" si="516"/>
        <v>0</v>
      </c>
      <c r="CQ177" s="49">
        <f t="shared" si="517"/>
        <v>0</v>
      </c>
      <c r="CR177" s="81">
        <f t="shared" si="518"/>
        <v>639355.88199999998</v>
      </c>
      <c r="CS177" s="80">
        <f t="shared" si="519"/>
        <v>2266807.2180000003</v>
      </c>
      <c r="CT177" s="54"/>
      <c r="CU177" s="3" t="str">
        <f t="shared" si="520"/>
        <v>ARS</v>
      </c>
      <c r="CV177" s="3">
        <f>VLOOKUP(CU177,DF:DG,2,0)</f>
        <v>6.9185169999999997E-4</v>
      </c>
      <c r="CW177" s="23">
        <f t="shared" si="521"/>
        <v>2010.6338812122699</v>
      </c>
      <c r="CX177" s="23">
        <f t="shared" si="522"/>
        <v>0</v>
      </c>
      <c r="CY177" s="23">
        <f t="shared" si="523"/>
        <v>301.5950821818405</v>
      </c>
      <c r="CZ177" s="23">
        <f t="shared" si="524"/>
        <v>0</v>
      </c>
      <c r="DA177" s="23">
        <f t="shared" si="525"/>
        <v>60.319016436368095</v>
      </c>
      <c r="DB177" s="23">
        <f t="shared" si="526"/>
        <v>80.425355248490803</v>
      </c>
      <c r="DC177" s="23">
        <f t="shared" si="527"/>
        <v>1568.2944273455707</v>
      </c>
      <c r="DD177" s="34" t="str">
        <f>VLOOKUP(A177,'Billing Report'!H:I,2,FALSE)</f>
        <v>ID~B0006C50_CN~back-to-school-disney-twitter-im_PH~preo_MK~ar_OB~awa_FS~lod2c_FF~own-landing-own-alcance</v>
      </c>
      <c r="DE177" s="34"/>
      <c r="DF177" s="61"/>
      <c r="DG177" s="62"/>
      <c r="DH177"/>
      <c r="DI177" s="41"/>
      <c r="DJ177" s="41"/>
    </row>
    <row r="178" spans="1:114" ht="14.5" x14ac:dyDescent="0.35">
      <c r="A178" s="63">
        <v>40915859</v>
      </c>
      <c r="B178" s="3" t="s">
        <v>1079</v>
      </c>
      <c r="C178" s="3">
        <v>324284201</v>
      </c>
      <c r="D178" s="3" t="s">
        <v>93</v>
      </c>
      <c r="G178" s="38">
        <v>2327584.0699999998</v>
      </c>
      <c r="J178" s="33">
        <f>VLOOKUP($B178,'IMS Commission List'!E:CE,79,0)/100</f>
        <v>0.15</v>
      </c>
      <c r="K178" s="79">
        <f t="shared" si="440"/>
        <v>2327584.0699999998</v>
      </c>
      <c r="L178" s="3" t="str">
        <f>VLOOKUP($B178,'IMS Commission List'!E:V,18,0)</f>
        <v>ARS</v>
      </c>
      <c r="M178" s="3">
        <v>1</v>
      </c>
      <c r="N178" s="3" t="str">
        <f>VLOOKUP($B178,'IMS Commission List'!E:T,16,0)</f>
        <v>MX</v>
      </c>
      <c r="O178" s="54">
        <f>VLOOKUP($B178,'IMS Commission List'!E:CF,80,0)</f>
        <v>0</v>
      </c>
      <c r="P178" s="54">
        <f>VLOOKUP($B178,'IMS Commission List'!E:CG,81,0)</f>
        <v>0</v>
      </c>
      <c r="Q178" s="54">
        <f>VLOOKUP($B178,'IMS Commission List'!E:CP,90,0)</f>
        <v>0.03</v>
      </c>
      <c r="R178" s="54">
        <f>VLOOKUP($B178,'IMS Commission List'!E:CQ,91,0)</f>
        <v>0.04</v>
      </c>
      <c r="S178" s="47">
        <f t="shared" si="441"/>
        <v>0</v>
      </c>
      <c r="T178" s="48">
        <f t="shared" si="442"/>
        <v>0</v>
      </c>
      <c r="U178" s="48">
        <f t="shared" si="443"/>
        <v>2327584.0699999998</v>
      </c>
      <c r="V178" s="48">
        <f t="shared" si="444"/>
        <v>0</v>
      </c>
      <c r="W178" s="48">
        <f t="shared" si="445"/>
        <v>0</v>
      </c>
      <c r="X178" s="49">
        <f t="shared" si="446"/>
        <v>2327584.0699999998</v>
      </c>
      <c r="Y178" s="49">
        <f t="shared" si="447"/>
        <v>0</v>
      </c>
      <c r="Z178" s="49">
        <f t="shared" si="448"/>
        <v>0</v>
      </c>
      <c r="AA178" s="49">
        <f t="shared" si="449"/>
        <v>0</v>
      </c>
      <c r="AB178" s="49">
        <f t="shared" si="450"/>
        <v>0</v>
      </c>
      <c r="AC178" s="49">
        <f t="shared" si="451"/>
        <v>0</v>
      </c>
      <c r="AD178" s="49">
        <f t="shared" si="452"/>
        <v>0</v>
      </c>
      <c r="AE178" s="49">
        <f t="shared" si="453"/>
        <v>0</v>
      </c>
      <c r="AF178" s="49">
        <f t="shared" si="454"/>
        <v>0</v>
      </c>
      <c r="AG178" s="49">
        <f t="shared" si="455"/>
        <v>349137.61049999995</v>
      </c>
      <c r="AH178" s="49">
        <f t="shared" si="456"/>
        <v>0</v>
      </c>
      <c r="AI178" s="49">
        <f t="shared" si="457"/>
        <v>0</v>
      </c>
      <c r="AJ178" s="49">
        <f t="shared" si="458"/>
        <v>349137.61049999995</v>
      </c>
      <c r="AK178" s="49">
        <f t="shared" si="459"/>
        <v>0</v>
      </c>
      <c r="AL178" s="49">
        <f t="shared" si="460"/>
        <v>0</v>
      </c>
      <c r="AM178" s="49">
        <f t="shared" si="461"/>
        <v>0</v>
      </c>
      <c r="AN178" s="49">
        <f t="shared" si="462"/>
        <v>0</v>
      </c>
      <c r="AO178" s="49">
        <f t="shared" si="463"/>
        <v>0</v>
      </c>
      <c r="AP178" s="49">
        <f t="shared" si="464"/>
        <v>0</v>
      </c>
      <c r="AQ178" s="49">
        <f t="shared" si="465"/>
        <v>0</v>
      </c>
      <c r="AR178" s="49">
        <f t="shared" si="466"/>
        <v>0</v>
      </c>
      <c r="AS178" s="49">
        <f t="shared" si="467"/>
        <v>69827.522099999987</v>
      </c>
      <c r="AT178" s="49">
        <f t="shared" si="468"/>
        <v>0</v>
      </c>
      <c r="AU178" s="49">
        <f t="shared" si="469"/>
        <v>0</v>
      </c>
      <c r="AV178" s="49">
        <f t="shared" si="470"/>
        <v>69827.522099999987</v>
      </c>
      <c r="AW178" s="49">
        <f t="shared" si="471"/>
        <v>0</v>
      </c>
      <c r="AX178" s="49">
        <f t="shared" si="472"/>
        <v>0</v>
      </c>
      <c r="AY178" s="49">
        <f t="shared" si="473"/>
        <v>93103.362799999988</v>
      </c>
      <c r="AZ178" s="49">
        <f t="shared" si="474"/>
        <v>0</v>
      </c>
      <c r="BA178" s="49">
        <f t="shared" si="475"/>
        <v>0</v>
      </c>
      <c r="BB178" s="49">
        <f t="shared" si="476"/>
        <v>93103.362799999988</v>
      </c>
      <c r="BC178" s="49">
        <f t="shared" si="477"/>
        <v>0</v>
      </c>
      <c r="BD178" s="49">
        <f t="shared" si="478"/>
        <v>0</v>
      </c>
      <c r="BE178" s="49">
        <f t="shared" si="479"/>
        <v>512068.49539999996</v>
      </c>
      <c r="BF178" s="49">
        <f t="shared" si="480"/>
        <v>0</v>
      </c>
      <c r="BG178" s="49">
        <f t="shared" si="481"/>
        <v>0</v>
      </c>
      <c r="BH178" s="49">
        <f t="shared" si="482"/>
        <v>512068.49539999996</v>
      </c>
      <c r="BI178" s="49">
        <f t="shared" si="483"/>
        <v>0</v>
      </c>
      <c r="BJ178" s="49">
        <f t="shared" si="484"/>
        <v>0</v>
      </c>
      <c r="BK178" s="49">
        <f t="shared" si="485"/>
        <v>0</v>
      </c>
      <c r="BL178" s="49">
        <f t="shared" si="486"/>
        <v>0</v>
      </c>
      <c r="BM178" s="49">
        <f t="shared" si="487"/>
        <v>0</v>
      </c>
      <c r="BN178" s="49">
        <f t="shared" si="488"/>
        <v>0</v>
      </c>
      <c r="BO178" s="49">
        <f t="shared" si="489"/>
        <v>0</v>
      </c>
      <c r="BP178" s="49">
        <f t="shared" si="490"/>
        <v>0</v>
      </c>
      <c r="BQ178" s="49">
        <f t="shared" si="491"/>
        <v>349137.61049999995</v>
      </c>
      <c r="BR178" s="49">
        <f t="shared" si="492"/>
        <v>0</v>
      </c>
      <c r="BS178" s="49">
        <f t="shared" si="493"/>
        <v>0</v>
      </c>
      <c r="BT178" s="49">
        <f t="shared" si="494"/>
        <v>349137.61049999995</v>
      </c>
      <c r="BU178" s="49">
        <f t="shared" si="495"/>
        <v>0</v>
      </c>
      <c r="BV178" s="49">
        <f t="shared" si="496"/>
        <v>0</v>
      </c>
      <c r="BW178" s="49">
        <f t="shared" si="497"/>
        <v>0</v>
      </c>
      <c r="BX178" s="49">
        <f t="shared" si="498"/>
        <v>0</v>
      </c>
      <c r="BY178" s="49">
        <f t="shared" si="499"/>
        <v>0</v>
      </c>
      <c r="BZ178" s="49">
        <f t="shared" si="500"/>
        <v>0</v>
      </c>
      <c r="CA178" s="49">
        <f t="shared" si="501"/>
        <v>0</v>
      </c>
      <c r="CB178" s="49">
        <f t="shared" si="502"/>
        <v>0</v>
      </c>
      <c r="CC178" s="49">
        <f t="shared" si="503"/>
        <v>69827.522099999987</v>
      </c>
      <c r="CD178" s="49">
        <f t="shared" si="504"/>
        <v>0</v>
      </c>
      <c r="CE178" s="49">
        <f t="shared" si="505"/>
        <v>0</v>
      </c>
      <c r="CF178" s="49">
        <f t="shared" si="506"/>
        <v>69827.522099999987</v>
      </c>
      <c r="CG178" s="49">
        <f t="shared" si="507"/>
        <v>0</v>
      </c>
      <c r="CH178" s="49">
        <f t="shared" si="508"/>
        <v>0</v>
      </c>
      <c r="CI178" s="49">
        <f t="shared" si="509"/>
        <v>93103.362799999988</v>
      </c>
      <c r="CJ178" s="49">
        <f t="shared" si="510"/>
        <v>0</v>
      </c>
      <c r="CK178" s="49">
        <f t="shared" si="511"/>
        <v>0</v>
      </c>
      <c r="CL178" s="49">
        <f t="shared" si="512"/>
        <v>93103.362799999988</v>
      </c>
      <c r="CM178" s="49">
        <f t="shared" si="513"/>
        <v>0</v>
      </c>
      <c r="CN178" s="49">
        <f t="shared" si="514"/>
        <v>0</v>
      </c>
      <c r="CO178" s="49">
        <f t="shared" si="515"/>
        <v>512068.49539999996</v>
      </c>
      <c r="CP178" s="49">
        <f t="shared" si="516"/>
        <v>0</v>
      </c>
      <c r="CQ178" s="49">
        <f t="shared" si="517"/>
        <v>0</v>
      </c>
      <c r="CR178" s="81">
        <f t="shared" si="518"/>
        <v>512068.49539999996</v>
      </c>
      <c r="CS178" s="80">
        <f t="shared" si="519"/>
        <v>1815515.5745999999</v>
      </c>
      <c r="CT178" s="54"/>
      <c r="CU178" s="3" t="str">
        <f t="shared" si="520"/>
        <v>ARS</v>
      </c>
      <c r="CV178" s="3">
        <f>VLOOKUP(CU178,DF:DG,2,0)</f>
        <v>6.9185169999999997E-4</v>
      </c>
      <c r="CW178" s="23">
        <f t="shared" si="521"/>
        <v>1610.3429957224189</v>
      </c>
      <c r="CX178" s="23">
        <f t="shared" si="522"/>
        <v>0</v>
      </c>
      <c r="CY178" s="23">
        <f t="shared" si="523"/>
        <v>241.55144935836282</v>
      </c>
      <c r="CZ178" s="23">
        <f t="shared" si="524"/>
        <v>0</v>
      </c>
      <c r="DA178" s="23">
        <f t="shared" si="525"/>
        <v>48.310289871672559</v>
      </c>
      <c r="DB178" s="23">
        <f t="shared" si="526"/>
        <v>64.413719828896745</v>
      </c>
      <c r="DC178" s="23">
        <f t="shared" si="527"/>
        <v>1256.0675366634866</v>
      </c>
      <c r="DD178" s="34" t="str">
        <f>VLOOKUP(A178,'Billing Report'!H:I,2,FALSE)</f>
        <v>ID~B0006C57_CN~back-to-school-intel-twitter-im_PH~promo_MK~ar_OB~awa_FS~lo_FF~own-landing-own-alcance</v>
      </c>
      <c r="DE178" s="34"/>
      <c r="DF178" s="61"/>
      <c r="DG178" s="62"/>
      <c r="DH178"/>
      <c r="DI178" s="41"/>
      <c r="DJ178" s="41"/>
    </row>
    <row r="179" spans="1:114" ht="14.5" x14ac:dyDescent="0.35">
      <c r="A179" s="63">
        <v>40916163</v>
      </c>
      <c r="B179" s="3" t="s">
        <v>1083</v>
      </c>
      <c r="C179" s="3">
        <v>324585701</v>
      </c>
      <c r="D179" s="3" t="s">
        <v>93</v>
      </c>
      <c r="G179" s="38">
        <v>4558905.76</v>
      </c>
      <c r="J179" s="33">
        <f>VLOOKUP($B179,'IMS Commission List'!E:CE,79,0)/100</f>
        <v>0.15</v>
      </c>
      <c r="K179" s="79">
        <f t="shared" si="440"/>
        <v>4558905.76</v>
      </c>
      <c r="L179" s="3" t="str">
        <f>VLOOKUP($B179,'IMS Commission List'!E:V,18,0)</f>
        <v>ARS</v>
      </c>
      <c r="M179" s="3">
        <v>1</v>
      </c>
      <c r="N179" s="3" t="str">
        <f>VLOOKUP($B179,'IMS Commission List'!E:T,16,0)</f>
        <v>MX</v>
      </c>
      <c r="O179" s="54">
        <f>VLOOKUP($B179,'IMS Commission List'!E:CF,80,0)</f>
        <v>0</v>
      </c>
      <c r="P179" s="54">
        <f>VLOOKUP($B179,'IMS Commission List'!E:CG,81,0)</f>
        <v>0</v>
      </c>
      <c r="Q179" s="54">
        <f>VLOOKUP($B179,'IMS Commission List'!E:CP,90,0)</f>
        <v>0.03</v>
      </c>
      <c r="R179" s="54">
        <f>VLOOKUP($B179,'IMS Commission List'!E:CQ,91,0)</f>
        <v>0.04</v>
      </c>
      <c r="S179" s="47">
        <f t="shared" si="441"/>
        <v>0</v>
      </c>
      <c r="T179" s="48">
        <f t="shared" si="442"/>
        <v>0</v>
      </c>
      <c r="U179" s="48">
        <f t="shared" si="443"/>
        <v>4558905.76</v>
      </c>
      <c r="V179" s="48">
        <f t="shared" si="444"/>
        <v>0</v>
      </c>
      <c r="W179" s="48">
        <f t="shared" si="445"/>
        <v>0</v>
      </c>
      <c r="X179" s="49">
        <f t="shared" si="446"/>
        <v>4558905.76</v>
      </c>
      <c r="Y179" s="49">
        <f t="shared" si="447"/>
        <v>0</v>
      </c>
      <c r="Z179" s="49">
        <f t="shared" si="448"/>
        <v>0</v>
      </c>
      <c r="AA179" s="49">
        <f t="shared" si="449"/>
        <v>0</v>
      </c>
      <c r="AB179" s="49">
        <f t="shared" si="450"/>
        <v>0</v>
      </c>
      <c r="AC179" s="49">
        <f t="shared" si="451"/>
        <v>0</v>
      </c>
      <c r="AD179" s="49">
        <f t="shared" si="452"/>
        <v>0</v>
      </c>
      <c r="AE179" s="49">
        <f t="shared" si="453"/>
        <v>0</v>
      </c>
      <c r="AF179" s="49">
        <f t="shared" si="454"/>
        <v>0</v>
      </c>
      <c r="AG179" s="49">
        <f t="shared" si="455"/>
        <v>683835.86399999994</v>
      </c>
      <c r="AH179" s="49">
        <f t="shared" si="456"/>
        <v>0</v>
      </c>
      <c r="AI179" s="49">
        <f t="shared" si="457"/>
        <v>0</v>
      </c>
      <c r="AJ179" s="49">
        <f t="shared" si="458"/>
        <v>683835.86399999994</v>
      </c>
      <c r="AK179" s="49">
        <f t="shared" si="459"/>
        <v>0</v>
      </c>
      <c r="AL179" s="49">
        <f t="shared" si="460"/>
        <v>0</v>
      </c>
      <c r="AM179" s="49">
        <f t="shared" si="461"/>
        <v>0</v>
      </c>
      <c r="AN179" s="49">
        <f t="shared" si="462"/>
        <v>0</v>
      </c>
      <c r="AO179" s="49">
        <f t="shared" si="463"/>
        <v>0</v>
      </c>
      <c r="AP179" s="49">
        <f t="shared" si="464"/>
        <v>0</v>
      </c>
      <c r="AQ179" s="49">
        <f t="shared" si="465"/>
        <v>0</v>
      </c>
      <c r="AR179" s="49">
        <f t="shared" si="466"/>
        <v>0</v>
      </c>
      <c r="AS179" s="49">
        <f t="shared" si="467"/>
        <v>136767.1728</v>
      </c>
      <c r="AT179" s="49">
        <f t="shared" si="468"/>
        <v>0</v>
      </c>
      <c r="AU179" s="49">
        <f t="shared" si="469"/>
        <v>0</v>
      </c>
      <c r="AV179" s="49">
        <f t="shared" si="470"/>
        <v>136767.1728</v>
      </c>
      <c r="AW179" s="49">
        <f t="shared" si="471"/>
        <v>0</v>
      </c>
      <c r="AX179" s="49">
        <f t="shared" si="472"/>
        <v>0</v>
      </c>
      <c r="AY179" s="49">
        <f t="shared" si="473"/>
        <v>182356.2304</v>
      </c>
      <c r="AZ179" s="49">
        <f t="shared" si="474"/>
        <v>0</v>
      </c>
      <c r="BA179" s="49">
        <f t="shared" si="475"/>
        <v>0</v>
      </c>
      <c r="BB179" s="49">
        <f t="shared" si="476"/>
        <v>182356.2304</v>
      </c>
      <c r="BC179" s="49">
        <f t="shared" si="477"/>
        <v>0</v>
      </c>
      <c r="BD179" s="49">
        <f t="shared" si="478"/>
        <v>0</v>
      </c>
      <c r="BE179" s="49">
        <f t="shared" si="479"/>
        <v>1002959.2671999999</v>
      </c>
      <c r="BF179" s="49">
        <f t="shared" si="480"/>
        <v>0</v>
      </c>
      <c r="BG179" s="49">
        <f t="shared" si="481"/>
        <v>0</v>
      </c>
      <c r="BH179" s="49">
        <f t="shared" si="482"/>
        <v>1002959.2671999999</v>
      </c>
      <c r="BI179" s="49">
        <f t="shared" si="483"/>
        <v>0</v>
      </c>
      <c r="BJ179" s="49">
        <f t="shared" si="484"/>
        <v>0</v>
      </c>
      <c r="BK179" s="49">
        <f t="shared" si="485"/>
        <v>0</v>
      </c>
      <c r="BL179" s="49">
        <f t="shared" si="486"/>
        <v>0</v>
      </c>
      <c r="BM179" s="49">
        <f t="shared" si="487"/>
        <v>0</v>
      </c>
      <c r="BN179" s="49">
        <f t="shared" si="488"/>
        <v>0</v>
      </c>
      <c r="BO179" s="49">
        <f t="shared" si="489"/>
        <v>0</v>
      </c>
      <c r="BP179" s="49">
        <f t="shared" si="490"/>
        <v>0</v>
      </c>
      <c r="BQ179" s="49">
        <f t="shared" si="491"/>
        <v>683835.86399999994</v>
      </c>
      <c r="BR179" s="49">
        <f t="shared" si="492"/>
        <v>0</v>
      </c>
      <c r="BS179" s="49">
        <f t="shared" si="493"/>
        <v>0</v>
      </c>
      <c r="BT179" s="49">
        <f t="shared" si="494"/>
        <v>683835.86399999994</v>
      </c>
      <c r="BU179" s="49">
        <f t="shared" si="495"/>
        <v>0</v>
      </c>
      <c r="BV179" s="49">
        <f t="shared" si="496"/>
        <v>0</v>
      </c>
      <c r="BW179" s="49">
        <f t="shared" si="497"/>
        <v>0</v>
      </c>
      <c r="BX179" s="49">
        <f t="shared" si="498"/>
        <v>0</v>
      </c>
      <c r="BY179" s="49">
        <f t="shared" si="499"/>
        <v>0</v>
      </c>
      <c r="BZ179" s="49">
        <f t="shared" si="500"/>
        <v>0</v>
      </c>
      <c r="CA179" s="49">
        <f t="shared" si="501"/>
        <v>0</v>
      </c>
      <c r="CB179" s="49">
        <f t="shared" si="502"/>
        <v>0</v>
      </c>
      <c r="CC179" s="49">
        <f t="shared" si="503"/>
        <v>136767.1728</v>
      </c>
      <c r="CD179" s="49">
        <f t="shared" si="504"/>
        <v>0</v>
      </c>
      <c r="CE179" s="49">
        <f t="shared" si="505"/>
        <v>0</v>
      </c>
      <c r="CF179" s="49">
        <f t="shared" si="506"/>
        <v>136767.1728</v>
      </c>
      <c r="CG179" s="49">
        <f t="shared" si="507"/>
        <v>0</v>
      </c>
      <c r="CH179" s="49">
        <f t="shared" si="508"/>
        <v>0</v>
      </c>
      <c r="CI179" s="49">
        <f t="shared" si="509"/>
        <v>182356.2304</v>
      </c>
      <c r="CJ179" s="49">
        <f t="shared" si="510"/>
        <v>0</v>
      </c>
      <c r="CK179" s="49">
        <f t="shared" si="511"/>
        <v>0</v>
      </c>
      <c r="CL179" s="49">
        <f t="shared" si="512"/>
        <v>182356.2304</v>
      </c>
      <c r="CM179" s="49">
        <f t="shared" si="513"/>
        <v>0</v>
      </c>
      <c r="CN179" s="49">
        <f t="shared" si="514"/>
        <v>0</v>
      </c>
      <c r="CO179" s="49">
        <f t="shared" si="515"/>
        <v>1002959.2671999999</v>
      </c>
      <c r="CP179" s="49">
        <f t="shared" si="516"/>
        <v>0</v>
      </c>
      <c r="CQ179" s="49">
        <f t="shared" si="517"/>
        <v>0</v>
      </c>
      <c r="CR179" s="81">
        <f t="shared" si="518"/>
        <v>1002959.2671999999</v>
      </c>
      <c r="CS179" s="80">
        <f t="shared" si="519"/>
        <v>3555946.4928000001</v>
      </c>
      <c r="CT179" s="54"/>
      <c r="CU179" s="3" t="str">
        <f t="shared" si="520"/>
        <v>ARS</v>
      </c>
      <c r="CV179" s="3">
        <f>VLOOKUP(CU179,DF:DG,2,0)</f>
        <v>6.9185169999999997E-4</v>
      </c>
      <c r="CW179" s="23">
        <f t="shared" si="521"/>
        <v>3154.0867001957918</v>
      </c>
      <c r="CX179" s="23">
        <f t="shared" si="522"/>
        <v>0</v>
      </c>
      <c r="CY179" s="23">
        <f t="shared" si="523"/>
        <v>473.11300502936876</v>
      </c>
      <c r="CZ179" s="23">
        <f t="shared" si="524"/>
        <v>0</v>
      </c>
      <c r="DA179" s="23">
        <f t="shared" si="525"/>
        <v>94.622601005873761</v>
      </c>
      <c r="DB179" s="23">
        <f t="shared" si="526"/>
        <v>126.16346800783167</v>
      </c>
      <c r="DC179" s="23">
        <f t="shared" si="527"/>
        <v>2460.1876261527177</v>
      </c>
      <c r="DD179" s="34" t="str">
        <f>VLOOKUP(A179,'Billing Report'!H:I,2,FALSE)</f>
        <v>2026_MODO_BRANDING_PROMO_TRANSPORTE-VQR_GEO_TWITTER_NU_AW_FEB</v>
      </c>
      <c r="DE179" s="34"/>
      <c r="DF179" s="61"/>
      <c r="DG179" s="62"/>
      <c r="DH179"/>
      <c r="DI179" s="41"/>
      <c r="DJ179" s="41"/>
    </row>
    <row r="180" spans="1:114" ht="14.5" x14ac:dyDescent="0.35">
      <c r="A180" s="63">
        <v>40921512</v>
      </c>
      <c r="B180" s="3" t="s">
        <v>1089</v>
      </c>
      <c r="C180" s="3">
        <v>324617401</v>
      </c>
      <c r="D180" s="3" t="s">
        <v>93</v>
      </c>
      <c r="G180" s="38">
        <v>22444.51</v>
      </c>
      <c r="J180" s="33">
        <f>VLOOKUP($B180,'IMS Commission List'!E:CE,79,0)/100</f>
        <v>0.15</v>
      </c>
      <c r="K180" s="79">
        <f t="shared" si="440"/>
        <v>22444.51</v>
      </c>
      <c r="L180" s="3" t="str">
        <f>VLOOKUP($B180,'IMS Commission List'!E:V,18,0)</f>
        <v>ARS</v>
      </c>
      <c r="M180" s="3">
        <v>1</v>
      </c>
      <c r="N180" s="3" t="str">
        <f>VLOOKUP($B180,'IMS Commission List'!E:T,16,0)</f>
        <v>MX</v>
      </c>
      <c r="O180" s="54">
        <f>VLOOKUP($B180,'IMS Commission List'!E:CF,80,0)</f>
        <v>0</v>
      </c>
      <c r="P180" s="54">
        <f>VLOOKUP($B180,'IMS Commission List'!E:CG,81,0)</f>
        <v>0</v>
      </c>
      <c r="Q180" s="54">
        <f>VLOOKUP($B180,'IMS Commission List'!E:CP,90,0)</f>
        <v>0.03</v>
      </c>
      <c r="R180" s="54">
        <f>VLOOKUP($B180,'IMS Commission List'!E:CQ,91,0)</f>
        <v>0.04</v>
      </c>
      <c r="S180" s="47">
        <f t="shared" si="441"/>
        <v>0</v>
      </c>
      <c r="T180" s="48">
        <f t="shared" si="442"/>
        <v>0</v>
      </c>
      <c r="U180" s="48">
        <f t="shared" si="443"/>
        <v>22444.51</v>
      </c>
      <c r="V180" s="48">
        <f t="shared" si="444"/>
        <v>0</v>
      </c>
      <c r="W180" s="48">
        <f t="shared" si="445"/>
        <v>0</v>
      </c>
      <c r="X180" s="49">
        <f t="shared" si="446"/>
        <v>22444.51</v>
      </c>
      <c r="Y180" s="49">
        <f t="shared" si="447"/>
        <v>0</v>
      </c>
      <c r="Z180" s="49">
        <f t="shared" si="448"/>
        <v>0</v>
      </c>
      <c r="AA180" s="49">
        <f t="shared" si="449"/>
        <v>0</v>
      </c>
      <c r="AB180" s="49">
        <f t="shared" si="450"/>
        <v>0</v>
      </c>
      <c r="AC180" s="49">
        <f t="shared" si="451"/>
        <v>0</v>
      </c>
      <c r="AD180" s="49">
        <f t="shared" si="452"/>
        <v>0</v>
      </c>
      <c r="AE180" s="49">
        <f t="shared" si="453"/>
        <v>0</v>
      </c>
      <c r="AF180" s="49">
        <f t="shared" si="454"/>
        <v>0</v>
      </c>
      <c r="AG180" s="49">
        <f t="shared" si="455"/>
        <v>3366.6764999999996</v>
      </c>
      <c r="AH180" s="49">
        <f t="shared" si="456"/>
        <v>0</v>
      </c>
      <c r="AI180" s="49">
        <f t="shared" si="457"/>
        <v>0</v>
      </c>
      <c r="AJ180" s="49">
        <f t="shared" si="458"/>
        <v>3366.6764999999996</v>
      </c>
      <c r="AK180" s="49">
        <f t="shared" si="459"/>
        <v>0</v>
      </c>
      <c r="AL180" s="49">
        <f t="shared" si="460"/>
        <v>0</v>
      </c>
      <c r="AM180" s="49">
        <f t="shared" si="461"/>
        <v>0</v>
      </c>
      <c r="AN180" s="49">
        <f t="shared" si="462"/>
        <v>0</v>
      </c>
      <c r="AO180" s="49">
        <f t="shared" si="463"/>
        <v>0</v>
      </c>
      <c r="AP180" s="49">
        <f t="shared" si="464"/>
        <v>0</v>
      </c>
      <c r="AQ180" s="49">
        <f t="shared" si="465"/>
        <v>0</v>
      </c>
      <c r="AR180" s="49">
        <f t="shared" si="466"/>
        <v>0</v>
      </c>
      <c r="AS180" s="49">
        <f t="shared" si="467"/>
        <v>673.33529999999996</v>
      </c>
      <c r="AT180" s="49">
        <f t="shared" si="468"/>
        <v>0</v>
      </c>
      <c r="AU180" s="49">
        <f t="shared" si="469"/>
        <v>0</v>
      </c>
      <c r="AV180" s="49">
        <f t="shared" si="470"/>
        <v>673.33529999999996</v>
      </c>
      <c r="AW180" s="49">
        <f t="shared" si="471"/>
        <v>0</v>
      </c>
      <c r="AX180" s="49">
        <f t="shared" si="472"/>
        <v>0</v>
      </c>
      <c r="AY180" s="49">
        <f t="shared" si="473"/>
        <v>897.78039999999999</v>
      </c>
      <c r="AZ180" s="49">
        <f t="shared" si="474"/>
        <v>0</v>
      </c>
      <c r="BA180" s="49">
        <f t="shared" si="475"/>
        <v>0</v>
      </c>
      <c r="BB180" s="49">
        <f t="shared" si="476"/>
        <v>897.78039999999999</v>
      </c>
      <c r="BC180" s="49">
        <f t="shared" si="477"/>
        <v>0</v>
      </c>
      <c r="BD180" s="49">
        <f t="shared" si="478"/>
        <v>0</v>
      </c>
      <c r="BE180" s="49">
        <f t="shared" si="479"/>
        <v>4937.792199999999</v>
      </c>
      <c r="BF180" s="49">
        <f t="shared" si="480"/>
        <v>0</v>
      </c>
      <c r="BG180" s="49">
        <f t="shared" si="481"/>
        <v>0</v>
      </c>
      <c r="BH180" s="49">
        <f t="shared" si="482"/>
        <v>4937.792199999999</v>
      </c>
      <c r="BI180" s="49">
        <f t="shared" si="483"/>
        <v>0</v>
      </c>
      <c r="BJ180" s="49">
        <f t="shared" si="484"/>
        <v>0</v>
      </c>
      <c r="BK180" s="49">
        <f t="shared" si="485"/>
        <v>0</v>
      </c>
      <c r="BL180" s="49">
        <f t="shared" si="486"/>
        <v>0</v>
      </c>
      <c r="BM180" s="49">
        <f t="shared" si="487"/>
        <v>0</v>
      </c>
      <c r="BN180" s="49">
        <f t="shared" si="488"/>
        <v>0</v>
      </c>
      <c r="BO180" s="49">
        <f t="shared" si="489"/>
        <v>0</v>
      </c>
      <c r="BP180" s="49">
        <f t="shared" si="490"/>
        <v>0</v>
      </c>
      <c r="BQ180" s="49">
        <f t="shared" si="491"/>
        <v>3366.6764999999996</v>
      </c>
      <c r="BR180" s="49">
        <f t="shared" si="492"/>
        <v>0</v>
      </c>
      <c r="BS180" s="49">
        <f t="shared" si="493"/>
        <v>0</v>
      </c>
      <c r="BT180" s="49">
        <f t="shared" si="494"/>
        <v>3366.6764999999996</v>
      </c>
      <c r="BU180" s="49">
        <f t="shared" si="495"/>
        <v>0</v>
      </c>
      <c r="BV180" s="49">
        <f t="shared" si="496"/>
        <v>0</v>
      </c>
      <c r="BW180" s="49">
        <f t="shared" si="497"/>
        <v>0</v>
      </c>
      <c r="BX180" s="49">
        <f t="shared" si="498"/>
        <v>0</v>
      </c>
      <c r="BY180" s="49">
        <f t="shared" si="499"/>
        <v>0</v>
      </c>
      <c r="BZ180" s="49">
        <f t="shared" si="500"/>
        <v>0</v>
      </c>
      <c r="CA180" s="49">
        <f t="shared" si="501"/>
        <v>0</v>
      </c>
      <c r="CB180" s="49">
        <f t="shared" si="502"/>
        <v>0</v>
      </c>
      <c r="CC180" s="49">
        <f t="shared" si="503"/>
        <v>673.33529999999996</v>
      </c>
      <c r="CD180" s="49">
        <f t="shared" si="504"/>
        <v>0</v>
      </c>
      <c r="CE180" s="49">
        <f t="shared" si="505"/>
        <v>0</v>
      </c>
      <c r="CF180" s="49">
        <f t="shared" si="506"/>
        <v>673.33529999999996</v>
      </c>
      <c r="CG180" s="49">
        <f t="shared" si="507"/>
        <v>0</v>
      </c>
      <c r="CH180" s="49">
        <f t="shared" si="508"/>
        <v>0</v>
      </c>
      <c r="CI180" s="49">
        <f t="shared" si="509"/>
        <v>897.78039999999999</v>
      </c>
      <c r="CJ180" s="49">
        <f t="shared" si="510"/>
        <v>0</v>
      </c>
      <c r="CK180" s="49">
        <f t="shared" si="511"/>
        <v>0</v>
      </c>
      <c r="CL180" s="49">
        <f t="shared" si="512"/>
        <v>897.78039999999999</v>
      </c>
      <c r="CM180" s="49">
        <f t="shared" si="513"/>
        <v>0</v>
      </c>
      <c r="CN180" s="49">
        <f t="shared" si="514"/>
        <v>0</v>
      </c>
      <c r="CO180" s="49">
        <f t="shared" si="515"/>
        <v>4937.792199999999</v>
      </c>
      <c r="CP180" s="49">
        <f t="shared" si="516"/>
        <v>0</v>
      </c>
      <c r="CQ180" s="49">
        <f t="shared" si="517"/>
        <v>0</v>
      </c>
      <c r="CR180" s="81">
        <f t="shared" si="518"/>
        <v>4937.792199999999</v>
      </c>
      <c r="CS180" s="80">
        <f t="shared" si="519"/>
        <v>17506.717799999999</v>
      </c>
      <c r="CT180" s="54"/>
      <c r="CU180" s="3" t="str">
        <f t="shared" si="520"/>
        <v>ARS</v>
      </c>
      <c r="CV180" s="3">
        <f>VLOOKUP(CU180,DF:DG,2,0)</f>
        <v>6.9185169999999997E-4</v>
      </c>
      <c r="CW180" s="23">
        <f t="shared" si="521"/>
        <v>15.528272399166998</v>
      </c>
      <c r="CX180" s="23">
        <f t="shared" si="522"/>
        <v>0</v>
      </c>
      <c r="CY180" s="23">
        <f t="shared" si="523"/>
        <v>2.3292408598750498</v>
      </c>
      <c r="CZ180" s="23">
        <f t="shared" si="524"/>
        <v>0</v>
      </c>
      <c r="DA180" s="23">
        <f t="shared" si="525"/>
        <v>0.46584817197500994</v>
      </c>
      <c r="DB180" s="23">
        <f t="shared" si="526"/>
        <v>0.62113089596667992</v>
      </c>
      <c r="DC180" s="23">
        <f t="shared" si="527"/>
        <v>12.112052471350259</v>
      </c>
      <c r="DD180" s="34" t="str">
        <f>VLOOKUP(A180,'Billing Report'!H:I,2,FALSE)</f>
        <v>ypf_full-tw-alcance-season-hamburguesa+guapaleta-2026-feb</v>
      </c>
      <c r="DE180" s="34"/>
      <c r="DF180" s="61"/>
      <c r="DG180" s="62"/>
      <c r="DH180"/>
      <c r="DI180" s="41"/>
      <c r="DJ180" s="41"/>
    </row>
    <row r="181" spans="1:114" ht="14.5" x14ac:dyDescent="0.35">
      <c r="A181" s="63">
        <v>40931778</v>
      </c>
      <c r="B181" s="3" t="s">
        <v>1096</v>
      </c>
      <c r="C181" s="3">
        <v>324618501</v>
      </c>
      <c r="D181" s="3" t="s">
        <v>93</v>
      </c>
      <c r="F181" s="35">
        <v>3625356</v>
      </c>
      <c r="G181" s="38"/>
      <c r="J181" s="33">
        <f>VLOOKUP($B181,'IMS Commission List'!E:CE,79,0)/100</f>
        <v>0.15</v>
      </c>
      <c r="K181" s="79">
        <f t="shared" si="440"/>
        <v>3625356</v>
      </c>
      <c r="L181" s="3" t="str">
        <f>VLOOKUP($B181,'IMS Commission List'!E:V,18,0)</f>
        <v>ARS</v>
      </c>
      <c r="M181" s="3">
        <v>1</v>
      </c>
      <c r="N181" s="3" t="str">
        <f>VLOOKUP($B181,'IMS Commission List'!E:T,16,0)</f>
        <v>MX</v>
      </c>
      <c r="O181" s="54">
        <f>VLOOKUP($B181,'IMS Commission List'!E:CF,80,0)</f>
        <v>0</v>
      </c>
      <c r="P181" s="54">
        <f>VLOOKUP($B181,'IMS Commission List'!E:CG,81,0)</f>
        <v>0</v>
      </c>
      <c r="Q181" s="54">
        <f>VLOOKUP($B181,'IMS Commission List'!E:CP,90,0)</f>
        <v>0.03</v>
      </c>
      <c r="R181" s="54">
        <f>VLOOKUP($B181,'IMS Commission List'!E:CQ,91,0)</f>
        <v>0.04</v>
      </c>
      <c r="S181" s="47">
        <f t="shared" si="441"/>
        <v>0</v>
      </c>
      <c r="T181" s="48">
        <f t="shared" si="442"/>
        <v>3625356</v>
      </c>
      <c r="U181" s="48">
        <f t="shared" si="443"/>
        <v>0</v>
      </c>
      <c r="V181" s="48">
        <f t="shared" si="444"/>
        <v>0</v>
      </c>
      <c r="W181" s="48">
        <f t="shared" si="445"/>
        <v>0</v>
      </c>
      <c r="X181" s="49">
        <f t="shared" si="446"/>
        <v>3625356</v>
      </c>
      <c r="Y181" s="49">
        <f t="shared" si="447"/>
        <v>0</v>
      </c>
      <c r="Z181" s="49">
        <f t="shared" si="448"/>
        <v>0</v>
      </c>
      <c r="AA181" s="49">
        <f t="shared" si="449"/>
        <v>0</v>
      </c>
      <c r="AB181" s="49">
        <f t="shared" si="450"/>
        <v>0</v>
      </c>
      <c r="AC181" s="49">
        <f t="shared" si="451"/>
        <v>0</v>
      </c>
      <c r="AD181" s="49">
        <f t="shared" si="452"/>
        <v>0</v>
      </c>
      <c r="AE181" s="49">
        <f t="shared" si="453"/>
        <v>0</v>
      </c>
      <c r="AF181" s="49">
        <f t="shared" si="454"/>
        <v>543803.4</v>
      </c>
      <c r="AG181" s="49">
        <f t="shared" si="455"/>
        <v>0</v>
      </c>
      <c r="AH181" s="49">
        <f t="shared" si="456"/>
        <v>0</v>
      </c>
      <c r="AI181" s="49">
        <f t="shared" si="457"/>
        <v>0</v>
      </c>
      <c r="AJ181" s="49">
        <f t="shared" si="458"/>
        <v>543803.4</v>
      </c>
      <c r="AK181" s="49">
        <f t="shared" si="459"/>
        <v>0</v>
      </c>
      <c r="AL181" s="49">
        <f t="shared" si="460"/>
        <v>0</v>
      </c>
      <c r="AM181" s="49">
        <f t="shared" si="461"/>
        <v>0</v>
      </c>
      <c r="AN181" s="49">
        <f t="shared" si="462"/>
        <v>0</v>
      </c>
      <c r="AO181" s="49">
        <f t="shared" si="463"/>
        <v>0</v>
      </c>
      <c r="AP181" s="49">
        <f t="shared" si="464"/>
        <v>0</v>
      </c>
      <c r="AQ181" s="49">
        <f t="shared" si="465"/>
        <v>0</v>
      </c>
      <c r="AR181" s="49">
        <f t="shared" si="466"/>
        <v>108760.68</v>
      </c>
      <c r="AS181" s="49">
        <f t="shared" si="467"/>
        <v>0</v>
      </c>
      <c r="AT181" s="49">
        <f t="shared" si="468"/>
        <v>0</v>
      </c>
      <c r="AU181" s="49">
        <f t="shared" si="469"/>
        <v>0</v>
      </c>
      <c r="AV181" s="49">
        <f t="shared" si="470"/>
        <v>108760.68</v>
      </c>
      <c r="AW181" s="49">
        <f t="shared" si="471"/>
        <v>0</v>
      </c>
      <c r="AX181" s="49">
        <f t="shared" si="472"/>
        <v>145014.24</v>
      </c>
      <c r="AY181" s="49">
        <f t="shared" si="473"/>
        <v>0</v>
      </c>
      <c r="AZ181" s="49">
        <f t="shared" si="474"/>
        <v>0</v>
      </c>
      <c r="BA181" s="49">
        <f t="shared" si="475"/>
        <v>0</v>
      </c>
      <c r="BB181" s="49">
        <f t="shared" si="476"/>
        <v>145014.24</v>
      </c>
      <c r="BC181" s="49">
        <f t="shared" si="477"/>
        <v>0</v>
      </c>
      <c r="BD181" s="49">
        <f t="shared" si="478"/>
        <v>797578.32000000007</v>
      </c>
      <c r="BE181" s="49">
        <f t="shared" si="479"/>
        <v>0</v>
      </c>
      <c r="BF181" s="49">
        <f t="shared" si="480"/>
        <v>0</v>
      </c>
      <c r="BG181" s="49">
        <f t="shared" si="481"/>
        <v>0</v>
      </c>
      <c r="BH181" s="49">
        <f t="shared" si="482"/>
        <v>797578.32000000007</v>
      </c>
      <c r="BI181" s="49">
        <f t="shared" si="483"/>
        <v>0</v>
      </c>
      <c r="BJ181" s="49">
        <f t="shared" si="484"/>
        <v>0</v>
      </c>
      <c r="BK181" s="49">
        <f t="shared" si="485"/>
        <v>0</v>
      </c>
      <c r="BL181" s="49">
        <f t="shared" si="486"/>
        <v>0</v>
      </c>
      <c r="BM181" s="49">
        <f t="shared" si="487"/>
        <v>0</v>
      </c>
      <c r="BN181" s="49">
        <f t="shared" si="488"/>
        <v>0</v>
      </c>
      <c r="BO181" s="49">
        <f t="shared" si="489"/>
        <v>0</v>
      </c>
      <c r="BP181" s="49">
        <f t="shared" si="490"/>
        <v>543803.4</v>
      </c>
      <c r="BQ181" s="49">
        <f t="shared" si="491"/>
        <v>0</v>
      </c>
      <c r="BR181" s="49">
        <f t="shared" si="492"/>
        <v>0</v>
      </c>
      <c r="BS181" s="49">
        <f t="shared" si="493"/>
        <v>0</v>
      </c>
      <c r="BT181" s="49">
        <f t="shared" si="494"/>
        <v>543803.4</v>
      </c>
      <c r="BU181" s="49">
        <f t="shared" si="495"/>
        <v>0</v>
      </c>
      <c r="BV181" s="49">
        <f t="shared" si="496"/>
        <v>0</v>
      </c>
      <c r="BW181" s="49">
        <f t="shared" si="497"/>
        <v>0</v>
      </c>
      <c r="BX181" s="49">
        <f t="shared" si="498"/>
        <v>0</v>
      </c>
      <c r="BY181" s="49">
        <f t="shared" si="499"/>
        <v>0</v>
      </c>
      <c r="BZ181" s="49">
        <f t="shared" si="500"/>
        <v>0</v>
      </c>
      <c r="CA181" s="49">
        <f t="shared" si="501"/>
        <v>0</v>
      </c>
      <c r="CB181" s="49">
        <f t="shared" si="502"/>
        <v>108760.68</v>
      </c>
      <c r="CC181" s="49">
        <f t="shared" si="503"/>
        <v>0</v>
      </c>
      <c r="CD181" s="49">
        <f t="shared" si="504"/>
        <v>0</v>
      </c>
      <c r="CE181" s="49">
        <f t="shared" si="505"/>
        <v>0</v>
      </c>
      <c r="CF181" s="49">
        <f t="shared" si="506"/>
        <v>108760.68</v>
      </c>
      <c r="CG181" s="49">
        <f t="shared" si="507"/>
        <v>0</v>
      </c>
      <c r="CH181" s="49">
        <f t="shared" si="508"/>
        <v>145014.24</v>
      </c>
      <c r="CI181" s="49">
        <f t="shared" si="509"/>
        <v>0</v>
      </c>
      <c r="CJ181" s="49">
        <f t="shared" si="510"/>
        <v>0</v>
      </c>
      <c r="CK181" s="49">
        <f t="shared" si="511"/>
        <v>0</v>
      </c>
      <c r="CL181" s="49">
        <f t="shared" si="512"/>
        <v>145014.24</v>
      </c>
      <c r="CM181" s="49">
        <f t="shared" si="513"/>
        <v>0</v>
      </c>
      <c r="CN181" s="49">
        <f t="shared" si="514"/>
        <v>797578.32000000007</v>
      </c>
      <c r="CO181" s="49">
        <f t="shared" si="515"/>
        <v>0</v>
      </c>
      <c r="CP181" s="49">
        <f t="shared" si="516"/>
        <v>0</v>
      </c>
      <c r="CQ181" s="49">
        <f t="shared" si="517"/>
        <v>0</v>
      </c>
      <c r="CR181" s="81">
        <f t="shared" si="518"/>
        <v>797578.32000000007</v>
      </c>
      <c r="CS181" s="80">
        <f t="shared" si="519"/>
        <v>2827777.6799999997</v>
      </c>
      <c r="CT181" s="54"/>
      <c r="CU181" s="3" t="str">
        <f t="shared" si="520"/>
        <v>ARS</v>
      </c>
      <c r="CV181" s="3">
        <f>VLOOKUP(CU181,DF:DG,2,0)</f>
        <v>6.9185169999999997E-4</v>
      </c>
      <c r="CW181" s="23">
        <f t="shared" si="521"/>
        <v>2508.2087117051997</v>
      </c>
      <c r="CX181" s="23">
        <f t="shared" si="522"/>
        <v>0</v>
      </c>
      <c r="CY181" s="23">
        <f t="shared" si="523"/>
        <v>376.23130675578</v>
      </c>
      <c r="CZ181" s="23">
        <f t="shared" si="524"/>
        <v>0</v>
      </c>
      <c r="DA181" s="23">
        <f t="shared" si="525"/>
        <v>75.246261351155994</v>
      </c>
      <c r="DB181" s="23">
        <f t="shared" si="526"/>
        <v>100.32834846820799</v>
      </c>
      <c r="DC181" s="23">
        <f t="shared" si="527"/>
        <v>1956.4027951300557</v>
      </c>
      <c r="DD181" s="34" t="str">
        <f>VLOOKUP(A181,'Billing Report'!H:I,2,FALSE)</f>
        <v>Supervielle_ARG Timeline Takeover Tier 1 2026-02-23</v>
      </c>
      <c r="DE181" s="34"/>
      <c r="DF181" s="61"/>
      <c r="DG181" s="62"/>
      <c r="DH181"/>
      <c r="DI181" s="41"/>
      <c r="DJ181" s="41"/>
    </row>
    <row r="182" spans="1:114" ht="14.5" x14ac:dyDescent="0.35">
      <c r="A182" s="63">
        <v>40925728</v>
      </c>
      <c r="B182" s="3" t="s">
        <v>1098</v>
      </c>
      <c r="C182" s="3">
        <v>324621001</v>
      </c>
      <c r="D182" s="3" t="s">
        <v>93</v>
      </c>
      <c r="G182" s="38">
        <v>2113734.34</v>
      </c>
      <c r="J182" s="33">
        <f>VLOOKUP($B182,'IMS Commission List'!E:CE,79,0)/100</f>
        <v>0.15</v>
      </c>
      <c r="K182" s="79">
        <f t="shared" si="440"/>
        <v>2113734.34</v>
      </c>
      <c r="L182" s="3" t="str">
        <f>VLOOKUP($B182,'IMS Commission List'!E:V,18,0)</f>
        <v>ARS</v>
      </c>
      <c r="M182" s="3">
        <v>1</v>
      </c>
      <c r="N182" s="3" t="str">
        <f>VLOOKUP($B182,'IMS Commission List'!E:T,16,0)</f>
        <v>MX</v>
      </c>
      <c r="O182" s="54">
        <f>VLOOKUP($B182,'IMS Commission List'!E:CF,80,0)</f>
        <v>0</v>
      </c>
      <c r="P182" s="54">
        <f>VLOOKUP($B182,'IMS Commission List'!E:CG,81,0)</f>
        <v>0</v>
      </c>
      <c r="Q182" s="54">
        <f>VLOOKUP($B182,'IMS Commission List'!E:CP,90,0)</f>
        <v>0.03</v>
      </c>
      <c r="R182" s="54">
        <f>VLOOKUP($B182,'IMS Commission List'!E:CQ,91,0)</f>
        <v>0.04</v>
      </c>
      <c r="S182" s="47">
        <f t="shared" si="441"/>
        <v>0</v>
      </c>
      <c r="T182" s="48">
        <f t="shared" si="442"/>
        <v>0</v>
      </c>
      <c r="U182" s="48">
        <f t="shared" si="443"/>
        <v>2113734.34</v>
      </c>
      <c r="V182" s="48">
        <f t="shared" si="444"/>
        <v>0</v>
      </c>
      <c r="W182" s="48">
        <f t="shared" si="445"/>
        <v>0</v>
      </c>
      <c r="X182" s="49">
        <f t="shared" si="446"/>
        <v>2113734.34</v>
      </c>
      <c r="Y182" s="49">
        <f t="shared" si="447"/>
        <v>0</v>
      </c>
      <c r="Z182" s="49">
        <f t="shared" si="448"/>
        <v>0</v>
      </c>
      <c r="AA182" s="49">
        <f t="shared" si="449"/>
        <v>0</v>
      </c>
      <c r="AB182" s="49">
        <f t="shared" si="450"/>
        <v>0</v>
      </c>
      <c r="AC182" s="49">
        <f t="shared" si="451"/>
        <v>0</v>
      </c>
      <c r="AD182" s="49">
        <f t="shared" si="452"/>
        <v>0</v>
      </c>
      <c r="AE182" s="49">
        <f t="shared" si="453"/>
        <v>0</v>
      </c>
      <c r="AF182" s="49">
        <f t="shared" si="454"/>
        <v>0</v>
      </c>
      <c r="AG182" s="49">
        <f t="shared" si="455"/>
        <v>317060.15099999995</v>
      </c>
      <c r="AH182" s="49">
        <f t="shared" si="456"/>
        <v>0</v>
      </c>
      <c r="AI182" s="49">
        <f t="shared" si="457"/>
        <v>0</v>
      </c>
      <c r="AJ182" s="49">
        <f t="shared" si="458"/>
        <v>317060.15099999995</v>
      </c>
      <c r="AK182" s="49">
        <f t="shared" si="459"/>
        <v>0</v>
      </c>
      <c r="AL182" s="49">
        <f t="shared" si="460"/>
        <v>0</v>
      </c>
      <c r="AM182" s="49">
        <f t="shared" si="461"/>
        <v>0</v>
      </c>
      <c r="AN182" s="49">
        <f t="shared" si="462"/>
        <v>0</v>
      </c>
      <c r="AO182" s="49">
        <f t="shared" si="463"/>
        <v>0</v>
      </c>
      <c r="AP182" s="49">
        <f t="shared" si="464"/>
        <v>0</v>
      </c>
      <c r="AQ182" s="49">
        <f t="shared" si="465"/>
        <v>0</v>
      </c>
      <c r="AR182" s="49">
        <f t="shared" si="466"/>
        <v>0</v>
      </c>
      <c r="AS182" s="49">
        <f t="shared" si="467"/>
        <v>63412.030199999994</v>
      </c>
      <c r="AT182" s="49">
        <f t="shared" si="468"/>
        <v>0</v>
      </c>
      <c r="AU182" s="49">
        <f t="shared" si="469"/>
        <v>0</v>
      </c>
      <c r="AV182" s="49">
        <f t="shared" si="470"/>
        <v>63412.030199999994</v>
      </c>
      <c r="AW182" s="49">
        <f t="shared" si="471"/>
        <v>0</v>
      </c>
      <c r="AX182" s="49">
        <f t="shared" si="472"/>
        <v>0</v>
      </c>
      <c r="AY182" s="49">
        <f t="shared" si="473"/>
        <v>84549.373599999992</v>
      </c>
      <c r="AZ182" s="49">
        <f t="shared" si="474"/>
        <v>0</v>
      </c>
      <c r="BA182" s="49">
        <f t="shared" si="475"/>
        <v>0</v>
      </c>
      <c r="BB182" s="49">
        <f t="shared" si="476"/>
        <v>84549.373599999992</v>
      </c>
      <c r="BC182" s="49">
        <f t="shared" si="477"/>
        <v>0</v>
      </c>
      <c r="BD182" s="49">
        <f t="shared" si="478"/>
        <v>0</v>
      </c>
      <c r="BE182" s="49">
        <f t="shared" si="479"/>
        <v>465021.55479999993</v>
      </c>
      <c r="BF182" s="49">
        <f t="shared" si="480"/>
        <v>0</v>
      </c>
      <c r="BG182" s="49">
        <f t="shared" si="481"/>
        <v>0</v>
      </c>
      <c r="BH182" s="49">
        <f t="shared" si="482"/>
        <v>465021.55479999993</v>
      </c>
      <c r="BI182" s="49">
        <f t="shared" si="483"/>
        <v>0</v>
      </c>
      <c r="BJ182" s="49">
        <f t="shared" si="484"/>
        <v>0</v>
      </c>
      <c r="BK182" s="49">
        <f t="shared" si="485"/>
        <v>0</v>
      </c>
      <c r="BL182" s="49">
        <f t="shared" si="486"/>
        <v>0</v>
      </c>
      <c r="BM182" s="49">
        <f t="shared" si="487"/>
        <v>0</v>
      </c>
      <c r="BN182" s="49">
        <f t="shared" si="488"/>
        <v>0</v>
      </c>
      <c r="BO182" s="49">
        <f t="shared" si="489"/>
        <v>0</v>
      </c>
      <c r="BP182" s="49">
        <f t="shared" si="490"/>
        <v>0</v>
      </c>
      <c r="BQ182" s="49">
        <f t="shared" si="491"/>
        <v>317060.15099999995</v>
      </c>
      <c r="BR182" s="49">
        <f t="shared" si="492"/>
        <v>0</v>
      </c>
      <c r="BS182" s="49">
        <f t="shared" si="493"/>
        <v>0</v>
      </c>
      <c r="BT182" s="49">
        <f t="shared" si="494"/>
        <v>317060.15099999995</v>
      </c>
      <c r="BU182" s="49">
        <f t="shared" si="495"/>
        <v>0</v>
      </c>
      <c r="BV182" s="49">
        <f t="shared" si="496"/>
        <v>0</v>
      </c>
      <c r="BW182" s="49">
        <f t="shared" si="497"/>
        <v>0</v>
      </c>
      <c r="BX182" s="49">
        <f t="shared" si="498"/>
        <v>0</v>
      </c>
      <c r="BY182" s="49">
        <f t="shared" si="499"/>
        <v>0</v>
      </c>
      <c r="BZ182" s="49">
        <f t="shared" si="500"/>
        <v>0</v>
      </c>
      <c r="CA182" s="49">
        <f t="shared" si="501"/>
        <v>0</v>
      </c>
      <c r="CB182" s="49">
        <f t="shared" si="502"/>
        <v>0</v>
      </c>
      <c r="CC182" s="49">
        <f t="shared" si="503"/>
        <v>63412.030199999994</v>
      </c>
      <c r="CD182" s="49">
        <f t="shared" si="504"/>
        <v>0</v>
      </c>
      <c r="CE182" s="49">
        <f t="shared" si="505"/>
        <v>0</v>
      </c>
      <c r="CF182" s="49">
        <f t="shared" si="506"/>
        <v>63412.030199999994</v>
      </c>
      <c r="CG182" s="49">
        <f t="shared" si="507"/>
        <v>0</v>
      </c>
      <c r="CH182" s="49">
        <f t="shared" si="508"/>
        <v>0</v>
      </c>
      <c r="CI182" s="49">
        <f t="shared" si="509"/>
        <v>84549.373599999992</v>
      </c>
      <c r="CJ182" s="49">
        <f t="shared" si="510"/>
        <v>0</v>
      </c>
      <c r="CK182" s="49">
        <f t="shared" si="511"/>
        <v>0</v>
      </c>
      <c r="CL182" s="49">
        <f t="shared" si="512"/>
        <v>84549.373599999992</v>
      </c>
      <c r="CM182" s="49">
        <f t="shared" si="513"/>
        <v>0</v>
      </c>
      <c r="CN182" s="49">
        <f t="shared" si="514"/>
        <v>0</v>
      </c>
      <c r="CO182" s="49">
        <f t="shared" si="515"/>
        <v>465021.55479999993</v>
      </c>
      <c r="CP182" s="49">
        <f t="shared" si="516"/>
        <v>0</v>
      </c>
      <c r="CQ182" s="49">
        <f t="shared" si="517"/>
        <v>0</v>
      </c>
      <c r="CR182" s="81">
        <f t="shared" si="518"/>
        <v>465021.55479999993</v>
      </c>
      <c r="CS182" s="80">
        <f t="shared" si="519"/>
        <v>1648712.7851999998</v>
      </c>
      <c r="CT182" s="54"/>
      <c r="CU182" s="3" t="str">
        <f t="shared" si="520"/>
        <v>ARS</v>
      </c>
      <c r="CV182" s="3">
        <f>VLOOKUP(CU182,DF:DG,2,0)</f>
        <v>6.9185169999999997E-4</v>
      </c>
      <c r="CW182" s="23">
        <f t="shared" si="521"/>
        <v>1462.3906964773778</v>
      </c>
      <c r="CX182" s="23">
        <f t="shared" si="522"/>
        <v>0</v>
      </c>
      <c r="CY182" s="23">
        <f t="shared" si="523"/>
        <v>219.35860447160667</v>
      </c>
      <c r="CZ182" s="23">
        <f t="shared" si="524"/>
        <v>0</v>
      </c>
      <c r="DA182" s="23">
        <f t="shared" si="525"/>
        <v>43.871720894321335</v>
      </c>
      <c r="DB182" s="23">
        <f t="shared" si="526"/>
        <v>58.495627859095109</v>
      </c>
      <c r="DC182" s="23">
        <f t="shared" si="527"/>
        <v>1140.6647432523546</v>
      </c>
      <c r="DD182" s="34" t="str">
        <f>VLOOKUP(A182,'Billing Report'!H:I,2,FALSE)</f>
        <v>starcom_argentina_awareness_twitter_social_reach_11022026_CLUB HOUSE_4496810030000</v>
      </c>
      <c r="DE182" s="34"/>
      <c r="DF182" s="61"/>
      <c r="DG182" s="62"/>
      <c r="DH182"/>
      <c r="DI182" s="41"/>
      <c r="DJ182" s="41"/>
    </row>
    <row r="183" spans="1:114" ht="14.5" x14ac:dyDescent="0.35">
      <c r="A183" s="63">
        <v>40930400</v>
      </c>
      <c r="B183" s="3" t="s">
        <v>1102</v>
      </c>
      <c r="C183" s="3">
        <v>324874901</v>
      </c>
      <c r="D183" s="3" t="s">
        <v>93</v>
      </c>
      <c r="G183" s="38">
        <v>999321.21</v>
      </c>
      <c r="J183" s="33">
        <f>VLOOKUP($B183,'IMS Commission List'!E:CE,79,0)/100</f>
        <v>0.15</v>
      </c>
      <c r="K183" s="79">
        <f t="shared" si="440"/>
        <v>999321.21</v>
      </c>
      <c r="L183" s="3" t="str">
        <f>VLOOKUP($B183,'IMS Commission List'!E:V,18,0)</f>
        <v>ARS</v>
      </c>
      <c r="M183" s="3">
        <v>1</v>
      </c>
      <c r="N183" s="3" t="str">
        <f>VLOOKUP($B183,'IMS Commission List'!E:T,16,0)</f>
        <v>MX</v>
      </c>
      <c r="O183" s="54">
        <f>VLOOKUP($B183,'IMS Commission List'!E:CF,80,0)</f>
        <v>0</v>
      </c>
      <c r="P183" s="54">
        <f>VLOOKUP($B183,'IMS Commission List'!E:CG,81,0)</f>
        <v>0</v>
      </c>
      <c r="Q183" s="54">
        <f>VLOOKUP($B183,'IMS Commission List'!E:CP,90,0)</f>
        <v>0.03</v>
      </c>
      <c r="R183" s="54">
        <f>VLOOKUP($B183,'IMS Commission List'!E:CQ,91,0)</f>
        <v>0.04</v>
      </c>
      <c r="S183" s="47">
        <f t="shared" si="441"/>
        <v>0</v>
      </c>
      <c r="T183" s="48">
        <f t="shared" si="442"/>
        <v>0</v>
      </c>
      <c r="U183" s="48">
        <f t="shared" si="443"/>
        <v>999321.21</v>
      </c>
      <c r="V183" s="48">
        <f t="shared" si="444"/>
        <v>0</v>
      </c>
      <c r="W183" s="48">
        <f t="shared" si="445"/>
        <v>0</v>
      </c>
      <c r="X183" s="49">
        <f t="shared" si="446"/>
        <v>999321.21</v>
      </c>
      <c r="Y183" s="49">
        <f t="shared" si="447"/>
        <v>0</v>
      </c>
      <c r="Z183" s="49">
        <f t="shared" si="448"/>
        <v>0</v>
      </c>
      <c r="AA183" s="49">
        <f t="shared" si="449"/>
        <v>0</v>
      </c>
      <c r="AB183" s="49">
        <f t="shared" si="450"/>
        <v>0</v>
      </c>
      <c r="AC183" s="49">
        <f t="shared" si="451"/>
        <v>0</v>
      </c>
      <c r="AD183" s="49">
        <f t="shared" si="452"/>
        <v>0</v>
      </c>
      <c r="AE183" s="49">
        <f t="shared" si="453"/>
        <v>0</v>
      </c>
      <c r="AF183" s="49">
        <f t="shared" si="454"/>
        <v>0</v>
      </c>
      <c r="AG183" s="49">
        <f t="shared" si="455"/>
        <v>149898.18149999998</v>
      </c>
      <c r="AH183" s="49">
        <f t="shared" si="456"/>
        <v>0</v>
      </c>
      <c r="AI183" s="49">
        <f t="shared" si="457"/>
        <v>0</v>
      </c>
      <c r="AJ183" s="49">
        <f t="shared" si="458"/>
        <v>149898.18149999998</v>
      </c>
      <c r="AK183" s="49">
        <f t="shared" si="459"/>
        <v>0</v>
      </c>
      <c r="AL183" s="49">
        <f t="shared" si="460"/>
        <v>0</v>
      </c>
      <c r="AM183" s="49">
        <f t="shared" si="461"/>
        <v>0</v>
      </c>
      <c r="AN183" s="49">
        <f t="shared" si="462"/>
        <v>0</v>
      </c>
      <c r="AO183" s="49">
        <f t="shared" si="463"/>
        <v>0</v>
      </c>
      <c r="AP183" s="49">
        <f t="shared" si="464"/>
        <v>0</v>
      </c>
      <c r="AQ183" s="49">
        <f t="shared" si="465"/>
        <v>0</v>
      </c>
      <c r="AR183" s="49">
        <f t="shared" si="466"/>
        <v>0</v>
      </c>
      <c r="AS183" s="49">
        <f t="shared" si="467"/>
        <v>29979.636299999998</v>
      </c>
      <c r="AT183" s="49">
        <f t="shared" si="468"/>
        <v>0</v>
      </c>
      <c r="AU183" s="49">
        <f t="shared" si="469"/>
        <v>0</v>
      </c>
      <c r="AV183" s="49">
        <f t="shared" si="470"/>
        <v>29979.636299999998</v>
      </c>
      <c r="AW183" s="49">
        <f t="shared" si="471"/>
        <v>0</v>
      </c>
      <c r="AX183" s="49">
        <f t="shared" si="472"/>
        <v>0</v>
      </c>
      <c r="AY183" s="49">
        <f t="shared" si="473"/>
        <v>39972.848400000003</v>
      </c>
      <c r="AZ183" s="49">
        <f t="shared" si="474"/>
        <v>0</v>
      </c>
      <c r="BA183" s="49">
        <f t="shared" si="475"/>
        <v>0</v>
      </c>
      <c r="BB183" s="49">
        <f t="shared" si="476"/>
        <v>39972.848400000003</v>
      </c>
      <c r="BC183" s="49">
        <f t="shared" si="477"/>
        <v>0</v>
      </c>
      <c r="BD183" s="49">
        <f t="shared" si="478"/>
        <v>0</v>
      </c>
      <c r="BE183" s="49">
        <f t="shared" si="479"/>
        <v>219850.66619999998</v>
      </c>
      <c r="BF183" s="49">
        <f t="shared" si="480"/>
        <v>0</v>
      </c>
      <c r="BG183" s="49">
        <f t="shared" si="481"/>
        <v>0</v>
      </c>
      <c r="BH183" s="49">
        <f t="shared" si="482"/>
        <v>219850.66619999998</v>
      </c>
      <c r="BI183" s="49">
        <f t="shared" si="483"/>
        <v>0</v>
      </c>
      <c r="BJ183" s="49">
        <f t="shared" si="484"/>
        <v>0</v>
      </c>
      <c r="BK183" s="49">
        <f t="shared" si="485"/>
        <v>0</v>
      </c>
      <c r="BL183" s="49">
        <f t="shared" si="486"/>
        <v>0</v>
      </c>
      <c r="BM183" s="49">
        <f t="shared" si="487"/>
        <v>0</v>
      </c>
      <c r="BN183" s="49">
        <f t="shared" si="488"/>
        <v>0</v>
      </c>
      <c r="BO183" s="49">
        <f t="shared" si="489"/>
        <v>0</v>
      </c>
      <c r="BP183" s="49">
        <f t="shared" si="490"/>
        <v>0</v>
      </c>
      <c r="BQ183" s="49">
        <f t="shared" si="491"/>
        <v>149898.18149999998</v>
      </c>
      <c r="BR183" s="49">
        <f t="shared" si="492"/>
        <v>0</v>
      </c>
      <c r="BS183" s="49">
        <f t="shared" si="493"/>
        <v>0</v>
      </c>
      <c r="BT183" s="49">
        <f t="shared" si="494"/>
        <v>149898.18149999998</v>
      </c>
      <c r="BU183" s="49">
        <f t="shared" si="495"/>
        <v>0</v>
      </c>
      <c r="BV183" s="49">
        <f t="shared" si="496"/>
        <v>0</v>
      </c>
      <c r="BW183" s="49">
        <f t="shared" si="497"/>
        <v>0</v>
      </c>
      <c r="BX183" s="49">
        <f t="shared" si="498"/>
        <v>0</v>
      </c>
      <c r="BY183" s="49">
        <f t="shared" si="499"/>
        <v>0</v>
      </c>
      <c r="BZ183" s="49">
        <f t="shared" si="500"/>
        <v>0</v>
      </c>
      <c r="CA183" s="49">
        <f t="shared" si="501"/>
        <v>0</v>
      </c>
      <c r="CB183" s="49">
        <f t="shared" si="502"/>
        <v>0</v>
      </c>
      <c r="CC183" s="49">
        <f t="shared" si="503"/>
        <v>29979.636299999998</v>
      </c>
      <c r="CD183" s="49">
        <f t="shared" si="504"/>
        <v>0</v>
      </c>
      <c r="CE183" s="49">
        <f t="shared" si="505"/>
        <v>0</v>
      </c>
      <c r="CF183" s="49">
        <f t="shared" si="506"/>
        <v>29979.636299999998</v>
      </c>
      <c r="CG183" s="49">
        <f t="shared" si="507"/>
        <v>0</v>
      </c>
      <c r="CH183" s="49">
        <f t="shared" si="508"/>
        <v>0</v>
      </c>
      <c r="CI183" s="49">
        <f t="shared" si="509"/>
        <v>39972.848400000003</v>
      </c>
      <c r="CJ183" s="49">
        <f t="shared" si="510"/>
        <v>0</v>
      </c>
      <c r="CK183" s="49">
        <f t="shared" si="511"/>
        <v>0</v>
      </c>
      <c r="CL183" s="49">
        <f t="shared" si="512"/>
        <v>39972.848400000003</v>
      </c>
      <c r="CM183" s="49">
        <f t="shared" si="513"/>
        <v>0</v>
      </c>
      <c r="CN183" s="49">
        <f t="shared" si="514"/>
        <v>0</v>
      </c>
      <c r="CO183" s="49">
        <f t="shared" si="515"/>
        <v>219850.66619999998</v>
      </c>
      <c r="CP183" s="49">
        <f t="shared" si="516"/>
        <v>0</v>
      </c>
      <c r="CQ183" s="49">
        <f t="shared" si="517"/>
        <v>0</v>
      </c>
      <c r="CR183" s="81">
        <f t="shared" si="518"/>
        <v>219850.66619999998</v>
      </c>
      <c r="CS183" s="80">
        <f t="shared" si="519"/>
        <v>779470.54379999998</v>
      </c>
      <c r="CT183" s="54"/>
      <c r="CU183" s="3" t="str">
        <f t="shared" si="520"/>
        <v>ARS</v>
      </c>
      <c r="CV183" s="3">
        <f>VLOOKUP(CU183,DF:DG,2,0)</f>
        <v>6.9185169999999997E-4</v>
      </c>
      <c r="CW183" s="23">
        <f t="shared" si="521"/>
        <v>691.38207798455699</v>
      </c>
      <c r="CX183" s="23">
        <f t="shared" si="522"/>
        <v>0</v>
      </c>
      <c r="CY183" s="23">
        <f t="shared" si="523"/>
        <v>103.70731169768352</v>
      </c>
      <c r="CZ183" s="23">
        <f t="shared" si="524"/>
        <v>0</v>
      </c>
      <c r="DA183" s="23">
        <f t="shared" si="525"/>
        <v>20.741462339536707</v>
      </c>
      <c r="DB183" s="23">
        <f t="shared" si="526"/>
        <v>27.655283119382279</v>
      </c>
      <c r="DC183" s="23">
        <f t="shared" si="527"/>
        <v>539.27802082795438</v>
      </c>
      <c r="DD183" s="34" t="str">
        <f>VLOOKUP(A183,'Billing Report'!H:I,2,FALSE)</f>
        <v>FW_MSC_ADNNAC_EXBRD_BRD_NAC_REACH_X</v>
      </c>
      <c r="DE183" s="34"/>
      <c r="DF183" s="61"/>
      <c r="DG183" s="62"/>
      <c r="DH183"/>
      <c r="DI183" s="41"/>
      <c r="DJ183" s="41"/>
    </row>
    <row r="184" spans="1:114" ht="14.5" x14ac:dyDescent="0.35">
      <c r="A184" s="63">
        <v>40937141</v>
      </c>
      <c r="B184" s="3" t="s">
        <v>1106</v>
      </c>
      <c r="C184" s="3">
        <v>324878401</v>
      </c>
      <c r="D184" s="3" t="s">
        <v>93</v>
      </c>
      <c r="G184" s="38">
        <v>1499044.18</v>
      </c>
      <c r="J184" s="33">
        <f>VLOOKUP($B184,'IMS Commission List'!E:CE,79,0)/100</f>
        <v>0.15</v>
      </c>
      <c r="K184" s="79">
        <f t="shared" si="440"/>
        <v>1499044.18</v>
      </c>
      <c r="L184" s="3" t="str">
        <f>VLOOKUP($B184,'IMS Commission List'!E:V,18,0)</f>
        <v>ARS</v>
      </c>
      <c r="M184" s="3">
        <v>1</v>
      </c>
      <c r="N184" s="3" t="str">
        <f>VLOOKUP($B184,'IMS Commission List'!E:T,16,0)</f>
        <v>MX</v>
      </c>
      <c r="O184" s="54">
        <f>VLOOKUP($B184,'IMS Commission List'!E:CF,80,0)</f>
        <v>0</v>
      </c>
      <c r="P184" s="54">
        <f>VLOOKUP($B184,'IMS Commission List'!E:CG,81,0)</f>
        <v>0</v>
      </c>
      <c r="Q184" s="54">
        <f>VLOOKUP($B184,'IMS Commission List'!E:CP,90,0)</f>
        <v>0.03</v>
      </c>
      <c r="R184" s="54">
        <f>VLOOKUP($B184,'IMS Commission List'!E:CQ,91,0)</f>
        <v>0.04</v>
      </c>
      <c r="S184" s="47">
        <f t="shared" si="441"/>
        <v>0</v>
      </c>
      <c r="T184" s="48">
        <f t="shared" si="442"/>
        <v>0</v>
      </c>
      <c r="U184" s="48">
        <f t="shared" si="443"/>
        <v>1499044.18</v>
      </c>
      <c r="V184" s="48">
        <f t="shared" si="444"/>
        <v>0</v>
      </c>
      <c r="W184" s="48">
        <f t="shared" si="445"/>
        <v>0</v>
      </c>
      <c r="X184" s="49">
        <f t="shared" si="446"/>
        <v>1499044.18</v>
      </c>
      <c r="Y184" s="49">
        <f t="shared" si="447"/>
        <v>0</v>
      </c>
      <c r="Z184" s="49">
        <f t="shared" si="448"/>
        <v>0</v>
      </c>
      <c r="AA184" s="49">
        <f t="shared" si="449"/>
        <v>0</v>
      </c>
      <c r="AB184" s="49">
        <f t="shared" si="450"/>
        <v>0</v>
      </c>
      <c r="AC184" s="49">
        <f t="shared" si="451"/>
        <v>0</v>
      </c>
      <c r="AD184" s="49">
        <f t="shared" si="452"/>
        <v>0</v>
      </c>
      <c r="AE184" s="49">
        <f t="shared" si="453"/>
        <v>0</v>
      </c>
      <c r="AF184" s="49">
        <f t="shared" si="454"/>
        <v>0</v>
      </c>
      <c r="AG184" s="49">
        <f t="shared" si="455"/>
        <v>224856.62699999998</v>
      </c>
      <c r="AH184" s="49">
        <f t="shared" si="456"/>
        <v>0</v>
      </c>
      <c r="AI184" s="49">
        <f t="shared" si="457"/>
        <v>0</v>
      </c>
      <c r="AJ184" s="49">
        <f t="shared" si="458"/>
        <v>224856.62699999998</v>
      </c>
      <c r="AK184" s="49">
        <f t="shared" si="459"/>
        <v>0</v>
      </c>
      <c r="AL184" s="49">
        <f t="shared" si="460"/>
        <v>0</v>
      </c>
      <c r="AM184" s="49">
        <f t="shared" si="461"/>
        <v>0</v>
      </c>
      <c r="AN184" s="49">
        <f t="shared" si="462"/>
        <v>0</v>
      </c>
      <c r="AO184" s="49">
        <f t="shared" si="463"/>
        <v>0</v>
      </c>
      <c r="AP184" s="49">
        <f t="shared" si="464"/>
        <v>0</v>
      </c>
      <c r="AQ184" s="49">
        <f t="shared" si="465"/>
        <v>0</v>
      </c>
      <c r="AR184" s="49">
        <f t="shared" si="466"/>
        <v>0</v>
      </c>
      <c r="AS184" s="49">
        <f t="shared" si="467"/>
        <v>44971.325399999994</v>
      </c>
      <c r="AT184" s="49">
        <f t="shared" si="468"/>
        <v>0</v>
      </c>
      <c r="AU184" s="49">
        <f t="shared" si="469"/>
        <v>0</v>
      </c>
      <c r="AV184" s="49">
        <f t="shared" si="470"/>
        <v>44971.325399999994</v>
      </c>
      <c r="AW184" s="49">
        <f t="shared" si="471"/>
        <v>0</v>
      </c>
      <c r="AX184" s="49">
        <f t="shared" si="472"/>
        <v>0</v>
      </c>
      <c r="AY184" s="49">
        <f t="shared" si="473"/>
        <v>59961.767200000002</v>
      </c>
      <c r="AZ184" s="49">
        <f t="shared" si="474"/>
        <v>0</v>
      </c>
      <c r="BA184" s="49">
        <f t="shared" si="475"/>
        <v>0</v>
      </c>
      <c r="BB184" s="49">
        <f t="shared" si="476"/>
        <v>59961.767200000002</v>
      </c>
      <c r="BC184" s="49">
        <f t="shared" si="477"/>
        <v>0</v>
      </c>
      <c r="BD184" s="49">
        <f t="shared" si="478"/>
        <v>0</v>
      </c>
      <c r="BE184" s="49">
        <f t="shared" si="479"/>
        <v>329789.71959999995</v>
      </c>
      <c r="BF184" s="49">
        <f t="shared" si="480"/>
        <v>0</v>
      </c>
      <c r="BG184" s="49">
        <f t="shared" si="481"/>
        <v>0</v>
      </c>
      <c r="BH184" s="49">
        <f t="shared" si="482"/>
        <v>329789.71959999995</v>
      </c>
      <c r="BI184" s="49">
        <f t="shared" si="483"/>
        <v>0</v>
      </c>
      <c r="BJ184" s="49">
        <f t="shared" si="484"/>
        <v>0</v>
      </c>
      <c r="BK184" s="49">
        <f t="shared" si="485"/>
        <v>0</v>
      </c>
      <c r="BL184" s="49">
        <f t="shared" si="486"/>
        <v>0</v>
      </c>
      <c r="BM184" s="49">
        <f t="shared" si="487"/>
        <v>0</v>
      </c>
      <c r="BN184" s="49">
        <f t="shared" si="488"/>
        <v>0</v>
      </c>
      <c r="BO184" s="49">
        <f t="shared" si="489"/>
        <v>0</v>
      </c>
      <c r="BP184" s="49">
        <f t="shared" si="490"/>
        <v>0</v>
      </c>
      <c r="BQ184" s="49">
        <f t="shared" si="491"/>
        <v>224856.62699999998</v>
      </c>
      <c r="BR184" s="49">
        <f t="shared" si="492"/>
        <v>0</v>
      </c>
      <c r="BS184" s="49">
        <f t="shared" si="493"/>
        <v>0</v>
      </c>
      <c r="BT184" s="49">
        <f t="shared" si="494"/>
        <v>224856.62699999998</v>
      </c>
      <c r="BU184" s="49">
        <f t="shared" si="495"/>
        <v>0</v>
      </c>
      <c r="BV184" s="49">
        <f t="shared" si="496"/>
        <v>0</v>
      </c>
      <c r="BW184" s="49">
        <f t="shared" si="497"/>
        <v>0</v>
      </c>
      <c r="BX184" s="49">
        <f t="shared" si="498"/>
        <v>0</v>
      </c>
      <c r="BY184" s="49">
        <f t="shared" si="499"/>
        <v>0</v>
      </c>
      <c r="BZ184" s="49">
        <f t="shared" si="500"/>
        <v>0</v>
      </c>
      <c r="CA184" s="49">
        <f t="shared" si="501"/>
        <v>0</v>
      </c>
      <c r="CB184" s="49">
        <f t="shared" si="502"/>
        <v>0</v>
      </c>
      <c r="CC184" s="49">
        <f t="shared" si="503"/>
        <v>44971.325399999994</v>
      </c>
      <c r="CD184" s="49">
        <f t="shared" si="504"/>
        <v>0</v>
      </c>
      <c r="CE184" s="49">
        <f t="shared" si="505"/>
        <v>0</v>
      </c>
      <c r="CF184" s="49">
        <f t="shared" si="506"/>
        <v>44971.325399999994</v>
      </c>
      <c r="CG184" s="49">
        <f t="shared" si="507"/>
        <v>0</v>
      </c>
      <c r="CH184" s="49">
        <f t="shared" si="508"/>
        <v>0</v>
      </c>
      <c r="CI184" s="49">
        <f t="shared" si="509"/>
        <v>59961.767200000002</v>
      </c>
      <c r="CJ184" s="49">
        <f t="shared" si="510"/>
        <v>0</v>
      </c>
      <c r="CK184" s="49">
        <f t="shared" si="511"/>
        <v>0</v>
      </c>
      <c r="CL184" s="49">
        <f t="shared" si="512"/>
        <v>59961.767200000002</v>
      </c>
      <c r="CM184" s="49">
        <f t="shared" si="513"/>
        <v>0</v>
      </c>
      <c r="CN184" s="49">
        <f t="shared" si="514"/>
        <v>0</v>
      </c>
      <c r="CO184" s="49">
        <f t="shared" si="515"/>
        <v>329789.71959999995</v>
      </c>
      <c r="CP184" s="49">
        <f t="shared" si="516"/>
        <v>0</v>
      </c>
      <c r="CQ184" s="49">
        <f t="shared" si="517"/>
        <v>0</v>
      </c>
      <c r="CR184" s="81">
        <f t="shared" si="518"/>
        <v>329789.71959999995</v>
      </c>
      <c r="CS184" s="80">
        <f t="shared" si="519"/>
        <v>1169254.4604</v>
      </c>
      <c r="CT184" s="54"/>
      <c r="CU184" s="3" t="str">
        <f t="shared" si="520"/>
        <v>ARS</v>
      </c>
      <c r="CV184" s="3">
        <f>VLOOKUP(CU184,DF:DG,2,0)</f>
        <v>6.9185169999999997E-4</v>
      </c>
      <c r="CW184" s="23">
        <f t="shared" si="521"/>
        <v>1037.1162643081059</v>
      </c>
      <c r="CX184" s="23">
        <f t="shared" si="522"/>
        <v>0</v>
      </c>
      <c r="CY184" s="23">
        <f t="shared" si="523"/>
        <v>155.56743964621589</v>
      </c>
      <c r="CZ184" s="23">
        <f t="shared" si="524"/>
        <v>0</v>
      </c>
      <c r="DA184" s="23">
        <f t="shared" si="525"/>
        <v>31.113487929243174</v>
      </c>
      <c r="DB184" s="23">
        <f t="shared" si="526"/>
        <v>41.484650572324242</v>
      </c>
      <c r="DC184" s="23">
        <f t="shared" si="527"/>
        <v>808.95068616032268</v>
      </c>
      <c r="DD184" s="34" t="str">
        <f>VLOOKUP(A184,'Billing Report'!H:I,2,FALSE)</f>
        <v>ar-r-twitter-t-wc-newcar-cross_models-tactico-ao-02-2026-na--</v>
      </c>
      <c r="DE184" s="34"/>
      <c r="DF184" s="61"/>
      <c r="DG184" s="62"/>
      <c r="DH184"/>
      <c r="DI184" s="41"/>
      <c r="DJ184" s="41"/>
    </row>
    <row r="185" spans="1:114" ht="14.5" x14ac:dyDescent="0.35">
      <c r="A185" s="63">
        <v>40929999</v>
      </c>
      <c r="B185" s="3" t="s">
        <v>1106</v>
      </c>
      <c r="C185" s="3">
        <v>324878401</v>
      </c>
      <c r="D185" s="3" t="s">
        <v>93</v>
      </c>
      <c r="G185" s="38">
        <v>1000786.99</v>
      </c>
      <c r="J185" s="33">
        <f>VLOOKUP($B185,'IMS Commission List'!E:CE,79,0)/100</f>
        <v>0.15</v>
      </c>
      <c r="K185" s="79">
        <f t="shared" si="440"/>
        <v>1000786.99</v>
      </c>
      <c r="L185" s="3" t="str">
        <f>VLOOKUP($B185,'IMS Commission List'!E:V,18,0)</f>
        <v>ARS</v>
      </c>
      <c r="M185" s="3">
        <v>1</v>
      </c>
      <c r="N185" s="3" t="str">
        <f>VLOOKUP($B185,'IMS Commission List'!E:T,16,0)</f>
        <v>MX</v>
      </c>
      <c r="O185" s="54">
        <f>VLOOKUP($B185,'IMS Commission List'!E:CF,80,0)</f>
        <v>0</v>
      </c>
      <c r="P185" s="54">
        <f>VLOOKUP($B185,'IMS Commission List'!E:CG,81,0)</f>
        <v>0</v>
      </c>
      <c r="Q185" s="54">
        <f>VLOOKUP($B185,'IMS Commission List'!E:CP,90,0)</f>
        <v>0.03</v>
      </c>
      <c r="R185" s="54">
        <f>VLOOKUP($B185,'IMS Commission List'!E:CQ,91,0)</f>
        <v>0.04</v>
      </c>
      <c r="S185" s="47">
        <f t="shared" si="441"/>
        <v>0</v>
      </c>
      <c r="T185" s="48">
        <f t="shared" si="442"/>
        <v>0</v>
      </c>
      <c r="U185" s="48">
        <f t="shared" si="443"/>
        <v>1000786.99</v>
      </c>
      <c r="V185" s="48">
        <f t="shared" si="444"/>
        <v>0</v>
      </c>
      <c r="W185" s="48">
        <f t="shared" si="445"/>
        <v>0</v>
      </c>
      <c r="X185" s="49">
        <f t="shared" si="446"/>
        <v>1000786.99</v>
      </c>
      <c r="Y185" s="49">
        <f t="shared" si="447"/>
        <v>0</v>
      </c>
      <c r="Z185" s="49">
        <f t="shared" si="448"/>
        <v>0</v>
      </c>
      <c r="AA185" s="49">
        <f t="shared" si="449"/>
        <v>0</v>
      </c>
      <c r="AB185" s="49">
        <f t="shared" si="450"/>
        <v>0</v>
      </c>
      <c r="AC185" s="49">
        <f t="shared" si="451"/>
        <v>0</v>
      </c>
      <c r="AD185" s="49">
        <f t="shared" si="452"/>
        <v>0</v>
      </c>
      <c r="AE185" s="49">
        <f t="shared" si="453"/>
        <v>0</v>
      </c>
      <c r="AF185" s="49">
        <f t="shared" si="454"/>
        <v>0</v>
      </c>
      <c r="AG185" s="49">
        <f t="shared" si="455"/>
        <v>150118.0485</v>
      </c>
      <c r="AH185" s="49">
        <f t="shared" si="456"/>
        <v>0</v>
      </c>
      <c r="AI185" s="49">
        <f t="shared" si="457"/>
        <v>0</v>
      </c>
      <c r="AJ185" s="49">
        <f t="shared" si="458"/>
        <v>150118.0485</v>
      </c>
      <c r="AK185" s="49">
        <f t="shared" si="459"/>
        <v>0</v>
      </c>
      <c r="AL185" s="49">
        <f t="shared" si="460"/>
        <v>0</v>
      </c>
      <c r="AM185" s="49">
        <f t="shared" si="461"/>
        <v>0</v>
      </c>
      <c r="AN185" s="49">
        <f t="shared" si="462"/>
        <v>0</v>
      </c>
      <c r="AO185" s="49">
        <f t="shared" si="463"/>
        <v>0</v>
      </c>
      <c r="AP185" s="49">
        <f t="shared" si="464"/>
        <v>0</v>
      </c>
      <c r="AQ185" s="49">
        <f t="shared" si="465"/>
        <v>0</v>
      </c>
      <c r="AR185" s="49">
        <f t="shared" si="466"/>
        <v>0</v>
      </c>
      <c r="AS185" s="49">
        <f t="shared" si="467"/>
        <v>30023.609699999997</v>
      </c>
      <c r="AT185" s="49">
        <f t="shared" si="468"/>
        <v>0</v>
      </c>
      <c r="AU185" s="49">
        <f t="shared" si="469"/>
        <v>0</v>
      </c>
      <c r="AV185" s="49">
        <f t="shared" si="470"/>
        <v>30023.609699999997</v>
      </c>
      <c r="AW185" s="49">
        <f t="shared" si="471"/>
        <v>0</v>
      </c>
      <c r="AX185" s="49">
        <f t="shared" si="472"/>
        <v>0</v>
      </c>
      <c r="AY185" s="49">
        <f t="shared" si="473"/>
        <v>40031.479599999999</v>
      </c>
      <c r="AZ185" s="49">
        <f t="shared" si="474"/>
        <v>0</v>
      </c>
      <c r="BA185" s="49">
        <f t="shared" si="475"/>
        <v>0</v>
      </c>
      <c r="BB185" s="49">
        <f t="shared" si="476"/>
        <v>40031.479599999999</v>
      </c>
      <c r="BC185" s="49">
        <f t="shared" si="477"/>
        <v>0</v>
      </c>
      <c r="BD185" s="49">
        <f t="shared" si="478"/>
        <v>0</v>
      </c>
      <c r="BE185" s="49">
        <f t="shared" si="479"/>
        <v>220173.1378</v>
      </c>
      <c r="BF185" s="49">
        <f t="shared" si="480"/>
        <v>0</v>
      </c>
      <c r="BG185" s="49">
        <f t="shared" si="481"/>
        <v>0</v>
      </c>
      <c r="BH185" s="49">
        <f t="shared" si="482"/>
        <v>220173.1378</v>
      </c>
      <c r="BI185" s="49">
        <f t="shared" si="483"/>
        <v>0</v>
      </c>
      <c r="BJ185" s="49">
        <f t="shared" si="484"/>
        <v>0</v>
      </c>
      <c r="BK185" s="49">
        <f t="shared" si="485"/>
        <v>0</v>
      </c>
      <c r="BL185" s="49">
        <f t="shared" si="486"/>
        <v>0</v>
      </c>
      <c r="BM185" s="49">
        <f t="shared" si="487"/>
        <v>0</v>
      </c>
      <c r="BN185" s="49">
        <f t="shared" si="488"/>
        <v>0</v>
      </c>
      <c r="BO185" s="49">
        <f t="shared" si="489"/>
        <v>0</v>
      </c>
      <c r="BP185" s="49">
        <f t="shared" si="490"/>
        <v>0</v>
      </c>
      <c r="BQ185" s="49">
        <f t="shared" si="491"/>
        <v>150118.0485</v>
      </c>
      <c r="BR185" s="49">
        <f t="shared" si="492"/>
        <v>0</v>
      </c>
      <c r="BS185" s="49">
        <f t="shared" si="493"/>
        <v>0</v>
      </c>
      <c r="BT185" s="49">
        <f t="shared" si="494"/>
        <v>150118.0485</v>
      </c>
      <c r="BU185" s="49">
        <f t="shared" si="495"/>
        <v>0</v>
      </c>
      <c r="BV185" s="49">
        <f t="shared" si="496"/>
        <v>0</v>
      </c>
      <c r="BW185" s="49">
        <f t="shared" si="497"/>
        <v>0</v>
      </c>
      <c r="BX185" s="49">
        <f t="shared" si="498"/>
        <v>0</v>
      </c>
      <c r="BY185" s="49">
        <f t="shared" si="499"/>
        <v>0</v>
      </c>
      <c r="BZ185" s="49">
        <f t="shared" si="500"/>
        <v>0</v>
      </c>
      <c r="CA185" s="49">
        <f t="shared" si="501"/>
        <v>0</v>
      </c>
      <c r="CB185" s="49">
        <f t="shared" si="502"/>
        <v>0</v>
      </c>
      <c r="CC185" s="49">
        <f t="shared" si="503"/>
        <v>30023.609699999997</v>
      </c>
      <c r="CD185" s="49">
        <f t="shared" si="504"/>
        <v>0</v>
      </c>
      <c r="CE185" s="49">
        <f t="shared" si="505"/>
        <v>0</v>
      </c>
      <c r="CF185" s="49">
        <f t="shared" si="506"/>
        <v>30023.609699999997</v>
      </c>
      <c r="CG185" s="49">
        <f t="shared" si="507"/>
        <v>0</v>
      </c>
      <c r="CH185" s="49">
        <f t="shared" si="508"/>
        <v>0</v>
      </c>
      <c r="CI185" s="49">
        <f t="shared" si="509"/>
        <v>40031.479599999999</v>
      </c>
      <c r="CJ185" s="49">
        <f t="shared" si="510"/>
        <v>0</v>
      </c>
      <c r="CK185" s="49">
        <f t="shared" si="511"/>
        <v>0</v>
      </c>
      <c r="CL185" s="49">
        <f t="shared" si="512"/>
        <v>40031.479599999999</v>
      </c>
      <c r="CM185" s="49">
        <f t="shared" si="513"/>
        <v>0</v>
      </c>
      <c r="CN185" s="49">
        <f t="shared" si="514"/>
        <v>0</v>
      </c>
      <c r="CO185" s="49">
        <f t="shared" si="515"/>
        <v>220173.1378</v>
      </c>
      <c r="CP185" s="49">
        <f t="shared" si="516"/>
        <v>0</v>
      </c>
      <c r="CQ185" s="49">
        <f t="shared" si="517"/>
        <v>0</v>
      </c>
      <c r="CR185" s="81">
        <f t="shared" si="518"/>
        <v>220173.1378</v>
      </c>
      <c r="CS185" s="80">
        <f t="shared" si="519"/>
        <v>780613.85219999996</v>
      </c>
      <c r="CT185" s="54"/>
      <c r="CU185" s="3" t="str">
        <f t="shared" si="520"/>
        <v>ARS</v>
      </c>
      <c r="CV185" s="3">
        <f>VLOOKUP(CU185,DF:DG,2,0)</f>
        <v>6.9185169999999997E-4</v>
      </c>
      <c r="CW185" s="23">
        <f t="shared" si="521"/>
        <v>692.39618036938293</v>
      </c>
      <c r="CX185" s="23">
        <f t="shared" si="522"/>
        <v>0</v>
      </c>
      <c r="CY185" s="23">
        <f t="shared" si="523"/>
        <v>103.85942705540745</v>
      </c>
      <c r="CZ185" s="23">
        <f t="shared" si="524"/>
        <v>0</v>
      </c>
      <c r="DA185" s="23">
        <f t="shared" si="525"/>
        <v>20.771885411081488</v>
      </c>
      <c r="DB185" s="23">
        <f t="shared" si="526"/>
        <v>27.695847214775316</v>
      </c>
      <c r="DC185" s="23">
        <f t="shared" si="527"/>
        <v>540.06902068811871</v>
      </c>
      <c r="DD185" s="34" t="str">
        <f>VLOOKUP(A185,'Billing Report'!H:I,2,FALSE)</f>
        <v>ar-r-twitter-a-re-newcar-cross_models-tactico-ao-02-2026-na--</v>
      </c>
      <c r="DE185" s="34"/>
      <c r="DF185" s="61"/>
      <c r="DG185" s="62"/>
      <c r="DH185"/>
      <c r="DI185" s="41"/>
      <c r="DJ185" s="41"/>
    </row>
    <row r="186" spans="1:114" ht="14.5" x14ac:dyDescent="0.35">
      <c r="A186" s="63"/>
      <c r="B186" s="3" t="s">
        <v>1112</v>
      </c>
      <c r="C186" s="3">
        <v>324878901</v>
      </c>
      <c r="D186" s="3" t="s">
        <v>93</v>
      </c>
      <c r="G186" s="38">
        <v>-4290.3599999999997</v>
      </c>
      <c r="J186" s="33">
        <f>VLOOKUP($B186,'IMS Commission List'!E:CE,79,0)/100</f>
        <v>0.15</v>
      </c>
      <c r="K186" s="79">
        <f t="shared" si="440"/>
        <v>-4290.3599999999997</v>
      </c>
      <c r="L186" s="3" t="str">
        <f>VLOOKUP($B186,'IMS Commission List'!E:V,18,0)</f>
        <v>ARS</v>
      </c>
      <c r="M186" s="3">
        <v>1</v>
      </c>
      <c r="N186" s="3" t="str">
        <f>VLOOKUP($B186,'IMS Commission List'!E:T,16,0)</f>
        <v>MX</v>
      </c>
      <c r="O186" s="54">
        <f>VLOOKUP($B186,'IMS Commission List'!E:CF,80,0)</f>
        <v>0</v>
      </c>
      <c r="P186" s="54">
        <f>VLOOKUP($B186,'IMS Commission List'!E:CG,81,0)</f>
        <v>0</v>
      </c>
      <c r="Q186" s="54">
        <f>VLOOKUP($B186,'IMS Commission List'!E:CP,90,0)</f>
        <v>0.03</v>
      </c>
      <c r="R186" s="54">
        <f>VLOOKUP($B186,'IMS Commission List'!E:CQ,91,0)</f>
        <v>0.04</v>
      </c>
      <c r="S186" s="47">
        <f t="shared" si="441"/>
        <v>0</v>
      </c>
      <c r="T186" s="48">
        <f t="shared" si="442"/>
        <v>0</v>
      </c>
      <c r="U186" s="48">
        <f t="shared" si="443"/>
        <v>-4290.3599999999997</v>
      </c>
      <c r="V186" s="48">
        <f t="shared" si="444"/>
        <v>0</v>
      </c>
      <c r="W186" s="48">
        <f t="shared" si="445"/>
        <v>0</v>
      </c>
      <c r="X186" s="49">
        <f t="shared" si="446"/>
        <v>-4290.3599999999997</v>
      </c>
      <c r="Y186" s="49">
        <f t="shared" si="447"/>
        <v>0</v>
      </c>
      <c r="Z186" s="49">
        <f t="shared" si="448"/>
        <v>0</v>
      </c>
      <c r="AA186" s="49">
        <f t="shared" si="449"/>
        <v>0</v>
      </c>
      <c r="AB186" s="49">
        <f t="shared" si="450"/>
        <v>0</v>
      </c>
      <c r="AC186" s="49">
        <f t="shared" si="451"/>
        <v>0</v>
      </c>
      <c r="AD186" s="49">
        <f t="shared" si="452"/>
        <v>0</v>
      </c>
      <c r="AE186" s="49">
        <f t="shared" si="453"/>
        <v>0</v>
      </c>
      <c r="AF186" s="49">
        <f t="shared" si="454"/>
        <v>0</v>
      </c>
      <c r="AG186" s="49">
        <f t="shared" si="455"/>
        <v>-643.55399999999997</v>
      </c>
      <c r="AH186" s="49">
        <f t="shared" si="456"/>
        <v>0</v>
      </c>
      <c r="AI186" s="49">
        <f t="shared" si="457"/>
        <v>0</v>
      </c>
      <c r="AJ186" s="49">
        <f t="shared" si="458"/>
        <v>-643.55399999999997</v>
      </c>
      <c r="AK186" s="49">
        <f t="shared" si="459"/>
        <v>0</v>
      </c>
      <c r="AL186" s="49">
        <f t="shared" si="460"/>
        <v>0</v>
      </c>
      <c r="AM186" s="49">
        <f t="shared" si="461"/>
        <v>0</v>
      </c>
      <c r="AN186" s="49">
        <f t="shared" si="462"/>
        <v>0</v>
      </c>
      <c r="AO186" s="49">
        <f t="shared" si="463"/>
        <v>0</v>
      </c>
      <c r="AP186" s="49">
        <f t="shared" si="464"/>
        <v>0</v>
      </c>
      <c r="AQ186" s="49">
        <f t="shared" si="465"/>
        <v>0</v>
      </c>
      <c r="AR186" s="49">
        <f t="shared" si="466"/>
        <v>0</v>
      </c>
      <c r="AS186" s="49">
        <f t="shared" si="467"/>
        <v>-128.71079999999998</v>
      </c>
      <c r="AT186" s="49">
        <f t="shared" si="468"/>
        <v>0</v>
      </c>
      <c r="AU186" s="49">
        <f t="shared" si="469"/>
        <v>0</v>
      </c>
      <c r="AV186" s="49">
        <f t="shared" si="470"/>
        <v>-128.71079999999998</v>
      </c>
      <c r="AW186" s="49">
        <f t="shared" si="471"/>
        <v>0</v>
      </c>
      <c r="AX186" s="49">
        <f t="shared" si="472"/>
        <v>0</v>
      </c>
      <c r="AY186" s="49">
        <f t="shared" si="473"/>
        <v>-171.61439999999999</v>
      </c>
      <c r="AZ186" s="49">
        <f t="shared" si="474"/>
        <v>0</v>
      </c>
      <c r="BA186" s="49">
        <f t="shared" si="475"/>
        <v>0</v>
      </c>
      <c r="BB186" s="49">
        <f t="shared" si="476"/>
        <v>-171.61439999999999</v>
      </c>
      <c r="BC186" s="49">
        <f t="shared" si="477"/>
        <v>0</v>
      </c>
      <c r="BD186" s="49">
        <f t="shared" si="478"/>
        <v>0</v>
      </c>
      <c r="BE186" s="49">
        <f t="shared" si="479"/>
        <v>-943.87919999999986</v>
      </c>
      <c r="BF186" s="49">
        <f t="shared" si="480"/>
        <v>0</v>
      </c>
      <c r="BG186" s="49">
        <f t="shared" si="481"/>
        <v>0</v>
      </c>
      <c r="BH186" s="49">
        <f t="shared" si="482"/>
        <v>-943.87919999999986</v>
      </c>
      <c r="BI186" s="49">
        <f t="shared" si="483"/>
        <v>0</v>
      </c>
      <c r="BJ186" s="49">
        <f t="shared" si="484"/>
        <v>0</v>
      </c>
      <c r="BK186" s="49">
        <f t="shared" si="485"/>
        <v>0</v>
      </c>
      <c r="BL186" s="49">
        <f t="shared" si="486"/>
        <v>0</v>
      </c>
      <c r="BM186" s="49">
        <f t="shared" si="487"/>
        <v>0</v>
      </c>
      <c r="BN186" s="49">
        <f t="shared" si="488"/>
        <v>0</v>
      </c>
      <c r="BO186" s="49">
        <f t="shared" si="489"/>
        <v>0</v>
      </c>
      <c r="BP186" s="49">
        <f t="shared" si="490"/>
        <v>0</v>
      </c>
      <c r="BQ186" s="49">
        <f t="shared" si="491"/>
        <v>-643.55399999999997</v>
      </c>
      <c r="BR186" s="49">
        <f t="shared" si="492"/>
        <v>0</v>
      </c>
      <c r="BS186" s="49">
        <f t="shared" si="493"/>
        <v>0</v>
      </c>
      <c r="BT186" s="49">
        <f t="shared" si="494"/>
        <v>-643.55399999999997</v>
      </c>
      <c r="BU186" s="49">
        <f t="shared" si="495"/>
        <v>0</v>
      </c>
      <c r="BV186" s="49">
        <f t="shared" si="496"/>
        <v>0</v>
      </c>
      <c r="BW186" s="49">
        <f t="shared" si="497"/>
        <v>0</v>
      </c>
      <c r="BX186" s="49">
        <f t="shared" si="498"/>
        <v>0</v>
      </c>
      <c r="BY186" s="49">
        <f t="shared" si="499"/>
        <v>0</v>
      </c>
      <c r="BZ186" s="49">
        <f t="shared" si="500"/>
        <v>0</v>
      </c>
      <c r="CA186" s="49">
        <f t="shared" si="501"/>
        <v>0</v>
      </c>
      <c r="CB186" s="49">
        <f t="shared" si="502"/>
        <v>0</v>
      </c>
      <c r="CC186" s="49">
        <f t="shared" si="503"/>
        <v>-128.71079999999998</v>
      </c>
      <c r="CD186" s="49">
        <f t="shared" si="504"/>
        <v>0</v>
      </c>
      <c r="CE186" s="49">
        <f t="shared" si="505"/>
        <v>0</v>
      </c>
      <c r="CF186" s="49">
        <f t="shared" si="506"/>
        <v>-128.71079999999998</v>
      </c>
      <c r="CG186" s="49">
        <f t="shared" si="507"/>
        <v>0</v>
      </c>
      <c r="CH186" s="49">
        <f t="shared" si="508"/>
        <v>0</v>
      </c>
      <c r="CI186" s="49">
        <f t="shared" si="509"/>
        <v>-171.61439999999999</v>
      </c>
      <c r="CJ186" s="49">
        <f t="shared" si="510"/>
        <v>0</v>
      </c>
      <c r="CK186" s="49">
        <f t="shared" si="511"/>
        <v>0</v>
      </c>
      <c r="CL186" s="49">
        <f t="shared" si="512"/>
        <v>-171.61439999999999</v>
      </c>
      <c r="CM186" s="49">
        <f t="shared" si="513"/>
        <v>0</v>
      </c>
      <c r="CN186" s="49">
        <f t="shared" si="514"/>
        <v>0</v>
      </c>
      <c r="CO186" s="49">
        <f t="shared" si="515"/>
        <v>-943.87919999999986</v>
      </c>
      <c r="CP186" s="49">
        <f t="shared" si="516"/>
        <v>0</v>
      </c>
      <c r="CQ186" s="49">
        <f t="shared" si="517"/>
        <v>0</v>
      </c>
      <c r="CR186" s="81">
        <f t="shared" si="518"/>
        <v>-943.87919999999986</v>
      </c>
      <c r="CS186" s="80">
        <f t="shared" si="519"/>
        <v>-3346.4807999999998</v>
      </c>
      <c r="CT186" s="54"/>
      <c r="CU186" s="3" t="str">
        <f t="shared" si="520"/>
        <v>ARS</v>
      </c>
      <c r="CV186" s="3">
        <f>VLOOKUP(CU186,DF:DG,2,0)</f>
        <v>6.9185169999999997E-4</v>
      </c>
      <c r="CW186" s="23">
        <f t="shared" si="521"/>
        <v>-2.9682928596119997</v>
      </c>
      <c r="CX186" s="23">
        <f t="shared" si="522"/>
        <v>0</v>
      </c>
      <c r="CY186" s="23">
        <f t="shared" si="523"/>
        <v>-0.44524392894179998</v>
      </c>
      <c r="CZ186" s="23">
        <f t="shared" si="524"/>
        <v>0</v>
      </c>
      <c r="DA186" s="23">
        <f t="shared" si="525"/>
        <v>-8.904878578835998E-2</v>
      </c>
      <c r="DB186" s="23">
        <f t="shared" si="526"/>
        <v>-0.11873171438447999</v>
      </c>
      <c r="DC186" s="23">
        <f t="shared" si="527"/>
        <v>-2.3152684304973596</v>
      </c>
      <c r="DD186" s="34" t="e">
        <f>VLOOKUP(A186,'Billing Report'!H:I,2,FALSE)</f>
        <v>#N/A</v>
      </c>
      <c r="DE186" s="34"/>
      <c r="DF186" s="61"/>
      <c r="DG186" s="62"/>
      <c r="DH186"/>
      <c r="DI186" s="41"/>
      <c r="DJ186" s="41"/>
    </row>
    <row r="187" spans="1:114" ht="14.5" x14ac:dyDescent="0.35">
      <c r="A187" s="63">
        <v>40931622</v>
      </c>
      <c r="B187" s="3" t="s">
        <v>1112</v>
      </c>
      <c r="C187" s="3">
        <v>324878901</v>
      </c>
      <c r="D187" s="3" t="s">
        <v>93</v>
      </c>
      <c r="G187" s="38">
        <v>2688693.47</v>
      </c>
      <c r="J187" s="33">
        <f>VLOOKUP($B187,'IMS Commission List'!E:CE,79,0)/100</f>
        <v>0.15</v>
      </c>
      <c r="K187" s="79">
        <f t="shared" si="440"/>
        <v>2688693.47</v>
      </c>
      <c r="L187" s="3" t="str">
        <f>VLOOKUP($B187,'IMS Commission List'!E:V,18,0)</f>
        <v>ARS</v>
      </c>
      <c r="M187" s="3">
        <v>1</v>
      </c>
      <c r="N187" s="3" t="str">
        <f>VLOOKUP($B187,'IMS Commission List'!E:T,16,0)</f>
        <v>MX</v>
      </c>
      <c r="O187" s="54">
        <f>VLOOKUP($B187,'IMS Commission List'!E:CF,80,0)</f>
        <v>0</v>
      </c>
      <c r="P187" s="54">
        <f>VLOOKUP($B187,'IMS Commission List'!E:CG,81,0)</f>
        <v>0</v>
      </c>
      <c r="Q187" s="54">
        <f>VLOOKUP($B187,'IMS Commission List'!E:CP,90,0)</f>
        <v>0.03</v>
      </c>
      <c r="R187" s="54">
        <f>VLOOKUP($B187,'IMS Commission List'!E:CQ,91,0)</f>
        <v>0.04</v>
      </c>
      <c r="S187" s="47">
        <f t="shared" si="441"/>
        <v>0</v>
      </c>
      <c r="T187" s="48">
        <f t="shared" si="442"/>
        <v>0</v>
      </c>
      <c r="U187" s="48">
        <f t="shared" si="443"/>
        <v>2688693.47</v>
      </c>
      <c r="V187" s="48">
        <f t="shared" si="444"/>
        <v>0</v>
      </c>
      <c r="W187" s="48">
        <f t="shared" si="445"/>
        <v>0</v>
      </c>
      <c r="X187" s="49">
        <f t="shared" si="446"/>
        <v>2688693.47</v>
      </c>
      <c r="Y187" s="49">
        <f t="shared" si="447"/>
        <v>0</v>
      </c>
      <c r="Z187" s="49">
        <f t="shared" si="448"/>
        <v>0</v>
      </c>
      <c r="AA187" s="49">
        <f t="shared" si="449"/>
        <v>0</v>
      </c>
      <c r="AB187" s="49">
        <f t="shared" si="450"/>
        <v>0</v>
      </c>
      <c r="AC187" s="49">
        <f t="shared" si="451"/>
        <v>0</v>
      </c>
      <c r="AD187" s="49">
        <f t="shared" si="452"/>
        <v>0</v>
      </c>
      <c r="AE187" s="49">
        <f t="shared" si="453"/>
        <v>0</v>
      </c>
      <c r="AF187" s="49">
        <f t="shared" si="454"/>
        <v>0</v>
      </c>
      <c r="AG187" s="49">
        <f t="shared" si="455"/>
        <v>403304.02050000004</v>
      </c>
      <c r="AH187" s="49">
        <f t="shared" si="456"/>
        <v>0</v>
      </c>
      <c r="AI187" s="49">
        <f t="shared" si="457"/>
        <v>0</v>
      </c>
      <c r="AJ187" s="49">
        <f t="shared" si="458"/>
        <v>403304.02050000004</v>
      </c>
      <c r="AK187" s="49">
        <f t="shared" si="459"/>
        <v>0</v>
      </c>
      <c r="AL187" s="49">
        <f t="shared" si="460"/>
        <v>0</v>
      </c>
      <c r="AM187" s="49">
        <f t="shared" si="461"/>
        <v>0</v>
      </c>
      <c r="AN187" s="49">
        <f t="shared" si="462"/>
        <v>0</v>
      </c>
      <c r="AO187" s="49">
        <f t="shared" si="463"/>
        <v>0</v>
      </c>
      <c r="AP187" s="49">
        <f t="shared" si="464"/>
        <v>0</v>
      </c>
      <c r="AQ187" s="49">
        <f t="shared" si="465"/>
        <v>0</v>
      </c>
      <c r="AR187" s="49">
        <f t="shared" si="466"/>
        <v>0</v>
      </c>
      <c r="AS187" s="49">
        <f t="shared" si="467"/>
        <v>80660.804100000008</v>
      </c>
      <c r="AT187" s="49">
        <f t="shared" si="468"/>
        <v>0</v>
      </c>
      <c r="AU187" s="49">
        <f t="shared" si="469"/>
        <v>0</v>
      </c>
      <c r="AV187" s="49">
        <f t="shared" si="470"/>
        <v>80660.804100000008</v>
      </c>
      <c r="AW187" s="49">
        <f t="shared" si="471"/>
        <v>0</v>
      </c>
      <c r="AX187" s="49">
        <f t="shared" si="472"/>
        <v>0</v>
      </c>
      <c r="AY187" s="49">
        <f t="shared" si="473"/>
        <v>107547.73880000001</v>
      </c>
      <c r="AZ187" s="49">
        <f t="shared" si="474"/>
        <v>0</v>
      </c>
      <c r="BA187" s="49">
        <f t="shared" si="475"/>
        <v>0</v>
      </c>
      <c r="BB187" s="49">
        <f t="shared" si="476"/>
        <v>107547.73880000001</v>
      </c>
      <c r="BC187" s="49">
        <f t="shared" si="477"/>
        <v>0</v>
      </c>
      <c r="BD187" s="49">
        <f t="shared" si="478"/>
        <v>0</v>
      </c>
      <c r="BE187" s="49">
        <f t="shared" si="479"/>
        <v>591512.5634000001</v>
      </c>
      <c r="BF187" s="49">
        <f t="shared" si="480"/>
        <v>0</v>
      </c>
      <c r="BG187" s="49">
        <f t="shared" si="481"/>
        <v>0</v>
      </c>
      <c r="BH187" s="49">
        <f t="shared" si="482"/>
        <v>591512.5634000001</v>
      </c>
      <c r="BI187" s="49">
        <f t="shared" si="483"/>
        <v>0</v>
      </c>
      <c r="BJ187" s="49">
        <f t="shared" si="484"/>
        <v>0</v>
      </c>
      <c r="BK187" s="49">
        <f t="shared" si="485"/>
        <v>0</v>
      </c>
      <c r="BL187" s="49">
        <f t="shared" si="486"/>
        <v>0</v>
      </c>
      <c r="BM187" s="49">
        <f t="shared" si="487"/>
        <v>0</v>
      </c>
      <c r="BN187" s="49">
        <f t="shared" si="488"/>
        <v>0</v>
      </c>
      <c r="BO187" s="49">
        <f t="shared" si="489"/>
        <v>0</v>
      </c>
      <c r="BP187" s="49">
        <f t="shared" si="490"/>
        <v>0</v>
      </c>
      <c r="BQ187" s="49">
        <f t="shared" si="491"/>
        <v>403304.02050000004</v>
      </c>
      <c r="BR187" s="49">
        <f t="shared" si="492"/>
        <v>0</v>
      </c>
      <c r="BS187" s="49">
        <f t="shared" si="493"/>
        <v>0</v>
      </c>
      <c r="BT187" s="49">
        <f t="shared" si="494"/>
        <v>403304.02050000004</v>
      </c>
      <c r="BU187" s="49">
        <f t="shared" si="495"/>
        <v>0</v>
      </c>
      <c r="BV187" s="49">
        <f t="shared" si="496"/>
        <v>0</v>
      </c>
      <c r="BW187" s="49">
        <f t="shared" si="497"/>
        <v>0</v>
      </c>
      <c r="BX187" s="49">
        <f t="shared" si="498"/>
        <v>0</v>
      </c>
      <c r="BY187" s="49">
        <f t="shared" si="499"/>
        <v>0</v>
      </c>
      <c r="BZ187" s="49">
        <f t="shared" si="500"/>
        <v>0</v>
      </c>
      <c r="CA187" s="49">
        <f t="shared" si="501"/>
        <v>0</v>
      </c>
      <c r="CB187" s="49">
        <f t="shared" si="502"/>
        <v>0</v>
      </c>
      <c r="CC187" s="49">
        <f t="shared" si="503"/>
        <v>80660.804100000008</v>
      </c>
      <c r="CD187" s="49">
        <f t="shared" si="504"/>
        <v>0</v>
      </c>
      <c r="CE187" s="49">
        <f t="shared" si="505"/>
        <v>0</v>
      </c>
      <c r="CF187" s="49">
        <f t="shared" si="506"/>
        <v>80660.804100000008</v>
      </c>
      <c r="CG187" s="49">
        <f t="shared" si="507"/>
        <v>0</v>
      </c>
      <c r="CH187" s="49">
        <f t="shared" si="508"/>
        <v>0</v>
      </c>
      <c r="CI187" s="49">
        <f t="shared" si="509"/>
        <v>107547.73880000001</v>
      </c>
      <c r="CJ187" s="49">
        <f t="shared" si="510"/>
        <v>0</v>
      </c>
      <c r="CK187" s="49">
        <f t="shared" si="511"/>
        <v>0</v>
      </c>
      <c r="CL187" s="49">
        <f t="shared" si="512"/>
        <v>107547.73880000001</v>
      </c>
      <c r="CM187" s="49">
        <f t="shared" si="513"/>
        <v>0</v>
      </c>
      <c r="CN187" s="49">
        <f t="shared" si="514"/>
        <v>0</v>
      </c>
      <c r="CO187" s="49">
        <f t="shared" si="515"/>
        <v>591512.5634000001</v>
      </c>
      <c r="CP187" s="49">
        <f t="shared" si="516"/>
        <v>0</v>
      </c>
      <c r="CQ187" s="49">
        <f t="shared" si="517"/>
        <v>0</v>
      </c>
      <c r="CR187" s="81">
        <f t="shared" si="518"/>
        <v>591512.5634000001</v>
      </c>
      <c r="CS187" s="80">
        <f t="shared" si="519"/>
        <v>2097180.9066000003</v>
      </c>
      <c r="CT187" s="54"/>
      <c r="CU187" s="3" t="str">
        <f t="shared" si="520"/>
        <v>ARS</v>
      </c>
      <c r="CV187" s="3">
        <f>VLOOKUP(CU187,DF:DG,2,0)</f>
        <v>6.9185169999999997E-4</v>
      </c>
      <c r="CW187" s="23">
        <f t="shared" si="521"/>
        <v>1860.1771479983991</v>
      </c>
      <c r="CX187" s="23">
        <f t="shared" si="522"/>
        <v>0</v>
      </c>
      <c r="CY187" s="23">
        <f t="shared" si="523"/>
        <v>279.02657219975987</v>
      </c>
      <c r="CZ187" s="23">
        <f t="shared" si="524"/>
        <v>0</v>
      </c>
      <c r="DA187" s="23">
        <f t="shared" si="525"/>
        <v>55.805314439951971</v>
      </c>
      <c r="DB187" s="23">
        <f t="shared" si="526"/>
        <v>74.407085919935966</v>
      </c>
      <c r="DC187" s="23">
        <f t="shared" si="527"/>
        <v>1450.9381754387514</v>
      </c>
      <c r="DD187" s="34" t="str">
        <f>VLOOKUP(A187,'Billing Report'!H:I,2,FALSE)</f>
        <v>ypf_boxes-tw-trafico-season-aofebrero2026-2026-feb</v>
      </c>
      <c r="DE187" s="34"/>
      <c r="DF187" s="61"/>
      <c r="DG187" s="62"/>
      <c r="DH187"/>
      <c r="DI187" s="41"/>
      <c r="DJ187" s="41"/>
    </row>
    <row r="188" spans="1:114" ht="14.5" x14ac:dyDescent="0.35">
      <c r="A188" s="63">
        <v>40931585</v>
      </c>
      <c r="B188" s="3" t="s">
        <v>1112</v>
      </c>
      <c r="C188" s="3">
        <v>324878901</v>
      </c>
      <c r="D188" s="3" t="s">
        <v>93</v>
      </c>
      <c r="G188" s="38">
        <v>3511586.88</v>
      </c>
      <c r="J188" s="33">
        <f>VLOOKUP($B188,'IMS Commission List'!E:CE,79,0)/100</f>
        <v>0.15</v>
      </c>
      <c r="K188" s="79">
        <f t="shared" si="440"/>
        <v>3511586.88</v>
      </c>
      <c r="L188" s="3" t="str">
        <f>VLOOKUP($B188,'IMS Commission List'!E:V,18,0)</f>
        <v>ARS</v>
      </c>
      <c r="M188" s="3">
        <v>1</v>
      </c>
      <c r="N188" s="3" t="str">
        <f>VLOOKUP($B188,'IMS Commission List'!E:T,16,0)</f>
        <v>MX</v>
      </c>
      <c r="O188" s="54">
        <f>VLOOKUP($B188,'IMS Commission List'!E:CF,80,0)</f>
        <v>0</v>
      </c>
      <c r="P188" s="54">
        <f>VLOOKUP($B188,'IMS Commission List'!E:CG,81,0)</f>
        <v>0</v>
      </c>
      <c r="Q188" s="54">
        <f>VLOOKUP($B188,'IMS Commission List'!E:CP,90,0)</f>
        <v>0.03</v>
      </c>
      <c r="R188" s="54">
        <f>VLOOKUP($B188,'IMS Commission List'!E:CQ,91,0)</f>
        <v>0.04</v>
      </c>
      <c r="S188" s="47">
        <f t="shared" si="441"/>
        <v>0</v>
      </c>
      <c r="T188" s="48">
        <f t="shared" si="442"/>
        <v>0</v>
      </c>
      <c r="U188" s="48">
        <f t="shared" si="443"/>
        <v>3511586.88</v>
      </c>
      <c r="V188" s="48">
        <f t="shared" si="444"/>
        <v>0</v>
      </c>
      <c r="W188" s="48">
        <f t="shared" si="445"/>
        <v>0</v>
      </c>
      <c r="X188" s="49">
        <f t="shared" si="446"/>
        <v>3511586.88</v>
      </c>
      <c r="Y188" s="49">
        <f t="shared" si="447"/>
        <v>0</v>
      </c>
      <c r="Z188" s="49">
        <f t="shared" si="448"/>
        <v>0</v>
      </c>
      <c r="AA188" s="49">
        <f t="shared" si="449"/>
        <v>0</v>
      </c>
      <c r="AB188" s="49">
        <f t="shared" si="450"/>
        <v>0</v>
      </c>
      <c r="AC188" s="49">
        <f t="shared" si="451"/>
        <v>0</v>
      </c>
      <c r="AD188" s="49">
        <f t="shared" si="452"/>
        <v>0</v>
      </c>
      <c r="AE188" s="49">
        <f t="shared" si="453"/>
        <v>0</v>
      </c>
      <c r="AF188" s="49">
        <f t="shared" si="454"/>
        <v>0</v>
      </c>
      <c r="AG188" s="49">
        <f t="shared" si="455"/>
        <v>526738.03200000001</v>
      </c>
      <c r="AH188" s="49">
        <f t="shared" si="456"/>
        <v>0</v>
      </c>
      <c r="AI188" s="49">
        <f t="shared" si="457"/>
        <v>0</v>
      </c>
      <c r="AJ188" s="49">
        <f t="shared" si="458"/>
        <v>526738.03200000001</v>
      </c>
      <c r="AK188" s="49">
        <f t="shared" si="459"/>
        <v>0</v>
      </c>
      <c r="AL188" s="49">
        <f t="shared" si="460"/>
        <v>0</v>
      </c>
      <c r="AM188" s="49">
        <f t="shared" si="461"/>
        <v>0</v>
      </c>
      <c r="AN188" s="49">
        <f t="shared" si="462"/>
        <v>0</v>
      </c>
      <c r="AO188" s="49">
        <f t="shared" si="463"/>
        <v>0</v>
      </c>
      <c r="AP188" s="49">
        <f t="shared" si="464"/>
        <v>0</v>
      </c>
      <c r="AQ188" s="49">
        <f t="shared" si="465"/>
        <v>0</v>
      </c>
      <c r="AR188" s="49">
        <f t="shared" si="466"/>
        <v>0</v>
      </c>
      <c r="AS188" s="49">
        <f t="shared" si="467"/>
        <v>105347.60639999999</v>
      </c>
      <c r="AT188" s="49">
        <f t="shared" si="468"/>
        <v>0</v>
      </c>
      <c r="AU188" s="49">
        <f t="shared" si="469"/>
        <v>0</v>
      </c>
      <c r="AV188" s="49">
        <f t="shared" si="470"/>
        <v>105347.60639999999</v>
      </c>
      <c r="AW188" s="49">
        <f t="shared" si="471"/>
        <v>0</v>
      </c>
      <c r="AX188" s="49">
        <f t="shared" si="472"/>
        <v>0</v>
      </c>
      <c r="AY188" s="49">
        <f t="shared" si="473"/>
        <v>140463.47519999999</v>
      </c>
      <c r="AZ188" s="49">
        <f t="shared" si="474"/>
        <v>0</v>
      </c>
      <c r="BA188" s="49">
        <f t="shared" si="475"/>
        <v>0</v>
      </c>
      <c r="BB188" s="49">
        <f t="shared" si="476"/>
        <v>140463.47519999999</v>
      </c>
      <c r="BC188" s="49">
        <f t="shared" si="477"/>
        <v>0</v>
      </c>
      <c r="BD188" s="49">
        <f t="shared" si="478"/>
        <v>0</v>
      </c>
      <c r="BE188" s="49">
        <f t="shared" si="479"/>
        <v>772549.11360000004</v>
      </c>
      <c r="BF188" s="49">
        <f t="shared" si="480"/>
        <v>0</v>
      </c>
      <c r="BG188" s="49">
        <f t="shared" si="481"/>
        <v>0</v>
      </c>
      <c r="BH188" s="49">
        <f t="shared" si="482"/>
        <v>772549.11360000004</v>
      </c>
      <c r="BI188" s="49">
        <f t="shared" si="483"/>
        <v>0</v>
      </c>
      <c r="BJ188" s="49">
        <f t="shared" si="484"/>
        <v>0</v>
      </c>
      <c r="BK188" s="49">
        <f t="shared" si="485"/>
        <v>0</v>
      </c>
      <c r="BL188" s="49">
        <f t="shared" si="486"/>
        <v>0</v>
      </c>
      <c r="BM188" s="49">
        <f t="shared" si="487"/>
        <v>0</v>
      </c>
      <c r="BN188" s="49">
        <f t="shared" si="488"/>
        <v>0</v>
      </c>
      <c r="BO188" s="49">
        <f t="shared" si="489"/>
        <v>0</v>
      </c>
      <c r="BP188" s="49">
        <f t="shared" si="490"/>
        <v>0</v>
      </c>
      <c r="BQ188" s="49">
        <f t="shared" si="491"/>
        <v>526738.03200000001</v>
      </c>
      <c r="BR188" s="49">
        <f t="shared" si="492"/>
        <v>0</v>
      </c>
      <c r="BS188" s="49">
        <f t="shared" si="493"/>
        <v>0</v>
      </c>
      <c r="BT188" s="49">
        <f t="shared" si="494"/>
        <v>526738.03200000001</v>
      </c>
      <c r="BU188" s="49">
        <f t="shared" si="495"/>
        <v>0</v>
      </c>
      <c r="BV188" s="49">
        <f t="shared" si="496"/>
        <v>0</v>
      </c>
      <c r="BW188" s="49">
        <f t="shared" si="497"/>
        <v>0</v>
      </c>
      <c r="BX188" s="49">
        <f t="shared" si="498"/>
        <v>0</v>
      </c>
      <c r="BY188" s="49">
        <f t="shared" si="499"/>
        <v>0</v>
      </c>
      <c r="BZ188" s="49">
        <f t="shared" si="500"/>
        <v>0</v>
      </c>
      <c r="CA188" s="49">
        <f t="shared" si="501"/>
        <v>0</v>
      </c>
      <c r="CB188" s="49">
        <f t="shared" si="502"/>
        <v>0</v>
      </c>
      <c r="CC188" s="49">
        <f t="shared" si="503"/>
        <v>105347.60639999999</v>
      </c>
      <c r="CD188" s="49">
        <f t="shared" si="504"/>
        <v>0</v>
      </c>
      <c r="CE188" s="49">
        <f t="shared" si="505"/>
        <v>0</v>
      </c>
      <c r="CF188" s="49">
        <f t="shared" si="506"/>
        <v>105347.60639999999</v>
      </c>
      <c r="CG188" s="49">
        <f t="shared" si="507"/>
        <v>0</v>
      </c>
      <c r="CH188" s="49">
        <f t="shared" si="508"/>
        <v>0</v>
      </c>
      <c r="CI188" s="49">
        <f t="shared" si="509"/>
        <v>140463.47519999999</v>
      </c>
      <c r="CJ188" s="49">
        <f t="shared" si="510"/>
        <v>0</v>
      </c>
      <c r="CK188" s="49">
        <f t="shared" si="511"/>
        <v>0</v>
      </c>
      <c r="CL188" s="49">
        <f t="shared" si="512"/>
        <v>140463.47519999999</v>
      </c>
      <c r="CM188" s="49">
        <f t="shared" si="513"/>
        <v>0</v>
      </c>
      <c r="CN188" s="49">
        <f t="shared" si="514"/>
        <v>0</v>
      </c>
      <c r="CO188" s="49">
        <f t="shared" si="515"/>
        <v>772549.11360000004</v>
      </c>
      <c r="CP188" s="49">
        <f t="shared" si="516"/>
        <v>0</v>
      </c>
      <c r="CQ188" s="49">
        <f t="shared" si="517"/>
        <v>0</v>
      </c>
      <c r="CR188" s="81">
        <f t="shared" si="518"/>
        <v>772549.11360000004</v>
      </c>
      <c r="CS188" s="80">
        <f t="shared" si="519"/>
        <v>2739037.7664000001</v>
      </c>
      <c r="CT188" s="54"/>
      <c r="CU188" s="3" t="str">
        <f t="shared" si="520"/>
        <v>ARS</v>
      </c>
      <c r="CV188" s="3">
        <f>VLOOKUP(CU188,DF:DG,2,0)</f>
        <v>6.9185169999999997E-4</v>
      </c>
      <c r="CW188" s="23">
        <f t="shared" si="521"/>
        <v>2429.4973526256958</v>
      </c>
      <c r="CX188" s="23">
        <f t="shared" si="522"/>
        <v>0</v>
      </c>
      <c r="CY188" s="23">
        <f t="shared" si="523"/>
        <v>364.4246028938544</v>
      </c>
      <c r="CZ188" s="23">
        <f t="shared" si="524"/>
        <v>0</v>
      </c>
      <c r="DA188" s="23">
        <f t="shared" si="525"/>
        <v>72.884920578770874</v>
      </c>
      <c r="DB188" s="23">
        <f t="shared" si="526"/>
        <v>97.179894105027827</v>
      </c>
      <c r="DC188" s="23">
        <f t="shared" si="527"/>
        <v>1895.0079350480428</v>
      </c>
      <c r="DD188" s="34" t="str">
        <f>VLOOKUP(A188,'Billing Report'!H:I,2,FALSE)</f>
        <v>ypf_boxes-tw-alcance-season-aofebrero2026-2026-feb</v>
      </c>
      <c r="DE188" s="34"/>
      <c r="DF188" s="61"/>
      <c r="DG188" s="62"/>
      <c r="DH188"/>
      <c r="DI188" s="41"/>
      <c r="DJ188" s="41"/>
    </row>
    <row r="189" spans="1:114" ht="14.5" x14ac:dyDescent="0.35">
      <c r="A189" s="63">
        <v>40937826</v>
      </c>
      <c r="B189" s="3" t="s">
        <v>1116</v>
      </c>
      <c r="C189" s="3">
        <v>324900001</v>
      </c>
      <c r="D189" s="3" t="s">
        <v>93</v>
      </c>
      <c r="G189" s="38">
        <v>16709.939999999999</v>
      </c>
      <c r="J189" s="33">
        <f>VLOOKUP($B189,'IMS Commission List'!E:CE,79,0)/100</f>
        <v>0.15</v>
      </c>
      <c r="K189" s="79">
        <f t="shared" si="440"/>
        <v>16709.939999999999</v>
      </c>
      <c r="L189" s="3" t="str">
        <f>VLOOKUP($B189,'IMS Commission List'!E:V,18,0)</f>
        <v>ARS</v>
      </c>
      <c r="M189" s="3">
        <v>1</v>
      </c>
      <c r="N189" s="3" t="str">
        <f>VLOOKUP($B189,'IMS Commission List'!E:T,16,0)</f>
        <v>MX</v>
      </c>
      <c r="O189" s="54">
        <f>VLOOKUP($B189,'IMS Commission List'!E:CF,80,0)</f>
        <v>0</v>
      </c>
      <c r="P189" s="54">
        <f>VLOOKUP($B189,'IMS Commission List'!E:CG,81,0)</f>
        <v>0</v>
      </c>
      <c r="Q189" s="54">
        <f>VLOOKUP($B189,'IMS Commission List'!E:CP,90,0)</f>
        <v>0.03</v>
      </c>
      <c r="R189" s="54">
        <f>VLOOKUP($B189,'IMS Commission List'!E:CQ,91,0)</f>
        <v>0.04</v>
      </c>
      <c r="S189" s="47">
        <f t="shared" si="441"/>
        <v>0</v>
      </c>
      <c r="T189" s="48">
        <f t="shared" si="442"/>
        <v>0</v>
      </c>
      <c r="U189" s="48">
        <f t="shared" si="443"/>
        <v>16709.939999999999</v>
      </c>
      <c r="V189" s="48">
        <f t="shared" si="444"/>
        <v>0</v>
      </c>
      <c r="W189" s="48">
        <f t="shared" si="445"/>
        <v>0</v>
      </c>
      <c r="X189" s="49">
        <f t="shared" si="446"/>
        <v>16709.939999999999</v>
      </c>
      <c r="Y189" s="49">
        <f t="shared" si="447"/>
        <v>0</v>
      </c>
      <c r="Z189" s="49">
        <f t="shared" si="448"/>
        <v>0</v>
      </c>
      <c r="AA189" s="49">
        <f t="shared" si="449"/>
        <v>0</v>
      </c>
      <c r="AB189" s="49">
        <f t="shared" si="450"/>
        <v>0</v>
      </c>
      <c r="AC189" s="49">
        <f t="shared" si="451"/>
        <v>0</v>
      </c>
      <c r="AD189" s="49">
        <f t="shared" si="452"/>
        <v>0</v>
      </c>
      <c r="AE189" s="49">
        <f t="shared" si="453"/>
        <v>0</v>
      </c>
      <c r="AF189" s="49">
        <f t="shared" si="454"/>
        <v>0</v>
      </c>
      <c r="AG189" s="49">
        <f t="shared" si="455"/>
        <v>2506.4909999999995</v>
      </c>
      <c r="AH189" s="49">
        <f t="shared" si="456"/>
        <v>0</v>
      </c>
      <c r="AI189" s="49">
        <f t="shared" si="457"/>
        <v>0</v>
      </c>
      <c r="AJ189" s="49">
        <f t="shared" si="458"/>
        <v>2506.4909999999995</v>
      </c>
      <c r="AK189" s="49">
        <f t="shared" si="459"/>
        <v>0</v>
      </c>
      <c r="AL189" s="49">
        <f t="shared" si="460"/>
        <v>0</v>
      </c>
      <c r="AM189" s="49">
        <f t="shared" si="461"/>
        <v>0</v>
      </c>
      <c r="AN189" s="49">
        <f t="shared" si="462"/>
        <v>0</v>
      </c>
      <c r="AO189" s="49">
        <f t="shared" si="463"/>
        <v>0</v>
      </c>
      <c r="AP189" s="49">
        <f t="shared" si="464"/>
        <v>0</v>
      </c>
      <c r="AQ189" s="49">
        <f t="shared" si="465"/>
        <v>0</v>
      </c>
      <c r="AR189" s="49">
        <f t="shared" si="466"/>
        <v>0</v>
      </c>
      <c r="AS189" s="49">
        <f t="shared" si="467"/>
        <v>501.29819999999995</v>
      </c>
      <c r="AT189" s="49">
        <f t="shared" si="468"/>
        <v>0</v>
      </c>
      <c r="AU189" s="49">
        <f t="shared" si="469"/>
        <v>0</v>
      </c>
      <c r="AV189" s="49">
        <f t="shared" si="470"/>
        <v>501.29819999999995</v>
      </c>
      <c r="AW189" s="49">
        <f t="shared" si="471"/>
        <v>0</v>
      </c>
      <c r="AX189" s="49">
        <f t="shared" si="472"/>
        <v>0</v>
      </c>
      <c r="AY189" s="49">
        <f t="shared" si="473"/>
        <v>668.39760000000001</v>
      </c>
      <c r="AZ189" s="49">
        <f t="shared" si="474"/>
        <v>0</v>
      </c>
      <c r="BA189" s="49">
        <f t="shared" si="475"/>
        <v>0</v>
      </c>
      <c r="BB189" s="49">
        <f t="shared" si="476"/>
        <v>668.39760000000001</v>
      </c>
      <c r="BC189" s="49">
        <f t="shared" si="477"/>
        <v>0</v>
      </c>
      <c r="BD189" s="49">
        <f t="shared" si="478"/>
        <v>0</v>
      </c>
      <c r="BE189" s="49">
        <f t="shared" si="479"/>
        <v>3676.1867999999995</v>
      </c>
      <c r="BF189" s="49">
        <f t="shared" si="480"/>
        <v>0</v>
      </c>
      <c r="BG189" s="49">
        <f t="shared" si="481"/>
        <v>0</v>
      </c>
      <c r="BH189" s="49">
        <f t="shared" si="482"/>
        <v>3676.1867999999995</v>
      </c>
      <c r="BI189" s="49">
        <f t="shared" si="483"/>
        <v>0</v>
      </c>
      <c r="BJ189" s="49">
        <f t="shared" si="484"/>
        <v>0</v>
      </c>
      <c r="BK189" s="49">
        <f t="shared" si="485"/>
        <v>0</v>
      </c>
      <c r="BL189" s="49">
        <f t="shared" si="486"/>
        <v>0</v>
      </c>
      <c r="BM189" s="49">
        <f t="shared" si="487"/>
        <v>0</v>
      </c>
      <c r="BN189" s="49">
        <f t="shared" si="488"/>
        <v>0</v>
      </c>
      <c r="BO189" s="49">
        <f t="shared" si="489"/>
        <v>0</v>
      </c>
      <c r="BP189" s="49">
        <f t="shared" si="490"/>
        <v>0</v>
      </c>
      <c r="BQ189" s="49">
        <f t="shared" si="491"/>
        <v>2506.4909999999995</v>
      </c>
      <c r="BR189" s="49">
        <f t="shared" si="492"/>
        <v>0</v>
      </c>
      <c r="BS189" s="49">
        <f t="shared" si="493"/>
        <v>0</v>
      </c>
      <c r="BT189" s="49">
        <f t="shared" si="494"/>
        <v>2506.4909999999995</v>
      </c>
      <c r="BU189" s="49">
        <f t="shared" si="495"/>
        <v>0</v>
      </c>
      <c r="BV189" s="49">
        <f t="shared" si="496"/>
        <v>0</v>
      </c>
      <c r="BW189" s="49">
        <f t="shared" si="497"/>
        <v>0</v>
      </c>
      <c r="BX189" s="49">
        <f t="shared" si="498"/>
        <v>0</v>
      </c>
      <c r="BY189" s="49">
        <f t="shared" si="499"/>
        <v>0</v>
      </c>
      <c r="BZ189" s="49">
        <f t="shared" si="500"/>
        <v>0</v>
      </c>
      <c r="CA189" s="49">
        <f t="shared" si="501"/>
        <v>0</v>
      </c>
      <c r="CB189" s="49">
        <f t="shared" si="502"/>
        <v>0</v>
      </c>
      <c r="CC189" s="49">
        <f t="shared" si="503"/>
        <v>501.29819999999995</v>
      </c>
      <c r="CD189" s="49">
        <f t="shared" si="504"/>
        <v>0</v>
      </c>
      <c r="CE189" s="49">
        <f t="shared" si="505"/>
        <v>0</v>
      </c>
      <c r="CF189" s="49">
        <f t="shared" si="506"/>
        <v>501.29819999999995</v>
      </c>
      <c r="CG189" s="49">
        <f t="shared" si="507"/>
        <v>0</v>
      </c>
      <c r="CH189" s="49">
        <f t="shared" si="508"/>
        <v>0</v>
      </c>
      <c r="CI189" s="49">
        <f t="shared" si="509"/>
        <v>668.39760000000001</v>
      </c>
      <c r="CJ189" s="49">
        <f t="shared" si="510"/>
        <v>0</v>
      </c>
      <c r="CK189" s="49">
        <f t="shared" si="511"/>
        <v>0</v>
      </c>
      <c r="CL189" s="49">
        <f t="shared" si="512"/>
        <v>668.39760000000001</v>
      </c>
      <c r="CM189" s="49">
        <f t="shared" si="513"/>
        <v>0</v>
      </c>
      <c r="CN189" s="49">
        <f t="shared" si="514"/>
        <v>0</v>
      </c>
      <c r="CO189" s="49">
        <f t="shared" si="515"/>
        <v>3676.1867999999995</v>
      </c>
      <c r="CP189" s="49">
        <f t="shared" si="516"/>
        <v>0</v>
      </c>
      <c r="CQ189" s="49">
        <f t="shared" si="517"/>
        <v>0</v>
      </c>
      <c r="CR189" s="81">
        <f t="shared" si="518"/>
        <v>3676.1867999999995</v>
      </c>
      <c r="CS189" s="80">
        <f t="shared" si="519"/>
        <v>13033.753199999999</v>
      </c>
      <c r="CT189" s="54"/>
      <c r="CU189" s="3" t="str">
        <f t="shared" si="520"/>
        <v>ARS</v>
      </c>
      <c r="CV189" s="3">
        <f>VLOOKUP(CU189,DF:DG,2,0)</f>
        <v>6.9185169999999997E-4</v>
      </c>
      <c r="CW189" s="23">
        <f t="shared" si="521"/>
        <v>11.560800395897999</v>
      </c>
      <c r="CX189" s="23">
        <f t="shared" si="522"/>
        <v>0</v>
      </c>
      <c r="CY189" s="23">
        <f t="shared" si="523"/>
        <v>1.7341200593846995</v>
      </c>
      <c r="CZ189" s="23">
        <f t="shared" si="524"/>
        <v>0</v>
      </c>
      <c r="DA189" s="23">
        <f t="shared" si="525"/>
        <v>0.34682401187693995</v>
      </c>
      <c r="DB189" s="23">
        <f t="shared" si="526"/>
        <v>0.46243201583591997</v>
      </c>
      <c r="DC189" s="23">
        <f t="shared" si="527"/>
        <v>9.0174243088004395</v>
      </c>
      <c r="DD189" s="34" t="str">
        <f>VLOOKUP(A189,'Billing Report'!H:I,2,FALSE)</f>
        <v>1074008_AR_feb-2026__Branca_FB_COSQUIN_ROCK_Views_Alcance_CPM_Video_X-TWITTER</v>
      </c>
      <c r="DE189" s="34"/>
      <c r="DF189" s="61"/>
      <c r="DG189" s="62"/>
      <c r="DH189"/>
      <c r="DI189" s="41"/>
      <c r="DJ189" s="41"/>
    </row>
    <row r="190" spans="1:114" ht="14.5" x14ac:dyDescent="0.35">
      <c r="A190" s="63">
        <v>40936703</v>
      </c>
      <c r="B190" s="3" t="s">
        <v>1116</v>
      </c>
      <c r="C190" s="3">
        <v>324900003</v>
      </c>
      <c r="D190" s="3" t="s">
        <v>93</v>
      </c>
      <c r="F190" s="35">
        <v>1259410</v>
      </c>
      <c r="G190" s="38"/>
      <c r="J190" s="33">
        <f>VLOOKUP($B190,'IMS Commission List'!E:CE,79,0)/100</f>
        <v>0.15</v>
      </c>
      <c r="K190" s="79">
        <f t="shared" si="440"/>
        <v>1259410</v>
      </c>
      <c r="L190" s="3" t="str">
        <f>VLOOKUP($B190,'IMS Commission List'!E:V,18,0)</f>
        <v>ARS</v>
      </c>
      <c r="M190" s="3">
        <v>1</v>
      </c>
      <c r="N190" s="3" t="str">
        <f>VLOOKUP($B190,'IMS Commission List'!E:T,16,0)</f>
        <v>MX</v>
      </c>
      <c r="O190" s="54">
        <f>VLOOKUP($B190,'IMS Commission List'!E:CF,80,0)</f>
        <v>0</v>
      </c>
      <c r="P190" s="54">
        <f>VLOOKUP($B190,'IMS Commission List'!E:CG,81,0)</f>
        <v>0</v>
      </c>
      <c r="Q190" s="54">
        <f>VLOOKUP($B190,'IMS Commission List'!E:CP,90,0)</f>
        <v>0.03</v>
      </c>
      <c r="R190" s="54">
        <f>VLOOKUP($B190,'IMS Commission List'!E:CQ,91,0)</f>
        <v>0.04</v>
      </c>
      <c r="S190" s="47">
        <f t="shared" si="441"/>
        <v>0</v>
      </c>
      <c r="T190" s="48">
        <f t="shared" si="442"/>
        <v>1259410</v>
      </c>
      <c r="U190" s="48">
        <f t="shared" si="443"/>
        <v>0</v>
      </c>
      <c r="V190" s="48">
        <f t="shared" si="444"/>
        <v>0</v>
      </c>
      <c r="W190" s="48">
        <f t="shared" si="445"/>
        <v>0</v>
      </c>
      <c r="X190" s="49">
        <f t="shared" si="446"/>
        <v>1259410</v>
      </c>
      <c r="Y190" s="49">
        <f t="shared" si="447"/>
        <v>0</v>
      </c>
      <c r="Z190" s="49">
        <f t="shared" si="448"/>
        <v>0</v>
      </c>
      <c r="AA190" s="49">
        <f t="shared" si="449"/>
        <v>0</v>
      </c>
      <c r="AB190" s="49">
        <f t="shared" si="450"/>
        <v>0</v>
      </c>
      <c r="AC190" s="49">
        <f t="shared" si="451"/>
        <v>0</v>
      </c>
      <c r="AD190" s="49">
        <f t="shared" si="452"/>
        <v>0</v>
      </c>
      <c r="AE190" s="49">
        <f t="shared" si="453"/>
        <v>0</v>
      </c>
      <c r="AF190" s="49">
        <f t="shared" si="454"/>
        <v>188911.5</v>
      </c>
      <c r="AG190" s="49">
        <f t="shared" si="455"/>
        <v>0</v>
      </c>
      <c r="AH190" s="49">
        <f t="shared" si="456"/>
        <v>0</v>
      </c>
      <c r="AI190" s="49">
        <f t="shared" si="457"/>
        <v>0</v>
      </c>
      <c r="AJ190" s="49">
        <f t="shared" si="458"/>
        <v>188911.5</v>
      </c>
      <c r="AK190" s="49">
        <f t="shared" si="459"/>
        <v>0</v>
      </c>
      <c r="AL190" s="49">
        <f t="shared" si="460"/>
        <v>0</v>
      </c>
      <c r="AM190" s="49">
        <f t="shared" si="461"/>
        <v>0</v>
      </c>
      <c r="AN190" s="49">
        <f t="shared" si="462"/>
        <v>0</v>
      </c>
      <c r="AO190" s="49">
        <f t="shared" si="463"/>
        <v>0</v>
      </c>
      <c r="AP190" s="49">
        <f t="shared" si="464"/>
        <v>0</v>
      </c>
      <c r="AQ190" s="49">
        <f t="shared" si="465"/>
        <v>0</v>
      </c>
      <c r="AR190" s="49">
        <f t="shared" si="466"/>
        <v>37782.299999999996</v>
      </c>
      <c r="AS190" s="49">
        <f t="shared" si="467"/>
        <v>0</v>
      </c>
      <c r="AT190" s="49">
        <f t="shared" si="468"/>
        <v>0</v>
      </c>
      <c r="AU190" s="49">
        <f t="shared" si="469"/>
        <v>0</v>
      </c>
      <c r="AV190" s="49">
        <f t="shared" si="470"/>
        <v>37782.299999999996</v>
      </c>
      <c r="AW190" s="49">
        <f t="shared" si="471"/>
        <v>0</v>
      </c>
      <c r="AX190" s="49">
        <f t="shared" si="472"/>
        <v>50376.4</v>
      </c>
      <c r="AY190" s="49">
        <f t="shared" si="473"/>
        <v>0</v>
      </c>
      <c r="AZ190" s="49">
        <f t="shared" si="474"/>
        <v>0</v>
      </c>
      <c r="BA190" s="49">
        <f t="shared" si="475"/>
        <v>0</v>
      </c>
      <c r="BB190" s="49">
        <f t="shared" si="476"/>
        <v>50376.4</v>
      </c>
      <c r="BC190" s="49">
        <f t="shared" si="477"/>
        <v>0</v>
      </c>
      <c r="BD190" s="49">
        <f t="shared" si="478"/>
        <v>277070.2</v>
      </c>
      <c r="BE190" s="49">
        <f t="shared" si="479"/>
        <v>0</v>
      </c>
      <c r="BF190" s="49">
        <f t="shared" si="480"/>
        <v>0</v>
      </c>
      <c r="BG190" s="49">
        <f t="shared" si="481"/>
        <v>0</v>
      </c>
      <c r="BH190" s="49">
        <f t="shared" si="482"/>
        <v>277070.2</v>
      </c>
      <c r="BI190" s="49">
        <f t="shared" si="483"/>
        <v>0</v>
      </c>
      <c r="BJ190" s="49">
        <f t="shared" si="484"/>
        <v>0</v>
      </c>
      <c r="BK190" s="49">
        <f t="shared" si="485"/>
        <v>0</v>
      </c>
      <c r="BL190" s="49">
        <f t="shared" si="486"/>
        <v>0</v>
      </c>
      <c r="BM190" s="49">
        <f t="shared" si="487"/>
        <v>0</v>
      </c>
      <c r="BN190" s="49">
        <f t="shared" si="488"/>
        <v>0</v>
      </c>
      <c r="BO190" s="49">
        <f t="shared" si="489"/>
        <v>0</v>
      </c>
      <c r="BP190" s="49">
        <f t="shared" si="490"/>
        <v>188911.5</v>
      </c>
      <c r="BQ190" s="49">
        <f t="shared" si="491"/>
        <v>0</v>
      </c>
      <c r="BR190" s="49">
        <f t="shared" si="492"/>
        <v>0</v>
      </c>
      <c r="BS190" s="49">
        <f t="shared" si="493"/>
        <v>0</v>
      </c>
      <c r="BT190" s="49">
        <f t="shared" si="494"/>
        <v>188911.5</v>
      </c>
      <c r="BU190" s="49">
        <f t="shared" si="495"/>
        <v>0</v>
      </c>
      <c r="BV190" s="49">
        <f t="shared" si="496"/>
        <v>0</v>
      </c>
      <c r="BW190" s="49">
        <f t="shared" si="497"/>
        <v>0</v>
      </c>
      <c r="BX190" s="49">
        <f t="shared" si="498"/>
        <v>0</v>
      </c>
      <c r="BY190" s="49">
        <f t="shared" si="499"/>
        <v>0</v>
      </c>
      <c r="BZ190" s="49">
        <f t="shared" si="500"/>
        <v>0</v>
      </c>
      <c r="CA190" s="49">
        <f t="shared" si="501"/>
        <v>0</v>
      </c>
      <c r="CB190" s="49">
        <f t="shared" si="502"/>
        <v>37782.299999999996</v>
      </c>
      <c r="CC190" s="49">
        <f t="shared" si="503"/>
        <v>0</v>
      </c>
      <c r="CD190" s="49">
        <f t="shared" si="504"/>
        <v>0</v>
      </c>
      <c r="CE190" s="49">
        <f t="shared" si="505"/>
        <v>0</v>
      </c>
      <c r="CF190" s="49">
        <f t="shared" si="506"/>
        <v>37782.299999999996</v>
      </c>
      <c r="CG190" s="49">
        <f t="shared" si="507"/>
        <v>0</v>
      </c>
      <c r="CH190" s="49">
        <f t="shared" si="508"/>
        <v>50376.4</v>
      </c>
      <c r="CI190" s="49">
        <f t="shared" si="509"/>
        <v>0</v>
      </c>
      <c r="CJ190" s="49">
        <f t="shared" si="510"/>
        <v>0</v>
      </c>
      <c r="CK190" s="49">
        <f t="shared" si="511"/>
        <v>0</v>
      </c>
      <c r="CL190" s="49">
        <f t="shared" si="512"/>
        <v>50376.4</v>
      </c>
      <c r="CM190" s="49">
        <f t="shared" si="513"/>
        <v>0</v>
      </c>
      <c r="CN190" s="49">
        <f t="shared" si="514"/>
        <v>277070.2</v>
      </c>
      <c r="CO190" s="49">
        <f t="shared" si="515"/>
        <v>0</v>
      </c>
      <c r="CP190" s="49">
        <f t="shared" si="516"/>
        <v>0</v>
      </c>
      <c r="CQ190" s="49">
        <f t="shared" si="517"/>
        <v>0</v>
      </c>
      <c r="CR190" s="81">
        <f t="shared" si="518"/>
        <v>277070.2</v>
      </c>
      <c r="CS190" s="80">
        <f t="shared" si="519"/>
        <v>982339.8</v>
      </c>
      <c r="CT190" s="54"/>
      <c r="CU190" s="3" t="str">
        <f t="shared" si="520"/>
        <v>ARS</v>
      </c>
      <c r="CV190" s="3">
        <f>VLOOKUP(CU190,DF:DG,2,0)</f>
        <v>6.9185169999999997E-4</v>
      </c>
      <c r="CW190" s="23">
        <f t="shared" si="521"/>
        <v>871.32494949699992</v>
      </c>
      <c r="CX190" s="23">
        <f t="shared" si="522"/>
        <v>0</v>
      </c>
      <c r="CY190" s="23">
        <f t="shared" si="523"/>
        <v>130.69874242455001</v>
      </c>
      <c r="CZ190" s="23">
        <f t="shared" si="524"/>
        <v>0</v>
      </c>
      <c r="DA190" s="23">
        <f t="shared" si="525"/>
        <v>26.139748484909997</v>
      </c>
      <c r="DB190" s="23">
        <f t="shared" si="526"/>
        <v>34.852997979880001</v>
      </c>
      <c r="DC190" s="23">
        <f t="shared" si="527"/>
        <v>679.63346060766003</v>
      </c>
      <c r="DD190" s="34" t="str">
        <f>VLOOKUP(A190,'Billing Report'!H:I,2,FALSE)</f>
        <v>FernetBrancaARG Standard 2026-02-15</v>
      </c>
      <c r="DE190" s="34"/>
      <c r="DF190" s="61"/>
      <c r="DG190" s="62"/>
      <c r="DH190"/>
      <c r="DI190" s="41"/>
      <c r="DJ190" s="41"/>
    </row>
    <row r="191" spans="1:114" ht="14.5" x14ac:dyDescent="0.35">
      <c r="A191" s="63">
        <v>40936677</v>
      </c>
      <c r="B191" s="3" t="s">
        <v>1116</v>
      </c>
      <c r="C191" s="3">
        <v>324900002</v>
      </c>
      <c r="D191" s="3" t="s">
        <v>93</v>
      </c>
      <c r="F191" s="35">
        <v>3625356</v>
      </c>
      <c r="G191" s="38"/>
      <c r="J191" s="33">
        <f>VLOOKUP($B191,'IMS Commission List'!E:CE,79,0)/100</f>
        <v>0.15</v>
      </c>
      <c r="K191" s="79">
        <f t="shared" si="440"/>
        <v>3625356</v>
      </c>
      <c r="L191" s="3" t="str">
        <f>VLOOKUP($B191,'IMS Commission List'!E:V,18,0)</f>
        <v>ARS</v>
      </c>
      <c r="M191" s="3">
        <v>1</v>
      </c>
      <c r="N191" s="3" t="str">
        <f>VLOOKUP($B191,'IMS Commission List'!E:T,16,0)</f>
        <v>MX</v>
      </c>
      <c r="O191" s="54">
        <f>VLOOKUP($B191,'IMS Commission List'!E:CF,80,0)</f>
        <v>0</v>
      </c>
      <c r="P191" s="54">
        <f>VLOOKUP($B191,'IMS Commission List'!E:CG,81,0)</f>
        <v>0</v>
      </c>
      <c r="Q191" s="54">
        <f>VLOOKUP($B191,'IMS Commission List'!E:CP,90,0)</f>
        <v>0.03</v>
      </c>
      <c r="R191" s="54">
        <f>VLOOKUP($B191,'IMS Commission List'!E:CQ,91,0)</f>
        <v>0.04</v>
      </c>
      <c r="S191" s="47">
        <f t="shared" si="441"/>
        <v>0</v>
      </c>
      <c r="T191" s="48">
        <f t="shared" si="442"/>
        <v>3625356</v>
      </c>
      <c r="U191" s="48">
        <f t="shared" si="443"/>
        <v>0</v>
      </c>
      <c r="V191" s="48">
        <f t="shared" si="444"/>
        <v>0</v>
      </c>
      <c r="W191" s="48">
        <f t="shared" si="445"/>
        <v>0</v>
      </c>
      <c r="X191" s="49">
        <f t="shared" si="446"/>
        <v>3625356</v>
      </c>
      <c r="Y191" s="49">
        <f t="shared" si="447"/>
        <v>0</v>
      </c>
      <c r="Z191" s="49">
        <f t="shared" si="448"/>
        <v>0</v>
      </c>
      <c r="AA191" s="49">
        <f t="shared" si="449"/>
        <v>0</v>
      </c>
      <c r="AB191" s="49">
        <f t="shared" si="450"/>
        <v>0</v>
      </c>
      <c r="AC191" s="49">
        <f t="shared" si="451"/>
        <v>0</v>
      </c>
      <c r="AD191" s="49">
        <f t="shared" si="452"/>
        <v>0</v>
      </c>
      <c r="AE191" s="49">
        <f t="shared" si="453"/>
        <v>0</v>
      </c>
      <c r="AF191" s="49">
        <f t="shared" si="454"/>
        <v>543803.4</v>
      </c>
      <c r="AG191" s="49">
        <f t="shared" si="455"/>
        <v>0</v>
      </c>
      <c r="AH191" s="49">
        <f t="shared" si="456"/>
        <v>0</v>
      </c>
      <c r="AI191" s="49">
        <f t="shared" si="457"/>
        <v>0</v>
      </c>
      <c r="AJ191" s="49">
        <f t="shared" si="458"/>
        <v>543803.4</v>
      </c>
      <c r="AK191" s="49">
        <f t="shared" si="459"/>
        <v>0</v>
      </c>
      <c r="AL191" s="49">
        <f t="shared" si="460"/>
        <v>0</v>
      </c>
      <c r="AM191" s="49">
        <f t="shared" si="461"/>
        <v>0</v>
      </c>
      <c r="AN191" s="49">
        <f t="shared" si="462"/>
        <v>0</v>
      </c>
      <c r="AO191" s="49">
        <f t="shared" si="463"/>
        <v>0</v>
      </c>
      <c r="AP191" s="49">
        <f t="shared" si="464"/>
        <v>0</v>
      </c>
      <c r="AQ191" s="49">
        <f t="shared" si="465"/>
        <v>0</v>
      </c>
      <c r="AR191" s="49">
        <f t="shared" si="466"/>
        <v>108760.68</v>
      </c>
      <c r="AS191" s="49">
        <f t="shared" si="467"/>
        <v>0</v>
      </c>
      <c r="AT191" s="49">
        <f t="shared" si="468"/>
        <v>0</v>
      </c>
      <c r="AU191" s="49">
        <f t="shared" si="469"/>
        <v>0</v>
      </c>
      <c r="AV191" s="49">
        <f t="shared" si="470"/>
        <v>108760.68</v>
      </c>
      <c r="AW191" s="49">
        <f t="shared" si="471"/>
        <v>0</v>
      </c>
      <c r="AX191" s="49">
        <f t="shared" si="472"/>
        <v>145014.24</v>
      </c>
      <c r="AY191" s="49">
        <f t="shared" si="473"/>
        <v>0</v>
      </c>
      <c r="AZ191" s="49">
        <f t="shared" si="474"/>
        <v>0</v>
      </c>
      <c r="BA191" s="49">
        <f t="shared" si="475"/>
        <v>0</v>
      </c>
      <c r="BB191" s="49">
        <f t="shared" si="476"/>
        <v>145014.24</v>
      </c>
      <c r="BC191" s="49">
        <f t="shared" si="477"/>
        <v>0</v>
      </c>
      <c r="BD191" s="49">
        <f t="shared" si="478"/>
        <v>797578.32000000007</v>
      </c>
      <c r="BE191" s="49">
        <f t="shared" si="479"/>
        <v>0</v>
      </c>
      <c r="BF191" s="49">
        <f t="shared" si="480"/>
        <v>0</v>
      </c>
      <c r="BG191" s="49">
        <f t="shared" si="481"/>
        <v>0</v>
      </c>
      <c r="BH191" s="49">
        <f t="shared" si="482"/>
        <v>797578.32000000007</v>
      </c>
      <c r="BI191" s="49">
        <f t="shared" si="483"/>
        <v>0</v>
      </c>
      <c r="BJ191" s="49">
        <f t="shared" si="484"/>
        <v>0</v>
      </c>
      <c r="BK191" s="49">
        <f t="shared" si="485"/>
        <v>0</v>
      </c>
      <c r="BL191" s="49">
        <f t="shared" si="486"/>
        <v>0</v>
      </c>
      <c r="BM191" s="49">
        <f t="shared" si="487"/>
        <v>0</v>
      </c>
      <c r="BN191" s="49">
        <f t="shared" si="488"/>
        <v>0</v>
      </c>
      <c r="BO191" s="49">
        <f t="shared" si="489"/>
        <v>0</v>
      </c>
      <c r="BP191" s="49">
        <f t="shared" si="490"/>
        <v>543803.4</v>
      </c>
      <c r="BQ191" s="49">
        <f t="shared" si="491"/>
        <v>0</v>
      </c>
      <c r="BR191" s="49">
        <f t="shared" si="492"/>
        <v>0</v>
      </c>
      <c r="BS191" s="49">
        <f t="shared" si="493"/>
        <v>0</v>
      </c>
      <c r="BT191" s="49">
        <f t="shared" si="494"/>
        <v>543803.4</v>
      </c>
      <c r="BU191" s="49">
        <f t="shared" si="495"/>
        <v>0</v>
      </c>
      <c r="BV191" s="49">
        <f t="shared" si="496"/>
        <v>0</v>
      </c>
      <c r="BW191" s="49">
        <f t="shared" si="497"/>
        <v>0</v>
      </c>
      <c r="BX191" s="49">
        <f t="shared" si="498"/>
        <v>0</v>
      </c>
      <c r="BY191" s="49">
        <f t="shared" si="499"/>
        <v>0</v>
      </c>
      <c r="BZ191" s="49">
        <f t="shared" si="500"/>
        <v>0</v>
      </c>
      <c r="CA191" s="49">
        <f t="shared" si="501"/>
        <v>0</v>
      </c>
      <c r="CB191" s="49">
        <f t="shared" si="502"/>
        <v>108760.68</v>
      </c>
      <c r="CC191" s="49">
        <f t="shared" si="503"/>
        <v>0</v>
      </c>
      <c r="CD191" s="49">
        <f t="shared" si="504"/>
        <v>0</v>
      </c>
      <c r="CE191" s="49">
        <f t="shared" si="505"/>
        <v>0</v>
      </c>
      <c r="CF191" s="49">
        <f t="shared" si="506"/>
        <v>108760.68</v>
      </c>
      <c r="CG191" s="49">
        <f t="shared" si="507"/>
        <v>0</v>
      </c>
      <c r="CH191" s="49">
        <f t="shared" si="508"/>
        <v>145014.24</v>
      </c>
      <c r="CI191" s="49">
        <f t="shared" si="509"/>
        <v>0</v>
      </c>
      <c r="CJ191" s="49">
        <f t="shared" si="510"/>
        <v>0</v>
      </c>
      <c r="CK191" s="49">
        <f t="shared" si="511"/>
        <v>0</v>
      </c>
      <c r="CL191" s="49">
        <f t="shared" si="512"/>
        <v>145014.24</v>
      </c>
      <c r="CM191" s="49">
        <f t="shared" si="513"/>
        <v>0</v>
      </c>
      <c r="CN191" s="49">
        <f t="shared" si="514"/>
        <v>797578.32000000007</v>
      </c>
      <c r="CO191" s="49">
        <f t="shared" si="515"/>
        <v>0</v>
      </c>
      <c r="CP191" s="49">
        <f t="shared" si="516"/>
        <v>0</v>
      </c>
      <c r="CQ191" s="49">
        <f t="shared" si="517"/>
        <v>0</v>
      </c>
      <c r="CR191" s="81">
        <f t="shared" si="518"/>
        <v>797578.32000000007</v>
      </c>
      <c r="CS191" s="80">
        <f t="shared" si="519"/>
        <v>2827777.6799999997</v>
      </c>
      <c r="CT191" s="54"/>
      <c r="CU191" s="3" t="str">
        <f t="shared" si="520"/>
        <v>ARS</v>
      </c>
      <c r="CV191" s="3">
        <f>VLOOKUP(CU191,DF:DG,2,0)</f>
        <v>6.9185169999999997E-4</v>
      </c>
      <c r="CW191" s="23">
        <f t="shared" si="521"/>
        <v>2508.2087117051997</v>
      </c>
      <c r="CX191" s="23">
        <f t="shared" si="522"/>
        <v>0</v>
      </c>
      <c r="CY191" s="23">
        <f t="shared" si="523"/>
        <v>376.23130675578</v>
      </c>
      <c r="CZ191" s="23">
        <f t="shared" si="524"/>
        <v>0</v>
      </c>
      <c r="DA191" s="23">
        <f t="shared" si="525"/>
        <v>75.246261351155994</v>
      </c>
      <c r="DB191" s="23">
        <f t="shared" si="526"/>
        <v>100.32834846820799</v>
      </c>
      <c r="DC191" s="23">
        <f t="shared" si="527"/>
        <v>1956.4027951300557</v>
      </c>
      <c r="DD191" s="34" t="str">
        <f>VLOOKUP(A191,'Billing Report'!H:I,2,FALSE)</f>
        <v>FernetBrancaARG Timeline Takeover Tier 1 2026-02-15</v>
      </c>
      <c r="DE191" s="34"/>
      <c r="DF191" s="61"/>
      <c r="DG191" s="62"/>
      <c r="DH191"/>
      <c r="DI191" s="41"/>
      <c r="DJ191" s="41"/>
    </row>
    <row r="192" spans="1:114" ht="14.5" x14ac:dyDescent="0.35">
      <c r="A192" s="63"/>
      <c r="B192" s="3" t="s">
        <v>1125</v>
      </c>
      <c r="C192" s="3">
        <v>324901601</v>
      </c>
      <c r="D192" s="3" t="s">
        <v>93</v>
      </c>
      <c r="G192" s="38">
        <v>-2160.9299999999998</v>
      </c>
      <c r="J192" s="33">
        <f>VLOOKUP($B192,'IMS Commission List'!E:CE,79,0)/100</f>
        <v>0.15</v>
      </c>
      <c r="K192" s="79">
        <f t="shared" si="440"/>
        <v>-2160.9299999999998</v>
      </c>
      <c r="L192" s="3" t="str">
        <f>VLOOKUP($B192,'IMS Commission List'!E:V,18,0)</f>
        <v>ARS</v>
      </c>
      <c r="M192" s="3">
        <v>1</v>
      </c>
      <c r="N192" s="3" t="str">
        <f>VLOOKUP($B192,'IMS Commission List'!E:T,16,0)</f>
        <v>MX</v>
      </c>
      <c r="O192" s="54">
        <f>VLOOKUP($B192,'IMS Commission List'!E:CF,80,0)</f>
        <v>0</v>
      </c>
      <c r="P192" s="54">
        <f>VLOOKUP($B192,'IMS Commission List'!E:CG,81,0)</f>
        <v>0</v>
      </c>
      <c r="Q192" s="54">
        <f>VLOOKUP($B192,'IMS Commission List'!E:CP,90,0)</f>
        <v>0.03</v>
      </c>
      <c r="R192" s="54">
        <f>VLOOKUP($B192,'IMS Commission List'!E:CQ,91,0)</f>
        <v>0.04</v>
      </c>
      <c r="S192" s="47">
        <f t="shared" si="441"/>
        <v>0</v>
      </c>
      <c r="T192" s="48">
        <f t="shared" si="442"/>
        <v>0</v>
      </c>
      <c r="U192" s="48">
        <f t="shared" si="443"/>
        <v>-2160.9299999999998</v>
      </c>
      <c r="V192" s="48">
        <f t="shared" si="444"/>
        <v>0</v>
      </c>
      <c r="W192" s="48">
        <f t="shared" si="445"/>
        <v>0</v>
      </c>
      <c r="X192" s="49">
        <f t="shared" si="446"/>
        <v>-2160.9299999999998</v>
      </c>
      <c r="Y192" s="49">
        <f t="shared" si="447"/>
        <v>0</v>
      </c>
      <c r="Z192" s="49">
        <f t="shared" si="448"/>
        <v>0</v>
      </c>
      <c r="AA192" s="49">
        <f t="shared" si="449"/>
        <v>0</v>
      </c>
      <c r="AB192" s="49">
        <f t="shared" si="450"/>
        <v>0</v>
      </c>
      <c r="AC192" s="49">
        <f t="shared" si="451"/>
        <v>0</v>
      </c>
      <c r="AD192" s="49">
        <f t="shared" si="452"/>
        <v>0</v>
      </c>
      <c r="AE192" s="49">
        <f t="shared" si="453"/>
        <v>0</v>
      </c>
      <c r="AF192" s="49">
        <f t="shared" si="454"/>
        <v>0</v>
      </c>
      <c r="AG192" s="49">
        <f t="shared" si="455"/>
        <v>-324.13949999999994</v>
      </c>
      <c r="AH192" s="49">
        <f t="shared" si="456"/>
        <v>0</v>
      </c>
      <c r="AI192" s="49">
        <f t="shared" si="457"/>
        <v>0</v>
      </c>
      <c r="AJ192" s="49">
        <f t="shared" si="458"/>
        <v>-324.13949999999994</v>
      </c>
      <c r="AK192" s="49">
        <f t="shared" si="459"/>
        <v>0</v>
      </c>
      <c r="AL192" s="49">
        <f t="shared" si="460"/>
        <v>0</v>
      </c>
      <c r="AM192" s="49">
        <f t="shared" si="461"/>
        <v>0</v>
      </c>
      <c r="AN192" s="49">
        <f t="shared" si="462"/>
        <v>0</v>
      </c>
      <c r="AO192" s="49">
        <f t="shared" si="463"/>
        <v>0</v>
      </c>
      <c r="AP192" s="49">
        <f t="shared" si="464"/>
        <v>0</v>
      </c>
      <c r="AQ192" s="49">
        <f t="shared" si="465"/>
        <v>0</v>
      </c>
      <c r="AR192" s="49">
        <f t="shared" si="466"/>
        <v>0</v>
      </c>
      <c r="AS192" s="49">
        <f t="shared" si="467"/>
        <v>-64.8279</v>
      </c>
      <c r="AT192" s="49">
        <f t="shared" si="468"/>
        <v>0</v>
      </c>
      <c r="AU192" s="49">
        <f t="shared" si="469"/>
        <v>0</v>
      </c>
      <c r="AV192" s="49">
        <f t="shared" si="470"/>
        <v>-64.8279</v>
      </c>
      <c r="AW192" s="49">
        <f t="shared" si="471"/>
        <v>0</v>
      </c>
      <c r="AX192" s="49">
        <f t="shared" si="472"/>
        <v>0</v>
      </c>
      <c r="AY192" s="49">
        <f t="shared" si="473"/>
        <v>-86.43719999999999</v>
      </c>
      <c r="AZ192" s="49">
        <f t="shared" si="474"/>
        <v>0</v>
      </c>
      <c r="BA192" s="49">
        <f t="shared" si="475"/>
        <v>0</v>
      </c>
      <c r="BB192" s="49">
        <f t="shared" si="476"/>
        <v>-86.43719999999999</v>
      </c>
      <c r="BC192" s="49">
        <f t="shared" si="477"/>
        <v>0</v>
      </c>
      <c r="BD192" s="49">
        <f t="shared" si="478"/>
        <v>0</v>
      </c>
      <c r="BE192" s="49">
        <f t="shared" si="479"/>
        <v>-475.40459999999996</v>
      </c>
      <c r="BF192" s="49">
        <f t="shared" si="480"/>
        <v>0</v>
      </c>
      <c r="BG192" s="49">
        <f t="shared" si="481"/>
        <v>0</v>
      </c>
      <c r="BH192" s="49">
        <f t="shared" si="482"/>
        <v>-475.40459999999996</v>
      </c>
      <c r="BI192" s="49">
        <f t="shared" si="483"/>
        <v>0</v>
      </c>
      <c r="BJ192" s="49">
        <f t="shared" si="484"/>
        <v>0</v>
      </c>
      <c r="BK192" s="49">
        <f t="shared" si="485"/>
        <v>0</v>
      </c>
      <c r="BL192" s="49">
        <f t="shared" si="486"/>
        <v>0</v>
      </c>
      <c r="BM192" s="49">
        <f t="shared" si="487"/>
        <v>0</v>
      </c>
      <c r="BN192" s="49">
        <f t="shared" si="488"/>
        <v>0</v>
      </c>
      <c r="BO192" s="49">
        <f t="shared" si="489"/>
        <v>0</v>
      </c>
      <c r="BP192" s="49">
        <f t="shared" si="490"/>
        <v>0</v>
      </c>
      <c r="BQ192" s="49">
        <f t="shared" si="491"/>
        <v>-324.13949999999994</v>
      </c>
      <c r="BR192" s="49">
        <f t="shared" si="492"/>
        <v>0</v>
      </c>
      <c r="BS192" s="49">
        <f t="shared" si="493"/>
        <v>0</v>
      </c>
      <c r="BT192" s="49">
        <f t="shared" si="494"/>
        <v>-324.13949999999994</v>
      </c>
      <c r="BU192" s="49">
        <f t="shared" si="495"/>
        <v>0</v>
      </c>
      <c r="BV192" s="49">
        <f t="shared" si="496"/>
        <v>0</v>
      </c>
      <c r="BW192" s="49">
        <f t="shared" si="497"/>
        <v>0</v>
      </c>
      <c r="BX192" s="49">
        <f t="shared" si="498"/>
        <v>0</v>
      </c>
      <c r="BY192" s="49">
        <f t="shared" si="499"/>
        <v>0</v>
      </c>
      <c r="BZ192" s="49">
        <f t="shared" si="500"/>
        <v>0</v>
      </c>
      <c r="CA192" s="49">
        <f t="shared" si="501"/>
        <v>0</v>
      </c>
      <c r="CB192" s="49">
        <f t="shared" si="502"/>
        <v>0</v>
      </c>
      <c r="CC192" s="49">
        <f t="shared" si="503"/>
        <v>-64.8279</v>
      </c>
      <c r="CD192" s="49">
        <f t="shared" si="504"/>
        <v>0</v>
      </c>
      <c r="CE192" s="49">
        <f t="shared" si="505"/>
        <v>0</v>
      </c>
      <c r="CF192" s="49">
        <f t="shared" si="506"/>
        <v>-64.8279</v>
      </c>
      <c r="CG192" s="49">
        <f t="shared" si="507"/>
        <v>0</v>
      </c>
      <c r="CH192" s="49">
        <f t="shared" si="508"/>
        <v>0</v>
      </c>
      <c r="CI192" s="49">
        <f t="shared" si="509"/>
        <v>-86.43719999999999</v>
      </c>
      <c r="CJ192" s="49">
        <f t="shared" si="510"/>
        <v>0</v>
      </c>
      <c r="CK192" s="49">
        <f t="shared" si="511"/>
        <v>0</v>
      </c>
      <c r="CL192" s="49">
        <f t="shared" si="512"/>
        <v>-86.43719999999999</v>
      </c>
      <c r="CM192" s="49">
        <f t="shared" si="513"/>
        <v>0</v>
      </c>
      <c r="CN192" s="49">
        <f t="shared" si="514"/>
        <v>0</v>
      </c>
      <c r="CO192" s="49">
        <f t="shared" si="515"/>
        <v>-475.40459999999996</v>
      </c>
      <c r="CP192" s="49">
        <f t="shared" si="516"/>
        <v>0</v>
      </c>
      <c r="CQ192" s="49">
        <f t="shared" si="517"/>
        <v>0</v>
      </c>
      <c r="CR192" s="81">
        <f t="shared" si="518"/>
        <v>-475.40459999999996</v>
      </c>
      <c r="CS192" s="80">
        <f t="shared" si="519"/>
        <v>-1685.5254</v>
      </c>
      <c r="CT192" s="54"/>
      <c r="CU192" s="3" t="str">
        <f t="shared" si="520"/>
        <v>ARS</v>
      </c>
      <c r="CV192" s="3">
        <f>VLOOKUP(CU192,DF:DG,2,0)</f>
        <v>6.9185169999999997E-4</v>
      </c>
      <c r="CW192" s="23">
        <f t="shared" si="521"/>
        <v>-1.4950430940809998</v>
      </c>
      <c r="CX192" s="23">
        <f t="shared" si="522"/>
        <v>0</v>
      </c>
      <c r="CY192" s="23">
        <f t="shared" si="523"/>
        <v>-0.22425646411214994</v>
      </c>
      <c r="CZ192" s="23">
        <f t="shared" si="524"/>
        <v>0</v>
      </c>
      <c r="DA192" s="23">
        <f t="shared" si="525"/>
        <v>-4.485129282243E-2</v>
      </c>
      <c r="DB192" s="23">
        <f t="shared" si="526"/>
        <v>-5.9801723763239993E-2</v>
      </c>
      <c r="DC192" s="23">
        <f t="shared" si="527"/>
        <v>-1.1661336133831799</v>
      </c>
      <c r="DD192" s="34" t="e">
        <f>VLOOKUP(A192,'Billing Report'!H:I,2,FALSE)</f>
        <v>#N/A</v>
      </c>
      <c r="DE192" s="34"/>
      <c r="DF192" s="61"/>
      <c r="DG192" s="62"/>
      <c r="DH192"/>
      <c r="DI192" s="41"/>
      <c r="DJ192" s="41"/>
    </row>
    <row r="193" spans="1:114" ht="14.5" x14ac:dyDescent="0.35">
      <c r="A193" s="63">
        <v>40936991</v>
      </c>
      <c r="B193" s="3" t="s">
        <v>1125</v>
      </c>
      <c r="C193" s="3">
        <v>324901601</v>
      </c>
      <c r="D193" s="3" t="s">
        <v>93</v>
      </c>
      <c r="G193" s="38">
        <v>2302160.9299999997</v>
      </c>
      <c r="J193" s="33">
        <f>VLOOKUP($B193,'IMS Commission List'!E:CE,79,0)/100</f>
        <v>0.15</v>
      </c>
      <c r="K193" s="79">
        <f t="shared" si="440"/>
        <v>2302160.9299999997</v>
      </c>
      <c r="L193" s="3" t="str">
        <f>VLOOKUP($B193,'IMS Commission List'!E:V,18,0)</f>
        <v>ARS</v>
      </c>
      <c r="M193" s="3">
        <v>1</v>
      </c>
      <c r="N193" s="3" t="str">
        <f>VLOOKUP($B193,'IMS Commission List'!E:T,16,0)</f>
        <v>MX</v>
      </c>
      <c r="O193" s="54">
        <f>VLOOKUP($B193,'IMS Commission List'!E:CF,80,0)</f>
        <v>0</v>
      </c>
      <c r="P193" s="54">
        <f>VLOOKUP($B193,'IMS Commission List'!E:CG,81,0)</f>
        <v>0</v>
      </c>
      <c r="Q193" s="54">
        <f>VLOOKUP($B193,'IMS Commission List'!E:CP,90,0)</f>
        <v>0.03</v>
      </c>
      <c r="R193" s="54">
        <f>VLOOKUP($B193,'IMS Commission List'!E:CQ,91,0)</f>
        <v>0.04</v>
      </c>
      <c r="S193" s="47">
        <f t="shared" si="441"/>
        <v>0</v>
      </c>
      <c r="T193" s="48">
        <f t="shared" si="442"/>
        <v>0</v>
      </c>
      <c r="U193" s="48">
        <f t="shared" si="443"/>
        <v>2302160.9299999997</v>
      </c>
      <c r="V193" s="48">
        <f t="shared" si="444"/>
        <v>0</v>
      </c>
      <c r="W193" s="48">
        <f t="shared" si="445"/>
        <v>0</v>
      </c>
      <c r="X193" s="49">
        <f t="shared" si="446"/>
        <v>2302160.9299999997</v>
      </c>
      <c r="Y193" s="49">
        <f t="shared" si="447"/>
        <v>0</v>
      </c>
      <c r="Z193" s="49">
        <f t="shared" si="448"/>
        <v>0</v>
      </c>
      <c r="AA193" s="49">
        <f t="shared" si="449"/>
        <v>0</v>
      </c>
      <c r="AB193" s="49">
        <f t="shared" si="450"/>
        <v>0</v>
      </c>
      <c r="AC193" s="49">
        <f t="shared" si="451"/>
        <v>0</v>
      </c>
      <c r="AD193" s="49">
        <f t="shared" si="452"/>
        <v>0</v>
      </c>
      <c r="AE193" s="49">
        <f t="shared" si="453"/>
        <v>0</v>
      </c>
      <c r="AF193" s="49">
        <f t="shared" si="454"/>
        <v>0</v>
      </c>
      <c r="AG193" s="49">
        <f t="shared" si="455"/>
        <v>345324.13949999993</v>
      </c>
      <c r="AH193" s="49">
        <f t="shared" si="456"/>
        <v>0</v>
      </c>
      <c r="AI193" s="49">
        <f t="shared" si="457"/>
        <v>0</v>
      </c>
      <c r="AJ193" s="49">
        <f t="shared" si="458"/>
        <v>345324.13949999993</v>
      </c>
      <c r="AK193" s="49">
        <f t="shared" si="459"/>
        <v>0</v>
      </c>
      <c r="AL193" s="49">
        <f t="shared" si="460"/>
        <v>0</v>
      </c>
      <c r="AM193" s="49">
        <f t="shared" si="461"/>
        <v>0</v>
      </c>
      <c r="AN193" s="49">
        <f t="shared" si="462"/>
        <v>0</v>
      </c>
      <c r="AO193" s="49">
        <f t="shared" si="463"/>
        <v>0</v>
      </c>
      <c r="AP193" s="49">
        <f t="shared" si="464"/>
        <v>0</v>
      </c>
      <c r="AQ193" s="49">
        <f t="shared" si="465"/>
        <v>0</v>
      </c>
      <c r="AR193" s="49">
        <f t="shared" si="466"/>
        <v>0</v>
      </c>
      <c r="AS193" s="49">
        <f t="shared" si="467"/>
        <v>69064.827899999989</v>
      </c>
      <c r="AT193" s="49">
        <f t="shared" si="468"/>
        <v>0</v>
      </c>
      <c r="AU193" s="49">
        <f t="shared" si="469"/>
        <v>0</v>
      </c>
      <c r="AV193" s="49">
        <f t="shared" si="470"/>
        <v>69064.827899999989</v>
      </c>
      <c r="AW193" s="49">
        <f t="shared" si="471"/>
        <v>0</v>
      </c>
      <c r="AX193" s="49">
        <f t="shared" si="472"/>
        <v>0</v>
      </c>
      <c r="AY193" s="49">
        <f t="shared" si="473"/>
        <v>92086.437199999986</v>
      </c>
      <c r="AZ193" s="49">
        <f t="shared" si="474"/>
        <v>0</v>
      </c>
      <c r="BA193" s="49">
        <f t="shared" si="475"/>
        <v>0</v>
      </c>
      <c r="BB193" s="49">
        <f t="shared" si="476"/>
        <v>92086.437199999986</v>
      </c>
      <c r="BC193" s="49">
        <f t="shared" si="477"/>
        <v>0</v>
      </c>
      <c r="BD193" s="49">
        <f t="shared" si="478"/>
        <v>0</v>
      </c>
      <c r="BE193" s="49">
        <f t="shared" si="479"/>
        <v>506475.40459999989</v>
      </c>
      <c r="BF193" s="49">
        <f t="shared" si="480"/>
        <v>0</v>
      </c>
      <c r="BG193" s="49">
        <f t="shared" si="481"/>
        <v>0</v>
      </c>
      <c r="BH193" s="49">
        <f t="shared" si="482"/>
        <v>506475.40459999989</v>
      </c>
      <c r="BI193" s="49">
        <f t="shared" si="483"/>
        <v>0</v>
      </c>
      <c r="BJ193" s="49">
        <f t="shared" si="484"/>
        <v>0</v>
      </c>
      <c r="BK193" s="49">
        <f t="shared" si="485"/>
        <v>0</v>
      </c>
      <c r="BL193" s="49">
        <f t="shared" si="486"/>
        <v>0</v>
      </c>
      <c r="BM193" s="49">
        <f t="shared" si="487"/>
        <v>0</v>
      </c>
      <c r="BN193" s="49">
        <f t="shared" si="488"/>
        <v>0</v>
      </c>
      <c r="BO193" s="49">
        <f t="shared" si="489"/>
        <v>0</v>
      </c>
      <c r="BP193" s="49">
        <f t="shared" si="490"/>
        <v>0</v>
      </c>
      <c r="BQ193" s="49">
        <f t="shared" si="491"/>
        <v>345324.13949999993</v>
      </c>
      <c r="BR193" s="49">
        <f t="shared" si="492"/>
        <v>0</v>
      </c>
      <c r="BS193" s="49">
        <f t="shared" si="493"/>
        <v>0</v>
      </c>
      <c r="BT193" s="49">
        <f t="shared" si="494"/>
        <v>345324.13949999993</v>
      </c>
      <c r="BU193" s="49">
        <f t="shared" si="495"/>
        <v>0</v>
      </c>
      <c r="BV193" s="49">
        <f t="shared" si="496"/>
        <v>0</v>
      </c>
      <c r="BW193" s="49">
        <f t="shared" si="497"/>
        <v>0</v>
      </c>
      <c r="BX193" s="49">
        <f t="shared" si="498"/>
        <v>0</v>
      </c>
      <c r="BY193" s="49">
        <f t="shared" si="499"/>
        <v>0</v>
      </c>
      <c r="BZ193" s="49">
        <f t="shared" si="500"/>
        <v>0</v>
      </c>
      <c r="CA193" s="49">
        <f t="shared" si="501"/>
        <v>0</v>
      </c>
      <c r="CB193" s="49">
        <f t="shared" si="502"/>
        <v>0</v>
      </c>
      <c r="CC193" s="49">
        <f t="shared" si="503"/>
        <v>69064.827899999989</v>
      </c>
      <c r="CD193" s="49">
        <f t="shared" si="504"/>
        <v>0</v>
      </c>
      <c r="CE193" s="49">
        <f t="shared" si="505"/>
        <v>0</v>
      </c>
      <c r="CF193" s="49">
        <f t="shared" si="506"/>
        <v>69064.827899999989</v>
      </c>
      <c r="CG193" s="49">
        <f t="shared" si="507"/>
        <v>0</v>
      </c>
      <c r="CH193" s="49">
        <f t="shared" si="508"/>
        <v>0</v>
      </c>
      <c r="CI193" s="49">
        <f t="shared" si="509"/>
        <v>92086.437199999986</v>
      </c>
      <c r="CJ193" s="49">
        <f t="shared" si="510"/>
        <v>0</v>
      </c>
      <c r="CK193" s="49">
        <f t="shared" si="511"/>
        <v>0</v>
      </c>
      <c r="CL193" s="49">
        <f t="shared" si="512"/>
        <v>92086.437199999986</v>
      </c>
      <c r="CM193" s="49">
        <f t="shared" si="513"/>
        <v>0</v>
      </c>
      <c r="CN193" s="49">
        <f t="shared" si="514"/>
        <v>0</v>
      </c>
      <c r="CO193" s="49">
        <f t="shared" si="515"/>
        <v>506475.40459999989</v>
      </c>
      <c r="CP193" s="49">
        <f t="shared" si="516"/>
        <v>0</v>
      </c>
      <c r="CQ193" s="49">
        <f t="shared" si="517"/>
        <v>0</v>
      </c>
      <c r="CR193" s="81">
        <f t="shared" si="518"/>
        <v>506475.40459999989</v>
      </c>
      <c r="CS193" s="80">
        <f t="shared" si="519"/>
        <v>1795685.5253999997</v>
      </c>
      <c r="CT193" s="54"/>
      <c r="CU193" s="3" t="str">
        <f t="shared" si="520"/>
        <v>ARS</v>
      </c>
      <c r="CV193" s="3">
        <f>VLOOKUP(CU193,DF:DG,2,0)</f>
        <v>6.9185169999999997E-4</v>
      </c>
      <c r="CW193" s="23">
        <f t="shared" si="521"/>
        <v>1592.7539530940808</v>
      </c>
      <c r="CX193" s="23">
        <f t="shared" si="522"/>
        <v>0</v>
      </c>
      <c r="CY193" s="23">
        <f t="shared" si="523"/>
        <v>238.91309296411208</v>
      </c>
      <c r="CZ193" s="23">
        <f t="shared" si="524"/>
        <v>0</v>
      </c>
      <c r="DA193" s="23">
        <f t="shared" si="525"/>
        <v>47.782618592822423</v>
      </c>
      <c r="DB193" s="23">
        <f t="shared" si="526"/>
        <v>63.710158123763229</v>
      </c>
      <c r="DC193" s="23">
        <f t="shared" si="527"/>
        <v>1242.3480834133829</v>
      </c>
      <c r="DD193" s="34" t="str">
        <f>VLOOKUP(A193,'Billing Report'!H:I,2,FALSE)</f>
        <v>CN003930-Climbing-(Cif)_DSHWSH_Cif_OpAuc_Awa_Reach-Contenido-De-Marca-Op-1074714-Febrero-2026</v>
      </c>
      <c r="DE193" s="34"/>
      <c r="DF193" s="61"/>
      <c r="DG193" s="62"/>
      <c r="DH193"/>
      <c r="DI193" s="41"/>
      <c r="DJ193" s="41"/>
    </row>
    <row r="194" spans="1:114" ht="14.5" x14ac:dyDescent="0.35">
      <c r="A194" s="63">
        <v>40958584</v>
      </c>
      <c r="B194" s="3" t="s">
        <v>1133</v>
      </c>
      <c r="C194" s="3">
        <v>324904401</v>
      </c>
      <c r="D194" s="3" t="s">
        <v>93</v>
      </c>
      <c r="G194" s="38">
        <v>9224933.0199999996</v>
      </c>
      <c r="J194" s="33">
        <f>VLOOKUP($B194,'IMS Commission List'!E:CE,79,0)/100</f>
        <v>0.15</v>
      </c>
      <c r="K194" s="79">
        <f t="shared" si="440"/>
        <v>9224933.0199999996</v>
      </c>
      <c r="L194" s="3" t="str">
        <f>VLOOKUP($B194,'IMS Commission List'!E:V,18,0)</f>
        <v>ARS</v>
      </c>
      <c r="M194" s="3">
        <v>1</v>
      </c>
      <c r="N194" s="3" t="str">
        <f>VLOOKUP($B194,'IMS Commission List'!E:T,16,0)</f>
        <v>MX</v>
      </c>
      <c r="O194" s="54">
        <f>VLOOKUP($B194,'IMS Commission List'!E:CF,80,0)</f>
        <v>0</v>
      </c>
      <c r="P194" s="54">
        <f>VLOOKUP($B194,'IMS Commission List'!E:CG,81,0)</f>
        <v>0</v>
      </c>
      <c r="Q194" s="54">
        <f>VLOOKUP($B194,'IMS Commission List'!E:CP,90,0)</f>
        <v>0.03</v>
      </c>
      <c r="R194" s="54">
        <f>VLOOKUP($B194,'IMS Commission List'!E:CQ,91,0)</f>
        <v>0.04</v>
      </c>
      <c r="S194" s="47">
        <f t="shared" si="441"/>
        <v>0</v>
      </c>
      <c r="T194" s="48">
        <f t="shared" si="442"/>
        <v>0</v>
      </c>
      <c r="U194" s="48">
        <f t="shared" si="443"/>
        <v>9224933.0199999996</v>
      </c>
      <c r="V194" s="48">
        <f t="shared" si="444"/>
        <v>0</v>
      </c>
      <c r="W194" s="48">
        <f t="shared" si="445"/>
        <v>0</v>
      </c>
      <c r="X194" s="49">
        <f t="shared" si="446"/>
        <v>9224933.0199999996</v>
      </c>
      <c r="Y194" s="49">
        <f t="shared" si="447"/>
        <v>0</v>
      </c>
      <c r="Z194" s="49">
        <f t="shared" si="448"/>
        <v>0</v>
      </c>
      <c r="AA194" s="49">
        <f t="shared" si="449"/>
        <v>0</v>
      </c>
      <c r="AB194" s="49">
        <f t="shared" si="450"/>
        <v>0</v>
      </c>
      <c r="AC194" s="49">
        <f t="shared" si="451"/>
        <v>0</v>
      </c>
      <c r="AD194" s="49">
        <f t="shared" si="452"/>
        <v>0</v>
      </c>
      <c r="AE194" s="49">
        <f t="shared" si="453"/>
        <v>0</v>
      </c>
      <c r="AF194" s="49">
        <f t="shared" si="454"/>
        <v>0</v>
      </c>
      <c r="AG194" s="49">
        <f t="shared" si="455"/>
        <v>1383739.953</v>
      </c>
      <c r="AH194" s="49">
        <f t="shared" si="456"/>
        <v>0</v>
      </c>
      <c r="AI194" s="49">
        <f t="shared" si="457"/>
        <v>0</v>
      </c>
      <c r="AJ194" s="49">
        <f t="shared" si="458"/>
        <v>1383739.953</v>
      </c>
      <c r="AK194" s="49">
        <f t="shared" si="459"/>
        <v>0</v>
      </c>
      <c r="AL194" s="49">
        <f t="shared" si="460"/>
        <v>0</v>
      </c>
      <c r="AM194" s="49">
        <f t="shared" si="461"/>
        <v>0</v>
      </c>
      <c r="AN194" s="49">
        <f t="shared" si="462"/>
        <v>0</v>
      </c>
      <c r="AO194" s="49">
        <f t="shared" si="463"/>
        <v>0</v>
      </c>
      <c r="AP194" s="49">
        <f t="shared" si="464"/>
        <v>0</v>
      </c>
      <c r="AQ194" s="49">
        <f t="shared" si="465"/>
        <v>0</v>
      </c>
      <c r="AR194" s="49">
        <f t="shared" si="466"/>
        <v>0</v>
      </c>
      <c r="AS194" s="49">
        <f t="shared" si="467"/>
        <v>276747.99059999996</v>
      </c>
      <c r="AT194" s="49">
        <f t="shared" si="468"/>
        <v>0</v>
      </c>
      <c r="AU194" s="49">
        <f t="shared" si="469"/>
        <v>0</v>
      </c>
      <c r="AV194" s="49">
        <f t="shared" si="470"/>
        <v>276747.99059999996</v>
      </c>
      <c r="AW194" s="49">
        <f t="shared" si="471"/>
        <v>0</v>
      </c>
      <c r="AX194" s="49">
        <f t="shared" si="472"/>
        <v>0</v>
      </c>
      <c r="AY194" s="49">
        <f t="shared" si="473"/>
        <v>368997.32079999999</v>
      </c>
      <c r="AZ194" s="49">
        <f t="shared" si="474"/>
        <v>0</v>
      </c>
      <c r="BA194" s="49">
        <f t="shared" si="475"/>
        <v>0</v>
      </c>
      <c r="BB194" s="49">
        <f t="shared" si="476"/>
        <v>368997.32079999999</v>
      </c>
      <c r="BC194" s="49">
        <f t="shared" si="477"/>
        <v>0</v>
      </c>
      <c r="BD194" s="49">
        <f t="shared" si="478"/>
        <v>0</v>
      </c>
      <c r="BE194" s="49">
        <f t="shared" si="479"/>
        <v>2029485.2643999998</v>
      </c>
      <c r="BF194" s="49">
        <f t="shared" si="480"/>
        <v>0</v>
      </c>
      <c r="BG194" s="49">
        <f t="shared" si="481"/>
        <v>0</v>
      </c>
      <c r="BH194" s="49">
        <f t="shared" si="482"/>
        <v>2029485.2643999998</v>
      </c>
      <c r="BI194" s="49">
        <f t="shared" si="483"/>
        <v>0</v>
      </c>
      <c r="BJ194" s="49">
        <f t="shared" si="484"/>
        <v>0</v>
      </c>
      <c r="BK194" s="49">
        <f t="shared" si="485"/>
        <v>0</v>
      </c>
      <c r="BL194" s="49">
        <f t="shared" si="486"/>
        <v>0</v>
      </c>
      <c r="BM194" s="49">
        <f t="shared" si="487"/>
        <v>0</v>
      </c>
      <c r="BN194" s="49">
        <f t="shared" si="488"/>
        <v>0</v>
      </c>
      <c r="BO194" s="49">
        <f t="shared" si="489"/>
        <v>0</v>
      </c>
      <c r="BP194" s="49">
        <f t="shared" si="490"/>
        <v>0</v>
      </c>
      <c r="BQ194" s="49">
        <f t="shared" si="491"/>
        <v>1383739.953</v>
      </c>
      <c r="BR194" s="49">
        <f t="shared" si="492"/>
        <v>0</v>
      </c>
      <c r="BS194" s="49">
        <f t="shared" si="493"/>
        <v>0</v>
      </c>
      <c r="BT194" s="49">
        <f t="shared" si="494"/>
        <v>1383739.953</v>
      </c>
      <c r="BU194" s="49">
        <f t="shared" si="495"/>
        <v>0</v>
      </c>
      <c r="BV194" s="49">
        <f t="shared" si="496"/>
        <v>0</v>
      </c>
      <c r="BW194" s="49">
        <f t="shared" si="497"/>
        <v>0</v>
      </c>
      <c r="BX194" s="49">
        <f t="shared" si="498"/>
        <v>0</v>
      </c>
      <c r="BY194" s="49">
        <f t="shared" si="499"/>
        <v>0</v>
      </c>
      <c r="BZ194" s="49">
        <f t="shared" si="500"/>
        <v>0</v>
      </c>
      <c r="CA194" s="49">
        <f t="shared" si="501"/>
        <v>0</v>
      </c>
      <c r="CB194" s="49">
        <f t="shared" si="502"/>
        <v>0</v>
      </c>
      <c r="CC194" s="49">
        <f t="shared" si="503"/>
        <v>276747.99059999996</v>
      </c>
      <c r="CD194" s="49">
        <f t="shared" si="504"/>
        <v>0</v>
      </c>
      <c r="CE194" s="49">
        <f t="shared" si="505"/>
        <v>0</v>
      </c>
      <c r="CF194" s="49">
        <f t="shared" si="506"/>
        <v>276747.99059999996</v>
      </c>
      <c r="CG194" s="49">
        <f t="shared" si="507"/>
        <v>0</v>
      </c>
      <c r="CH194" s="49">
        <f t="shared" si="508"/>
        <v>0</v>
      </c>
      <c r="CI194" s="49">
        <f t="shared" si="509"/>
        <v>368997.32079999999</v>
      </c>
      <c r="CJ194" s="49">
        <f t="shared" si="510"/>
        <v>0</v>
      </c>
      <c r="CK194" s="49">
        <f t="shared" si="511"/>
        <v>0</v>
      </c>
      <c r="CL194" s="49">
        <f t="shared" si="512"/>
        <v>368997.32079999999</v>
      </c>
      <c r="CM194" s="49">
        <f t="shared" si="513"/>
        <v>0</v>
      </c>
      <c r="CN194" s="49">
        <f t="shared" si="514"/>
        <v>0</v>
      </c>
      <c r="CO194" s="49">
        <f t="shared" si="515"/>
        <v>2029485.2643999998</v>
      </c>
      <c r="CP194" s="49">
        <f t="shared" si="516"/>
        <v>0</v>
      </c>
      <c r="CQ194" s="49">
        <f t="shared" si="517"/>
        <v>0</v>
      </c>
      <c r="CR194" s="81">
        <f t="shared" si="518"/>
        <v>2029485.2643999998</v>
      </c>
      <c r="CS194" s="80">
        <f t="shared" si="519"/>
        <v>7195447.7555999998</v>
      </c>
      <c r="CT194" s="54"/>
      <c r="CU194" s="3" t="str">
        <f t="shared" si="520"/>
        <v>ARS</v>
      </c>
      <c r="CV194" s="3">
        <f>VLOOKUP(CU194,DF:DG,2,0)</f>
        <v>6.9185169999999997E-4</v>
      </c>
      <c r="CW194" s="23">
        <f t="shared" si="521"/>
        <v>6382.2855922731333</v>
      </c>
      <c r="CX194" s="23">
        <f t="shared" si="522"/>
        <v>0</v>
      </c>
      <c r="CY194" s="23">
        <f t="shared" si="523"/>
        <v>957.34283884096999</v>
      </c>
      <c r="CZ194" s="23">
        <f t="shared" si="524"/>
        <v>0</v>
      </c>
      <c r="DA194" s="23">
        <f t="shared" si="525"/>
        <v>191.46856776819399</v>
      </c>
      <c r="DB194" s="23">
        <f t="shared" si="526"/>
        <v>255.29142369092534</v>
      </c>
      <c r="DC194" s="23">
        <f t="shared" si="527"/>
        <v>4978.1827619730439</v>
      </c>
      <c r="DD194" s="34" t="str">
        <f>VLOOKUP(A194,'Billing Report'!H:I,2,FALSE)</f>
        <v>MLA_ML_TW-TWT_GEN_X_FE-DD-X_ALL_REACH_DD-03_X_56943125</v>
      </c>
      <c r="DE194" s="34"/>
      <c r="DF194" s="61"/>
      <c r="DG194" s="62"/>
      <c r="DH194"/>
      <c r="DI194" s="41"/>
      <c r="DJ194" s="41"/>
    </row>
    <row r="195" spans="1:114" ht="14.5" x14ac:dyDescent="0.35">
      <c r="A195" s="63">
        <v>40938204</v>
      </c>
      <c r="B195" s="3" t="s">
        <v>1139</v>
      </c>
      <c r="C195" s="3">
        <v>324930701</v>
      </c>
      <c r="D195" s="3" t="s">
        <v>93</v>
      </c>
      <c r="G195" s="38">
        <v>232244.91999999998</v>
      </c>
      <c r="J195" s="33">
        <f>VLOOKUP($B195,'IMS Commission List'!E:CE,79,0)/100</f>
        <v>0.15</v>
      </c>
      <c r="K195" s="79">
        <f t="shared" si="440"/>
        <v>232244.91999999998</v>
      </c>
      <c r="L195" s="3" t="str">
        <f>VLOOKUP($B195,'IMS Commission List'!E:V,18,0)</f>
        <v>ARS</v>
      </c>
      <c r="M195" s="3">
        <v>1</v>
      </c>
      <c r="N195" s="3" t="str">
        <f>VLOOKUP($B195,'IMS Commission List'!E:T,16,0)</f>
        <v>MX</v>
      </c>
      <c r="O195" s="54">
        <f>VLOOKUP($B195,'IMS Commission List'!E:CF,80,0)</f>
        <v>0</v>
      </c>
      <c r="P195" s="54">
        <f>VLOOKUP($B195,'IMS Commission List'!E:CG,81,0)</f>
        <v>0</v>
      </c>
      <c r="Q195" s="54">
        <f>VLOOKUP($B195,'IMS Commission List'!E:CP,90,0)</f>
        <v>0.03</v>
      </c>
      <c r="R195" s="54">
        <f>VLOOKUP($B195,'IMS Commission List'!E:CQ,91,0)</f>
        <v>0.04</v>
      </c>
      <c r="S195" s="47">
        <f t="shared" si="441"/>
        <v>0</v>
      </c>
      <c r="T195" s="48">
        <f t="shared" si="442"/>
        <v>0</v>
      </c>
      <c r="U195" s="48">
        <f t="shared" si="443"/>
        <v>232244.91999999998</v>
      </c>
      <c r="V195" s="48">
        <f t="shared" si="444"/>
        <v>0</v>
      </c>
      <c r="W195" s="48">
        <f t="shared" si="445"/>
        <v>0</v>
      </c>
      <c r="X195" s="49">
        <f t="shared" si="446"/>
        <v>232244.91999999998</v>
      </c>
      <c r="Y195" s="49">
        <f t="shared" si="447"/>
        <v>0</v>
      </c>
      <c r="Z195" s="49">
        <f t="shared" si="448"/>
        <v>0</v>
      </c>
      <c r="AA195" s="49">
        <f t="shared" si="449"/>
        <v>0</v>
      </c>
      <c r="AB195" s="49">
        <f t="shared" si="450"/>
        <v>0</v>
      </c>
      <c r="AC195" s="49">
        <f t="shared" si="451"/>
        <v>0</v>
      </c>
      <c r="AD195" s="49">
        <f t="shared" si="452"/>
        <v>0</v>
      </c>
      <c r="AE195" s="49">
        <f t="shared" si="453"/>
        <v>0</v>
      </c>
      <c r="AF195" s="49">
        <f t="shared" si="454"/>
        <v>0</v>
      </c>
      <c r="AG195" s="49">
        <f t="shared" si="455"/>
        <v>34836.737999999998</v>
      </c>
      <c r="AH195" s="49">
        <f t="shared" si="456"/>
        <v>0</v>
      </c>
      <c r="AI195" s="49">
        <f t="shared" si="457"/>
        <v>0</v>
      </c>
      <c r="AJ195" s="49">
        <f t="shared" si="458"/>
        <v>34836.737999999998</v>
      </c>
      <c r="AK195" s="49">
        <f t="shared" si="459"/>
        <v>0</v>
      </c>
      <c r="AL195" s="49">
        <f t="shared" si="460"/>
        <v>0</v>
      </c>
      <c r="AM195" s="49">
        <f t="shared" si="461"/>
        <v>0</v>
      </c>
      <c r="AN195" s="49">
        <f t="shared" si="462"/>
        <v>0</v>
      </c>
      <c r="AO195" s="49">
        <f t="shared" si="463"/>
        <v>0</v>
      </c>
      <c r="AP195" s="49">
        <f t="shared" si="464"/>
        <v>0</v>
      </c>
      <c r="AQ195" s="49">
        <f t="shared" si="465"/>
        <v>0</v>
      </c>
      <c r="AR195" s="49">
        <f t="shared" si="466"/>
        <v>0</v>
      </c>
      <c r="AS195" s="49">
        <f t="shared" si="467"/>
        <v>6967.3475999999991</v>
      </c>
      <c r="AT195" s="49">
        <f t="shared" si="468"/>
        <v>0</v>
      </c>
      <c r="AU195" s="49">
        <f t="shared" si="469"/>
        <v>0</v>
      </c>
      <c r="AV195" s="49">
        <f t="shared" si="470"/>
        <v>6967.3475999999991</v>
      </c>
      <c r="AW195" s="49">
        <f t="shared" si="471"/>
        <v>0</v>
      </c>
      <c r="AX195" s="49">
        <f t="shared" si="472"/>
        <v>0</v>
      </c>
      <c r="AY195" s="49">
        <f t="shared" si="473"/>
        <v>9289.7968000000001</v>
      </c>
      <c r="AZ195" s="49">
        <f t="shared" si="474"/>
        <v>0</v>
      </c>
      <c r="BA195" s="49">
        <f t="shared" si="475"/>
        <v>0</v>
      </c>
      <c r="BB195" s="49">
        <f t="shared" si="476"/>
        <v>9289.7968000000001</v>
      </c>
      <c r="BC195" s="49">
        <f t="shared" si="477"/>
        <v>0</v>
      </c>
      <c r="BD195" s="49">
        <f t="shared" si="478"/>
        <v>0</v>
      </c>
      <c r="BE195" s="49">
        <f t="shared" si="479"/>
        <v>51093.882400000002</v>
      </c>
      <c r="BF195" s="49">
        <f t="shared" si="480"/>
        <v>0</v>
      </c>
      <c r="BG195" s="49">
        <f t="shared" si="481"/>
        <v>0</v>
      </c>
      <c r="BH195" s="49">
        <f t="shared" si="482"/>
        <v>51093.882400000002</v>
      </c>
      <c r="BI195" s="49">
        <f t="shared" si="483"/>
        <v>0</v>
      </c>
      <c r="BJ195" s="49">
        <f t="shared" si="484"/>
        <v>0</v>
      </c>
      <c r="BK195" s="49">
        <f t="shared" si="485"/>
        <v>0</v>
      </c>
      <c r="BL195" s="49">
        <f t="shared" si="486"/>
        <v>0</v>
      </c>
      <c r="BM195" s="49">
        <f t="shared" si="487"/>
        <v>0</v>
      </c>
      <c r="BN195" s="49">
        <f t="shared" si="488"/>
        <v>0</v>
      </c>
      <c r="BO195" s="49">
        <f t="shared" si="489"/>
        <v>0</v>
      </c>
      <c r="BP195" s="49">
        <f t="shared" si="490"/>
        <v>0</v>
      </c>
      <c r="BQ195" s="49">
        <f t="shared" si="491"/>
        <v>34836.737999999998</v>
      </c>
      <c r="BR195" s="49">
        <f t="shared" si="492"/>
        <v>0</v>
      </c>
      <c r="BS195" s="49">
        <f t="shared" si="493"/>
        <v>0</v>
      </c>
      <c r="BT195" s="49">
        <f t="shared" si="494"/>
        <v>34836.737999999998</v>
      </c>
      <c r="BU195" s="49">
        <f t="shared" si="495"/>
        <v>0</v>
      </c>
      <c r="BV195" s="49">
        <f t="shared" si="496"/>
        <v>0</v>
      </c>
      <c r="BW195" s="49">
        <f t="shared" si="497"/>
        <v>0</v>
      </c>
      <c r="BX195" s="49">
        <f t="shared" si="498"/>
        <v>0</v>
      </c>
      <c r="BY195" s="49">
        <f t="shared" si="499"/>
        <v>0</v>
      </c>
      <c r="BZ195" s="49">
        <f t="shared" si="500"/>
        <v>0</v>
      </c>
      <c r="CA195" s="49">
        <f t="shared" si="501"/>
        <v>0</v>
      </c>
      <c r="CB195" s="49">
        <f t="shared" si="502"/>
        <v>0</v>
      </c>
      <c r="CC195" s="49">
        <f t="shared" si="503"/>
        <v>6967.3475999999991</v>
      </c>
      <c r="CD195" s="49">
        <f t="shared" si="504"/>
        <v>0</v>
      </c>
      <c r="CE195" s="49">
        <f t="shared" si="505"/>
        <v>0</v>
      </c>
      <c r="CF195" s="49">
        <f t="shared" si="506"/>
        <v>6967.3475999999991</v>
      </c>
      <c r="CG195" s="49">
        <f t="shared" si="507"/>
        <v>0</v>
      </c>
      <c r="CH195" s="49">
        <f t="shared" si="508"/>
        <v>0</v>
      </c>
      <c r="CI195" s="49">
        <f t="shared" si="509"/>
        <v>9289.7968000000001</v>
      </c>
      <c r="CJ195" s="49">
        <f t="shared" si="510"/>
        <v>0</v>
      </c>
      <c r="CK195" s="49">
        <f t="shared" si="511"/>
        <v>0</v>
      </c>
      <c r="CL195" s="49">
        <f t="shared" si="512"/>
        <v>9289.7968000000001</v>
      </c>
      <c r="CM195" s="49">
        <f t="shared" si="513"/>
        <v>0</v>
      </c>
      <c r="CN195" s="49">
        <f t="shared" si="514"/>
        <v>0</v>
      </c>
      <c r="CO195" s="49">
        <f t="shared" si="515"/>
        <v>51093.882400000002</v>
      </c>
      <c r="CP195" s="49">
        <f t="shared" si="516"/>
        <v>0</v>
      </c>
      <c r="CQ195" s="49">
        <f t="shared" si="517"/>
        <v>0</v>
      </c>
      <c r="CR195" s="81">
        <f t="shared" si="518"/>
        <v>51093.882400000002</v>
      </c>
      <c r="CS195" s="80">
        <f t="shared" si="519"/>
        <v>181151.03759999998</v>
      </c>
      <c r="CT195" s="54"/>
      <c r="CU195" s="3" t="str">
        <f t="shared" si="520"/>
        <v>ARS</v>
      </c>
      <c r="CV195" s="3">
        <f>VLOOKUP(CU195,DF:DG,2,0)</f>
        <v>6.9185169999999997E-4</v>
      </c>
      <c r="CW195" s="23">
        <f t="shared" si="521"/>
        <v>160.67904271836397</v>
      </c>
      <c r="CX195" s="23">
        <f t="shared" si="522"/>
        <v>0</v>
      </c>
      <c r="CY195" s="23">
        <f t="shared" si="523"/>
        <v>24.101856407754596</v>
      </c>
      <c r="CZ195" s="23">
        <f t="shared" si="524"/>
        <v>0</v>
      </c>
      <c r="DA195" s="23">
        <f t="shared" si="525"/>
        <v>4.8203712815509192</v>
      </c>
      <c r="DB195" s="23">
        <f t="shared" si="526"/>
        <v>6.4271617087345598</v>
      </c>
      <c r="DC195" s="23">
        <f t="shared" si="527"/>
        <v>125.3296533203239</v>
      </c>
      <c r="DD195" s="34" t="str">
        <f>VLOOKUP(A195,'Billing Report'!H:I,2,FALSE)</f>
        <v>ypf_full-tw-alcance-season-combodoblehamburguesa-2026-feb</v>
      </c>
      <c r="DE195" s="34"/>
      <c r="DF195" s="61"/>
      <c r="DG195" s="62"/>
      <c r="DH195"/>
      <c r="DI195" s="41"/>
      <c r="DJ195" s="41"/>
    </row>
    <row r="196" spans="1:114" ht="14.5" x14ac:dyDescent="0.35">
      <c r="A196" s="63">
        <v>40968223</v>
      </c>
      <c r="B196" s="3" t="s">
        <v>1145</v>
      </c>
      <c r="C196" s="3">
        <v>324952701</v>
      </c>
      <c r="D196" s="3" t="s">
        <v>93</v>
      </c>
      <c r="G196" s="38">
        <v>298515.78999999998</v>
      </c>
      <c r="J196" s="33">
        <f>VLOOKUP($B196,'IMS Commission List'!E:CE,79,0)/100</f>
        <v>0.15</v>
      </c>
      <c r="K196" s="79">
        <f t="shared" si="440"/>
        <v>298515.78999999998</v>
      </c>
      <c r="L196" s="3" t="str">
        <f>VLOOKUP($B196,'IMS Commission List'!E:V,18,0)</f>
        <v>ARS</v>
      </c>
      <c r="M196" s="3">
        <v>1</v>
      </c>
      <c r="N196" s="3" t="str">
        <f>VLOOKUP($B196,'IMS Commission List'!E:T,16,0)</f>
        <v>MX</v>
      </c>
      <c r="O196" s="54">
        <f>VLOOKUP($B196,'IMS Commission List'!E:CF,80,0)</f>
        <v>0</v>
      </c>
      <c r="P196" s="54">
        <f>VLOOKUP($B196,'IMS Commission List'!E:CG,81,0)</f>
        <v>0</v>
      </c>
      <c r="Q196" s="54">
        <f>VLOOKUP($B196,'IMS Commission List'!E:CP,90,0)</f>
        <v>0.03</v>
      </c>
      <c r="R196" s="54">
        <f>VLOOKUP($B196,'IMS Commission List'!E:CQ,91,0)</f>
        <v>0.04</v>
      </c>
      <c r="S196" s="47">
        <f t="shared" si="441"/>
        <v>0</v>
      </c>
      <c r="T196" s="48">
        <f t="shared" si="442"/>
        <v>0</v>
      </c>
      <c r="U196" s="48">
        <f t="shared" si="443"/>
        <v>298515.78999999998</v>
      </c>
      <c r="V196" s="48">
        <f t="shared" si="444"/>
        <v>0</v>
      </c>
      <c r="W196" s="48">
        <f t="shared" si="445"/>
        <v>0</v>
      </c>
      <c r="X196" s="49">
        <f t="shared" si="446"/>
        <v>298515.78999999998</v>
      </c>
      <c r="Y196" s="49">
        <f t="shared" si="447"/>
        <v>0</v>
      </c>
      <c r="Z196" s="49">
        <f t="shared" si="448"/>
        <v>0</v>
      </c>
      <c r="AA196" s="49">
        <f t="shared" si="449"/>
        <v>0</v>
      </c>
      <c r="AB196" s="49">
        <f t="shared" si="450"/>
        <v>0</v>
      </c>
      <c r="AC196" s="49">
        <f t="shared" si="451"/>
        <v>0</v>
      </c>
      <c r="AD196" s="49">
        <f t="shared" si="452"/>
        <v>0</v>
      </c>
      <c r="AE196" s="49">
        <f t="shared" si="453"/>
        <v>0</v>
      </c>
      <c r="AF196" s="49">
        <f t="shared" si="454"/>
        <v>0</v>
      </c>
      <c r="AG196" s="49">
        <f t="shared" si="455"/>
        <v>44777.368499999997</v>
      </c>
      <c r="AH196" s="49">
        <f t="shared" si="456"/>
        <v>0</v>
      </c>
      <c r="AI196" s="49">
        <f t="shared" si="457"/>
        <v>0</v>
      </c>
      <c r="AJ196" s="49">
        <f t="shared" si="458"/>
        <v>44777.368499999997</v>
      </c>
      <c r="AK196" s="49">
        <f t="shared" si="459"/>
        <v>0</v>
      </c>
      <c r="AL196" s="49">
        <f t="shared" si="460"/>
        <v>0</v>
      </c>
      <c r="AM196" s="49">
        <f t="shared" si="461"/>
        <v>0</v>
      </c>
      <c r="AN196" s="49">
        <f t="shared" si="462"/>
        <v>0</v>
      </c>
      <c r="AO196" s="49">
        <f t="shared" si="463"/>
        <v>0</v>
      </c>
      <c r="AP196" s="49">
        <f t="shared" si="464"/>
        <v>0</v>
      </c>
      <c r="AQ196" s="49">
        <f t="shared" si="465"/>
        <v>0</v>
      </c>
      <c r="AR196" s="49">
        <f t="shared" si="466"/>
        <v>0</v>
      </c>
      <c r="AS196" s="49">
        <f t="shared" si="467"/>
        <v>8955.4736999999986</v>
      </c>
      <c r="AT196" s="49">
        <f t="shared" si="468"/>
        <v>0</v>
      </c>
      <c r="AU196" s="49">
        <f t="shared" si="469"/>
        <v>0</v>
      </c>
      <c r="AV196" s="49">
        <f t="shared" si="470"/>
        <v>8955.4736999999986</v>
      </c>
      <c r="AW196" s="49">
        <f t="shared" si="471"/>
        <v>0</v>
      </c>
      <c r="AX196" s="49">
        <f t="shared" si="472"/>
        <v>0</v>
      </c>
      <c r="AY196" s="49">
        <f t="shared" si="473"/>
        <v>11940.631599999999</v>
      </c>
      <c r="AZ196" s="49">
        <f t="shared" si="474"/>
        <v>0</v>
      </c>
      <c r="BA196" s="49">
        <f t="shared" si="475"/>
        <v>0</v>
      </c>
      <c r="BB196" s="49">
        <f t="shared" si="476"/>
        <v>11940.631599999999</v>
      </c>
      <c r="BC196" s="49">
        <f t="shared" si="477"/>
        <v>0</v>
      </c>
      <c r="BD196" s="49">
        <f t="shared" si="478"/>
        <v>0</v>
      </c>
      <c r="BE196" s="49">
        <f t="shared" si="479"/>
        <v>65673.473799999992</v>
      </c>
      <c r="BF196" s="49">
        <f t="shared" si="480"/>
        <v>0</v>
      </c>
      <c r="BG196" s="49">
        <f t="shared" si="481"/>
        <v>0</v>
      </c>
      <c r="BH196" s="49">
        <f t="shared" si="482"/>
        <v>65673.473799999992</v>
      </c>
      <c r="BI196" s="49">
        <f t="shared" si="483"/>
        <v>0</v>
      </c>
      <c r="BJ196" s="49">
        <f t="shared" si="484"/>
        <v>0</v>
      </c>
      <c r="BK196" s="49">
        <f t="shared" si="485"/>
        <v>0</v>
      </c>
      <c r="BL196" s="49">
        <f t="shared" si="486"/>
        <v>0</v>
      </c>
      <c r="BM196" s="49">
        <f t="shared" si="487"/>
        <v>0</v>
      </c>
      <c r="BN196" s="49">
        <f t="shared" si="488"/>
        <v>0</v>
      </c>
      <c r="BO196" s="49">
        <f t="shared" si="489"/>
        <v>0</v>
      </c>
      <c r="BP196" s="49">
        <f t="shared" si="490"/>
        <v>0</v>
      </c>
      <c r="BQ196" s="49">
        <f t="shared" si="491"/>
        <v>44777.368499999997</v>
      </c>
      <c r="BR196" s="49">
        <f t="shared" si="492"/>
        <v>0</v>
      </c>
      <c r="BS196" s="49">
        <f t="shared" si="493"/>
        <v>0</v>
      </c>
      <c r="BT196" s="49">
        <f t="shared" si="494"/>
        <v>44777.368499999997</v>
      </c>
      <c r="BU196" s="49">
        <f t="shared" si="495"/>
        <v>0</v>
      </c>
      <c r="BV196" s="49">
        <f t="shared" si="496"/>
        <v>0</v>
      </c>
      <c r="BW196" s="49">
        <f t="shared" si="497"/>
        <v>0</v>
      </c>
      <c r="BX196" s="49">
        <f t="shared" si="498"/>
        <v>0</v>
      </c>
      <c r="BY196" s="49">
        <f t="shared" si="499"/>
        <v>0</v>
      </c>
      <c r="BZ196" s="49">
        <f t="shared" si="500"/>
        <v>0</v>
      </c>
      <c r="CA196" s="49">
        <f t="shared" si="501"/>
        <v>0</v>
      </c>
      <c r="CB196" s="49">
        <f t="shared" si="502"/>
        <v>0</v>
      </c>
      <c r="CC196" s="49">
        <f t="shared" si="503"/>
        <v>8955.4736999999986</v>
      </c>
      <c r="CD196" s="49">
        <f t="shared" si="504"/>
        <v>0</v>
      </c>
      <c r="CE196" s="49">
        <f t="shared" si="505"/>
        <v>0</v>
      </c>
      <c r="CF196" s="49">
        <f t="shared" si="506"/>
        <v>8955.4736999999986</v>
      </c>
      <c r="CG196" s="49">
        <f t="shared" si="507"/>
        <v>0</v>
      </c>
      <c r="CH196" s="49">
        <f t="shared" si="508"/>
        <v>0</v>
      </c>
      <c r="CI196" s="49">
        <f t="shared" si="509"/>
        <v>11940.631599999999</v>
      </c>
      <c r="CJ196" s="49">
        <f t="shared" si="510"/>
        <v>0</v>
      </c>
      <c r="CK196" s="49">
        <f t="shared" si="511"/>
        <v>0</v>
      </c>
      <c r="CL196" s="49">
        <f t="shared" si="512"/>
        <v>11940.631599999999</v>
      </c>
      <c r="CM196" s="49">
        <f t="shared" si="513"/>
        <v>0</v>
      </c>
      <c r="CN196" s="49">
        <f t="shared" si="514"/>
        <v>0</v>
      </c>
      <c r="CO196" s="49">
        <f t="shared" si="515"/>
        <v>65673.473799999992</v>
      </c>
      <c r="CP196" s="49">
        <f t="shared" si="516"/>
        <v>0</v>
      </c>
      <c r="CQ196" s="49">
        <f t="shared" si="517"/>
        <v>0</v>
      </c>
      <c r="CR196" s="81">
        <f t="shared" si="518"/>
        <v>65673.473799999992</v>
      </c>
      <c r="CS196" s="80">
        <f t="shared" si="519"/>
        <v>232842.3162</v>
      </c>
      <c r="CT196" s="54"/>
      <c r="CU196" s="3" t="str">
        <f t="shared" si="520"/>
        <v>ARS</v>
      </c>
      <c r="CV196" s="3">
        <f>VLOOKUP(CU196,DF:DG,2,0)</f>
        <v>6.9185169999999997E-4</v>
      </c>
      <c r="CW196" s="23">
        <f t="shared" si="521"/>
        <v>206.52865678834297</v>
      </c>
      <c r="CX196" s="23">
        <f t="shared" si="522"/>
        <v>0</v>
      </c>
      <c r="CY196" s="23">
        <f t="shared" si="523"/>
        <v>30.979298518251447</v>
      </c>
      <c r="CZ196" s="23">
        <f t="shared" si="524"/>
        <v>0</v>
      </c>
      <c r="DA196" s="23">
        <f t="shared" si="525"/>
        <v>6.1958597036502887</v>
      </c>
      <c r="DB196" s="23">
        <f t="shared" si="526"/>
        <v>8.2611462715337183</v>
      </c>
      <c r="DC196" s="23">
        <f t="shared" si="527"/>
        <v>161.09235229490753</v>
      </c>
      <c r="DD196" s="34" t="str">
        <f>VLOOKUP(A196,'Billing Report'!H:I,2,FALSE)</f>
        <v>starcom_argentina_awareness_twitter_social_reach_18022026_M&amp;M_4497300011000</v>
      </c>
      <c r="DE196" s="34"/>
      <c r="DF196" s="61"/>
      <c r="DG196" s="62"/>
      <c r="DH196"/>
      <c r="DI196" s="41"/>
      <c r="DJ196" s="41"/>
    </row>
    <row r="197" spans="1:114" ht="14.5" x14ac:dyDescent="0.35">
      <c r="A197" s="63">
        <v>41001099</v>
      </c>
      <c r="B197" s="3" t="s">
        <v>1150</v>
      </c>
      <c r="C197" s="3">
        <v>325197801</v>
      </c>
      <c r="D197" s="3" t="s">
        <v>93</v>
      </c>
      <c r="G197" s="38">
        <v>343.25</v>
      </c>
      <c r="J197" s="33">
        <f>VLOOKUP($B197,'IMS Commission List'!E:CE,79,0)/100</f>
        <v>0.15</v>
      </c>
      <c r="K197" s="79">
        <f t="shared" si="440"/>
        <v>343.25</v>
      </c>
      <c r="L197" s="3" t="str">
        <f>VLOOKUP($B197,'IMS Commission List'!E:V,18,0)</f>
        <v>ARS</v>
      </c>
      <c r="M197" s="3">
        <v>1</v>
      </c>
      <c r="N197" s="3" t="str">
        <f>VLOOKUP($B197,'IMS Commission List'!E:T,16,0)</f>
        <v>MX</v>
      </c>
      <c r="O197" s="54">
        <f>VLOOKUP($B197,'IMS Commission List'!E:CF,80,0)</f>
        <v>0</v>
      </c>
      <c r="P197" s="54">
        <f>VLOOKUP($B197,'IMS Commission List'!E:CG,81,0)</f>
        <v>0</v>
      </c>
      <c r="Q197" s="54">
        <f>VLOOKUP($B197,'IMS Commission List'!E:CP,90,0)</f>
        <v>0.03</v>
      </c>
      <c r="R197" s="54">
        <f>VLOOKUP($B197,'IMS Commission List'!E:CQ,91,0)</f>
        <v>0.04</v>
      </c>
      <c r="S197" s="47">
        <f t="shared" si="441"/>
        <v>0</v>
      </c>
      <c r="T197" s="48">
        <f t="shared" si="442"/>
        <v>0</v>
      </c>
      <c r="U197" s="48">
        <f t="shared" si="443"/>
        <v>343.25</v>
      </c>
      <c r="V197" s="48">
        <f t="shared" si="444"/>
        <v>0</v>
      </c>
      <c r="W197" s="48">
        <f t="shared" si="445"/>
        <v>0</v>
      </c>
      <c r="X197" s="49">
        <f t="shared" si="446"/>
        <v>343.25</v>
      </c>
      <c r="Y197" s="49">
        <f t="shared" si="447"/>
        <v>0</v>
      </c>
      <c r="Z197" s="49">
        <f t="shared" si="448"/>
        <v>0</v>
      </c>
      <c r="AA197" s="49">
        <f t="shared" si="449"/>
        <v>0</v>
      </c>
      <c r="AB197" s="49">
        <f t="shared" si="450"/>
        <v>0</v>
      </c>
      <c r="AC197" s="49">
        <f t="shared" si="451"/>
        <v>0</v>
      </c>
      <c r="AD197" s="49">
        <f t="shared" si="452"/>
        <v>0</v>
      </c>
      <c r="AE197" s="49">
        <f t="shared" si="453"/>
        <v>0</v>
      </c>
      <c r="AF197" s="49">
        <f t="shared" si="454"/>
        <v>0</v>
      </c>
      <c r="AG197" s="49">
        <f t="shared" si="455"/>
        <v>51.487499999999997</v>
      </c>
      <c r="AH197" s="49">
        <f t="shared" si="456"/>
        <v>0</v>
      </c>
      <c r="AI197" s="49">
        <f t="shared" si="457"/>
        <v>0</v>
      </c>
      <c r="AJ197" s="49">
        <f t="shared" si="458"/>
        <v>51.487499999999997</v>
      </c>
      <c r="AK197" s="49">
        <f t="shared" si="459"/>
        <v>0</v>
      </c>
      <c r="AL197" s="49">
        <f t="shared" si="460"/>
        <v>0</v>
      </c>
      <c r="AM197" s="49">
        <f t="shared" si="461"/>
        <v>0</v>
      </c>
      <c r="AN197" s="49">
        <f t="shared" si="462"/>
        <v>0</v>
      </c>
      <c r="AO197" s="49">
        <f t="shared" si="463"/>
        <v>0</v>
      </c>
      <c r="AP197" s="49">
        <f t="shared" si="464"/>
        <v>0</v>
      </c>
      <c r="AQ197" s="49">
        <f t="shared" si="465"/>
        <v>0</v>
      </c>
      <c r="AR197" s="49">
        <f t="shared" si="466"/>
        <v>0</v>
      </c>
      <c r="AS197" s="49">
        <f t="shared" si="467"/>
        <v>10.297499999999999</v>
      </c>
      <c r="AT197" s="49">
        <f t="shared" si="468"/>
        <v>0</v>
      </c>
      <c r="AU197" s="49">
        <f t="shared" si="469"/>
        <v>0</v>
      </c>
      <c r="AV197" s="49">
        <f t="shared" si="470"/>
        <v>10.297499999999999</v>
      </c>
      <c r="AW197" s="49">
        <f t="shared" si="471"/>
        <v>0</v>
      </c>
      <c r="AX197" s="49">
        <f t="shared" si="472"/>
        <v>0</v>
      </c>
      <c r="AY197" s="49">
        <f t="shared" si="473"/>
        <v>13.73</v>
      </c>
      <c r="AZ197" s="49">
        <f t="shared" si="474"/>
        <v>0</v>
      </c>
      <c r="BA197" s="49">
        <f t="shared" si="475"/>
        <v>0</v>
      </c>
      <c r="BB197" s="49">
        <f t="shared" si="476"/>
        <v>13.73</v>
      </c>
      <c r="BC197" s="49">
        <f t="shared" si="477"/>
        <v>0</v>
      </c>
      <c r="BD197" s="49">
        <f t="shared" si="478"/>
        <v>0</v>
      </c>
      <c r="BE197" s="49">
        <f t="shared" si="479"/>
        <v>75.515000000000001</v>
      </c>
      <c r="BF197" s="49">
        <f t="shared" si="480"/>
        <v>0</v>
      </c>
      <c r="BG197" s="49">
        <f t="shared" si="481"/>
        <v>0</v>
      </c>
      <c r="BH197" s="49">
        <f t="shared" si="482"/>
        <v>75.515000000000001</v>
      </c>
      <c r="BI197" s="49">
        <f t="shared" si="483"/>
        <v>0</v>
      </c>
      <c r="BJ197" s="49">
        <f t="shared" si="484"/>
        <v>0</v>
      </c>
      <c r="BK197" s="49">
        <f t="shared" si="485"/>
        <v>0</v>
      </c>
      <c r="BL197" s="49">
        <f t="shared" si="486"/>
        <v>0</v>
      </c>
      <c r="BM197" s="49">
        <f t="shared" si="487"/>
        <v>0</v>
      </c>
      <c r="BN197" s="49">
        <f t="shared" si="488"/>
        <v>0</v>
      </c>
      <c r="BO197" s="49">
        <f t="shared" si="489"/>
        <v>0</v>
      </c>
      <c r="BP197" s="49">
        <f t="shared" si="490"/>
        <v>0</v>
      </c>
      <c r="BQ197" s="49">
        <f t="shared" si="491"/>
        <v>51.487499999999997</v>
      </c>
      <c r="BR197" s="49">
        <f t="shared" si="492"/>
        <v>0</v>
      </c>
      <c r="BS197" s="49">
        <f t="shared" si="493"/>
        <v>0</v>
      </c>
      <c r="BT197" s="49">
        <f t="shared" si="494"/>
        <v>51.487499999999997</v>
      </c>
      <c r="BU197" s="49">
        <f t="shared" si="495"/>
        <v>0</v>
      </c>
      <c r="BV197" s="49">
        <f t="shared" si="496"/>
        <v>0</v>
      </c>
      <c r="BW197" s="49">
        <f t="shared" si="497"/>
        <v>0</v>
      </c>
      <c r="BX197" s="49">
        <f t="shared" si="498"/>
        <v>0</v>
      </c>
      <c r="BY197" s="49">
        <f t="shared" si="499"/>
        <v>0</v>
      </c>
      <c r="BZ197" s="49">
        <f t="shared" si="500"/>
        <v>0</v>
      </c>
      <c r="CA197" s="49">
        <f t="shared" si="501"/>
        <v>0</v>
      </c>
      <c r="CB197" s="49">
        <f t="shared" si="502"/>
        <v>0</v>
      </c>
      <c r="CC197" s="49">
        <f t="shared" si="503"/>
        <v>10.297499999999999</v>
      </c>
      <c r="CD197" s="49">
        <f t="shared" si="504"/>
        <v>0</v>
      </c>
      <c r="CE197" s="49">
        <f t="shared" si="505"/>
        <v>0</v>
      </c>
      <c r="CF197" s="49">
        <f t="shared" si="506"/>
        <v>10.297499999999999</v>
      </c>
      <c r="CG197" s="49">
        <f t="shared" si="507"/>
        <v>0</v>
      </c>
      <c r="CH197" s="49">
        <f t="shared" si="508"/>
        <v>0</v>
      </c>
      <c r="CI197" s="49">
        <f t="shared" si="509"/>
        <v>13.73</v>
      </c>
      <c r="CJ197" s="49">
        <f t="shared" si="510"/>
        <v>0</v>
      </c>
      <c r="CK197" s="49">
        <f t="shared" si="511"/>
        <v>0</v>
      </c>
      <c r="CL197" s="49">
        <f t="shared" si="512"/>
        <v>13.73</v>
      </c>
      <c r="CM197" s="49">
        <f t="shared" si="513"/>
        <v>0</v>
      </c>
      <c r="CN197" s="49">
        <f t="shared" si="514"/>
        <v>0</v>
      </c>
      <c r="CO197" s="49">
        <f t="shared" si="515"/>
        <v>75.515000000000001</v>
      </c>
      <c r="CP197" s="49">
        <f t="shared" si="516"/>
        <v>0</v>
      </c>
      <c r="CQ197" s="49">
        <f t="shared" si="517"/>
        <v>0</v>
      </c>
      <c r="CR197" s="81">
        <f t="shared" si="518"/>
        <v>75.515000000000001</v>
      </c>
      <c r="CS197" s="80">
        <f t="shared" si="519"/>
        <v>267.73500000000001</v>
      </c>
      <c r="CT197" s="54"/>
      <c r="CU197" s="3" t="str">
        <f t="shared" si="520"/>
        <v>ARS</v>
      </c>
      <c r="CV197" s="3">
        <f>VLOOKUP(CU197,DF:DG,2,0)</f>
        <v>6.9185169999999997E-4</v>
      </c>
      <c r="CW197" s="23">
        <f t="shared" si="521"/>
        <v>0.237478096025</v>
      </c>
      <c r="CX197" s="23">
        <f t="shared" si="522"/>
        <v>0</v>
      </c>
      <c r="CY197" s="23">
        <f t="shared" si="523"/>
        <v>3.5621714403749997E-2</v>
      </c>
      <c r="CZ197" s="23">
        <f t="shared" si="524"/>
        <v>0</v>
      </c>
      <c r="DA197" s="23">
        <f t="shared" si="525"/>
        <v>7.1243428807499995E-3</v>
      </c>
      <c r="DB197" s="23">
        <f t="shared" si="526"/>
        <v>9.4991238410000005E-3</v>
      </c>
      <c r="DC197" s="23">
        <f t="shared" si="527"/>
        <v>0.1852329148995</v>
      </c>
      <c r="DD197" s="34" t="str">
        <f>VLOOKUP(A197,'Billing Report'!H:I,2,FALSE)</f>
        <v>ps_bra_mix_gro_ma_PY_AR_OBJ-awr_CH-Twitter_CT-XX_[CPM_NAT_ALL]_DmartWeek_Reach-Mar</v>
      </c>
      <c r="DE197" s="34"/>
      <c r="DF197" s="61"/>
      <c r="DG197" s="62"/>
      <c r="DH197"/>
      <c r="DI197" s="41"/>
      <c r="DJ197" s="41"/>
    </row>
    <row r="198" spans="1:114" ht="14.5" x14ac:dyDescent="0.35">
      <c r="A198" s="63">
        <v>40979142</v>
      </c>
      <c r="B198" s="3" t="s">
        <v>1153</v>
      </c>
      <c r="C198" s="3">
        <v>325225601</v>
      </c>
      <c r="D198" s="3" t="s">
        <v>93</v>
      </c>
      <c r="G198" s="38">
        <v>1585096.5</v>
      </c>
      <c r="J198" s="33">
        <f>VLOOKUP($B198,'IMS Commission List'!E:CE,79,0)/100</f>
        <v>0.15</v>
      </c>
      <c r="K198" s="79">
        <f t="shared" si="440"/>
        <v>1585096.5</v>
      </c>
      <c r="L198" s="3" t="str">
        <f>VLOOKUP($B198,'IMS Commission List'!E:V,18,0)</f>
        <v>ARS</v>
      </c>
      <c r="M198" s="3">
        <v>1</v>
      </c>
      <c r="N198" s="3" t="str">
        <f>VLOOKUP($B198,'IMS Commission List'!E:T,16,0)</f>
        <v>MX</v>
      </c>
      <c r="O198" s="54">
        <f>VLOOKUP($B198,'IMS Commission List'!E:CF,80,0)</f>
        <v>0</v>
      </c>
      <c r="P198" s="54">
        <f>VLOOKUP($B198,'IMS Commission List'!E:CG,81,0)</f>
        <v>0</v>
      </c>
      <c r="Q198" s="54">
        <f>VLOOKUP($B198,'IMS Commission List'!E:CP,90,0)</f>
        <v>0.03</v>
      </c>
      <c r="R198" s="54">
        <f>VLOOKUP($B198,'IMS Commission List'!E:CQ,91,0)</f>
        <v>0.04</v>
      </c>
      <c r="S198" s="47">
        <f t="shared" si="441"/>
        <v>0</v>
      </c>
      <c r="T198" s="48">
        <f t="shared" si="442"/>
        <v>0</v>
      </c>
      <c r="U198" s="48">
        <f t="shared" si="443"/>
        <v>1585096.5</v>
      </c>
      <c r="V198" s="48">
        <f t="shared" si="444"/>
        <v>0</v>
      </c>
      <c r="W198" s="48">
        <f t="shared" si="445"/>
        <v>0</v>
      </c>
      <c r="X198" s="49">
        <f t="shared" si="446"/>
        <v>1585096.5</v>
      </c>
      <c r="Y198" s="49">
        <f t="shared" si="447"/>
        <v>0</v>
      </c>
      <c r="Z198" s="49">
        <f t="shared" si="448"/>
        <v>0</v>
      </c>
      <c r="AA198" s="49">
        <f t="shared" si="449"/>
        <v>0</v>
      </c>
      <c r="AB198" s="49">
        <f t="shared" si="450"/>
        <v>0</v>
      </c>
      <c r="AC198" s="49">
        <f t="shared" si="451"/>
        <v>0</v>
      </c>
      <c r="AD198" s="49">
        <f t="shared" si="452"/>
        <v>0</v>
      </c>
      <c r="AE198" s="49">
        <f t="shared" si="453"/>
        <v>0</v>
      </c>
      <c r="AF198" s="49">
        <f t="shared" si="454"/>
        <v>0</v>
      </c>
      <c r="AG198" s="49">
        <f t="shared" si="455"/>
        <v>237764.47499999998</v>
      </c>
      <c r="AH198" s="49">
        <f t="shared" si="456"/>
        <v>0</v>
      </c>
      <c r="AI198" s="49">
        <f t="shared" si="457"/>
        <v>0</v>
      </c>
      <c r="AJ198" s="49">
        <f t="shared" si="458"/>
        <v>237764.47499999998</v>
      </c>
      <c r="AK198" s="49">
        <f t="shared" si="459"/>
        <v>0</v>
      </c>
      <c r="AL198" s="49">
        <f t="shared" si="460"/>
        <v>0</v>
      </c>
      <c r="AM198" s="49">
        <f t="shared" si="461"/>
        <v>0</v>
      </c>
      <c r="AN198" s="49">
        <f t="shared" si="462"/>
        <v>0</v>
      </c>
      <c r="AO198" s="49">
        <f t="shared" si="463"/>
        <v>0</v>
      </c>
      <c r="AP198" s="49">
        <f t="shared" si="464"/>
        <v>0</v>
      </c>
      <c r="AQ198" s="49">
        <f t="shared" si="465"/>
        <v>0</v>
      </c>
      <c r="AR198" s="49">
        <f t="shared" si="466"/>
        <v>0</v>
      </c>
      <c r="AS198" s="49">
        <f t="shared" si="467"/>
        <v>47552.894999999997</v>
      </c>
      <c r="AT198" s="49">
        <f t="shared" si="468"/>
        <v>0</v>
      </c>
      <c r="AU198" s="49">
        <f t="shared" si="469"/>
        <v>0</v>
      </c>
      <c r="AV198" s="49">
        <f t="shared" si="470"/>
        <v>47552.894999999997</v>
      </c>
      <c r="AW198" s="49">
        <f t="shared" si="471"/>
        <v>0</v>
      </c>
      <c r="AX198" s="49">
        <f t="shared" si="472"/>
        <v>0</v>
      </c>
      <c r="AY198" s="49">
        <f t="shared" si="473"/>
        <v>63403.86</v>
      </c>
      <c r="AZ198" s="49">
        <f t="shared" si="474"/>
        <v>0</v>
      </c>
      <c r="BA198" s="49">
        <f t="shared" si="475"/>
        <v>0</v>
      </c>
      <c r="BB198" s="49">
        <f t="shared" si="476"/>
        <v>63403.86</v>
      </c>
      <c r="BC198" s="49">
        <f t="shared" si="477"/>
        <v>0</v>
      </c>
      <c r="BD198" s="49">
        <f t="shared" si="478"/>
        <v>0</v>
      </c>
      <c r="BE198" s="49">
        <f t="shared" si="479"/>
        <v>348721.23</v>
      </c>
      <c r="BF198" s="49">
        <f t="shared" si="480"/>
        <v>0</v>
      </c>
      <c r="BG198" s="49">
        <f t="shared" si="481"/>
        <v>0</v>
      </c>
      <c r="BH198" s="49">
        <f t="shared" si="482"/>
        <v>348721.23</v>
      </c>
      <c r="BI198" s="49">
        <f t="shared" si="483"/>
        <v>0</v>
      </c>
      <c r="BJ198" s="49">
        <f t="shared" si="484"/>
        <v>0</v>
      </c>
      <c r="BK198" s="49">
        <f t="shared" si="485"/>
        <v>0</v>
      </c>
      <c r="BL198" s="49">
        <f t="shared" si="486"/>
        <v>0</v>
      </c>
      <c r="BM198" s="49">
        <f t="shared" si="487"/>
        <v>0</v>
      </c>
      <c r="BN198" s="49">
        <f t="shared" si="488"/>
        <v>0</v>
      </c>
      <c r="BO198" s="49">
        <f t="shared" si="489"/>
        <v>0</v>
      </c>
      <c r="BP198" s="49">
        <f t="shared" si="490"/>
        <v>0</v>
      </c>
      <c r="BQ198" s="49">
        <f t="shared" si="491"/>
        <v>237764.47499999998</v>
      </c>
      <c r="BR198" s="49">
        <f t="shared" si="492"/>
        <v>0</v>
      </c>
      <c r="BS198" s="49">
        <f t="shared" si="493"/>
        <v>0</v>
      </c>
      <c r="BT198" s="49">
        <f t="shared" si="494"/>
        <v>237764.47499999998</v>
      </c>
      <c r="BU198" s="49">
        <f t="shared" si="495"/>
        <v>0</v>
      </c>
      <c r="BV198" s="49">
        <f t="shared" si="496"/>
        <v>0</v>
      </c>
      <c r="BW198" s="49">
        <f t="shared" si="497"/>
        <v>0</v>
      </c>
      <c r="BX198" s="49">
        <f t="shared" si="498"/>
        <v>0</v>
      </c>
      <c r="BY198" s="49">
        <f t="shared" si="499"/>
        <v>0</v>
      </c>
      <c r="BZ198" s="49">
        <f t="shared" si="500"/>
        <v>0</v>
      </c>
      <c r="CA198" s="49">
        <f t="shared" si="501"/>
        <v>0</v>
      </c>
      <c r="CB198" s="49">
        <f t="shared" si="502"/>
        <v>0</v>
      </c>
      <c r="CC198" s="49">
        <f t="shared" si="503"/>
        <v>47552.894999999997</v>
      </c>
      <c r="CD198" s="49">
        <f t="shared" si="504"/>
        <v>0</v>
      </c>
      <c r="CE198" s="49">
        <f t="shared" si="505"/>
        <v>0</v>
      </c>
      <c r="CF198" s="49">
        <f t="shared" si="506"/>
        <v>47552.894999999997</v>
      </c>
      <c r="CG198" s="49">
        <f t="shared" si="507"/>
        <v>0</v>
      </c>
      <c r="CH198" s="49">
        <f t="shared" si="508"/>
        <v>0</v>
      </c>
      <c r="CI198" s="49">
        <f t="shared" si="509"/>
        <v>63403.86</v>
      </c>
      <c r="CJ198" s="49">
        <f t="shared" si="510"/>
        <v>0</v>
      </c>
      <c r="CK198" s="49">
        <f t="shared" si="511"/>
        <v>0</v>
      </c>
      <c r="CL198" s="49">
        <f t="shared" si="512"/>
        <v>63403.86</v>
      </c>
      <c r="CM198" s="49">
        <f t="shared" si="513"/>
        <v>0</v>
      </c>
      <c r="CN198" s="49">
        <f t="shared" si="514"/>
        <v>0</v>
      </c>
      <c r="CO198" s="49">
        <f t="shared" si="515"/>
        <v>348721.23</v>
      </c>
      <c r="CP198" s="49">
        <f t="shared" si="516"/>
        <v>0</v>
      </c>
      <c r="CQ198" s="49">
        <f t="shared" si="517"/>
        <v>0</v>
      </c>
      <c r="CR198" s="81">
        <f t="shared" si="518"/>
        <v>348721.23</v>
      </c>
      <c r="CS198" s="80">
        <f t="shared" si="519"/>
        <v>1236375.27</v>
      </c>
      <c r="CT198" s="54"/>
      <c r="CU198" s="3" t="str">
        <f t="shared" si="520"/>
        <v>ARS</v>
      </c>
      <c r="CV198" s="3">
        <f>VLOOKUP(CU198,DF:DG,2,0)</f>
        <v>6.9185169999999997E-4</v>
      </c>
      <c r="CW198" s="23">
        <f t="shared" si="521"/>
        <v>1096.6517081890499</v>
      </c>
      <c r="CX198" s="23">
        <f t="shared" si="522"/>
        <v>0</v>
      </c>
      <c r="CY198" s="23">
        <f t="shared" si="523"/>
        <v>164.49775622835747</v>
      </c>
      <c r="CZ198" s="23">
        <f t="shared" si="524"/>
        <v>0</v>
      </c>
      <c r="DA198" s="23">
        <f t="shared" si="525"/>
        <v>32.899551245671496</v>
      </c>
      <c r="DB198" s="23">
        <f t="shared" si="526"/>
        <v>43.866068327561997</v>
      </c>
      <c r="DC198" s="23">
        <f t="shared" si="527"/>
        <v>855.38833238745895</v>
      </c>
      <c r="DD198" s="34" t="str">
        <f>VLOOKUP(A198,'Billing Report'!H:I,2,FALSE)</f>
        <v>ypf_full-tw-alcance-season-fullpistacho-2026-feb</v>
      </c>
      <c r="DE198" s="34"/>
      <c r="DF198" s="61"/>
      <c r="DG198" s="62"/>
      <c r="DH198"/>
      <c r="DI198" s="41"/>
      <c r="DJ198" s="41"/>
    </row>
    <row r="199" spans="1:114" ht="14.5" x14ac:dyDescent="0.35">
      <c r="A199" s="63">
        <v>40985047</v>
      </c>
      <c r="B199" s="3" t="s">
        <v>1158</v>
      </c>
      <c r="C199" s="3">
        <v>325250001</v>
      </c>
      <c r="D199" s="3" t="s">
        <v>93</v>
      </c>
      <c r="G199" s="38">
        <v>540391.47</v>
      </c>
      <c r="J199" s="33">
        <f>VLOOKUP($B199,'IMS Commission List'!E:CE,79,0)/100</f>
        <v>0.15</v>
      </c>
      <c r="K199" s="79">
        <f t="shared" si="440"/>
        <v>540391.47</v>
      </c>
      <c r="L199" s="3" t="str">
        <f>VLOOKUP($B199,'IMS Commission List'!E:V,18,0)</f>
        <v>ARS</v>
      </c>
      <c r="M199" s="3">
        <v>1</v>
      </c>
      <c r="N199" s="3" t="str">
        <f>VLOOKUP($B199,'IMS Commission List'!E:T,16,0)</f>
        <v>MX</v>
      </c>
      <c r="O199" s="54">
        <f>VLOOKUP($B199,'IMS Commission List'!E:CF,80,0)</f>
        <v>0</v>
      </c>
      <c r="P199" s="54">
        <f>VLOOKUP($B199,'IMS Commission List'!E:CG,81,0)</f>
        <v>0</v>
      </c>
      <c r="Q199" s="54">
        <f>VLOOKUP($B199,'IMS Commission List'!E:CP,90,0)</f>
        <v>0.03</v>
      </c>
      <c r="R199" s="54">
        <f>VLOOKUP($B199,'IMS Commission List'!E:CQ,91,0)</f>
        <v>0.04</v>
      </c>
      <c r="S199" s="47">
        <f t="shared" si="441"/>
        <v>0</v>
      </c>
      <c r="T199" s="48">
        <f t="shared" si="442"/>
        <v>0</v>
      </c>
      <c r="U199" s="48">
        <f t="shared" si="443"/>
        <v>540391.47</v>
      </c>
      <c r="V199" s="48">
        <f t="shared" si="444"/>
        <v>0</v>
      </c>
      <c r="W199" s="48">
        <f t="shared" si="445"/>
        <v>0</v>
      </c>
      <c r="X199" s="49">
        <f t="shared" si="446"/>
        <v>540391.47</v>
      </c>
      <c r="Y199" s="49">
        <f t="shared" si="447"/>
        <v>0</v>
      </c>
      <c r="Z199" s="49">
        <f t="shared" si="448"/>
        <v>0</v>
      </c>
      <c r="AA199" s="49">
        <f t="shared" si="449"/>
        <v>0</v>
      </c>
      <c r="AB199" s="49">
        <f t="shared" si="450"/>
        <v>0</v>
      </c>
      <c r="AC199" s="49">
        <f t="shared" si="451"/>
        <v>0</v>
      </c>
      <c r="AD199" s="49">
        <f t="shared" ref="AD199:AD230" si="528">SUM(Y199:AC199)</f>
        <v>0</v>
      </c>
      <c r="AE199" s="49">
        <f t="shared" si="453"/>
        <v>0</v>
      </c>
      <c r="AF199" s="49">
        <f t="shared" si="454"/>
        <v>0</v>
      </c>
      <c r="AG199" s="49">
        <f t="shared" si="455"/>
        <v>81058.720499999996</v>
      </c>
      <c r="AH199" s="49">
        <f t="shared" si="456"/>
        <v>0</v>
      </c>
      <c r="AI199" s="49">
        <f t="shared" si="457"/>
        <v>0</v>
      </c>
      <c r="AJ199" s="49">
        <f t="shared" ref="AJ199:AJ230" si="529">SUM(AE199:AI199)</f>
        <v>81058.720499999996</v>
      </c>
      <c r="AK199" s="49">
        <f t="shared" si="459"/>
        <v>0</v>
      </c>
      <c r="AL199" s="49">
        <f t="shared" si="460"/>
        <v>0</v>
      </c>
      <c r="AM199" s="49">
        <f t="shared" si="461"/>
        <v>0</v>
      </c>
      <c r="AN199" s="49">
        <f t="shared" si="462"/>
        <v>0</v>
      </c>
      <c r="AO199" s="49">
        <f t="shared" si="463"/>
        <v>0</v>
      </c>
      <c r="AP199" s="49">
        <f t="shared" ref="AP199:AP230" si="530">SUM(AK199:AO199)</f>
        <v>0</v>
      </c>
      <c r="AQ199" s="49">
        <f t="shared" si="465"/>
        <v>0</v>
      </c>
      <c r="AR199" s="49">
        <f t="shared" si="466"/>
        <v>0</v>
      </c>
      <c r="AS199" s="49">
        <f t="shared" si="467"/>
        <v>16211.744099999998</v>
      </c>
      <c r="AT199" s="49">
        <f t="shared" si="468"/>
        <v>0</v>
      </c>
      <c r="AU199" s="49">
        <f t="shared" si="469"/>
        <v>0</v>
      </c>
      <c r="AV199" s="49">
        <f t="shared" ref="AV199:AV230" si="531">SUM(AQ199:AU199)</f>
        <v>16211.744099999998</v>
      </c>
      <c r="AW199" s="49">
        <f t="shared" si="471"/>
        <v>0</v>
      </c>
      <c r="AX199" s="49">
        <f t="shared" si="472"/>
        <v>0</v>
      </c>
      <c r="AY199" s="49">
        <f t="shared" si="473"/>
        <v>21615.658800000001</v>
      </c>
      <c r="AZ199" s="49">
        <f t="shared" si="474"/>
        <v>0</v>
      </c>
      <c r="BA199" s="49">
        <f t="shared" si="475"/>
        <v>0</v>
      </c>
      <c r="BB199" s="49">
        <f t="shared" ref="BB199:BB230" si="532">SUM(AW199:BA199)</f>
        <v>21615.658800000001</v>
      </c>
      <c r="BC199" s="49">
        <f t="shared" si="477"/>
        <v>0</v>
      </c>
      <c r="BD199" s="49">
        <f t="shared" si="478"/>
        <v>0</v>
      </c>
      <c r="BE199" s="49">
        <f t="shared" si="479"/>
        <v>118886.1234</v>
      </c>
      <c r="BF199" s="49">
        <f t="shared" si="480"/>
        <v>0</v>
      </c>
      <c r="BG199" s="49">
        <f t="shared" si="481"/>
        <v>0</v>
      </c>
      <c r="BH199" s="49">
        <f t="shared" ref="BH199:BH230" si="533">SUM(BC199:BG199)</f>
        <v>118886.1234</v>
      </c>
      <c r="BI199" s="49">
        <f t="shared" si="483"/>
        <v>0</v>
      </c>
      <c r="BJ199" s="49">
        <f t="shared" si="484"/>
        <v>0</v>
      </c>
      <c r="BK199" s="49">
        <f t="shared" si="485"/>
        <v>0</v>
      </c>
      <c r="BL199" s="49">
        <f t="shared" si="486"/>
        <v>0</v>
      </c>
      <c r="BM199" s="49">
        <f t="shared" si="487"/>
        <v>0</v>
      </c>
      <c r="BN199" s="49">
        <f t="shared" si="488"/>
        <v>0</v>
      </c>
      <c r="BO199" s="49">
        <f t="shared" si="489"/>
        <v>0</v>
      </c>
      <c r="BP199" s="49">
        <f t="shared" si="490"/>
        <v>0</v>
      </c>
      <c r="BQ199" s="49">
        <f t="shared" si="491"/>
        <v>81058.720499999996</v>
      </c>
      <c r="BR199" s="49">
        <f t="shared" si="492"/>
        <v>0</v>
      </c>
      <c r="BS199" s="49">
        <f t="shared" si="493"/>
        <v>0</v>
      </c>
      <c r="BT199" s="49">
        <f t="shared" si="494"/>
        <v>81058.720499999996</v>
      </c>
      <c r="BU199" s="49">
        <f t="shared" si="495"/>
        <v>0</v>
      </c>
      <c r="BV199" s="49">
        <f t="shared" si="496"/>
        <v>0</v>
      </c>
      <c r="BW199" s="49">
        <f t="shared" si="497"/>
        <v>0</v>
      </c>
      <c r="BX199" s="49">
        <f t="shared" si="498"/>
        <v>0</v>
      </c>
      <c r="BY199" s="49">
        <f t="shared" si="499"/>
        <v>0</v>
      </c>
      <c r="BZ199" s="49">
        <f t="shared" si="500"/>
        <v>0</v>
      </c>
      <c r="CA199" s="49">
        <f t="shared" si="501"/>
        <v>0</v>
      </c>
      <c r="CB199" s="49">
        <f t="shared" si="502"/>
        <v>0</v>
      </c>
      <c r="CC199" s="49">
        <f t="shared" si="503"/>
        <v>16211.744099999998</v>
      </c>
      <c r="CD199" s="49">
        <f t="shared" si="504"/>
        <v>0</v>
      </c>
      <c r="CE199" s="49">
        <f t="shared" si="505"/>
        <v>0</v>
      </c>
      <c r="CF199" s="49">
        <f t="shared" si="506"/>
        <v>16211.744099999998</v>
      </c>
      <c r="CG199" s="49">
        <f t="shared" si="507"/>
        <v>0</v>
      </c>
      <c r="CH199" s="49">
        <f t="shared" si="508"/>
        <v>0</v>
      </c>
      <c r="CI199" s="49">
        <f t="shared" si="509"/>
        <v>21615.658800000001</v>
      </c>
      <c r="CJ199" s="49">
        <f t="shared" si="510"/>
        <v>0</v>
      </c>
      <c r="CK199" s="49">
        <f t="shared" si="511"/>
        <v>0</v>
      </c>
      <c r="CL199" s="49">
        <f t="shared" si="512"/>
        <v>21615.658800000001</v>
      </c>
      <c r="CM199" s="49">
        <f t="shared" si="513"/>
        <v>0</v>
      </c>
      <c r="CN199" s="49">
        <f t="shared" si="514"/>
        <v>0</v>
      </c>
      <c r="CO199" s="49">
        <f t="shared" si="515"/>
        <v>118886.1234</v>
      </c>
      <c r="CP199" s="49">
        <f t="shared" si="516"/>
        <v>0</v>
      </c>
      <c r="CQ199" s="49">
        <f t="shared" si="517"/>
        <v>0</v>
      </c>
      <c r="CR199" s="81">
        <f t="shared" ref="CR199:CR230" si="534">SUM(CM199:CQ199)</f>
        <v>118886.1234</v>
      </c>
      <c r="CS199" s="80">
        <f t="shared" ref="CS199:CS230" si="535">K199-CR199</f>
        <v>421505.34659999999</v>
      </c>
      <c r="CT199" s="54"/>
      <c r="CU199" s="3" t="str">
        <f t="shared" si="520"/>
        <v>ARS</v>
      </c>
      <c r="CV199" s="3">
        <f>VLOOKUP(CU199,DF:DG,2,0)</f>
        <v>6.9185169999999997E-4</v>
      </c>
      <c r="CW199" s="23">
        <f t="shared" ref="CW199:CW230" si="536">K199*CV199</f>
        <v>373.87075718499898</v>
      </c>
      <c r="CX199" s="23">
        <f t="shared" si="522"/>
        <v>0</v>
      </c>
      <c r="CY199" s="23">
        <f t="shared" si="523"/>
        <v>56.080613577749844</v>
      </c>
      <c r="CZ199" s="23">
        <f t="shared" si="524"/>
        <v>0</v>
      </c>
      <c r="DA199" s="23">
        <f t="shared" si="525"/>
        <v>11.216122715549968</v>
      </c>
      <c r="DB199" s="23">
        <f t="shared" si="526"/>
        <v>14.954830287399959</v>
      </c>
      <c r="DC199" s="23">
        <f t="shared" si="527"/>
        <v>291.61919060429921</v>
      </c>
      <c r="DD199" s="34" t="str">
        <f>VLOOKUP(A199,'Billing Report'!H:I,2,FALSE)</f>
        <v>UIP_UNIVERSAL-REMINDER_OF_HIM-PROXIMAMENTE-TWITTER-TOTAL-AWARENESS-INTERESES-IMPRESIONES-MUJERES_18A54_OP_505488/505496</v>
      </c>
      <c r="DE199" s="34"/>
      <c r="DF199" s="61"/>
      <c r="DG199" s="62"/>
      <c r="DH199"/>
      <c r="DI199" s="41"/>
      <c r="DJ199" s="41"/>
    </row>
    <row r="200" spans="1:114" ht="14.5" x14ac:dyDescent="0.35">
      <c r="A200" s="63">
        <v>40990410</v>
      </c>
      <c r="B200" s="3" t="s">
        <v>1164</v>
      </c>
      <c r="C200" s="3">
        <v>325268601</v>
      </c>
      <c r="D200" s="3" t="s">
        <v>93</v>
      </c>
      <c r="G200" s="38">
        <v>1065199.8799999999</v>
      </c>
      <c r="J200" s="33">
        <f>VLOOKUP($B200,'IMS Commission List'!E:CE,79,0)/100</f>
        <v>0.15</v>
      </c>
      <c r="K200" s="79">
        <f t="shared" si="440"/>
        <v>1065199.8799999999</v>
      </c>
      <c r="L200" s="3" t="str">
        <f>VLOOKUP($B200,'IMS Commission List'!E:V,18,0)</f>
        <v>ARS</v>
      </c>
      <c r="M200" s="3">
        <v>1</v>
      </c>
      <c r="N200" s="3" t="str">
        <f>VLOOKUP($B200,'IMS Commission List'!E:T,16,0)</f>
        <v>MX</v>
      </c>
      <c r="O200" s="54">
        <f>VLOOKUP($B200,'IMS Commission List'!E:CF,80,0)</f>
        <v>0</v>
      </c>
      <c r="P200" s="54">
        <f>VLOOKUP($B200,'IMS Commission List'!E:CG,81,0)</f>
        <v>0</v>
      </c>
      <c r="Q200" s="54">
        <f>VLOOKUP($B200,'IMS Commission List'!E:CP,90,0)</f>
        <v>0.03</v>
      </c>
      <c r="R200" s="54">
        <f>VLOOKUP($B200,'IMS Commission List'!E:CQ,91,0)</f>
        <v>0.04</v>
      </c>
      <c r="S200" s="47">
        <f t="shared" si="441"/>
        <v>0</v>
      </c>
      <c r="T200" s="48">
        <f t="shared" si="442"/>
        <v>0</v>
      </c>
      <c r="U200" s="48">
        <f t="shared" si="443"/>
        <v>1065199.8799999999</v>
      </c>
      <c r="V200" s="48">
        <f t="shared" si="444"/>
        <v>0</v>
      </c>
      <c r="W200" s="48">
        <f t="shared" si="445"/>
        <v>0</v>
      </c>
      <c r="X200" s="49">
        <f t="shared" si="446"/>
        <v>1065199.8799999999</v>
      </c>
      <c r="Y200" s="49">
        <f t="shared" si="447"/>
        <v>0</v>
      </c>
      <c r="Z200" s="49">
        <f t="shared" si="448"/>
        <v>0</v>
      </c>
      <c r="AA200" s="49">
        <f t="shared" si="449"/>
        <v>0</v>
      </c>
      <c r="AB200" s="49">
        <f t="shared" si="450"/>
        <v>0</v>
      </c>
      <c r="AC200" s="49">
        <f t="shared" si="451"/>
        <v>0</v>
      </c>
      <c r="AD200" s="49">
        <f t="shared" si="528"/>
        <v>0</v>
      </c>
      <c r="AE200" s="49">
        <f t="shared" si="453"/>
        <v>0</v>
      </c>
      <c r="AF200" s="49">
        <f t="shared" si="454"/>
        <v>0</v>
      </c>
      <c r="AG200" s="49">
        <f t="shared" si="455"/>
        <v>159779.98199999999</v>
      </c>
      <c r="AH200" s="49">
        <f t="shared" si="456"/>
        <v>0</v>
      </c>
      <c r="AI200" s="49">
        <f t="shared" si="457"/>
        <v>0</v>
      </c>
      <c r="AJ200" s="49">
        <f t="shared" si="529"/>
        <v>159779.98199999999</v>
      </c>
      <c r="AK200" s="49">
        <f t="shared" si="459"/>
        <v>0</v>
      </c>
      <c r="AL200" s="49">
        <f t="shared" si="460"/>
        <v>0</v>
      </c>
      <c r="AM200" s="49">
        <f t="shared" si="461"/>
        <v>0</v>
      </c>
      <c r="AN200" s="49">
        <f t="shared" si="462"/>
        <v>0</v>
      </c>
      <c r="AO200" s="49">
        <f t="shared" si="463"/>
        <v>0</v>
      </c>
      <c r="AP200" s="49">
        <f t="shared" si="530"/>
        <v>0</v>
      </c>
      <c r="AQ200" s="49">
        <f t="shared" si="465"/>
        <v>0</v>
      </c>
      <c r="AR200" s="49">
        <f t="shared" si="466"/>
        <v>0</v>
      </c>
      <c r="AS200" s="49">
        <f t="shared" si="467"/>
        <v>31955.996399999996</v>
      </c>
      <c r="AT200" s="49">
        <f t="shared" si="468"/>
        <v>0</v>
      </c>
      <c r="AU200" s="49">
        <f t="shared" si="469"/>
        <v>0</v>
      </c>
      <c r="AV200" s="49">
        <f t="shared" si="531"/>
        <v>31955.996399999996</v>
      </c>
      <c r="AW200" s="49">
        <f t="shared" si="471"/>
        <v>0</v>
      </c>
      <c r="AX200" s="49">
        <f t="shared" si="472"/>
        <v>0</v>
      </c>
      <c r="AY200" s="49">
        <f t="shared" si="473"/>
        <v>42607.995199999998</v>
      </c>
      <c r="AZ200" s="49">
        <f t="shared" si="474"/>
        <v>0</v>
      </c>
      <c r="BA200" s="49">
        <f t="shared" si="475"/>
        <v>0</v>
      </c>
      <c r="BB200" s="49">
        <f t="shared" si="532"/>
        <v>42607.995199999998</v>
      </c>
      <c r="BC200" s="49">
        <f t="shared" si="477"/>
        <v>0</v>
      </c>
      <c r="BD200" s="49">
        <f t="shared" si="478"/>
        <v>0</v>
      </c>
      <c r="BE200" s="49">
        <f t="shared" si="479"/>
        <v>234343.9736</v>
      </c>
      <c r="BF200" s="49">
        <f t="shared" si="480"/>
        <v>0</v>
      </c>
      <c r="BG200" s="49">
        <f t="shared" si="481"/>
        <v>0</v>
      </c>
      <c r="BH200" s="49">
        <f t="shared" si="533"/>
        <v>234343.9736</v>
      </c>
      <c r="BI200" s="49">
        <f t="shared" si="483"/>
        <v>0</v>
      </c>
      <c r="BJ200" s="49">
        <f t="shared" si="484"/>
        <v>0</v>
      </c>
      <c r="BK200" s="49">
        <f t="shared" si="485"/>
        <v>0</v>
      </c>
      <c r="BL200" s="49">
        <f t="shared" si="486"/>
        <v>0</v>
      </c>
      <c r="BM200" s="49">
        <f t="shared" si="487"/>
        <v>0</v>
      </c>
      <c r="BN200" s="49">
        <f t="shared" si="488"/>
        <v>0</v>
      </c>
      <c r="BO200" s="49">
        <f t="shared" si="489"/>
        <v>0</v>
      </c>
      <c r="BP200" s="49">
        <f t="shared" si="490"/>
        <v>0</v>
      </c>
      <c r="BQ200" s="49">
        <f t="shared" si="491"/>
        <v>159779.98199999999</v>
      </c>
      <c r="BR200" s="49">
        <f t="shared" si="492"/>
        <v>0</v>
      </c>
      <c r="BS200" s="49">
        <f t="shared" si="493"/>
        <v>0</v>
      </c>
      <c r="BT200" s="49">
        <f t="shared" si="494"/>
        <v>159779.98199999999</v>
      </c>
      <c r="BU200" s="49">
        <f t="shared" si="495"/>
        <v>0</v>
      </c>
      <c r="BV200" s="49">
        <f t="shared" si="496"/>
        <v>0</v>
      </c>
      <c r="BW200" s="49">
        <f t="shared" si="497"/>
        <v>0</v>
      </c>
      <c r="BX200" s="49">
        <f t="shared" si="498"/>
        <v>0</v>
      </c>
      <c r="BY200" s="49">
        <f t="shared" si="499"/>
        <v>0</v>
      </c>
      <c r="BZ200" s="49">
        <f t="shared" si="500"/>
        <v>0</v>
      </c>
      <c r="CA200" s="49">
        <f t="shared" si="501"/>
        <v>0</v>
      </c>
      <c r="CB200" s="49">
        <f t="shared" si="502"/>
        <v>0</v>
      </c>
      <c r="CC200" s="49">
        <f t="shared" si="503"/>
        <v>31955.996399999996</v>
      </c>
      <c r="CD200" s="49">
        <f t="shared" si="504"/>
        <v>0</v>
      </c>
      <c r="CE200" s="49">
        <f t="shared" si="505"/>
        <v>0</v>
      </c>
      <c r="CF200" s="49">
        <f t="shared" si="506"/>
        <v>31955.996399999996</v>
      </c>
      <c r="CG200" s="49">
        <f t="shared" si="507"/>
        <v>0</v>
      </c>
      <c r="CH200" s="49">
        <f t="shared" si="508"/>
        <v>0</v>
      </c>
      <c r="CI200" s="49">
        <f t="shared" si="509"/>
        <v>42607.995199999998</v>
      </c>
      <c r="CJ200" s="49">
        <f t="shared" si="510"/>
        <v>0</v>
      </c>
      <c r="CK200" s="49">
        <f t="shared" si="511"/>
        <v>0</v>
      </c>
      <c r="CL200" s="49">
        <f t="shared" si="512"/>
        <v>42607.995199999998</v>
      </c>
      <c r="CM200" s="49">
        <f t="shared" si="513"/>
        <v>0</v>
      </c>
      <c r="CN200" s="49">
        <f t="shared" si="514"/>
        <v>0</v>
      </c>
      <c r="CO200" s="49">
        <f t="shared" si="515"/>
        <v>234343.9736</v>
      </c>
      <c r="CP200" s="49">
        <f t="shared" si="516"/>
        <v>0</v>
      </c>
      <c r="CQ200" s="49">
        <f t="shared" si="517"/>
        <v>0</v>
      </c>
      <c r="CR200" s="81">
        <f t="shared" si="534"/>
        <v>234343.9736</v>
      </c>
      <c r="CS200" s="80">
        <f t="shared" si="535"/>
        <v>830855.90639999986</v>
      </c>
      <c r="CT200" s="54"/>
      <c r="CU200" s="3" t="str">
        <f t="shared" si="520"/>
        <v>ARS</v>
      </c>
      <c r="CV200" s="3">
        <f>VLOOKUP(CU200,DF:DG,2,0)</f>
        <v>6.9185169999999997E-4</v>
      </c>
      <c r="CW200" s="23">
        <f t="shared" si="536"/>
        <v>736.96034781779588</v>
      </c>
      <c r="CX200" s="23">
        <f t="shared" si="522"/>
        <v>0</v>
      </c>
      <c r="CY200" s="23">
        <f t="shared" si="523"/>
        <v>110.54405217266938</v>
      </c>
      <c r="CZ200" s="23">
        <f t="shared" si="524"/>
        <v>0</v>
      </c>
      <c r="DA200" s="23">
        <f t="shared" si="525"/>
        <v>22.108810434533876</v>
      </c>
      <c r="DB200" s="23">
        <f t="shared" si="526"/>
        <v>29.478413912711837</v>
      </c>
      <c r="DC200" s="23">
        <f t="shared" si="527"/>
        <v>574.82907129788077</v>
      </c>
      <c r="DD200" s="34" t="str">
        <f>VLOOKUP(A200,'Billing Report'!H:I,2,FALSE)</f>
        <v>2026_AR_CEPAS_DRL_AWA_RCH_LOLLAPALOOZA_NU_X_NU_FEB-MAR</v>
      </c>
      <c r="DE200" s="34"/>
      <c r="DF200" s="61"/>
      <c r="DG200" s="62"/>
      <c r="DH200"/>
      <c r="DI200" s="41"/>
      <c r="DJ200" s="41"/>
    </row>
    <row r="201" spans="1:114" ht="14.5" x14ac:dyDescent="0.35">
      <c r="A201" s="19"/>
      <c r="B201" s="1"/>
      <c r="C201"/>
      <c r="D201"/>
      <c r="E201" s="38"/>
      <c r="F201" s="38"/>
      <c r="G201" s="38"/>
      <c r="H201" s="38"/>
      <c r="I201" s="38"/>
      <c r="J201" s="33"/>
      <c r="K201" s="46"/>
      <c r="O201" s="54"/>
      <c r="P201" s="54"/>
      <c r="Q201" s="54"/>
      <c r="R201" s="54"/>
      <c r="S201" s="47"/>
      <c r="T201" s="48"/>
      <c r="U201" s="48"/>
      <c r="V201" s="48"/>
      <c r="W201" s="48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  <c r="AO201" s="49"/>
      <c r="AP201" s="49"/>
      <c r="AQ201" s="49"/>
      <c r="AR201" s="49"/>
      <c r="AS201" s="49"/>
      <c r="AT201" s="49"/>
      <c r="AU201" s="49"/>
      <c r="AV201" s="49"/>
      <c r="AW201" s="49"/>
      <c r="AX201" s="49"/>
      <c r="AY201" s="49"/>
      <c r="AZ201" s="49"/>
      <c r="BA201" s="49"/>
      <c r="BB201" s="49"/>
      <c r="BC201" s="49"/>
      <c r="BD201" s="49"/>
      <c r="BE201" s="49"/>
      <c r="BF201" s="49"/>
      <c r="BG201" s="49"/>
      <c r="BH201" s="49"/>
      <c r="BI201" s="49"/>
      <c r="BJ201" s="49"/>
      <c r="BK201" s="49"/>
      <c r="BL201" s="49"/>
      <c r="BM201" s="49"/>
      <c r="BN201" s="49"/>
      <c r="BO201" s="49"/>
      <c r="BP201" s="49"/>
      <c r="BQ201" s="49"/>
      <c r="BR201" s="49"/>
      <c r="BS201" s="49"/>
      <c r="BT201" s="49"/>
      <c r="BU201" s="49"/>
      <c r="BV201" s="49"/>
      <c r="BW201" s="49"/>
      <c r="BX201" s="49"/>
      <c r="BY201" s="49"/>
      <c r="BZ201" s="49"/>
      <c r="CA201" s="49"/>
      <c r="CB201" s="49"/>
      <c r="CC201" s="49"/>
      <c r="CD201" s="49"/>
      <c r="CE201" s="49"/>
      <c r="CF201" s="49"/>
      <c r="CG201" s="49"/>
      <c r="CH201" s="49"/>
      <c r="CI201" s="49"/>
      <c r="CJ201" s="49"/>
      <c r="CK201" s="49"/>
      <c r="CL201" s="49"/>
      <c r="CM201" s="49"/>
      <c r="CN201" s="49"/>
      <c r="CO201" s="49"/>
      <c r="CP201" s="49"/>
      <c r="CQ201" s="49"/>
      <c r="CT201" s="54"/>
      <c r="DE201" s="34"/>
    </row>
    <row r="202" spans="1:114" ht="14.5" x14ac:dyDescent="0.35">
      <c r="A202" s="19"/>
      <c r="B202" s="1"/>
      <c r="C202"/>
      <c r="D202"/>
      <c r="E202" s="38"/>
      <c r="F202" s="38"/>
      <c r="G202" s="38"/>
      <c r="H202" s="38"/>
      <c r="I202" s="38"/>
      <c r="J202" s="33"/>
      <c r="K202" s="46"/>
      <c r="O202" s="54"/>
      <c r="P202" s="54"/>
      <c r="Q202" s="54"/>
      <c r="R202" s="54"/>
      <c r="S202" s="47"/>
      <c r="T202" s="48"/>
      <c r="U202" s="48"/>
      <c r="V202" s="48"/>
      <c r="W202" s="48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  <c r="AO202" s="49"/>
      <c r="AP202" s="49"/>
      <c r="AQ202" s="49"/>
      <c r="AR202" s="49"/>
      <c r="AS202" s="49"/>
      <c r="AT202" s="49"/>
      <c r="AU202" s="49"/>
      <c r="AV202" s="49"/>
      <c r="AW202" s="49"/>
      <c r="AX202" s="49"/>
      <c r="AY202" s="49"/>
      <c r="AZ202" s="49"/>
      <c r="BA202" s="49"/>
      <c r="BB202" s="49"/>
      <c r="BC202" s="49"/>
      <c r="BD202" s="49"/>
      <c r="BE202" s="49"/>
      <c r="BF202" s="49"/>
      <c r="BG202" s="49"/>
      <c r="BH202" s="49"/>
      <c r="BI202" s="49"/>
      <c r="BJ202" s="49"/>
      <c r="BK202" s="49"/>
      <c r="BL202" s="49"/>
      <c r="BM202" s="49"/>
      <c r="BN202" s="49"/>
      <c r="BO202" s="49"/>
      <c r="BP202" s="49"/>
      <c r="BQ202" s="49"/>
      <c r="BR202" s="49"/>
      <c r="BS202" s="49"/>
      <c r="BT202" s="49"/>
      <c r="BU202" s="49"/>
      <c r="BV202" s="49"/>
      <c r="BW202" s="49"/>
      <c r="BX202" s="49"/>
      <c r="BY202" s="49"/>
      <c r="BZ202" s="49"/>
      <c r="CA202" s="49"/>
      <c r="CB202" s="49"/>
      <c r="CC202" s="49"/>
      <c r="CD202" s="49"/>
      <c r="CE202" s="49"/>
      <c r="CF202" s="49"/>
      <c r="CG202" s="49"/>
      <c r="CH202" s="49"/>
      <c r="CI202" s="49"/>
      <c r="CJ202" s="49"/>
      <c r="CK202" s="49"/>
      <c r="CL202" s="49"/>
      <c r="CM202" s="49"/>
      <c r="CN202" s="49"/>
      <c r="CO202" s="49"/>
      <c r="CP202" s="49"/>
      <c r="CQ202" s="49"/>
      <c r="CT202" s="54"/>
      <c r="DE202" s="34"/>
    </row>
    <row r="203" spans="1:114" ht="14.5" x14ac:dyDescent="0.35">
      <c r="A203" s="19"/>
      <c r="B203" s="1"/>
      <c r="C203"/>
      <c r="D203"/>
      <c r="E203" s="38"/>
      <c r="F203" s="38"/>
      <c r="G203" s="38"/>
      <c r="H203" s="38"/>
      <c r="I203" s="38"/>
      <c r="J203" s="33"/>
      <c r="K203" s="46"/>
      <c r="O203" s="54"/>
      <c r="P203" s="54"/>
      <c r="Q203" s="54"/>
      <c r="R203" s="54"/>
      <c r="S203" s="47"/>
      <c r="T203" s="48"/>
      <c r="U203" s="48"/>
      <c r="V203" s="48"/>
      <c r="W203" s="48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  <c r="AO203" s="49"/>
      <c r="AP203" s="49"/>
      <c r="AQ203" s="49"/>
      <c r="AR203" s="49"/>
      <c r="AS203" s="49"/>
      <c r="AT203" s="49"/>
      <c r="AU203" s="49"/>
      <c r="AV203" s="49"/>
      <c r="AW203" s="49"/>
      <c r="AX203" s="49"/>
      <c r="AY203" s="49"/>
      <c r="AZ203" s="49"/>
      <c r="BA203" s="49"/>
      <c r="BB203" s="49"/>
      <c r="BC203" s="49"/>
      <c r="BD203" s="49"/>
      <c r="BE203" s="49"/>
      <c r="BF203" s="49"/>
      <c r="BG203" s="49"/>
      <c r="BH203" s="49"/>
      <c r="BI203" s="49"/>
      <c r="BJ203" s="49"/>
      <c r="BK203" s="49"/>
      <c r="BL203" s="49"/>
      <c r="BM203" s="49"/>
      <c r="BN203" s="49"/>
      <c r="BO203" s="49"/>
      <c r="BP203" s="49"/>
      <c r="BQ203" s="49"/>
      <c r="BR203" s="49"/>
      <c r="BS203" s="49"/>
      <c r="BT203" s="49"/>
      <c r="BU203" s="49"/>
      <c r="BV203" s="49"/>
      <c r="BW203" s="49"/>
      <c r="BX203" s="49"/>
      <c r="BY203" s="49"/>
      <c r="BZ203" s="49"/>
      <c r="CA203" s="49"/>
      <c r="CB203" s="49"/>
      <c r="CC203" s="49"/>
      <c r="CD203" s="49"/>
      <c r="CE203" s="49"/>
      <c r="CF203" s="49"/>
      <c r="CG203" s="49"/>
      <c r="CH203" s="49"/>
      <c r="CI203" s="49"/>
      <c r="CJ203" s="49"/>
      <c r="CK203" s="49"/>
      <c r="CL203" s="49"/>
      <c r="CM203" s="49"/>
      <c r="CN203" s="49"/>
      <c r="CO203" s="49"/>
      <c r="CP203" s="49"/>
      <c r="CQ203" s="49"/>
      <c r="CT203" s="54"/>
      <c r="DE203" s="34"/>
    </row>
    <row r="204" spans="1:114" ht="14.5" x14ac:dyDescent="0.35">
      <c r="A204" s="19"/>
      <c r="B204" s="1"/>
      <c r="C204"/>
      <c r="D204"/>
      <c r="E204" s="38"/>
      <c r="F204" s="38"/>
      <c r="G204" s="38"/>
      <c r="H204" s="38"/>
      <c r="I204" s="38"/>
      <c r="J204" s="33"/>
      <c r="K204" s="46"/>
      <c r="O204" s="54"/>
      <c r="P204" s="54"/>
      <c r="Q204" s="54"/>
      <c r="R204" s="54"/>
      <c r="S204" s="47"/>
      <c r="T204" s="48"/>
      <c r="U204" s="48"/>
      <c r="V204" s="48"/>
      <c r="W204" s="48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  <c r="AO204" s="49"/>
      <c r="AP204" s="49"/>
      <c r="AQ204" s="49"/>
      <c r="AR204" s="49"/>
      <c r="AS204" s="49"/>
      <c r="AT204" s="49"/>
      <c r="AU204" s="49"/>
      <c r="AV204" s="49"/>
      <c r="AW204" s="49"/>
      <c r="AX204" s="49"/>
      <c r="AY204" s="49"/>
      <c r="AZ204" s="49"/>
      <c r="BA204" s="49"/>
      <c r="BB204" s="49"/>
      <c r="BC204" s="49"/>
      <c r="BD204" s="49"/>
      <c r="BE204" s="49"/>
      <c r="BF204" s="49"/>
      <c r="BG204" s="49"/>
      <c r="BH204" s="49"/>
      <c r="BI204" s="49"/>
      <c r="BJ204" s="49"/>
      <c r="BK204" s="49"/>
      <c r="BL204" s="49"/>
      <c r="BM204" s="49"/>
      <c r="BN204" s="49"/>
      <c r="BO204" s="49"/>
      <c r="BP204" s="49"/>
      <c r="BQ204" s="49"/>
      <c r="BR204" s="49"/>
      <c r="BS204" s="49"/>
      <c r="BT204" s="49"/>
      <c r="BU204" s="49"/>
      <c r="BV204" s="49"/>
      <c r="BW204" s="49"/>
      <c r="BX204" s="49"/>
      <c r="BY204" s="49"/>
      <c r="BZ204" s="49"/>
      <c r="CA204" s="49"/>
      <c r="CB204" s="49"/>
      <c r="CC204" s="49"/>
      <c r="CD204" s="49"/>
      <c r="CE204" s="49"/>
      <c r="CF204" s="49"/>
      <c r="CG204" s="49"/>
      <c r="CH204" s="49"/>
      <c r="CI204" s="49"/>
      <c r="CJ204" s="49"/>
      <c r="CK204" s="49"/>
      <c r="CL204" s="49"/>
      <c r="CM204" s="49"/>
      <c r="CN204" s="49"/>
      <c r="CO204" s="49"/>
      <c r="CP204" s="49"/>
      <c r="CQ204" s="49"/>
      <c r="CT204" s="54"/>
      <c r="DE204" s="34"/>
    </row>
    <row r="205" spans="1:114" ht="14.5" x14ac:dyDescent="0.35">
      <c r="A205" s="19"/>
      <c r="B205" s="1"/>
      <c r="C205"/>
      <c r="D205"/>
      <c r="E205" s="38"/>
      <c r="F205" s="38"/>
      <c r="G205" s="38"/>
      <c r="H205" s="38"/>
      <c r="I205" s="38"/>
      <c r="J205" s="33"/>
      <c r="K205" s="46"/>
      <c r="O205" s="54"/>
      <c r="P205" s="54"/>
      <c r="Q205" s="54"/>
      <c r="R205" s="54"/>
      <c r="S205" s="47"/>
      <c r="T205" s="48"/>
      <c r="U205" s="48"/>
      <c r="V205" s="48"/>
      <c r="W205" s="48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  <c r="AN205" s="49"/>
      <c r="AO205" s="49"/>
      <c r="AP205" s="49"/>
      <c r="AQ205" s="49"/>
      <c r="AR205" s="49"/>
      <c r="AS205" s="49"/>
      <c r="AT205" s="49"/>
      <c r="AU205" s="49"/>
      <c r="AV205" s="49"/>
      <c r="AW205" s="49"/>
      <c r="AX205" s="49"/>
      <c r="AY205" s="49"/>
      <c r="AZ205" s="49"/>
      <c r="BA205" s="49"/>
      <c r="BB205" s="49"/>
      <c r="BC205" s="49"/>
      <c r="BD205" s="49"/>
      <c r="BE205" s="49"/>
      <c r="BF205" s="49"/>
      <c r="BG205" s="49"/>
      <c r="BH205" s="49"/>
      <c r="BI205" s="49"/>
      <c r="BJ205" s="49"/>
      <c r="BK205" s="49"/>
      <c r="BL205" s="49"/>
      <c r="BM205" s="49"/>
      <c r="BN205" s="49"/>
      <c r="BO205" s="49"/>
      <c r="BP205" s="49"/>
      <c r="BQ205" s="49"/>
      <c r="BR205" s="49"/>
      <c r="BS205" s="49"/>
      <c r="BT205" s="49"/>
      <c r="BU205" s="49"/>
      <c r="BV205" s="49"/>
      <c r="BW205" s="49"/>
      <c r="BX205" s="49"/>
      <c r="BY205" s="49"/>
      <c r="BZ205" s="49"/>
      <c r="CA205" s="49"/>
      <c r="CB205" s="49"/>
      <c r="CC205" s="49"/>
      <c r="CD205" s="49"/>
      <c r="CE205" s="49"/>
      <c r="CF205" s="49"/>
      <c r="CG205" s="49"/>
      <c r="CH205" s="49"/>
      <c r="CI205" s="49"/>
      <c r="CJ205" s="49"/>
      <c r="CK205" s="49"/>
      <c r="CL205" s="49"/>
      <c r="CM205" s="49"/>
      <c r="CN205" s="49"/>
      <c r="CO205" s="49"/>
      <c r="CP205" s="49"/>
      <c r="CQ205" s="49"/>
      <c r="CT205" s="54"/>
      <c r="DE205" s="34"/>
    </row>
    <row r="206" spans="1:114" ht="14.5" x14ac:dyDescent="0.35">
      <c r="A206" s="19"/>
      <c r="B206" s="1"/>
      <c r="C206"/>
      <c r="D206"/>
      <c r="E206" s="38"/>
      <c r="F206" s="38"/>
      <c r="G206" s="38"/>
      <c r="H206" s="38"/>
      <c r="I206" s="38"/>
      <c r="J206" s="33"/>
      <c r="K206" s="46"/>
      <c r="O206" s="54"/>
      <c r="P206" s="54"/>
      <c r="Q206" s="54"/>
      <c r="R206" s="54"/>
      <c r="S206" s="47"/>
      <c r="T206" s="48"/>
      <c r="U206" s="48"/>
      <c r="V206" s="48"/>
      <c r="W206" s="48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49"/>
      <c r="AO206" s="49"/>
      <c r="AP206" s="49"/>
      <c r="AQ206" s="49"/>
      <c r="AR206" s="49"/>
      <c r="AS206" s="49"/>
      <c r="AT206" s="49"/>
      <c r="AU206" s="49"/>
      <c r="AV206" s="49"/>
      <c r="AW206" s="49"/>
      <c r="AX206" s="49"/>
      <c r="AY206" s="49"/>
      <c r="AZ206" s="49"/>
      <c r="BA206" s="49"/>
      <c r="BB206" s="49"/>
      <c r="BC206" s="49"/>
      <c r="BD206" s="49"/>
      <c r="BE206" s="49"/>
      <c r="BF206" s="49"/>
      <c r="BG206" s="49"/>
      <c r="BH206" s="49"/>
      <c r="BI206" s="49"/>
      <c r="BJ206" s="49"/>
      <c r="BK206" s="49"/>
      <c r="BL206" s="49"/>
      <c r="BM206" s="49"/>
      <c r="BN206" s="49"/>
      <c r="BO206" s="49"/>
      <c r="BP206" s="49"/>
      <c r="BQ206" s="49"/>
      <c r="BR206" s="49"/>
      <c r="BS206" s="49"/>
      <c r="BT206" s="49"/>
      <c r="BU206" s="49"/>
      <c r="BV206" s="49"/>
      <c r="BW206" s="49"/>
      <c r="BX206" s="49"/>
      <c r="BY206" s="49"/>
      <c r="BZ206" s="49"/>
      <c r="CA206" s="49"/>
      <c r="CB206" s="49"/>
      <c r="CC206" s="49"/>
      <c r="CD206" s="49"/>
      <c r="CE206" s="49"/>
      <c r="CF206" s="49"/>
      <c r="CG206" s="49"/>
      <c r="CH206" s="49"/>
      <c r="CI206" s="49"/>
      <c r="CJ206" s="49"/>
      <c r="CK206" s="49"/>
      <c r="CL206" s="49"/>
      <c r="CM206" s="49"/>
      <c r="CN206" s="49"/>
      <c r="CO206" s="49"/>
      <c r="CP206" s="49"/>
      <c r="CQ206" s="49"/>
      <c r="CT206" s="54"/>
      <c r="DE206" s="34"/>
    </row>
    <row r="207" spans="1:114" ht="14.5" x14ac:dyDescent="0.35">
      <c r="A207" s="19"/>
      <c r="B207" s="1"/>
      <c r="C207"/>
      <c r="D207"/>
      <c r="E207" s="38"/>
      <c r="F207" s="38"/>
      <c r="G207" s="38"/>
      <c r="H207" s="38"/>
      <c r="I207" s="38"/>
      <c r="J207" s="33"/>
      <c r="K207" s="46"/>
      <c r="O207" s="54"/>
      <c r="P207" s="54"/>
      <c r="Q207" s="54"/>
      <c r="R207" s="54"/>
      <c r="S207" s="47"/>
      <c r="T207" s="48"/>
      <c r="U207" s="48"/>
      <c r="V207" s="48"/>
      <c r="W207" s="48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49"/>
      <c r="AO207" s="49"/>
      <c r="AP207" s="49"/>
      <c r="AQ207" s="49"/>
      <c r="AR207" s="49"/>
      <c r="AS207" s="49"/>
      <c r="AT207" s="49"/>
      <c r="AU207" s="49"/>
      <c r="AV207" s="49"/>
      <c r="AW207" s="49"/>
      <c r="AX207" s="49"/>
      <c r="AY207" s="49"/>
      <c r="AZ207" s="49"/>
      <c r="BA207" s="49"/>
      <c r="BB207" s="49"/>
      <c r="BC207" s="49"/>
      <c r="BD207" s="49"/>
      <c r="BE207" s="49"/>
      <c r="BF207" s="49"/>
      <c r="BG207" s="49"/>
      <c r="BH207" s="49"/>
      <c r="BI207" s="49"/>
      <c r="BJ207" s="49"/>
      <c r="BK207" s="49"/>
      <c r="BL207" s="49"/>
      <c r="BM207" s="49"/>
      <c r="BN207" s="49"/>
      <c r="BO207" s="49"/>
      <c r="BP207" s="49"/>
      <c r="BQ207" s="49"/>
      <c r="BR207" s="49"/>
      <c r="BS207" s="49"/>
      <c r="BT207" s="49"/>
      <c r="BU207" s="49"/>
      <c r="BV207" s="49"/>
      <c r="BW207" s="49"/>
      <c r="BX207" s="49"/>
      <c r="BY207" s="49"/>
      <c r="BZ207" s="49"/>
      <c r="CA207" s="49"/>
      <c r="CB207" s="49"/>
      <c r="CC207" s="49"/>
      <c r="CD207" s="49"/>
      <c r="CE207" s="49"/>
      <c r="CF207" s="49"/>
      <c r="CG207" s="49"/>
      <c r="CH207" s="49"/>
      <c r="CI207" s="49"/>
      <c r="CJ207" s="49"/>
      <c r="CK207" s="49"/>
      <c r="CL207" s="49"/>
      <c r="CM207" s="49"/>
      <c r="CN207" s="49"/>
      <c r="CO207" s="49"/>
      <c r="CP207" s="49"/>
      <c r="CQ207" s="49"/>
      <c r="CT207" s="54"/>
      <c r="DE207" s="34"/>
    </row>
    <row r="208" spans="1:114" ht="14.5" x14ac:dyDescent="0.35">
      <c r="A208" s="19"/>
      <c r="B208" s="1"/>
      <c r="C208"/>
      <c r="D208"/>
      <c r="E208" s="38"/>
      <c r="F208" s="38"/>
      <c r="G208" s="38"/>
      <c r="H208" s="38"/>
      <c r="I208" s="38"/>
      <c r="J208" s="33"/>
      <c r="K208" s="46"/>
      <c r="O208" s="54"/>
      <c r="P208" s="54"/>
      <c r="Q208" s="54"/>
      <c r="R208" s="54"/>
      <c r="S208" s="47"/>
      <c r="T208" s="48"/>
      <c r="U208" s="48"/>
      <c r="V208" s="48"/>
      <c r="W208" s="48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  <c r="AO208" s="49"/>
      <c r="AP208" s="49"/>
      <c r="AQ208" s="49"/>
      <c r="AR208" s="49"/>
      <c r="AS208" s="49"/>
      <c r="AT208" s="49"/>
      <c r="AU208" s="49"/>
      <c r="AV208" s="49"/>
      <c r="AW208" s="49"/>
      <c r="AX208" s="49"/>
      <c r="AY208" s="49"/>
      <c r="AZ208" s="49"/>
      <c r="BA208" s="49"/>
      <c r="BB208" s="49"/>
      <c r="BC208" s="49"/>
      <c r="BD208" s="49"/>
      <c r="BE208" s="49"/>
      <c r="BF208" s="49"/>
      <c r="BG208" s="49"/>
      <c r="BH208" s="49"/>
      <c r="BI208" s="49"/>
      <c r="BJ208" s="49"/>
      <c r="BK208" s="49"/>
      <c r="BL208" s="49"/>
      <c r="BM208" s="49"/>
      <c r="BN208" s="49"/>
      <c r="BO208" s="49"/>
      <c r="BP208" s="49"/>
      <c r="BQ208" s="49"/>
      <c r="BR208" s="49"/>
      <c r="BS208" s="49"/>
      <c r="BT208" s="49"/>
      <c r="BU208" s="49"/>
      <c r="BV208" s="49"/>
      <c r="BW208" s="49"/>
      <c r="BX208" s="49"/>
      <c r="BY208" s="49"/>
      <c r="BZ208" s="49"/>
      <c r="CA208" s="49"/>
      <c r="CB208" s="49"/>
      <c r="CC208" s="49"/>
      <c r="CD208" s="49"/>
      <c r="CE208" s="49"/>
      <c r="CF208" s="49"/>
      <c r="CG208" s="49"/>
      <c r="CH208" s="49"/>
      <c r="CI208" s="49"/>
      <c r="CJ208" s="49"/>
      <c r="CK208" s="49"/>
      <c r="CL208" s="49"/>
      <c r="CM208" s="49"/>
      <c r="CN208" s="49"/>
      <c r="CO208" s="49"/>
      <c r="CP208" s="49"/>
      <c r="CQ208" s="49"/>
      <c r="CT208" s="54"/>
      <c r="DE208" s="34"/>
    </row>
    <row r="209" spans="1:109" ht="14.5" x14ac:dyDescent="0.35">
      <c r="A209" s="19"/>
      <c r="B209" s="1"/>
      <c r="C209"/>
      <c r="D209"/>
      <c r="E209" s="38"/>
      <c r="F209" s="38"/>
      <c r="G209" s="38"/>
      <c r="H209" s="38"/>
      <c r="I209" s="38"/>
      <c r="J209" s="33"/>
      <c r="K209" s="46"/>
      <c r="O209" s="54"/>
      <c r="P209" s="54"/>
      <c r="Q209" s="54"/>
      <c r="R209" s="54"/>
      <c r="S209" s="47"/>
      <c r="T209" s="48"/>
      <c r="U209" s="48"/>
      <c r="V209" s="48"/>
      <c r="W209" s="48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  <c r="AO209" s="49"/>
      <c r="AP209" s="49"/>
      <c r="AQ209" s="49"/>
      <c r="AR209" s="49"/>
      <c r="AS209" s="49"/>
      <c r="AT209" s="49"/>
      <c r="AU209" s="49"/>
      <c r="AV209" s="49"/>
      <c r="AW209" s="49"/>
      <c r="AX209" s="49"/>
      <c r="AY209" s="49"/>
      <c r="AZ209" s="49"/>
      <c r="BA209" s="49"/>
      <c r="BB209" s="49"/>
      <c r="BC209" s="49"/>
      <c r="BD209" s="49"/>
      <c r="BE209" s="49"/>
      <c r="BF209" s="49"/>
      <c r="BG209" s="49"/>
      <c r="BH209" s="49"/>
      <c r="BI209" s="49"/>
      <c r="BJ209" s="49"/>
      <c r="BK209" s="49"/>
      <c r="BL209" s="49"/>
      <c r="BM209" s="49"/>
      <c r="BN209" s="49"/>
      <c r="BO209" s="49"/>
      <c r="BP209" s="49"/>
      <c r="BQ209" s="49"/>
      <c r="BR209" s="49"/>
      <c r="BS209" s="49"/>
      <c r="BT209" s="49"/>
      <c r="BU209" s="49"/>
      <c r="BV209" s="49"/>
      <c r="BW209" s="49"/>
      <c r="BX209" s="49"/>
      <c r="BY209" s="49"/>
      <c r="BZ209" s="49"/>
      <c r="CA209" s="49"/>
      <c r="CB209" s="49"/>
      <c r="CC209" s="49"/>
      <c r="CD209" s="49"/>
      <c r="CE209" s="49"/>
      <c r="CF209" s="49"/>
      <c r="CG209" s="49"/>
      <c r="CH209" s="49"/>
      <c r="CI209" s="49"/>
      <c r="CJ209" s="49"/>
      <c r="CK209" s="49"/>
      <c r="CL209" s="49"/>
      <c r="CM209" s="49"/>
      <c r="CN209" s="49"/>
      <c r="CO209" s="49"/>
      <c r="CP209" s="49"/>
      <c r="CQ209" s="49"/>
      <c r="CT209" s="54"/>
      <c r="DE209" s="34"/>
    </row>
    <row r="210" spans="1:109" ht="14.5" x14ac:dyDescent="0.35">
      <c r="A210" s="19"/>
      <c r="B210" s="1"/>
      <c r="C210"/>
      <c r="D210"/>
      <c r="E210" s="38"/>
      <c r="F210" s="38"/>
      <c r="G210" s="38"/>
      <c r="H210" s="38"/>
      <c r="I210" s="38"/>
      <c r="J210" s="33"/>
      <c r="K210" s="46"/>
      <c r="O210" s="54"/>
      <c r="P210" s="54"/>
      <c r="Q210" s="54"/>
      <c r="R210" s="54"/>
      <c r="S210" s="47"/>
      <c r="T210" s="48"/>
      <c r="U210" s="48"/>
      <c r="V210" s="48"/>
      <c r="W210" s="48"/>
      <c r="X210" s="49"/>
      <c r="Y210" s="49"/>
      <c r="Z210" s="49"/>
      <c r="AA210" s="49"/>
      <c r="AB210" s="49"/>
      <c r="AC210" s="49"/>
      <c r="AD210" s="49"/>
      <c r="AE210" s="49"/>
      <c r="AF210" s="49"/>
      <c r="AG210" s="49"/>
      <c r="AH210" s="49"/>
      <c r="AI210" s="49"/>
      <c r="AJ210" s="49"/>
      <c r="AK210" s="49"/>
      <c r="AL210" s="49"/>
      <c r="AM210" s="49"/>
      <c r="AN210" s="49"/>
      <c r="AO210" s="49"/>
      <c r="AP210" s="49"/>
      <c r="AQ210" s="49"/>
      <c r="AR210" s="49"/>
      <c r="AS210" s="49"/>
      <c r="AT210" s="49"/>
      <c r="AU210" s="49"/>
      <c r="AV210" s="49"/>
      <c r="AW210" s="49"/>
      <c r="AX210" s="49"/>
      <c r="AY210" s="49"/>
      <c r="AZ210" s="49"/>
      <c r="BA210" s="49"/>
      <c r="BB210" s="49"/>
      <c r="BC210" s="49"/>
      <c r="BD210" s="49"/>
      <c r="BE210" s="49"/>
      <c r="BF210" s="49"/>
      <c r="BG210" s="49"/>
      <c r="BH210" s="49"/>
      <c r="BI210" s="49"/>
      <c r="BJ210" s="49"/>
      <c r="BK210" s="49"/>
      <c r="BL210" s="49"/>
      <c r="BM210" s="49"/>
      <c r="BN210" s="49"/>
      <c r="BO210" s="49"/>
      <c r="BP210" s="49"/>
      <c r="BQ210" s="49"/>
      <c r="BR210" s="49"/>
      <c r="BS210" s="49"/>
      <c r="BT210" s="49"/>
      <c r="BU210" s="49"/>
      <c r="BV210" s="49"/>
      <c r="BW210" s="49"/>
      <c r="BX210" s="49"/>
      <c r="BY210" s="49"/>
      <c r="BZ210" s="49"/>
      <c r="CA210" s="49"/>
      <c r="CB210" s="49"/>
      <c r="CC210" s="49"/>
      <c r="CD210" s="49"/>
      <c r="CE210" s="49"/>
      <c r="CF210" s="49"/>
      <c r="CG210" s="49"/>
      <c r="CH210" s="49"/>
      <c r="CI210" s="49"/>
      <c r="CJ210" s="49"/>
      <c r="CK210" s="49"/>
      <c r="CL210" s="49"/>
      <c r="CM210" s="49"/>
      <c r="CN210" s="49"/>
      <c r="CO210" s="49"/>
      <c r="CP210" s="49"/>
      <c r="CQ210" s="49"/>
      <c r="CT210" s="54"/>
      <c r="DE210" s="34"/>
    </row>
    <row r="211" spans="1:109" ht="14.5" x14ac:dyDescent="0.35">
      <c r="A211" s="19"/>
      <c r="B211" s="1"/>
      <c r="C211"/>
      <c r="D211"/>
      <c r="E211" s="38"/>
      <c r="F211" s="38"/>
      <c r="G211" s="38"/>
      <c r="H211" s="38"/>
      <c r="I211" s="38"/>
      <c r="J211" s="33"/>
      <c r="K211" s="46"/>
      <c r="O211" s="54"/>
      <c r="P211" s="54"/>
      <c r="Q211" s="54"/>
      <c r="R211" s="54"/>
      <c r="S211" s="47"/>
      <c r="T211" s="48"/>
      <c r="U211" s="48"/>
      <c r="V211" s="48"/>
      <c r="W211" s="48"/>
      <c r="X211" s="49"/>
      <c r="Y211" s="49"/>
      <c r="Z211" s="49"/>
      <c r="AA211" s="49"/>
      <c r="AB211" s="49"/>
      <c r="AC211" s="49"/>
      <c r="AD211" s="49"/>
      <c r="AE211" s="49"/>
      <c r="AF211" s="49"/>
      <c r="AG211" s="49"/>
      <c r="AH211" s="49"/>
      <c r="AI211" s="49"/>
      <c r="AJ211" s="49"/>
      <c r="AK211" s="49"/>
      <c r="AL211" s="49"/>
      <c r="AM211" s="49"/>
      <c r="AN211" s="49"/>
      <c r="AO211" s="49"/>
      <c r="AP211" s="49"/>
      <c r="AQ211" s="49"/>
      <c r="AR211" s="49"/>
      <c r="AS211" s="49"/>
      <c r="AT211" s="49"/>
      <c r="AU211" s="49"/>
      <c r="AV211" s="49"/>
      <c r="AW211" s="49"/>
      <c r="AX211" s="49"/>
      <c r="AY211" s="49"/>
      <c r="AZ211" s="49"/>
      <c r="BA211" s="49"/>
      <c r="BB211" s="49"/>
      <c r="BC211" s="49"/>
      <c r="BD211" s="49"/>
      <c r="BE211" s="49"/>
      <c r="BF211" s="49"/>
      <c r="BG211" s="49"/>
      <c r="BH211" s="49"/>
      <c r="BI211" s="49"/>
      <c r="BJ211" s="49"/>
      <c r="BK211" s="49"/>
      <c r="BL211" s="49"/>
      <c r="BM211" s="49"/>
      <c r="BN211" s="49"/>
      <c r="BO211" s="49"/>
      <c r="BP211" s="49"/>
      <c r="BQ211" s="49"/>
      <c r="BR211" s="49"/>
      <c r="BS211" s="49"/>
      <c r="BT211" s="49"/>
      <c r="BU211" s="49"/>
      <c r="BV211" s="49"/>
      <c r="BW211" s="49"/>
      <c r="BX211" s="49"/>
      <c r="BY211" s="49"/>
      <c r="BZ211" s="49"/>
      <c r="CA211" s="49"/>
      <c r="CB211" s="49"/>
      <c r="CC211" s="49"/>
      <c r="CD211" s="49"/>
      <c r="CE211" s="49"/>
      <c r="CF211" s="49"/>
      <c r="CG211" s="49"/>
      <c r="CH211" s="49"/>
      <c r="CI211" s="49"/>
      <c r="CJ211" s="49"/>
      <c r="CK211" s="49"/>
      <c r="CL211" s="49"/>
      <c r="CM211" s="49"/>
      <c r="CN211" s="49"/>
      <c r="CO211" s="49"/>
      <c r="CP211" s="49"/>
      <c r="CQ211" s="49"/>
      <c r="CT211" s="54"/>
      <c r="DE211" s="34"/>
    </row>
    <row r="212" spans="1:109" ht="14.5" x14ac:dyDescent="0.35">
      <c r="A212" s="19"/>
      <c r="B212" s="1"/>
      <c r="C212"/>
      <c r="D212"/>
      <c r="E212" s="38"/>
      <c r="F212" s="38"/>
      <c r="G212" s="38"/>
      <c r="H212" s="38"/>
      <c r="I212" s="38"/>
      <c r="J212" s="33"/>
      <c r="K212" s="46"/>
      <c r="O212" s="54"/>
      <c r="P212" s="54"/>
      <c r="Q212" s="54"/>
      <c r="R212" s="54"/>
      <c r="S212" s="47"/>
      <c r="T212" s="48"/>
      <c r="U212" s="48"/>
      <c r="V212" s="48"/>
      <c r="W212" s="48"/>
      <c r="X212" s="49"/>
      <c r="Y212" s="49"/>
      <c r="Z212" s="49"/>
      <c r="AA212" s="49"/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  <c r="AM212" s="49"/>
      <c r="AN212" s="49"/>
      <c r="AO212" s="49"/>
      <c r="AP212" s="49"/>
      <c r="AQ212" s="49"/>
      <c r="AR212" s="49"/>
      <c r="AS212" s="49"/>
      <c r="AT212" s="49"/>
      <c r="AU212" s="49"/>
      <c r="AV212" s="49"/>
      <c r="AW212" s="49"/>
      <c r="AX212" s="49"/>
      <c r="AY212" s="49"/>
      <c r="AZ212" s="49"/>
      <c r="BA212" s="49"/>
      <c r="BB212" s="49"/>
      <c r="BC212" s="49"/>
      <c r="BD212" s="49"/>
      <c r="BE212" s="49"/>
      <c r="BF212" s="49"/>
      <c r="BG212" s="49"/>
      <c r="BH212" s="49"/>
      <c r="BI212" s="49"/>
      <c r="BJ212" s="49"/>
      <c r="BK212" s="49"/>
      <c r="BL212" s="49"/>
      <c r="BM212" s="49"/>
      <c r="BN212" s="49"/>
      <c r="BO212" s="49"/>
      <c r="BP212" s="49"/>
      <c r="BQ212" s="49"/>
      <c r="BR212" s="49"/>
      <c r="BS212" s="49"/>
      <c r="BT212" s="49"/>
      <c r="BU212" s="49"/>
      <c r="BV212" s="49"/>
      <c r="BW212" s="49"/>
      <c r="BX212" s="49"/>
      <c r="BY212" s="49"/>
      <c r="BZ212" s="49"/>
      <c r="CA212" s="49"/>
      <c r="CB212" s="49"/>
      <c r="CC212" s="49"/>
      <c r="CD212" s="49"/>
      <c r="CE212" s="49"/>
      <c r="CF212" s="49"/>
      <c r="CG212" s="49"/>
      <c r="CH212" s="49"/>
      <c r="CI212" s="49"/>
      <c r="CJ212" s="49"/>
      <c r="CK212" s="49"/>
      <c r="CL212" s="49"/>
      <c r="CM212" s="49"/>
      <c r="CN212" s="49"/>
      <c r="CO212" s="49"/>
      <c r="CP212" s="49"/>
      <c r="CQ212" s="49"/>
      <c r="CT212" s="54"/>
      <c r="DE212" s="34"/>
    </row>
    <row r="213" spans="1:109" ht="14.5" x14ac:dyDescent="0.35">
      <c r="A213" s="19"/>
      <c r="B213" s="1"/>
      <c r="C213"/>
      <c r="D213"/>
      <c r="E213" s="38"/>
      <c r="F213" s="38"/>
      <c r="G213" s="38"/>
      <c r="H213" s="38"/>
      <c r="I213" s="38"/>
      <c r="J213" s="33"/>
      <c r="K213" s="46"/>
      <c r="O213" s="54"/>
      <c r="P213" s="54"/>
      <c r="Q213" s="54"/>
      <c r="R213" s="54"/>
      <c r="S213" s="47"/>
      <c r="T213" s="48"/>
      <c r="U213" s="48"/>
      <c r="V213" s="48"/>
      <c r="W213" s="48"/>
      <c r="X213" s="49"/>
      <c r="Y213" s="49"/>
      <c r="Z213" s="49"/>
      <c r="AA213" s="49"/>
      <c r="AB213" s="49"/>
      <c r="AC213" s="49"/>
      <c r="AD213" s="49"/>
      <c r="AE213" s="49"/>
      <c r="AF213" s="49"/>
      <c r="AG213" s="49"/>
      <c r="AH213" s="49"/>
      <c r="AI213" s="49"/>
      <c r="AJ213" s="49"/>
      <c r="AK213" s="49"/>
      <c r="AL213" s="49"/>
      <c r="AM213" s="49"/>
      <c r="AN213" s="49"/>
      <c r="AO213" s="49"/>
      <c r="AP213" s="49"/>
      <c r="AQ213" s="49"/>
      <c r="AR213" s="49"/>
      <c r="AS213" s="49"/>
      <c r="AT213" s="49"/>
      <c r="AU213" s="49"/>
      <c r="AV213" s="49"/>
      <c r="AW213" s="49"/>
      <c r="AX213" s="49"/>
      <c r="AY213" s="49"/>
      <c r="AZ213" s="49"/>
      <c r="BA213" s="49"/>
      <c r="BB213" s="49"/>
      <c r="BC213" s="49"/>
      <c r="BD213" s="49"/>
      <c r="BE213" s="49"/>
      <c r="BF213" s="49"/>
      <c r="BG213" s="49"/>
      <c r="BH213" s="49"/>
      <c r="BI213" s="49"/>
      <c r="BJ213" s="49"/>
      <c r="BK213" s="49"/>
      <c r="BL213" s="49"/>
      <c r="BM213" s="49"/>
      <c r="BN213" s="49"/>
      <c r="BO213" s="49"/>
      <c r="BP213" s="49"/>
      <c r="BQ213" s="49"/>
      <c r="BR213" s="49"/>
      <c r="BS213" s="49"/>
      <c r="BT213" s="49"/>
      <c r="BU213" s="49"/>
      <c r="BV213" s="49"/>
      <c r="BW213" s="49"/>
      <c r="BX213" s="49"/>
      <c r="BY213" s="49"/>
      <c r="BZ213" s="49"/>
      <c r="CA213" s="49"/>
      <c r="CB213" s="49"/>
      <c r="CC213" s="49"/>
      <c r="CD213" s="49"/>
      <c r="CE213" s="49"/>
      <c r="CF213" s="49"/>
      <c r="CG213" s="49"/>
      <c r="CH213" s="49"/>
      <c r="CI213" s="49"/>
      <c r="CJ213" s="49"/>
      <c r="CK213" s="49"/>
      <c r="CL213" s="49"/>
      <c r="CM213" s="49"/>
      <c r="CN213" s="49"/>
      <c r="CO213" s="49"/>
      <c r="CP213" s="49"/>
      <c r="CQ213" s="49"/>
      <c r="CT213" s="54"/>
      <c r="DE213" s="34"/>
    </row>
    <row r="214" spans="1:109" ht="14.5" x14ac:dyDescent="0.35">
      <c r="A214" s="19"/>
      <c r="B214" s="1"/>
      <c r="C214"/>
      <c r="D214"/>
      <c r="E214" s="38"/>
      <c r="F214" s="38"/>
      <c r="G214" s="38"/>
      <c r="H214" s="38"/>
      <c r="I214" s="38"/>
      <c r="J214" s="33"/>
      <c r="K214" s="46"/>
      <c r="O214" s="54"/>
      <c r="P214" s="54"/>
      <c r="Q214" s="54"/>
      <c r="R214" s="54"/>
      <c r="S214" s="47"/>
      <c r="T214" s="48"/>
      <c r="U214" s="48"/>
      <c r="V214" s="48"/>
      <c r="W214" s="48"/>
      <c r="X214" s="49"/>
      <c r="Y214" s="49"/>
      <c r="Z214" s="49"/>
      <c r="AA214" s="49"/>
      <c r="AB214" s="49"/>
      <c r="AC214" s="49"/>
      <c r="AD214" s="49"/>
      <c r="AE214" s="49"/>
      <c r="AF214" s="49"/>
      <c r="AG214" s="49"/>
      <c r="AH214" s="49"/>
      <c r="AI214" s="49"/>
      <c r="AJ214" s="49"/>
      <c r="AK214" s="49"/>
      <c r="AL214" s="49"/>
      <c r="AM214" s="49"/>
      <c r="AN214" s="49"/>
      <c r="AO214" s="49"/>
      <c r="AP214" s="49"/>
      <c r="AQ214" s="49"/>
      <c r="AR214" s="49"/>
      <c r="AS214" s="49"/>
      <c r="AT214" s="49"/>
      <c r="AU214" s="49"/>
      <c r="AV214" s="49"/>
      <c r="AW214" s="49"/>
      <c r="AX214" s="49"/>
      <c r="AY214" s="49"/>
      <c r="AZ214" s="49"/>
      <c r="BA214" s="49"/>
      <c r="BB214" s="49"/>
      <c r="BC214" s="49"/>
      <c r="BD214" s="49"/>
      <c r="BE214" s="49"/>
      <c r="BF214" s="49"/>
      <c r="BG214" s="49"/>
      <c r="BH214" s="49"/>
      <c r="BI214" s="49"/>
      <c r="BJ214" s="49"/>
      <c r="BK214" s="49"/>
      <c r="BL214" s="49"/>
      <c r="BM214" s="49"/>
      <c r="BN214" s="49"/>
      <c r="BO214" s="49"/>
      <c r="BP214" s="49"/>
      <c r="BQ214" s="49"/>
      <c r="BR214" s="49"/>
      <c r="BS214" s="49"/>
      <c r="BT214" s="49"/>
      <c r="BU214" s="49"/>
      <c r="BV214" s="49"/>
      <c r="BW214" s="49"/>
      <c r="BX214" s="49"/>
      <c r="BY214" s="49"/>
      <c r="BZ214" s="49"/>
      <c r="CA214" s="49"/>
      <c r="CB214" s="49"/>
      <c r="CC214" s="49"/>
      <c r="CD214" s="49"/>
      <c r="CE214" s="49"/>
      <c r="CF214" s="49"/>
      <c r="CG214" s="49"/>
      <c r="CH214" s="49"/>
      <c r="CI214" s="49"/>
      <c r="CJ214" s="49"/>
      <c r="CK214" s="49"/>
      <c r="CL214" s="49"/>
      <c r="CM214" s="49"/>
      <c r="CN214" s="49"/>
      <c r="CO214" s="49"/>
      <c r="CP214" s="49"/>
      <c r="CQ214" s="49"/>
      <c r="CT214" s="54"/>
      <c r="DE214" s="34"/>
    </row>
    <row r="215" spans="1:109" ht="14.5" x14ac:dyDescent="0.35">
      <c r="A215" s="19"/>
      <c r="B215" s="1"/>
      <c r="C215"/>
      <c r="D215"/>
      <c r="E215" s="38"/>
      <c r="F215" s="38"/>
      <c r="G215" s="38"/>
      <c r="H215" s="38"/>
      <c r="I215" s="38"/>
      <c r="J215" s="33"/>
      <c r="K215" s="46"/>
      <c r="O215" s="54"/>
      <c r="P215" s="54"/>
      <c r="Q215" s="54"/>
      <c r="R215" s="54"/>
      <c r="S215" s="47"/>
      <c r="T215" s="48"/>
      <c r="U215" s="48"/>
      <c r="V215" s="48"/>
      <c r="W215" s="48"/>
      <c r="X215" s="49"/>
      <c r="Y215" s="49"/>
      <c r="Z215" s="49"/>
      <c r="AA215" s="49"/>
      <c r="AB215" s="49"/>
      <c r="AC215" s="49"/>
      <c r="AD215" s="49"/>
      <c r="AE215" s="49"/>
      <c r="AF215" s="49"/>
      <c r="AG215" s="49"/>
      <c r="AH215" s="49"/>
      <c r="AI215" s="49"/>
      <c r="AJ215" s="49"/>
      <c r="AK215" s="49"/>
      <c r="AL215" s="49"/>
      <c r="AM215" s="49"/>
      <c r="AN215" s="49"/>
      <c r="AO215" s="49"/>
      <c r="AP215" s="49"/>
      <c r="AQ215" s="49"/>
      <c r="AR215" s="49"/>
      <c r="AS215" s="49"/>
      <c r="AT215" s="49"/>
      <c r="AU215" s="49"/>
      <c r="AV215" s="49"/>
      <c r="AW215" s="49"/>
      <c r="AX215" s="49"/>
      <c r="AY215" s="49"/>
      <c r="AZ215" s="49"/>
      <c r="BA215" s="49"/>
      <c r="BB215" s="49"/>
      <c r="BC215" s="49"/>
      <c r="BD215" s="49"/>
      <c r="BE215" s="49"/>
      <c r="BF215" s="49"/>
      <c r="BG215" s="49"/>
      <c r="BH215" s="49"/>
      <c r="BI215" s="49"/>
      <c r="BJ215" s="49"/>
      <c r="BK215" s="49"/>
      <c r="BL215" s="49"/>
      <c r="BM215" s="49"/>
      <c r="BN215" s="49"/>
      <c r="BO215" s="49"/>
      <c r="BP215" s="49"/>
      <c r="BQ215" s="49"/>
      <c r="BR215" s="49"/>
      <c r="BS215" s="49"/>
      <c r="BT215" s="49"/>
      <c r="BU215" s="49"/>
      <c r="BV215" s="49"/>
      <c r="BW215" s="49"/>
      <c r="BX215" s="49"/>
      <c r="BY215" s="49"/>
      <c r="BZ215" s="49"/>
      <c r="CA215" s="49"/>
      <c r="CB215" s="49"/>
      <c r="CC215" s="49"/>
      <c r="CD215" s="49"/>
      <c r="CE215" s="49"/>
      <c r="CF215" s="49"/>
      <c r="CG215" s="49"/>
      <c r="CH215" s="49"/>
      <c r="CI215" s="49"/>
      <c r="CJ215" s="49"/>
      <c r="CK215" s="49"/>
      <c r="CL215" s="49"/>
      <c r="CM215" s="49"/>
      <c r="CN215" s="49"/>
      <c r="CO215" s="49"/>
      <c r="CP215" s="49"/>
      <c r="CQ215" s="49"/>
      <c r="CT215" s="54"/>
      <c r="DE215" s="34"/>
    </row>
    <row r="216" spans="1:109" ht="14.5" x14ac:dyDescent="0.35">
      <c r="A216" s="19"/>
      <c r="B216" s="1"/>
      <c r="C216"/>
      <c r="D216"/>
      <c r="E216" s="38"/>
      <c r="F216" s="38"/>
      <c r="G216" s="38"/>
      <c r="H216" s="38"/>
      <c r="I216" s="38"/>
      <c r="J216" s="33"/>
      <c r="K216" s="46"/>
      <c r="O216" s="54"/>
      <c r="P216" s="54"/>
      <c r="Q216" s="54"/>
      <c r="R216" s="54"/>
      <c r="S216" s="47"/>
      <c r="T216" s="48"/>
      <c r="U216" s="48"/>
      <c r="V216" s="48"/>
      <c r="W216" s="48"/>
      <c r="X216" s="49"/>
      <c r="Y216" s="49"/>
      <c r="Z216" s="49"/>
      <c r="AA216" s="49"/>
      <c r="AB216" s="49"/>
      <c r="AC216" s="49"/>
      <c r="AD216" s="49"/>
      <c r="AE216" s="49"/>
      <c r="AF216" s="49"/>
      <c r="AG216" s="49"/>
      <c r="AH216" s="49"/>
      <c r="AI216" s="49"/>
      <c r="AJ216" s="49"/>
      <c r="AK216" s="49"/>
      <c r="AL216" s="49"/>
      <c r="AM216" s="49"/>
      <c r="AN216" s="49"/>
      <c r="AO216" s="49"/>
      <c r="AP216" s="49"/>
      <c r="AQ216" s="49"/>
      <c r="AR216" s="49"/>
      <c r="AS216" s="49"/>
      <c r="AT216" s="49"/>
      <c r="AU216" s="49"/>
      <c r="AV216" s="49"/>
      <c r="AW216" s="49"/>
      <c r="AX216" s="49"/>
      <c r="AY216" s="49"/>
      <c r="AZ216" s="49"/>
      <c r="BA216" s="49"/>
      <c r="BB216" s="49"/>
      <c r="BC216" s="49"/>
      <c r="BD216" s="49"/>
      <c r="BE216" s="49"/>
      <c r="BF216" s="49"/>
      <c r="BG216" s="49"/>
      <c r="BH216" s="49"/>
      <c r="BI216" s="49"/>
      <c r="BJ216" s="49"/>
      <c r="BK216" s="49"/>
      <c r="BL216" s="49"/>
      <c r="BM216" s="49"/>
      <c r="BN216" s="49"/>
      <c r="BO216" s="49"/>
      <c r="BP216" s="49"/>
      <c r="BQ216" s="49"/>
      <c r="BR216" s="49"/>
      <c r="BS216" s="49"/>
      <c r="BT216" s="49"/>
      <c r="BU216" s="49"/>
      <c r="BV216" s="49"/>
      <c r="BW216" s="49"/>
      <c r="BX216" s="49"/>
      <c r="BY216" s="49"/>
      <c r="BZ216" s="49"/>
      <c r="CA216" s="49"/>
      <c r="CB216" s="49"/>
      <c r="CC216" s="49"/>
      <c r="CD216" s="49"/>
      <c r="CE216" s="49"/>
      <c r="CF216" s="49"/>
      <c r="CG216" s="49"/>
      <c r="CH216" s="49"/>
      <c r="CI216" s="49"/>
      <c r="CJ216" s="49"/>
      <c r="CK216" s="49"/>
      <c r="CL216" s="49"/>
      <c r="CM216" s="49"/>
      <c r="CN216" s="49"/>
      <c r="CO216" s="49"/>
      <c r="CP216" s="49"/>
      <c r="CQ216" s="49"/>
      <c r="CT216" s="54"/>
      <c r="DE216" s="34"/>
    </row>
    <row r="217" spans="1:109" ht="14.5" x14ac:dyDescent="0.35">
      <c r="A217" s="19"/>
      <c r="B217" s="1"/>
      <c r="C217"/>
      <c r="D217"/>
      <c r="E217" s="38"/>
      <c r="F217" s="38"/>
      <c r="G217" s="38"/>
      <c r="H217" s="38"/>
      <c r="I217" s="38"/>
      <c r="J217" s="33"/>
      <c r="K217" s="46"/>
      <c r="O217" s="54"/>
      <c r="P217" s="54"/>
      <c r="Q217" s="54"/>
      <c r="R217" s="54"/>
      <c r="S217" s="47"/>
      <c r="T217" s="48"/>
      <c r="U217" s="48"/>
      <c r="V217" s="48"/>
      <c r="W217" s="48"/>
      <c r="X217" s="49"/>
      <c r="Y217" s="49"/>
      <c r="Z217" s="49"/>
      <c r="AA217" s="49"/>
      <c r="AB217" s="49"/>
      <c r="AC217" s="49"/>
      <c r="AD217" s="49"/>
      <c r="AE217" s="49"/>
      <c r="AF217" s="49"/>
      <c r="AG217" s="49"/>
      <c r="AH217" s="49"/>
      <c r="AI217" s="49"/>
      <c r="AJ217" s="49"/>
      <c r="AK217" s="49"/>
      <c r="AL217" s="49"/>
      <c r="AM217" s="49"/>
      <c r="AN217" s="49"/>
      <c r="AO217" s="49"/>
      <c r="AP217" s="49"/>
      <c r="AQ217" s="49"/>
      <c r="AR217" s="49"/>
      <c r="AS217" s="49"/>
      <c r="AT217" s="49"/>
      <c r="AU217" s="49"/>
      <c r="AV217" s="49"/>
      <c r="AW217" s="49"/>
      <c r="AX217" s="49"/>
      <c r="AY217" s="49"/>
      <c r="AZ217" s="49"/>
      <c r="BA217" s="49"/>
      <c r="BB217" s="49"/>
      <c r="BC217" s="49"/>
      <c r="BD217" s="49"/>
      <c r="BE217" s="49"/>
      <c r="BF217" s="49"/>
      <c r="BG217" s="49"/>
      <c r="BH217" s="49"/>
      <c r="BI217" s="49"/>
      <c r="BJ217" s="49"/>
      <c r="BK217" s="49"/>
      <c r="BL217" s="49"/>
      <c r="BM217" s="49"/>
      <c r="BN217" s="49"/>
      <c r="BO217" s="49"/>
      <c r="BP217" s="49"/>
      <c r="BQ217" s="49"/>
      <c r="BR217" s="49"/>
      <c r="BS217" s="49"/>
      <c r="BT217" s="49"/>
      <c r="BU217" s="49"/>
      <c r="BV217" s="49"/>
      <c r="BW217" s="49"/>
      <c r="BX217" s="49"/>
      <c r="BY217" s="49"/>
      <c r="BZ217" s="49"/>
      <c r="CA217" s="49"/>
      <c r="CB217" s="49"/>
      <c r="CC217" s="49"/>
      <c r="CD217" s="49"/>
      <c r="CE217" s="49"/>
      <c r="CF217" s="49"/>
      <c r="CG217" s="49"/>
      <c r="CH217" s="49"/>
      <c r="CI217" s="49"/>
      <c r="CJ217" s="49"/>
      <c r="CK217" s="49"/>
      <c r="CL217" s="49"/>
      <c r="CM217" s="49"/>
      <c r="CN217" s="49"/>
      <c r="CO217" s="49"/>
      <c r="CP217" s="49"/>
      <c r="CQ217" s="49"/>
      <c r="CT217" s="54"/>
      <c r="DE217" s="34"/>
    </row>
    <row r="218" spans="1:109" ht="14.5" x14ac:dyDescent="0.35">
      <c r="A218" s="19"/>
      <c r="B218" s="1"/>
      <c r="C218"/>
      <c r="D218"/>
      <c r="E218" s="38"/>
      <c r="F218" s="38"/>
      <c r="G218" s="38"/>
      <c r="H218" s="38"/>
      <c r="I218" s="38"/>
      <c r="J218" s="33"/>
      <c r="K218" s="46"/>
      <c r="O218" s="54"/>
      <c r="P218" s="54"/>
      <c r="Q218" s="54"/>
      <c r="R218" s="54"/>
      <c r="S218" s="47"/>
      <c r="T218" s="48"/>
      <c r="U218" s="48"/>
      <c r="V218" s="48"/>
      <c r="W218" s="48"/>
      <c r="X218" s="49"/>
      <c r="Y218" s="49"/>
      <c r="Z218" s="49"/>
      <c r="AA218" s="49"/>
      <c r="AB218" s="49"/>
      <c r="AC218" s="49"/>
      <c r="AD218" s="49"/>
      <c r="AE218" s="49"/>
      <c r="AF218" s="49"/>
      <c r="AG218" s="49"/>
      <c r="AH218" s="49"/>
      <c r="AI218" s="49"/>
      <c r="AJ218" s="49"/>
      <c r="AK218" s="49"/>
      <c r="AL218" s="49"/>
      <c r="AM218" s="49"/>
      <c r="AN218" s="49"/>
      <c r="AO218" s="49"/>
      <c r="AP218" s="49"/>
      <c r="AQ218" s="49"/>
      <c r="AR218" s="49"/>
      <c r="AS218" s="49"/>
      <c r="AT218" s="49"/>
      <c r="AU218" s="49"/>
      <c r="AV218" s="49"/>
      <c r="AW218" s="49"/>
      <c r="AX218" s="49"/>
      <c r="AY218" s="49"/>
      <c r="AZ218" s="49"/>
      <c r="BA218" s="49"/>
      <c r="BB218" s="49"/>
      <c r="BC218" s="49"/>
      <c r="BD218" s="49"/>
      <c r="BE218" s="49"/>
      <c r="BF218" s="49"/>
      <c r="BG218" s="49"/>
      <c r="BH218" s="49"/>
      <c r="BI218" s="49"/>
      <c r="BJ218" s="49"/>
      <c r="BK218" s="49"/>
      <c r="BL218" s="49"/>
      <c r="BM218" s="49"/>
      <c r="BN218" s="49"/>
      <c r="BO218" s="49"/>
      <c r="BP218" s="49"/>
      <c r="BQ218" s="49"/>
      <c r="BR218" s="49"/>
      <c r="BS218" s="49"/>
      <c r="BT218" s="49"/>
      <c r="BU218" s="49"/>
      <c r="BV218" s="49"/>
      <c r="BW218" s="49"/>
      <c r="BX218" s="49"/>
      <c r="BY218" s="49"/>
      <c r="BZ218" s="49"/>
      <c r="CA218" s="49"/>
      <c r="CB218" s="49"/>
      <c r="CC218" s="49"/>
      <c r="CD218" s="49"/>
      <c r="CE218" s="49"/>
      <c r="CF218" s="49"/>
      <c r="CG218" s="49"/>
      <c r="CH218" s="49"/>
      <c r="CI218" s="49"/>
      <c r="CJ218" s="49"/>
      <c r="CK218" s="49"/>
      <c r="CL218" s="49"/>
      <c r="CM218" s="49"/>
      <c r="CN218" s="49"/>
      <c r="CO218" s="49"/>
      <c r="CP218" s="49"/>
      <c r="CQ218" s="49"/>
      <c r="CT218" s="54"/>
      <c r="DE218" s="34"/>
    </row>
    <row r="219" spans="1:109" ht="14.5" x14ac:dyDescent="0.35">
      <c r="A219" s="19"/>
      <c r="B219" s="1"/>
      <c r="C219"/>
      <c r="D219"/>
      <c r="E219" s="38"/>
      <c r="F219" s="38"/>
      <c r="G219" s="38"/>
      <c r="H219" s="38"/>
      <c r="I219" s="38"/>
      <c r="J219" s="33"/>
      <c r="K219" s="46"/>
      <c r="O219" s="54"/>
      <c r="P219" s="54"/>
      <c r="Q219" s="54"/>
      <c r="R219" s="54"/>
      <c r="S219" s="47"/>
      <c r="T219" s="48"/>
      <c r="U219" s="48"/>
      <c r="V219" s="48"/>
      <c r="W219" s="48"/>
      <c r="X219" s="49"/>
      <c r="Y219" s="49"/>
      <c r="Z219" s="49"/>
      <c r="AA219" s="49"/>
      <c r="AB219" s="49"/>
      <c r="AC219" s="49"/>
      <c r="AD219" s="49"/>
      <c r="AE219" s="49"/>
      <c r="AF219" s="49"/>
      <c r="AG219" s="49"/>
      <c r="AH219" s="49"/>
      <c r="AI219" s="49"/>
      <c r="AJ219" s="49"/>
      <c r="AK219" s="49"/>
      <c r="AL219" s="49"/>
      <c r="AM219" s="49"/>
      <c r="AN219" s="49"/>
      <c r="AO219" s="49"/>
      <c r="AP219" s="49"/>
      <c r="AQ219" s="49"/>
      <c r="AR219" s="49"/>
      <c r="AS219" s="49"/>
      <c r="AT219" s="49"/>
      <c r="AU219" s="49"/>
      <c r="AV219" s="49"/>
      <c r="AW219" s="49"/>
      <c r="AX219" s="49"/>
      <c r="AY219" s="49"/>
      <c r="AZ219" s="49"/>
      <c r="BA219" s="49"/>
      <c r="BB219" s="49"/>
      <c r="BC219" s="49"/>
      <c r="BD219" s="49"/>
      <c r="BE219" s="49"/>
      <c r="BF219" s="49"/>
      <c r="BG219" s="49"/>
      <c r="BH219" s="49"/>
      <c r="BI219" s="49"/>
      <c r="BJ219" s="49"/>
      <c r="BK219" s="49"/>
      <c r="BL219" s="49"/>
      <c r="BM219" s="49"/>
      <c r="BN219" s="49"/>
      <c r="BO219" s="49"/>
      <c r="BP219" s="49"/>
      <c r="BQ219" s="49"/>
      <c r="BR219" s="49"/>
      <c r="BS219" s="49"/>
      <c r="BT219" s="49"/>
      <c r="BU219" s="49"/>
      <c r="BV219" s="49"/>
      <c r="BW219" s="49"/>
      <c r="BX219" s="49"/>
      <c r="BY219" s="49"/>
      <c r="BZ219" s="49"/>
      <c r="CA219" s="49"/>
      <c r="CB219" s="49"/>
      <c r="CC219" s="49"/>
      <c r="CD219" s="49"/>
      <c r="CE219" s="49"/>
      <c r="CF219" s="49"/>
      <c r="CG219" s="49"/>
      <c r="CH219" s="49"/>
      <c r="CI219" s="49"/>
      <c r="CJ219" s="49"/>
      <c r="CK219" s="49"/>
      <c r="CL219" s="49"/>
      <c r="CM219" s="49"/>
      <c r="CN219" s="49"/>
      <c r="CO219" s="49"/>
      <c r="CP219" s="49"/>
      <c r="CQ219" s="49"/>
      <c r="CT219" s="54"/>
      <c r="DE219" s="34"/>
    </row>
    <row r="220" spans="1:109" ht="14.5" x14ac:dyDescent="0.35">
      <c r="A220" s="19"/>
      <c r="B220" s="1"/>
      <c r="C220"/>
      <c r="D220"/>
      <c r="E220" s="38"/>
      <c r="F220" s="38"/>
      <c r="G220" s="38"/>
      <c r="H220" s="38"/>
      <c r="I220" s="38"/>
      <c r="J220" s="33"/>
      <c r="K220" s="46"/>
      <c r="O220" s="54"/>
      <c r="P220" s="54"/>
      <c r="Q220" s="54"/>
      <c r="R220" s="54"/>
      <c r="S220" s="47"/>
      <c r="T220" s="48"/>
      <c r="U220" s="48"/>
      <c r="V220" s="48"/>
      <c r="W220" s="48"/>
      <c r="X220" s="49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9"/>
      <c r="AK220" s="49"/>
      <c r="AL220" s="49"/>
      <c r="AM220" s="49"/>
      <c r="AN220" s="49"/>
      <c r="AO220" s="49"/>
      <c r="AP220" s="49"/>
      <c r="AQ220" s="49"/>
      <c r="AR220" s="49"/>
      <c r="AS220" s="49"/>
      <c r="AT220" s="49"/>
      <c r="AU220" s="49"/>
      <c r="AV220" s="49"/>
      <c r="AW220" s="49"/>
      <c r="AX220" s="49"/>
      <c r="AY220" s="49"/>
      <c r="AZ220" s="49"/>
      <c r="BA220" s="49"/>
      <c r="BB220" s="49"/>
      <c r="BC220" s="49"/>
      <c r="BD220" s="49"/>
      <c r="BE220" s="49"/>
      <c r="BF220" s="49"/>
      <c r="BG220" s="49"/>
      <c r="BH220" s="49"/>
      <c r="BI220" s="49"/>
      <c r="BJ220" s="49"/>
      <c r="BK220" s="49"/>
      <c r="BL220" s="49"/>
      <c r="BM220" s="49"/>
      <c r="BN220" s="49"/>
      <c r="BO220" s="49"/>
      <c r="BP220" s="49"/>
      <c r="BQ220" s="49"/>
      <c r="BR220" s="49"/>
      <c r="BS220" s="49"/>
      <c r="BT220" s="49"/>
      <c r="BU220" s="49"/>
      <c r="BV220" s="49"/>
      <c r="BW220" s="49"/>
      <c r="BX220" s="49"/>
      <c r="BY220" s="49"/>
      <c r="BZ220" s="49"/>
      <c r="CA220" s="49"/>
      <c r="CB220" s="49"/>
      <c r="CC220" s="49"/>
      <c r="CD220" s="49"/>
      <c r="CE220" s="49"/>
      <c r="CF220" s="49"/>
      <c r="CG220" s="49"/>
      <c r="CH220" s="49"/>
      <c r="CI220" s="49"/>
      <c r="CJ220" s="49"/>
      <c r="CK220" s="49"/>
      <c r="CL220" s="49"/>
      <c r="CM220" s="49"/>
      <c r="CN220" s="49"/>
      <c r="CO220" s="49"/>
      <c r="CP220" s="49"/>
      <c r="CQ220" s="49"/>
      <c r="CT220" s="54"/>
      <c r="DE220" s="34"/>
    </row>
    <row r="221" spans="1:109" ht="14.5" x14ac:dyDescent="0.35">
      <c r="A221" s="19"/>
      <c r="B221" s="1"/>
      <c r="C221"/>
      <c r="D221"/>
      <c r="E221" s="38"/>
      <c r="F221" s="38"/>
      <c r="G221" s="38"/>
      <c r="H221" s="38"/>
      <c r="I221" s="38"/>
      <c r="J221" s="33"/>
      <c r="K221" s="46"/>
      <c r="O221" s="54"/>
      <c r="P221" s="54"/>
      <c r="Q221" s="54"/>
      <c r="R221" s="54"/>
      <c r="S221" s="47"/>
      <c r="T221" s="48"/>
      <c r="U221" s="48"/>
      <c r="V221" s="48"/>
      <c r="W221" s="48"/>
      <c r="X221" s="49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9"/>
      <c r="AK221" s="49"/>
      <c r="AL221" s="49"/>
      <c r="AM221" s="49"/>
      <c r="AN221" s="49"/>
      <c r="AO221" s="49"/>
      <c r="AP221" s="49"/>
      <c r="AQ221" s="49"/>
      <c r="AR221" s="49"/>
      <c r="AS221" s="49"/>
      <c r="AT221" s="49"/>
      <c r="AU221" s="49"/>
      <c r="AV221" s="49"/>
      <c r="AW221" s="49"/>
      <c r="AX221" s="49"/>
      <c r="AY221" s="49"/>
      <c r="AZ221" s="49"/>
      <c r="BA221" s="49"/>
      <c r="BB221" s="49"/>
      <c r="BC221" s="49"/>
      <c r="BD221" s="49"/>
      <c r="BE221" s="49"/>
      <c r="BF221" s="49"/>
      <c r="BG221" s="49"/>
      <c r="BH221" s="49"/>
      <c r="BI221" s="49"/>
      <c r="BJ221" s="49"/>
      <c r="BK221" s="49"/>
      <c r="BL221" s="49"/>
      <c r="BM221" s="49"/>
      <c r="BN221" s="49"/>
      <c r="BO221" s="49"/>
      <c r="BP221" s="49"/>
      <c r="BQ221" s="49"/>
      <c r="BR221" s="49"/>
      <c r="BS221" s="49"/>
      <c r="BT221" s="49"/>
      <c r="BU221" s="49"/>
      <c r="BV221" s="49"/>
      <c r="BW221" s="49"/>
      <c r="BX221" s="49"/>
      <c r="BY221" s="49"/>
      <c r="BZ221" s="49"/>
      <c r="CA221" s="49"/>
      <c r="CB221" s="49"/>
      <c r="CC221" s="49"/>
      <c r="CD221" s="49"/>
      <c r="CE221" s="49"/>
      <c r="CF221" s="49"/>
      <c r="CG221" s="49"/>
      <c r="CH221" s="49"/>
      <c r="CI221" s="49"/>
      <c r="CJ221" s="49"/>
      <c r="CK221" s="49"/>
      <c r="CL221" s="49"/>
      <c r="CM221" s="49"/>
      <c r="CN221" s="49"/>
      <c r="CO221" s="49"/>
      <c r="CP221" s="49"/>
      <c r="CQ221" s="49"/>
      <c r="CT221" s="54"/>
      <c r="DE221" s="34"/>
    </row>
    <row r="222" spans="1:109" ht="14.5" x14ac:dyDescent="0.35">
      <c r="A222" s="19"/>
      <c r="B222" s="1"/>
      <c r="C222"/>
      <c r="D222"/>
      <c r="E222" s="38"/>
      <c r="F222" s="38"/>
      <c r="G222" s="38"/>
      <c r="H222" s="38"/>
      <c r="I222" s="38"/>
      <c r="J222" s="33"/>
      <c r="K222" s="46"/>
      <c r="O222" s="54"/>
      <c r="P222" s="54"/>
      <c r="Q222" s="54"/>
      <c r="R222" s="54"/>
      <c r="S222" s="47"/>
      <c r="T222" s="48"/>
      <c r="U222" s="48"/>
      <c r="V222" s="48"/>
      <c r="W222" s="48"/>
      <c r="X222" s="49"/>
      <c r="Y222" s="49"/>
      <c r="Z222" s="49"/>
      <c r="AA222" s="49"/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9"/>
      <c r="AN222" s="49"/>
      <c r="AO222" s="49"/>
      <c r="AP222" s="49"/>
      <c r="AQ222" s="49"/>
      <c r="AR222" s="49"/>
      <c r="AS222" s="49"/>
      <c r="AT222" s="49"/>
      <c r="AU222" s="49"/>
      <c r="AV222" s="49"/>
      <c r="AW222" s="49"/>
      <c r="AX222" s="49"/>
      <c r="AY222" s="49"/>
      <c r="AZ222" s="49"/>
      <c r="BA222" s="49"/>
      <c r="BB222" s="49"/>
      <c r="BC222" s="49"/>
      <c r="BD222" s="49"/>
      <c r="BE222" s="49"/>
      <c r="BF222" s="49"/>
      <c r="BG222" s="49"/>
      <c r="BH222" s="49"/>
      <c r="BI222" s="49"/>
      <c r="BJ222" s="49"/>
      <c r="BK222" s="49"/>
      <c r="BL222" s="49"/>
      <c r="BM222" s="49"/>
      <c r="BN222" s="49"/>
      <c r="BO222" s="49"/>
      <c r="BP222" s="49"/>
      <c r="BQ222" s="49"/>
      <c r="BR222" s="49"/>
      <c r="BS222" s="49"/>
      <c r="BT222" s="49"/>
      <c r="BU222" s="49"/>
      <c r="BV222" s="49"/>
      <c r="BW222" s="49"/>
      <c r="BX222" s="49"/>
      <c r="BY222" s="49"/>
      <c r="BZ222" s="49"/>
      <c r="CA222" s="49"/>
      <c r="CB222" s="49"/>
      <c r="CC222" s="49"/>
      <c r="CD222" s="49"/>
      <c r="CE222" s="49"/>
      <c r="CF222" s="49"/>
      <c r="CG222" s="49"/>
      <c r="CH222" s="49"/>
      <c r="CI222" s="49"/>
      <c r="CJ222" s="49"/>
      <c r="CK222" s="49"/>
      <c r="CL222" s="49"/>
      <c r="CM222" s="49"/>
      <c r="CN222" s="49"/>
      <c r="CO222" s="49"/>
      <c r="CP222" s="49"/>
      <c r="CQ222" s="49"/>
      <c r="CT222" s="54"/>
      <c r="DE222" s="34"/>
    </row>
    <row r="223" spans="1:109" ht="14.5" x14ac:dyDescent="0.35">
      <c r="A223" s="19"/>
      <c r="B223" s="1"/>
      <c r="C223"/>
      <c r="D223"/>
      <c r="E223" s="38"/>
      <c r="F223" s="38"/>
      <c r="G223" s="38"/>
      <c r="H223" s="38"/>
      <c r="I223" s="38"/>
      <c r="J223" s="33"/>
      <c r="K223" s="46"/>
      <c r="O223" s="54"/>
      <c r="P223" s="54"/>
      <c r="Q223" s="54"/>
      <c r="R223" s="54"/>
      <c r="S223" s="47"/>
      <c r="T223" s="48"/>
      <c r="U223" s="48"/>
      <c r="V223" s="48"/>
      <c r="W223" s="48"/>
      <c r="X223" s="49"/>
      <c r="Y223" s="49"/>
      <c r="Z223" s="49"/>
      <c r="AA223" s="49"/>
      <c r="AB223" s="49"/>
      <c r="AC223" s="49"/>
      <c r="AD223" s="49"/>
      <c r="AE223" s="49"/>
      <c r="AF223" s="49"/>
      <c r="AG223" s="49"/>
      <c r="AH223" s="49"/>
      <c r="AI223" s="49"/>
      <c r="AJ223" s="49"/>
      <c r="AK223" s="49"/>
      <c r="AL223" s="49"/>
      <c r="AM223" s="49"/>
      <c r="AN223" s="49"/>
      <c r="AO223" s="49"/>
      <c r="AP223" s="49"/>
      <c r="AQ223" s="49"/>
      <c r="AR223" s="49"/>
      <c r="AS223" s="49"/>
      <c r="AT223" s="49"/>
      <c r="AU223" s="49"/>
      <c r="AV223" s="49"/>
      <c r="AW223" s="49"/>
      <c r="AX223" s="49"/>
      <c r="AY223" s="49"/>
      <c r="AZ223" s="49"/>
      <c r="BA223" s="49"/>
      <c r="BB223" s="49"/>
      <c r="BC223" s="49"/>
      <c r="BD223" s="49"/>
      <c r="BE223" s="49"/>
      <c r="BF223" s="49"/>
      <c r="BG223" s="49"/>
      <c r="BH223" s="49"/>
      <c r="BI223" s="49"/>
      <c r="BJ223" s="49"/>
      <c r="BK223" s="49"/>
      <c r="BL223" s="49"/>
      <c r="BM223" s="49"/>
      <c r="BN223" s="49"/>
      <c r="BO223" s="49"/>
      <c r="BP223" s="49"/>
      <c r="BQ223" s="49"/>
      <c r="BR223" s="49"/>
      <c r="BS223" s="49"/>
      <c r="BT223" s="49"/>
      <c r="BU223" s="49"/>
      <c r="BV223" s="49"/>
      <c r="BW223" s="49"/>
      <c r="BX223" s="49"/>
      <c r="BY223" s="49"/>
      <c r="BZ223" s="49"/>
      <c r="CA223" s="49"/>
      <c r="CB223" s="49"/>
      <c r="CC223" s="49"/>
      <c r="CD223" s="49"/>
      <c r="CE223" s="49"/>
      <c r="CF223" s="49"/>
      <c r="CG223" s="49"/>
      <c r="CH223" s="49"/>
      <c r="CI223" s="49"/>
      <c r="CJ223" s="49"/>
      <c r="CK223" s="49"/>
      <c r="CL223" s="49"/>
      <c r="CM223" s="49"/>
      <c r="CN223" s="49"/>
      <c r="CO223" s="49"/>
      <c r="CP223" s="49"/>
      <c r="CQ223" s="49"/>
      <c r="CT223" s="54"/>
      <c r="DE223" s="34"/>
    </row>
    <row r="224" spans="1:109" ht="14.5" x14ac:dyDescent="0.35">
      <c r="A224" s="19"/>
      <c r="B224" s="1"/>
      <c r="C224"/>
      <c r="D224"/>
      <c r="E224" s="38"/>
      <c r="F224" s="38"/>
      <c r="G224" s="38"/>
      <c r="H224" s="38"/>
      <c r="I224" s="38"/>
      <c r="J224" s="33"/>
      <c r="K224" s="46"/>
      <c r="O224" s="54"/>
      <c r="P224" s="54"/>
      <c r="Q224" s="54"/>
      <c r="R224" s="54"/>
      <c r="S224" s="47"/>
      <c r="T224" s="48"/>
      <c r="U224" s="48"/>
      <c r="V224" s="48"/>
      <c r="W224" s="48"/>
      <c r="X224" s="49"/>
      <c r="Y224" s="49"/>
      <c r="Z224" s="49"/>
      <c r="AA224" s="49"/>
      <c r="AB224" s="49"/>
      <c r="AC224" s="49"/>
      <c r="AD224" s="49"/>
      <c r="AE224" s="49"/>
      <c r="AF224" s="49"/>
      <c r="AG224" s="49"/>
      <c r="AH224" s="49"/>
      <c r="AI224" s="49"/>
      <c r="AJ224" s="49"/>
      <c r="AK224" s="49"/>
      <c r="AL224" s="49"/>
      <c r="AM224" s="49"/>
      <c r="AN224" s="49"/>
      <c r="AO224" s="49"/>
      <c r="AP224" s="49"/>
      <c r="AQ224" s="49"/>
      <c r="AR224" s="49"/>
      <c r="AS224" s="49"/>
      <c r="AT224" s="49"/>
      <c r="AU224" s="49"/>
      <c r="AV224" s="49"/>
      <c r="AW224" s="49"/>
      <c r="AX224" s="49"/>
      <c r="AY224" s="49"/>
      <c r="AZ224" s="49"/>
      <c r="BA224" s="49"/>
      <c r="BB224" s="49"/>
      <c r="BC224" s="49"/>
      <c r="BD224" s="49"/>
      <c r="BE224" s="49"/>
      <c r="BF224" s="49"/>
      <c r="BG224" s="49"/>
      <c r="BH224" s="49"/>
      <c r="BI224" s="49"/>
      <c r="BJ224" s="49"/>
      <c r="BK224" s="49"/>
      <c r="BL224" s="49"/>
      <c r="BM224" s="49"/>
      <c r="BN224" s="49"/>
      <c r="BO224" s="49"/>
      <c r="BP224" s="49"/>
      <c r="BQ224" s="49"/>
      <c r="BR224" s="49"/>
      <c r="BS224" s="49"/>
      <c r="BT224" s="49"/>
      <c r="BU224" s="49"/>
      <c r="BV224" s="49"/>
      <c r="BW224" s="49"/>
      <c r="BX224" s="49"/>
      <c r="BY224" s="49"/>
      <c r="BZ224" s="49"/>
      <c r="CA224" s="49"/>
      <c r="CB224" s="49"/>
      <c r="CC224" s="49"/>
      <c r="CD224" s="49"/>
      <c r="CE224" s="49"/>
      <c r="CF224" s="49"/>
      <c r="CG224" s="49"/>
      <c r="CH224" s="49"/>
      <c r="CI224" s="49"/>
      <c r="CJ224" s="49"/>
      <c r="CK224" s="49"/>
      <c r="CL224" s="49"/>
      <c r="CM224" s="49"/>
      <c r="CN224" s="49"/>
      <c r="CO224" s="49"/>
      <c r="CP224" s="49"/>
      <c r="CQ224" s="49"/>
      <c r="CT224" s="54"/>
      <c r="DE224" s="34"/>
    </row>
    <row r="225" spans="1:109" ht="14.5" x14ac:dyDescent="0.35">
      <c r="A225" s="19"/>
      <c r="B225" s="1"/>
      <c r="C225"/>
      <c r="D225"/>
      <c r="E225" s="38"/>
      <c r="F225" s="38"/>
      <c r="G225" s="38"/>
      <c r="H225" s="38"/>
      <c r="I225" s="38"/>
      <c r="J225" s="33"/>
      <c r="K225" s="46"/>
      <c r="O225" s="54"/>
      <c r="P225" s="54"/>
      <c r="Q225" s="54"/>
      <c r="R225" s="54"/>
      <c r="S225" s="47"/>
      <c r="T225" s="48"/>
      <c r="U225" s="48"/>
      <c r="V225" s="48"/>
      <c r="W225" s="48"/>
      <c r="X225" s="49"/>
      <c r="Y225" s="49"/>
      <c r="Z225" s="49"/>
      <c r="AA225" s="49"/>
      <c r="AB225" s="49"/>
      <c r="AC225" s="49"/>
      <c r="AD225" s="49"/>
      <c r="AE225" s="49"/>
      <c r="AF225" s="49"/>
      <c r="AG225" s="49"/>
      <c r="AH225" s="49"/>
      <c r="AI225" s="49"/>
      <c r="AJ225" s="49"/>
      <c r="AK225" s="49"/>
      <c r="AL225" s="49"/>
      <c r="AM225" s="49"/>
      <c r="AN225" s="49"/>
      <c r="AO225" s="49"/>
      <c r="AP225" s="49"/>
      <c r="AQ225" s="49"/>
      <c r="AR225" s="49"/>
      <c r="AS225" s="49"/>
      <c r="AT225" s="49"/>
      <c r="AU225" s="49"/>
      <c r="AV225" s="49"/>
      <c r="AW225" s="49"/>
      <c r="AX225" s="49"/>
      <c r="AY225" s="49"/>
      <c r="AZ225" s="49"/>
      <c r="BA225" s="49"/>
      <c r="BB225" s="49"/>
      <c r="BC225" s="49"/>
      <c r="BD225" s="49"/>
      <c r="BE225" s="49"/>
      <c r="BF225" s="49"/>
      <c r="BG225" s="49"/>
      <c r="BH225" s="49"/>
      <c r="BI225" s="49"/>
      <c r="BJ225" s="49"/>
      <c r="BK225" s="49"/>
      <c r="BL225" s="49"/>
      <c r="BM225" s="49"/>
      <c r="BN225" s="49"/>
      <c r="BO225" s="49"/>
      <c r="BP225" s="49"/>
      <c r="BQ225" s="49"/>
      <c r="BR225" s="49"/>
      <c r="BS225" s="49"/>
      <c r="BT225" s="49"/>
      <c r="BU225" s="49"/>
      <c r="BV225" s="49"/>
      <c r="BW225" s="49"/>
      <c r="BX225" s="49"/>
      <c r="BY225" s="49"/>
      <c r="BZ225" s="49"/>
      <c r="CA225" s="49"/>
      <c r="CB225" s="49"/>
      <c r="CC225" s="49"/>
      <c r="CD225" s="49"/>
      <c r="CE225" s="49"/>
      <c r="CF225" s="49"/>
      <c r="CG225" s="49"/>
      <c r="CH225" s="49"/>
      <c r="CI225" s="49"/>
      <c r="CJ225" s="49"/>
      <c r="CK225" s="49"/>
      <c r="CL225" s="49"/>
      <c r="CM225" s="49"/>
      <c r="CN225" s="49"/>
      <c r="CO225" s="49"/>
      <c r="CP225" s="49"/>
      <c r="CQ225" s="49"/>
      <c r="CT225" s="54"/>
      <c r="DE225" s="34"/>
    </row>
    <row r="226" spans="1:109" ht="14.5" x14ac:dyDescent="0.35">
      <c r="A226" s="19"/>
      <c r="B226" s="1"/>
      <c r="C226"/>
      <c r="D226"/>
      <c r="E226" s="38"/>
      <c r="F226" s="38"/>
      <c r="G226" s="38"/>
      <c r="H226" s="38"/>
      <c r="I226" s="38"/>
      <c r="J226" s="33"/>
      <c r="K226" s="46"/>
      <c r="O226" s="54"/>
      <c r="P226" s="54"/>
      <c r="Q226" s="54"/>
      <c r="R226" s="54"/>
      <c r="S226" s="47"/>
      <c r="T226" s="48"/>
      <c r="U226" s="48"/>
      <c r="V226" s="48"/>
      <c r="W226" s="48"/>
      <c r="X226" s="49"/>
      <c r="Y226" s="49"/>
      <c r="Z226" s="49"/>
      <c r="AA226" s="49"/>
      <c r="AB226" s="49"/>
      <c r="AC226" s="49"/>
      <c r="AD226" s="49"/>
      <c r="AE226" s="49"/>
      <c r="AF226" s="49"/>
      <c r="AG226" s="49"/>
      <c r="AH226" s="49"/>
      <c r="AI226" s="49"/>
      <c r="AJ226" s="49"/>
      <c r="AK226" s="49"/>
      <c r="AL226" s="49"/>
      <c r="AM226" s="49"/>
      <c r="AN226" s="49"/>
      <c r="AO226" s="49"/>
      <c r="AP226" s="49"/>
      <c r="AQ226" s="49"/>
      <c r="AR226" s="49"/>
      <c r="AS226" s="49"/>
      <c r="AT226" s="49"/>
      <c r="AU226" s="49"/>
      <c r="AV226" s="49"/>
      <c r="AW226" s="49"/>
      <c r="AX226" s="49"/>
      <c r="AY226" s="49"/>
      <c r="AZ226" s="49"/>
      <c r="BA226" s="49"/>
      <c r="BB226" s="49"/>
      <c r="BC226" s="49"/>
      <c r="BD226" s="49"/>
      <c r="BE226" s="49"/>
      <c r="BF226" s="49"/>
      <c r="BG226" s="49"/>
      <c r="BH226" s="49"/>
      <c r="BI226" s="49"/>
      <c r="BJ226" s="49"/>
      <c r="BK226" s="49"/>
      <c r="BL226" s="49"/>
      <c r="BM226" s="49"/>
      <c r="BN226" s="49"/>
      <c r="BO226" s="49"/>
      <c r="BP226" s="49"/>
      <c r="BQ226" s="49"/>
      <c r="BR226" s="49"/>
      <c r="BS226" s="49"/>
      <c r="BT226" s="49"/>
      <c r="BU226" s="49"/>
      <c r="BV226" s="49"/>
      <c r="BW226" s="49"/>
      <c r="BX226" s="49"/>
      <c r="BY226" s="49"/>
      <c r="BZ226" s="49"/>
      <c r="CA226" s="49"/>
      <c r="CB226" s="49"/>
      <c r="CC226" s="49"/>
      <c r="CD226" s="49"/>
      <c r="CE226" s="49"/>
      <c r="CF226" s="49"/>
      <c r="CG226" s="49"/>
      <c r="CH226" s="49"/>
      <c r="CI226" s="49"/>
      <c r="CJ226" s="49"/>
      <c r="CK226" s="49"/>
      <c r="CL226" s="49"/>
      <c r="CM226" s="49"/>
      <c r="CN226" s="49"/>
      <c r="CO226" s="49"/>
      <c r="CP226" s="49"/>
      <c r="CQ226" s="49"/>
      <c r="CT226" s="54"/>
      <c r="DE226" s="34"/>
    </row>
    <row r="227" spans="1:109" ht="14.5" x14ac:dyDescent="0.35">
      <c r="A227" s="19"/>
      <c r="B227" s="1"/>
      <c r="C227"/>
      <c r="D227"/>
      <c r="E227" s="38"/>
      <c r="F227" s="38"/>
      <c r="G227" s="38"/>
      <c r="H227" s="38"/>
      <c r="I227" s="38"/>
      <c r="J227" s="33"/>
      <c r="K227" s="46"/>
      <c r="O227" s="54"/>
      <c r="P227" s="54"/>
      <c r="Q227" s="54"/>
      <c r="R227" s="54"/>
      <c r="S227" s="47"/>
      <c r="T227" s="48"/>
      <c r="U227" s="48"/>
      <c r="V227" s="48"/>
      <c r="W227" s="48"/>
      <c r="X227" s="49"/>
      <c r="Y227" s="49"/>
      <c r="Z227" s="49"/>
      <c r="AA227" s="49"/>
      <c r="AB227" s="49"/>
      <c r="AC227" s="49"/>
      <c r="AD227" s="49"/>
      <c r="AE227" s="49"/>
      <c r="AF227" s="49"/>
      <c r="AG227" s="49"/>
      <c r="AH227" s="49"/>
      <c r="AI227" s="49"/>
      <c r="AJ227" s="49"/>
      <c r="AK227" s="49"/>
      <c r="AL227" s="49"/>
      <c r="AM227" s="49"/>
      <c r="AN227" s="49"/>
      <c r="AO227" s="49"/>
      <c r="AP227" s="49"/>
      <c r="AQ227" s="49"/>
      <c r="AR227" s="49"/>
      <c r="AS227" s="49"/>
      <c r="AT227" s="49"/>
      <c r="AU227" s="49"/>
      <c r="AV227" s="49"/>
      <c r="AW227" s="49"/>
      <c r="AX227" s="49"/>
      <c r="AY227" s="49"/>
      <c r="AZ227" s="49"/>
      <c r="BA227" s="49"/>
      <c r="BB227" s="49"/>
      <c r="BC227" s="49"/>
      <c r="BD227" s="49"/>
      <c r="BE227" s="49"/>
      <c r="BF227" s="49"/>
      <c r="BG227" s="49"/>
      <c r="BH227" s="49"/>
      <c r="BI227" s="49"/>
      <c r="BJ227" s="49"/>
      <c r="BK227" s="49"/>
      <c r="BL227" s="49"/>
      <c r="BM227" s="49"/>
      <c r="BN227" s="49"/>
      <c r="BO227" s="49"/>
      <c r="BP227" s="49"/>
      <c r="BQ227" s="49"/>
      <c r="BR227" s="49"/>
      <c r="BS227" s="49"/>
      <c r="BT227" s="49"/>
      <c r="BU227" s="49"/>
      <c r="BV227" s="49"/>
      <c r="BW227" s="49"/>
      <c r="BX227" s="49"/>
      <c r="BY227" s="49"/>
      <c r="BZ227" s="49"/>
      <c r="CA227" s="49"/>
      <c r="CB227" s="49"/>
      <c r="CC227" s="49"/>
      <c r="CD227" s="49"/>
      <c r="CE227" s="49"/>
      <c r="CF227" s="49"/>
      <c r="CG227" s="49"/>
      <c r="CH227" s="49"/>
      <c r="CI227" s="49"/>
      <c r="CJ227" s="49"/>
      <c r="CK227" s="49"/>
      <c r="CL227" s="49"/>
      <c r="CM227" s="49"/>
      <c r="CN227" s="49"/>
      <c r="CO227" s="49"/>
      <c r="CP227" s="49"/>
      <c r="CQ227" s="49"/>
      <c r="CT227" s="54"/>
      <c r="DE227" s="34"/>
    </row>
    <row r="228" spans="1:109" ht="14.5" x14ac:dyDescent="0.35">
      <c r="A228" s="19"/>
      <c r="B228" s="1"/>
      <c r="C228"/>
      <c r="D228"/>
      <c r="E228" s="38"/>
      <c r="F228" s="38"/>
      <c r="G228" s="38"/>
      <c r="H228" s="38"/>
      <c r="I228" s="38"/>
      <c r="J228" s="33"/>
      <c r="K228" s="46"/>
      <c r="O228" s="54"/>
      <c r="P228" s="54"/>
      <c r="Q228" s="54"/>
      <c r="R228" s="54"/>
      <c r="S228" s="47"/>
      <c r="T228" s="48"/>
      <c r="U228" s="48"/>
      <c r="V228" s="48"/>
      <c r="W228" s="48"/>
      <c r="X228" s="49"/>
      <c r="Y228" s="49"/>
      <c r="Z228" s="49"/>
      <c r="AA228" s="49"/>
      <c r="AB228" s="49"/>
      <c r="AC228" s="49"/>
      <c r="AD228" s="49"/>
      <c r="AE228" s="49"/>
      <c r="AF228" s="49"/>
      <c r="AG228" s="49"/>
      <c r="AH228" s="49"/>
      <c r="AI228" s="49"/>
      <c r="AJ228" s="49"/>
      <c r="AK228" s="49"/>
      <c r="AL228" s="49"/>
      <c r="AM228" s="49"/>
      <c r="AN228" s="49"/>
      <c r="AO228" s="49"/>
      <c r="AP228" s="49"/>
      <c r="AQ228" s="49"/>
      <c r="AR228" s="49"/>
      <c r="AS228" s="49"/>
      <c r="AT228" s="49"/>
      <c r="AU228" s="49"/>
      <c r="AV228" s="49"/>
      <c r="AW228" s="49"/>
      <c r="AX228" s="49"/>
      <c r="AY228" s="49"/>
      <c r="AZ228" s="49"/>
      <c r="BA228" s="49"/>
      <c r="BB228" s="49"/>
      <c r="BC228" s="49"/>
      <c r="BD228" s="49"/>
      <c r="BE228" s="49"/>
      <c r="BF228" s="49"/>
      <c r="BG228" s="49"/>
      <c r="BH228" s="49"/>
      <c r="BI228" s="49"/>
      <c r="BJ228" s="49"/>
      <c r="BK228" s="49"/>
      <c r="BL228" s="49"/>
      <c r="BM228" s="49"/>
      <c r="BN228" s="49"/>
      <c r="BO228" s="49"/>
      <c r="BP228" s="49"/>
      <c r="BQ228" s="49"/>
      <c r="BR228" s="49"/>
      <c r="BS228" s="49"/>
      <c r="BT228" s="49"/>
      <c r="BU228" s="49"/>
      <c r="BV228" s="49"/>
      <c r="BW228" s="49"/>
      <c r="BX228" s="49"/>
      <c r="BY228" s="49"/>
      <c r="BZ228" s="49"/>
      <c r="CA228" s="49"/>
      <c r="CB228" s="49"/>
      <c r="CC228" s="49"/>
      <c r="CD228" s="49"/>
      <c r="CE228" s="49"/>
      <c r="CF228" s="49"/>
      <c r="CG228" s="49"/>
      <c r="CH228" s="49"/>
      <c r="CI228" s="49"/>
      <c r="CJ228" s="49"/>
      <c r="CK228" s="49"/>
      <c r="CL228" s="49"/>
      <c r="CM228" s="49"/>
      <c r="CN228" s="49"/>
      <c r="CO228" s="49"/>
      <c r="CP228" s="49"/>
      <c r="CQ228" s="49"/>
      <c r="CT228" s="54"/>
      <c r="DE228" s="34"/>
    </row>
    <row r="229" spans="1:109" ht="14.5" x14ac:dyDescent="0.35">
      <c r="A229" s="19"/>
      <c r="B229" s="1"/>
      <c r="C229"/>
      <c r="D229"/>
      <c r="E229" s="38"/>
      <c r="F229" s="38"/>
      <c r="G229" s="38"/>
      <c r="H229" s="38"/>
      <c r="I229" s="38"/>
      <c r="J229" s="33"/>
      <c r="K229" s="46"/>
      <c r="O229" s="54"/>
      <c r="P229" s="54"/>
      <c r="Q229" s="54"/>
      <c r="R229" s="54"/>
      <c r="S229" s="47"/>
      <c r="T229" s="48"/>
      <c r="U229" s="48"/>
      <c r="V229" s="48"/>
      <c r="W229" s="48"/>
      <c r="X229" s="49"/>
      <c r="Y229" s="49"/>
      <c r="Z229" s="49"/>
      <c r="AA229" s="49"/>
      <c r="AB229" s="49"/>
      <c r="AC229" s="49"/>
      <c r="AD229" s="49"/>
      <c r="AE229" s="49"/>
      <c r="AF229" s="49"/>
      <c r="AG229" s="49"/>
      <c r="AH229" s="49"/>
      <c r="AI229" s="49"/>
      <c r="AJ229" s="49"/>
      <c r="AK229" s="49"/>
      <c r="AL229" s="49"/>
      <c r="AM229" s="49"/>
      <c r="AN229" s="49"/>
      <c r="AO229" s="49"/>
      <c r="AP229" s="49"/>
      <c r="AQ229" s="49"/>
      <c r="AR229" s="49"/>
      <c r="AS229" s="49"/>
      <c r="AT229" s="49"/>
      <c r="AU229" s="49"/>
      <c r="AV229" s="49"/>
      <c r="AW229" s="49"/>
      <c r="AX229" s="49"/>
      <c r="AY229" s="49"/>
      <c r="AZ229" s="49"/>
      <c r="BA229" s="49"/>
      <c r="BB229" s="49"/>
      <c r="BC229" s="49"/>
      <c r="BD229" s="49"/>
      <c r="BE229" s="49"/>
      <c r="BF229" s="49"/>
      <c r="BG229" s="49"/>
      <c r="BH229" s="49"/>
      <c r="BI229" s="49"/>
      <c r="BJ229" s="49"/>
      <c r="BK229" s="49"/>
      <c r="BL229" s="49"/>
      <c r="BM229" s="49"/>
      <c r="BN229" s="49"/>
      <c r="BO229" s="49"/>
      <c r="BP229" s="49"/>
      <c r="BQ229" s="49"/>
      <c r="BR229" s="49"/>
      <c r="BS229" s="49"/>
      <c r="BT229" s="49"/>
      <c r="BU229" s="49"/>
      <c r="BV229" s="49"/>
      <c r="BW229" s="49"/>
      <c r="BX229" s="49"/>
      <c r="BY229" s="49"/>
      <c r="BZ229" s="49"/>
      <c r="CA229" s="49"/>
      <c r="CB229" s="49"/>
      <c r="CC229" s="49"/>
      <c r="CD229" s="49"/>
      <c r="CE229" s="49"/>
      <c r="CF229" s="49"/>
      <c r="CG229" s="49"/>
      <c r="CH229" s="49"/>
      <c r="CI229" s="49"/>
      <c r="CJ229" s="49"/>
      <c r="CK229" s="49"/>
      <c r="CL229" s="49"/>
      <c r="CM229" s="49"/>
      <c r="CN229" s="49"/>
      <c r="CO229" s="49"/>
      <c r="CP229" s="49"/>
      <c r="CQ229" s="49"/>
      <c r="CT229" s="54"/>
      <c r="DE229" s="34"/>
    </row>
    <row r="230" spans="1:109" ht="14.5" x14ac:dyDescent="0.35">
      <c r="A230" s="19"/>
      <c r="B230" s="1"/>
      <c r="C230"/>
      <c r="D230"/>
      <c r="E230" s="38"/>
      <c r="F230" s="38"/>
      <c r="G230" s="38"/>
      <c r="H230" s="38"/>
      <c r="I230" s="38"/>
      <c r="J230" s="33"/>
      <c r="K230" s="46"/>
      <c r="O230" s="54"/>
      <c r="P230" s="54"/>
      <c r="Q230" s="54"/>
      <c r="R230" s="54"/>
      <c r="S230" s="47"/>
      <c r="T230" s="48"/>
      <c r="U230" s="48"/>
      <c r="V230" s="48"/>
      <c r="W230" s="48"/>
      <c r="X230" s="49"/>
      <c r="Y230" s="49"/>
      <c r="Z230" s="49"/>
      <c r="AA230" s="49"/>
      <c r="AB230" s="49"/>
      <c r="AC230" s="49"/>
      <c r="AD230" s="49"/>
      <c r="AE230" s="49"/>
      <c r="AF230" s="49"/>
      <c r="AG230" s="49"/>
      <c r="AH230" s="49"/>
      <c r="AI230" s="49"/>
      <c r="AJ230" s="49"/>
      <c r="AK230" s="49"/>
      <c r="AL230" s="49"/>
      <c r="AM230" s="49"/>
      <c r="AN230" s="49"/>
      <c r="AO230" s="49"/>
      <c r="AP230" s="49"/>
      <c r="AQ230" s="49"/>
      <c r="AR230" s="49"/>
      <c r="AS230" s="49"/>
      <c r="AT230" s="49"/>
      <c r="AU230" s="49"/>
      <c r="AV230" s="49"/>
      <c r="AW230" s="49"/>
      <c r="AX230" s="49"/>
      <c r="AY230" s="49"/>
      <c r="AZ230" s="49"/>
      <c r="BA230" s="49"/>
      <c r="BB230" s="49"/>
      <c r="BC230" s="49"/>
      <c r="BD230" s="49"/>
      <c r="BE230" s="49"/>
      <c r="BF230" s="49"/>
      <c r="BG230" s="49"/>
      <c r="BH230" s="49"/>
      <c r="BI230" s="49"/>
      <c r="BJ230" s="49"/>
      <c r="BK230" s="49"/>
      <c r="BL230" s="49"/>
      <c r="BM230" s="49"/>
      <c r="BN230" s="49"/>
      <c r="BO230" s="49"/>
      <c r="BP230" s="49"/>
      <c r="BQ230" s="49"/>
      <c r="BR230" s="49"/>
      <c r="BS230" s="49"/>
      <c r="BT230" s="49"/>
      <c r="BU230" s="49"/>
      <c r="BV230" s="49"/>
      <c r="BW230" s="49"/>
      <c r="BX230" s="49"/>
      <c r="BY230" s="49"/>
      <c r="BZ230" s="49"/>
      <c r="CA230" s="49"/>
      <c r="CB230" s="49"/>
      <c r="CC230" s="49"/>
      <c r="CD230" s="49"/>
      <c r="CE230" s="49"/>
      <c r="CF230" s="49"/>
      <c r="CG230" s="49"/>
      <c r="CH230" s="49"/>
      <c r="CI230" s="49"/>
      <c r="CJ230" s="49"/>
      <c r="CK230" s="49"/>
      <c r="CL230" s="49"/>
      <c r="CM230" s="49"/>
      <c r="CN230" s="49"/>
      <c r="CO230" s="49"/>
      <c r="CP230" s="49"/>
      <c r="CQ230" s="49"/>
      <c r="CT230" s="54"/>
      <c r="DE230" s="34"/>
    </row>
    <row r="231" spans="1:109" ht="14.5" x14ac:dyDescent="0.35">
      <c r="A231" s="19"/>
      <c r="B231" s="1"/>
      <c r="C231"/>
      <c r="D231"/>
      <c r="E231" s="38"/>
      <c r="F231" s="38"/>
      <c r="G231" s="38"/>
      <c r="H231" s="38"/>
      <c r="I231" s="38"/>
      <c r="J231" s="33"/>
      <c r="K231" s="46"/>
      <c r="O231" s="54"/>
      <c r="P231" s="54"/>
      <c r="Q231" s="54"/>
      <c r="R231" s="54"/>
      <c r="S231" s="47"/>
      <c r="T231" s="48"/>
      <c r="U231" s="48"/>
      <c r="V231" s="48"/>
      <c r="W231" s="48"/>
      <c r="X231" s="49"/>
      <c r="Y231" s="49"/>
      <c r="Z231" s="49"/>
      <c r="AA231" s="49"/>
      <c r="AB231" s="49"/>
      <c r="AC231" s="49"/>
      <c r="AD231" s="49"/>
      <c r="AE231" s="49"/>
      <c r="AF231" s="49"/>
      <c r="AG231" s="49"/>
      <c r="AH231" s="49"/>
      <c r="AI231" s="49"/>
      <c r="AJ231" s="49"/>
      <c r="AK231" s="49"/>
      <c r="AL231" s="49"/>
      <c r="AM231" s="49"/>
      <c r="AN231" s="49"/>
      <c r="AO231" s="49"/>
      <c r="AP231" s="49"/>
      <c r="AQ231" s="49"/>
      <c r="AR231" s="49"/>
      <c r="AS231" s="49"/>
      <c r="AT231" s="49"/>
      <c r="AU231" s="49"/>
      <c r="AV231" s="49"/>
      <c r="AW231" s="49"/>
      <c r="AX231" s="49"/>
      <c r="AY231" s="49"/>
      <c r="AZ231" s="49"/>
      <c r="BA231" s="49"/>
      <c r="BB231" s="49"/>
      <c r="BC231" s="49"/>
      <c r="BD231" s="49"/>
      <c r="BE231" s="49"/>
      <c r="BF231" s="49"/>
      <c r="BG231" s="49"/>
      <c r="BH231" s="49"/>
      <c r="BI231" s="49"/>
      <c r="BJ231" s="49"/>
      <c r="BK231" s="49"/>
      <c r="BL231" s="49"/>
      <c r="BM231" s="49"/>
      <c r="BN231" s="49"/>
      <c r="BO231" s="49"/>
      <c r="BP231" s="49"/>
      <c r="BQ231" s="49"/>
      <c r="BR231" s="49"/>
      <c r="BS231" s="49"/>
      <c r="BT231" s="49"/>
      <c r="BU231" s="49"/>
      <c r="BV231" s="49"/>
      <c r="BW231" s="49"/>
      <c r="BX231" s="49"/>
      <c r="BY231" s="49"/>
      <c r="BZ231" s="49"/>
      <c r="CA231" s="49"/>
      <c r="CB231" s="49"/>
      <c r="CC231" s="49"/>
      <c r="CD231" s="49"/>
      <c r="CE231" s="49"/>
      <c r="CF231" s="49"/>
      <c r="CG231" s="49"/>
      <c r="CH231" s="49"/>
      <c r="CI231" s="49"/>
      <c r="CJ231" s="49"/>
      <c r="CK231" s="49"/>
      <c r="CL231" s="49"/>
      <c r="CM231" s="49"/>
      <c r="CN231" s="49"/>
      <c r="CO231" s="49"/>
      <c r="CP231" s="49"/>
      <c r="CQ231" s="49"/>
      <c r="CT231" s="54"/>
      <c r="DE231" s="34"/>
    </row>
    <row r="232" spans="1:109" ht="14.5" x14ac:dyDescent="0.35">
      <c r="A232" s="19"/>
      <c r="B232" s="1"/>
      <c r="C232"/>
      <c r="D232"/>
      <c r="E232" s="38"/>
      <c r="F232" s="38"/>
      <c r="G232" s="38"/>
      <c r="H232" s="38"/>
      <c r="I232" s="38"/>
      <c r="J232" s="33"/>
      <c r="K232" s="46"/>
      <c r="O232" s="54"/>
      <c r="P232" s="54"/>
      <c r="Q232" s="54"/>
      <c r="R232" s="54"/>
      <c r="S232" s="47"/>
      <c r="T232" s="48"/>
      <c r="U232" s="48"/>
      <c r="V232" s="48"/>
      <c r="W232" s="48"/>
      <c r="X232" s="49"/>
      <c r="Y232" s="49"/>
      <c r="Z232" s="49"/>
      <c r="AA232" s="49"/>
      <c r="AB232" s="49"/>
      <c r="AC232" s="49"/>
      <c r="AD232" s="49"/>
      <c r="AE232" s="49"/>
      <c r="AF232" s="49"/>
      <c r="AG232" s="49"/>
      <c r="AH232" s="49"/>
      <c r="AI232" s="49"/>
      <c r="AJ232" s="49"/>
      <c r="AK232" s="49"/>
      <c r="AL232" s="49"/>
      <c r="AM232" s="49"/>
      <c r="AN232" s="49"/>
      <c r="AO232" s="49"/>
      <c r="AP232" s="49"/>
      <c r="AQ232" s="49"/>
      <c r="AR232" s="49"/>
      <c r="AS232" s="49"/>
      <c r="AT232" s="49"/>
      <c r="AU232" s="49"/>
      <c r="AV232" s="49"/>
      <c r="AW232" s="49"/>
      <c r="AX232" s="49"/>
      <c r="AY232" s="49"/>
      <c r="AZ232" s="49"/>
      <c r="BA232" s="49"/>
      <c r="BB232" s="49"/>
      <c r="BC232" s="49"/>
      <c r="BD232" s="49"/>
      <c r="BE232" s="49"/>
      <c r="BF232" s="49"/>
      <c r="BG232" s="49"/>
      <c r="BH232" s="49"/>
      <c r="BI232" s="49"/>
      <c r="BJ232" s="49"/>
      <c r="BK232" s="49"/>
      <c r="BL232" s="49"/>
      <c r="BM232" s="49"/>
      <c r="BN232" s="49"/>
      <c r="BO232" s="49"/>
      <c r="BP232" s="49"/>
      <c r="BQ232" s="49"/>
      <c r="BR232" s="49"/>
      <c r="BS232" s="49"/>
      <c r="BT232" s="49"/>
      <c r="BU232" s="49"/>
      <c r="BV232" s="49"/>
      <c r="BW232" s="49"/>
      <c r="BX232" s="49"/>
      <c r="BY232" s="49"/>
      <c r="BZ232" s="49"/>
      <c r="CA232" s="49"/>
      <c r="CB232" s="49"/>
      <c r="CC232" s="49"/>
      <c r="CD232" s="49"/>
      <c r="CE232" s="49"/>
      <c r="CF232" s="49"/>
      <c r="CG232" s="49"/>
      <c r="CH232" s="49"/>
      <c r="CI232" s="49"/>
      <c r="CJ232" s="49"/>
      <c r="CK232" s="49"/>
      <c r="CL232" s="49"/>
      <c r="CM232" s="49"/>
      <c r="CN232" s="49"/>
      <c r="CO232" s="49"/>
      <c r="CP232" s="49"/>
      <c r="CQ232" s="49"/>
      <c r="CT232" s="54"/>
      <c r="DE232" s="34"/>
    </row>
    <row r="233" spans="1:109" ht="14.5" x14ac:dyDescent="0.35">
      <c r="A233" s="19"/>
      <c r="B233" s="1"/>
      <c r="C233"/>
      <c r="D233"/>
      <c r="E233" s="38"/>
      <c r="F233" s="38"/>
      <c r="G233" s="38"/>
      <c r="H233" s="38"/>
      <c r="I233" s="38"/>
      <c r="J233" s="33"/>
      <c r="K233" s="46"/>
      <c r="O233" s="54"/>
      <c r="P233" s="54"/>
      <c r="Q233" s="54"/>
      <c r="R233" s="54"/>
      <c r="S233" s="47"/>
      <c r="T233" s="48"/>
      <c r="U233" s="48"/>
      <c r="V233" s="48"/>
      <c r="W233" s="48"/>
      <c r="X233" s="49"/>
      <c r="Y233" s="49"/>
      <c r="Z233" s="49"/>
      <c r="AA233" s="49"/>
      <c r="AB233" s="49"/>
      <c r="AC233" s="49"/>
      <c r="AD233" s="49"/>
      <c r="AE233" s="49"/>
      <c r="AF233" s="49"/>
      <c r="AG233" s="49"/>
      <c r="AH233" s="49"/>
      <c r="AI233" s="49"/>
      <c r="AJ233" s="49"/>
      <c r="AK233" s="49"/>
      <c r="AL233" s="49"/>
      <c r="AM233" s="49"/>
      <c r="AN233" s="49"/>
      <c r="AO233" s="49"/>
      <c r="AP233" s="49"/>
      <c r="AQ233" s="49"/>
      <c r="AR233" s="49"/>
      <c r="AS233" s="49"/>
      <c r="AT233" s="49"/>
      <c r="AU233" s="49"/>
      <c r="AV233" s="49"/>
      <c r="AW233" s="49"/>
      <c r="AX233" s="49"/>
      <c r="AY233" s="49"/>
      <c r="AZ233" s="49"/>
      <c r="BA233" s="49"/>
      <c r="BB233" s="49"/>
      <c r="BC233" s="49"/>
      <c r="BD233" s="49"/>
      <c r="BE233" s="49"/>
      <c r="BF233" s="49"/>
      <c r="BG233" s="49"/>
      <c r="BH233" s="49"/>
      <c r="BI233" s="49"/>
      <c r="BJ233" s="49"/>
      <c r="BK233" s="49"/>
      <c r="BL233" s="49"/>
      <c r="BM233" s="49"/>
      <c r="BN233" s="49"/>
      <c r="BO233" s="49"/>
      <c r="BP233" s="49"/>
      <c r="BQ233" s="49"/>
      <c r="BR233" s="49"/>
      <c r="BS233" s="49"/>
      <c r="BT233" s="49"/>
      <c r="BU233" s="49"/>
      <c r="BV233" s="49"/>
      <c r="BW233" s="49"/>
      <c r="BX233" s="49"/>
      <c r="BY233" s="49"/>
      <c r="BZ233" s="49"/>
      <c r="CA233" s="49"/>
      <c r="CB233" s="49"/>
      <c r="CC233" s="49"/>
      <c r="CD233" s="49"/>
      <c r="CE233" s="49"/>
      <c r="CF233" s="49"/>
      <c r="CG233" s="49"/>
      <c r="CH233" s="49"/>
      <c r="CI233" s="49"/>
      <c r="CJ233" s="49"/>
      <c r="CK233" s="49"/>
      <c r="CL233" s="49"/>
      <c r="CM233" s="49"/>
      <c r="CN233" s="49"/>
      <c r="CO233" s="49"/>
      <c r="CP233" s="49"/>
      <c r="CQ233" s="49"/>
      <c r="CT233" s="54"/>
      <c r="DE233" s="34"/>
    </row>
    <row r="234" spans="1:109" ht="14.5" x14ac:dyDescent="0.35">
      <c r="A234" s="19"/>
      <c r="B234" s="1"/>
      <c r="C234"/>
      <c r="D234"/>
      <c r="E234" s="38"/>
      <c r="F234" s="38"/>
      <c r="G234" s="38"/>
      <c r="H234" s="38"/>
      <c r="I234" s="38"/>
      <c r="J234" s="33"/>
      <c r="K234" s="46"/>
      <c r="O234" s="54"/>
      <c r="P234" s="54"/>
      <c r="Q234" s="54"/>
      <c r="R234" s="54"/>
      <c r="S234" s="47"/>
      <c r="T234" s="48"/>
      <c r="U234" s="48"/>
      <c r="V234" s="48"/>
      <c r="W234" s="48"/>
      <c r="X234" s="49"/>
      <c r="Y234" s="49"/>
      <c r="Z234" s="49"/>
      <c r="AA234" s="49"/>
      <c r="AB234" s="49"/>
      <c r="AC234" s="49"/>
      <c r="AD234" s="49"/>
      <c r="AE234" s="49"/>
      <c r="AF234" s="49"/>
      <c r="AG234" s="49"/>
      <c r="AH234" s="49"/>
      <c r="AI234" s="49"/>
      <c r="AJ234" s="49"/>
      <c r="AK234" s="49"/>
      <c r="AL234" s="49"/>
      <c r="AM234" s="49"/>
      <c r="AN234" s="49"/>
      <c r="AO234" s="49"/>
      <c r="AP234" s="49"/>
      <c r="AQ234" s="49"/>
      <c r="AR234" s="49"/>
      <c r="AS234" s="49"/>
      <c r="AT234" s="49"/>
      <c r="AU234" s="49"/>
      <c r="AV234" s="49"/>
      <c r="AW234" s="49"/>
      <c r="AX234" s="49"/>
      <c r="AY234" s="49"/>
      <c r="AZ234" s="49"/>
      <c r="BA234" s="49"/>
      <c r="BB234" s="49"/>
      <c r="BC234" s="49"/>
      <c r="BD234" s="49"/>
      <c r="BE234" s="49"/>
      <c r="BF234" s="49"/>
      <c r="BG234" s="49"/>
      <c r="BH234" s="49"/>
      <c r="BI234" s="49"/>
      <c r="BJ234" s="49"/>
      <c r="BK234" s="49"/>
      <c r="BL234" s="49"/>
      <c r="BM234" s="49"/>
      <c r="BN234" s="49"/>
      <c r="BO234" s="49"/>
      <c r="BP234" s="49"/>
      <c r="BQ234" s="49"/>
      <c r="BR234" s="49"/>
      <c r="BS234" s="49"/>
      <c r="BT234" s="49"/>
      <c r="BU234" s="49"/>
      <c r="BV234" s="49"/>
      <c r="BW234" s="49"/>
      <c r="BX234" s="49"/>
      <c r="BY234" s="49"/>
      <c r="BZ234" s="49"/>
      <c r="CA234" s="49"/>
      <c r="CB234" s="49"/>
      <c r="CC234" s="49"/>
      <c r="CD234" s="49"/>
      <c r="CE234" s="49"/>
      <c r="CF234" s="49"/>
      <c r="CG234" s="49"/>
      <c r="CH234" s="49"/>
      <c r="CI234" s="49"/>
      <c r="CJ234" s="49"/>
      <c r="CK234" s="49"/>
      <c r="CL234" s="49"/>
      <c r="CM234" s="49"/>
      <c r="CN234" s="49"/>
      <c r="CO234" s="49"/>
      <c r="CP234" s="49"/>
      <c r="CQ234" s="49"/>
      <c r="CT234" s="54"/>
      <c r="DE234" s="34"/>
    </row>
    <row r="235" spans="1:109" ht="14.5" x14ac:dyDescent="0.35">
      <c r="A235" s="19"/>
      <c r="B235" s="1"/>
      <c r="C235"/>
      <c r="D235"/>
      <c r="E235" s="38"/>
      <c r="F235" s="38"/>
      <c r="G235" s="38"/>
      <c r="H235" s="38"/>
      <c r="I235" s="38"/>
      <c r="J235" s="33"/>
      <c r="K235" s="46"/>
      <c r="O235" s="54"/>
      <c r="P235" s="54"/>
      <c r="Q235" s="54"/>
      <c r="R235" s="54"/>
      <c r="S235" s="47"/>
      <c r="T235" s="48"/>
      <c r="U235" s="48"/>
      <c r="V235" s="48"/>
      <c r="W235" s="48"/>
      <c r="X235" s="49"/>
      <c r="Y235" s="49"/>
      <c r="Z235" s="49"/>
      <c r="AA235" s="49"/>
      <c r="AB235" s="49"/>
      <c r="AC235" s="49"/>
      <c r="AD235" s="49"/>
      <c r="AE235" s="49"/>
      <c r="AF235" s="49"/>
      <c r="AG235" s="49"/>
      <c r="AH235" s="49"/>
      <c r="AI235" s="49"/>
      <c r="AJ235" s="49"/>
      <c r="AK235" s="49"/>
      <c r="AL235" s="49"/>
      <c r="AM235" s="49"/>
      <c r="AN235" s="49"/>
      <c r="AO235" s="49"/>
      <c r="AP235" s="49"/>
      <c r="AQ235" s="49"/>
      <c r="AR235" s="49"/>
      <c r="AS235" s="49"/>
      <c r="AT235" s="49"/>
      <c r="AU235" s="49"/>
      <c r="AV235" s="49"/>
      <c r="AW235" s="49"/>
      <c r="AX235" s="49"/>
      <c r="AY235" s="49"/>
      <c r="AZ235" s="49"/>
      <c r="BA235" s="49"/>
      <c r="BB235" s="49"/>
      <c r="BC235" s="49"/>
      <c r="BD235" s="49"/>
      <c r="BE235" s="49"/>
      <c r="BF235" s="49"/>
      <c r="BG235" s="49"/>
      <c r="BH235" s="49"/>
      <c r="BI235" s="49"/>
      <c r="BJ235" s="49"/>
      <c r="BK235" s="49"/>
      <c r="BL235" s="49"/>
      <c r="BM235" s="49"/>
      <c r="BN235" s="49"/>
      <c r="BO235" s="49"/>
      <c r="BP235" s="49"/>
      <c r="BQ235" s="49"/>
      <c r="BR235" s="49"/>
      <c r="BS235" s="49"/>
      <c r="BT235" s="49"/>
      <c r="BU235" s="49"/>
      <c r="BV235" s="49"/>
      <c r="BW235" s="49"/>
      <c r="BX235" s="49"/>
      <c r="BY235" s="49"/>
      <c r="BZ235" s="49"/>
      <c r="CA235" s="49"/>
      <c r="CB235" s="49"/>
      <c r="CC235" s="49"/>
      <c r="CD235" s="49"/>
      <c r="CE235" s="49"/>
      <c r="CF235" s="49"/>
      <c r="CG235" s="49"/>
      <c r="CH235" s="49"/>
      <c r="CI235" s="49"/>
      <c r="CJ235" s="49"/>
      <c r="CK235" s="49"/>
      <c r="CL235" s="49"/>
      <c r="CM235" s="49"/>
      <c r="CN235" s="49"/>
      <c r="CO235" s="49"/>
      <c r="CP235" s="49"/>
      <c r="CQ235" s="49"/>
      <c r="CT235" s="54"/>
      <c r="DE235" s="34"/>
    </row>
    <row r="236" spans="1:109" ht="14.5" x14ac:dyDescent="0.35">
      <c r="A236" s="19"/>
      <c r="B236" s="1"/>
      <c r="C236"/>
      <c r="D236"/>
      <c r="E236" s="38"/>
      <c r="F236" s="38"/>
      <c r="G236" s="38"/>
      <c r="H236" s="38"/>
      <c r="I236" s="38"/>
      <c r="J236" s="33"/>
      <c r="K236" s="46"/>
      <c r="O236" s="54"/>
      <c r="P236" s="54"/>
      <c r="Q236" s="54"/>
      <c r="R236" s="54"/>
      <c r="S236" s="47"/>
      <c r="T236" s="48"/>
      <c r="U236" s="48"/>
      <c r="V236" s="48"/>
      <c r="W236" s="48"/>
      <c r="X236" s="49"/>
      <c r="Y236" s="49"/>
      <c r="Z236" s="49"/>
      <c r="AA236" s="49"/>
      <c r="AB236" s="49"/>
      <c r="AC236" s="49"/>
      <c r="AD236" s="49"/>
      <c r="AE236" s="49"/>
      <c r="AF236" s="49"/>
      <c r="AG236" s="49"/>
      <c r="AH236" s="49"/>
      <c r="AI236" s="49"/>
      <c r="AJ236" s="49"/>
      <c r="AK236" s="49"/>
      <c r="AL236" s="49"/>
      <c r="AM236" s="49"/>
      <c r="AN236" s="49"/>
      <c r="AO236" s="49"/>
      <c r="AP236" s="49"/>
      <c r="AQ236" s="49"/>
      <c r="AR236" s="49"/>
      <c r="AS236" s="49"/>
      <c r="AT236" s="49"/>
      <c r="AU236" s="49"/>
      <c r="AV236" s="49"/>
      <c r="AW236" s="49"/>
      <c r="AX236" s="49"/>
      <c r="AY236" s="49"/>
      <c r="AZ236" s="49"/>
      <c r="BA236" s="49"/>
      <c r="BB236" s="49"/>
      <c r="BC236" s="49"/>
      <c r="BD236" s="49"/>
      <c r="BE236" s="49"/>
      <c r="BF236" s="49"/>
      <c r="BG236" s="49"/>
      <c r="BH236" s="49"/>
      <c r="BI236" s="49"/>
      <c r="BJ236" s="49"/>
      <c r="BK236" s="49"/>
      <c r="BL236" s="49"/>
      <c r="BM236" s="49"/>
      <c r="BN236" s="49"/>
      <c r="BO236" s="49"/>
      <c r="BP236" s="49"/>
      <c r="BQ236" s="49"/>
      <c r="BR236" s="49"/>
      <c r="BS236" s="49"/>
      <c r="BT236" s="49"/>
      <c r="BU236" s="49"/>
      <c r="BV236" s="49"/>
      <c r="BW236" s="49"/>
      <c r="BX236" s="49"/>
      <c r="BY236" s="49"/>
      <c r="BZ236" s="49"/>
      <c r="CA236" s="49"/>
      <c r="CB236" s="49"/>
      <c r="CC236" s="49"/>
      <c r="CD236" s="49"/>
      <c r="CE236" s="49"/>
      <c r="CF236" s="49"/>
      <c r="CG236" s="49"/>
      <c r="CH236" s="49"/>
      <c r="CI236" s="49"/>
      <c r="CJ236" s="49"/>
      <c r="CK236" s="49"/>
      <c r="CL236" s="49"/>
      <c r="CM236" s="49"/>
      <c r="CN236" s="49"/>
      <c r="CO236" s="49"/>
      <c r="CP236" s="49"/>
      <c r="CQ236" s="49"/>
      <c r="CT236" s="54"/>
      <c r="DE236" s="34"/>
    </row>
    <row r="237" spans="1:109" ht="14.5" x14ac:dyDescent="0.35">
      <c r="A237" s="19"/>
      <c r="B237" s="1"/>
      <c r="C237"/>
      <c r="D237"/>
      <c r="E237" s="38"/>
      <c r="F237" s="38"/>
      <c r="G237" s="38"/>
      <c r="H237" s="38"/>
      <c r="I237" s="38"/>
      <c r="J237" s="33"/>
      <c r="K237" s="46"/>
      <c r="O237" s="54"/>
      <c r="P237" s="54"/>
      <c r="Q237" s="54"/>
      <c r="R237" s="54"/>
      <c r="S237" s="47"/>
      <c r="T237" s="48"/>
      <c r="U237" s="48"/>
      <c r="V237" s="48"/>
      <c r="W237" s="48"/>
      <c r="X237" s="49"/>
      <c r="Y237" s="49"/>
      <c r="Z237" s="49"/>
      <c r="AA237" s="49"/>
      <c r="AB237" s="49"/>
      <c r="AC237" s="49"/>
      <c r="AD237" s="49"/>
      <c r="AE237" s="49"/>
      <c r="AF237" s="49"/>
      <c r="AG237" s="49"/>
      <c r="AH237" s="49"/>
      <c r="AI237" s="49"/>
      <c r="AJ237" s="49"/>
      <c r="AK237" s="49"/>
      <c r="AL237" s="49"/>
      <c r="AM237" s="49"/>
      <c r="AN237" s="49"/>
      <c r="AO237" s="49"/>
      <c r="AP237" s="49"/>
      <c r="AQ237" s="49"/>
      <c r="AR237" s="49"/>
      <c r="AS237" s="49"/>
      <c r="AT237" s="49"/>
      <c r="AU237" s="49"/>
      <c r="AV237" s="49"/>
      <c r="AW237" s="49"/>
      <c r="AX237" s="49"/>
      <c r="AY237" s="49"/>
      <c r="AZ237" s="49"/>
      <c r="BA237" s="49"/>
      <c r="BB237" s="49"/>
      <c r="BC237" s="49"/>
      <c r="BD237" s="49"/>
      <c r="BE237" s="49"/>
      <c r="BF237" s="49"/>
      <c r="BG237" s="49"/>
      <c r="BH237" s="49"/>
      <c r="BI237" s="49"/>
      <c r="BJ237" s="49"/>
      <c r="BK237" s="49"/>
      <c r="BL237" s="49"/>
      <c r="BM237" s="49"/>
      <c r="BN237" s="49"/>
      <c r="BO237" s="49"/>
      <c r="BP237" s="49"/>
      <c r="BQ237" s="49"/>
      <c r="BR237" s="49"/>
      <c r="BS237" s="49"/>
      <c r="BT237" s="49"/>
      <c r="BU237" s="49"/>
      <c r="BV237" s="49"/>
      <c r="BW237" s="49"/>
      <c r="BX237" s="49"/>
      <c r="BY237" s="49"/>
      <c r="BZ237" s="49"/>
      <c r="CA237" s="49"/>
      <c r="CB237" s="49"/>
      <c r="CC237" s="49"/>
      <c r="CD237" s="49"/>
      <c r="CE237" s="49"/>
      <c r="CF237" s="49"/>
      <c r="CG237" s="49"/>
      <c r="CH237" s="49"/>
      <c r="CI237" s="49"/>
      <c r="CJ237" s="49"/>
      <c r="CK237" s="49"/>
      <c r="CL237" s="49"/>
      <c r="CM237" s="49"/>
      <c r="CN237" s="49"/>
      <c r="CO237" s="49"/>
      <c r="CP237" s="49"/>
      <c r="CQ237" s="49"/>
      <c r="CT237" s="54"/>
      <c r="DE237" s="34"/>
    </row>
    <row r="238" spans="1:109" ht="14.5" x14ac:dyDescent="0.35">
      <c r="A238" s="19"/>
      <c r="B238" s="1"/>
      <c r="C238"/>
      <c r="D238"/>
      <c r="E238" s="38"/>
      <c r="F238" s="38"/>
      <c r="G238" s="38"/>
      <c r="H238" s="38"/>
      <c r="I238" s="38"/>
      <c r="J238" s="33"/>
      <c r="K238" s="46"/>
      <c r="O238" s="54"/>
      <c r="P238" s="54"/>
      <c r="Q238" s="54"/>
      <c r="R238" s="54"/>
      <c r="S238" s="47"/>
      <c r="T238" s="48"/>
      <c r="U238" s="48"/>
      <c r="V238" s="48"/>
      <c r="W238" s="48"/>
      <c r="X238" s="49"/>
      <c r="Y238" s="49"/>
      <c r="Z238" s="49"/>
      <c r="AA238" s="49"/>
      <c r="AB238" s="49"/>
      <c r="AC238" s="49"/>
      <c r="AD238" s="49"/>
      <c r="AE238" s="49"/>
      <c r="AF238" s="49"/>
      <c r="AG238" s="49"/>
      <c r="AH238" s="49"/>
      <c r="AI238" s="49"/>
      <c r="AJ238" s="49"/>
      <c r="AK238" s="49"/>
      <c r="AL238" s="49"/>
      <c r="AM238" s="49"/>
      <c r="AN238" s="49"/>
      <c r="AO238" s="49"/>
      <c r="AP238" s="49"/>
      <c r="AQ238" s="49"/>
      <c r="AR238" s="49"/>
      <c r="AS238" s="49"/>
      <c r="AT238" s="49"/>
      <c r="AU238" s="49"/>
      <c r="AV238" s="49"/>
      <c r="AW238" s="49"/>
      <c r="AX238" s="49"/>
      <c r="AY238" s="49"/>
      <c r="AZ238" s="49"/>
      <c r="BA238" s="49"/>
      <c r="BB238" s="49"/>
      <c r="BC238" s="49"/>
      <c r="BD238" s="49"/>
      <c r="BE238" s="49"/>
      <c r="BF238" s="49"/>
      <c r="BG238" s="49"/>
      <c r="BH238" s="49"/>
      <c r="BI238" s="49"/>
      <c r="BJ238" s="49"/>
      <c r="BK238" s="49"/>
      <c r="BL238" s="49"/>
      <c r="BM238" s="49"/>
      <c r="BN238" s="49"/>
      <c r="BO238" s="49"/>
      <c r="BP238" s="49"/>
      <c r="BQ238" s="49"/>
      <c r="BR238" s="49"/>
      <c r="BS238" s="49"/>
      <c r="BT238" s="49"/>
      <c r="BU238" s="49"/>
      <c r="BV238" s="49"/>
      <c r="BW238" s="49"/>
      <c r="BX238" s="49"/>
      <c r="BY238" s="49"/>
      <c r="BZ238" s="49"/>
      <c r="CA238" s="49"/>
      <c r="CB238" s="49"/>
      <c r="CC238" s="49"/>
      <c r="CD238" s="49"/>
      <c r="CE238" s="49"/>
      <c r="CF238" s="49"/>
      <c r="CG238" s="49"/>
      <c r="CH238" s="49"/>
      <c r="CI238" s="49"/>
      <c r="CJ238" s="49"/>
      <c r="CK238" s="49"/>
      <c r="CL238" s="49"/>
      <c r="CM238" s="49"/>
      <c r="CN238" s="49"/>
      <c r="CO238" s="49"/>
      <c r="CP238" s="49"/>
      <c r="CQ238" s="49"/>
      <c r="CT238" s="54"/>
      <c r="DE238" s="34"/>
    </row>
    <row r="239" spans="1:109" ht="14.5" x14ac:dyDescent="0.35">
      <c r="A239" s="19"/>
      <c r="B239" s="1"/>
      <c r="C239"/>
      <c r="D239"/>
      <c r="E239" s="38"/>
      <c r="F239" s="38"/>
      <c r="G239" s="38"/>
      <c r="H239" s="38"/>
      <c r="I239" s="38"/>
      <c r="J239" s="33"/>
      <c r="K239" s="46"/>
      <c r="O239" s="54"/>
      <c r="P239" s="54"/>
      <c r="Q239" s="54"/>
      <c r="R239" s="54"/>
      <c r="S239" s="47"/>
      <c r="T239" s="48"/>
      <c r="U239" s="48"/>
      <c r="V239" s="48"/>
      <c r="W239" s="48"/>
      <c r="X239" s="49"/>
      <c r="Y239" s="49"/>
      <c r="Z239" s="49"/>
      <c r="AA239" s="49"/>
      <c r="AB239" s="49"/>
      <c r="AC239" s="49"/>
      <c r="AD239" s="49"/>
      <c r="AE239" s="49"/>
      <c r="AF239" s="49"/>
      <c r="AG239" s="49"/>
      <c r="AH239" s="49"/>
      <c r="AI239" s="49"/>
      <c r="AJ239" s="49"/>
      <c r="AK239" s="49"/>
      <c r="AL239" s="49"/>
      <c r="AM239" s="49"/>
      <c r="AN239" s="49"/>
      <c r="AO239" s="49"/>
      <c r="AP239" s="49"/>
      <c r="AQ239" s="49"/>
      <c r="AR239" s="49"/>
      <c r="AS239" s="49"/>
      <c r="AT239" s="49"/>
      <c r="AU239" s="49"/>
      <c r="AV239" s="49"/>
      <c r="AW239" s="49"/>
      <c r="AX239" s="49"/>
      <c r="AY239" s="49"/>
      <c r="AZ239" s="49"/>
      <c r="BA239" s="49"/>
      <c r="BB239" s="49"/>
      <c r="BC239" s="49"/>
      <c r="BD239" s="49"/>
      <c r="BE239" s="49"/>
      <c r="BF239" s="49"/>
      <c r="BG239" s="49"/>
      <c r="BH239" s="49"/>
      <c r="BI239" s="49"/>
      <c r="BJ239" s="49"/>
      <c r="BK239" s="49"/>
      <c r="BL239" s="49"/>
      <c r="BM239" s="49"/>
      <c r="BN239" s="49"/>
      <c r="BO239" s="49"/>
      <c r="BP239" s="49"/>
      <c r="BQ239" s="49"/>
      <c r="BR239" s="49"/>
      <c r="BS239" s="49"/>
      <c r="BT239" s="49"/>
      <c r="BU239" s="49"/>
      <c r="BV239" s="49"/>
      <c r="BW239" s="49"/>
      <c r="BX239" s="49"/>
      <c r="BY239" s="49"/>
      <c r="BZ239" s="49"/>
      <c r="CA239" s="49"/>
      <c r="CB239" s="49"/>
      <c r="CC239" s="49"/>
      <c r="CD239" s="49"/>
      <c r="CE239" s="49"/>
      <c r="CF239" s="49"/>
      <c r="CG239" s="49"/>
      <c r="CH239" s="49"/>
      <c r="CI239" s="49"/>
      <c r="CJ239" s="49"/>
      <c r="CK239" s="49"/>
      <c r="CL239" s="49"/>
      <c r="CM239" s="49"/>
      <c r="CN239" s="49"/>
      <c r="CO239" s="49"/>
      <c r="CP239" s="49"/>
      <c r="CQ239" s="49"/>
      <c r="CT239" s="54"/>
      <c r="DE239" s="34"/>
    </row>
    <row r="240" spans="1:109" ht="14.5" x14ac:dyDescent="0.35">
      <c r="A240" s="19"/>
      <c r="B240" s="1"/>
      <c r="C240"/>
      <c r="D240"/>
      <c r="E240" s="38"/>
      <c r="F240" s="38"/>
      <c r="G240" s="38"/>
      <c r="H240" s="38"/>
      <c r="I240" s="38"/>
      <c r="J240" s="33"/>
      <c r="K240" s="46"/>
      <c r="O240" s="54"/>
      <c r="P240" s="54"/>
      <c r="Q240" s="54"/>
      <c r="R240" s="54"/>
      <c r="S240" s="47"/>
      <c r="T240" s="48"/>
      <c r="U240" s="48"/>
      <c r="V240" s="48"/>
      <c r="W240" s="48"/>
      <c r="X240" s="49"/>
      <c r="Y240" s="49"/>
      <c r="Z240" s="49"/>
      <c r="AA240" s="49"/>
      <c r="AB240" s="49"/>
      <c r="AC240" s="49"/>
      <c r="AD240" s="49"/>
      <c r="AE240" s="49"/>
      <c r="AF240" s="49"/>
      <c r="AG240" s="49"/>
      <c r="AH240" s="49"/>
      <c r="AI240" s="49"/>
      <c r="AJ240" s="49"/>
      <c r="AK240" s="49"/>
      <c r="AL240" s="49"/>
      <c r="AM240" s="49"/>
      <c r="AN240" s="49"/>
      <c r="AO240" s="49"/>
      <c r="AP240" s="49"/>
      <c r="AQ240" s="49"/>
      <c r="AR240" s="49"/>
      <c r="AS240" s="49"/>
      <c r="AT240" s="49"/>
      <c r="AU240" s="49"/>
      <c r="AV240" s="49"/>
      <c r="AW240" s="49"/>
      <c r="AX240" s="49"/>
      <c r="AY240" s="49"/>
      <c r="AZ240" s="49"/>
      <c r="BA240" s="49"/>
      <c r="BB240" s="49"/>
      <c r="BC240" s="49"/>
      <c r="BD240" s="49"/>
      <c r="BE240" s="49"/>
      <c r="BF240" s="49"/>
      <c r="BG240" s="49"/>
      <c r="BH240" s="49"/>
      <c r="BI240" s="49"/>
      <c r="BJ240" s="49"/>
      <c r="BK240" s="49"/>
      <c r="BL240" s="49"/>
      <c r="BM240" s="49"/>
      <c r="BN240" s="49"/>
      <c r="BO240" s="49"/>
      <c r="BP240" s="49"/>
      <c r="BQ240" s="49"/>
      <c r="BR240" s="49"/>
      <c r="BS240" s="49"/>
      <c r="BT240" s="49"/>
      <c r="BU240" s="49"/>
      <c r="BV240" s="49"/>
      <c r="BW240" s="49"/>
      <c r="BX240" s="49"/>
      <c r="BY240" s="49"/>
      <c r="BZ240" s="49"/>
      <c r="CA240" s="49"/>
      <c r="CB240" s="49"/>
      <c r="CC240" s="49"/>
      <c r="CD240" s="49"/>
      <c r="CE240" s="49"/>
      <c r="CF240" s="49"/>
      <c r="CG240" s="49"/>
      <c r="CH240" s="49"/>
      <c r="CI240" s="49"/>
      <c r="CJ240" s="49"/>
      <c r="CK240" s="49"/>
      <c r="CL240" s="49"/>
      <c r="CM240" s="49"/>
      <c r="CN240" s="49"/>
      <c r="CO240" s="49"/>
      <c r="CP240" s="49"/>
      <c r="CQ240" s="49"/>
      <c r="CT240" s="54"/>
      <c r="DE240" s="34"/>
    </row>
    <row r="241" spans="1:109" ht="14.5" x14ac:dyDescent="0.35">
      <c r="A241" s="19"/>
      <c r="B241" s="1"/>
      <c r="C241"/>
      <c r="D241"/>
      <c r="E241" s="38"/>
      <c r="F241" s="38"/>
      <c r="G241" s="38"/>
      <c r="H241" s="38"/>
      <c r="I241" s="38"/>
      <c r="J241" s="33"/>
      <c r="K241" s="46"/>
      <c r="O241" s="54"/>
      <c r="P241" s="54"/>
      <c r="Q241" s="54"/>
      <c r="R241" s="54"/>
      <c r="S241" s="47"/>
      <c r="T241" s="48"/>
      <c r="U241" s="48"/>
      <c r="V241" s="48"/>
      <c r="W241" s="48"/>
      <c r="X241" s="49"/>
      <c r="Y241" s="49"/>
      <c r="Z241" s="49"/>
      <c r="AA241" s="49"/>
      <c r="AB241" s="49"/>
      <c r="AC241" s="49"/>
      <c r="AD241" s="49"/>
      <c r="AE241" s="49"/>
      <c r="AF241" s="49"/>
      <c r="AG241" s="49"/>
      <c r="AH241" s="49"/>
      <c r="AI241" s="49"/>
      <c r="AJ241" s="49"/>
      <c r="AK241" s="49"/>
      <c r="AL241" s="49"/>
      <c r="AM241" s="49"/>
      <c r="AN241" s="49"/>
      <c r="AO241" s="49"/>
      <c r="AP241" s="49"/>
      <c r="AQ241" s="49"/>
      <c r="AR241" s="49"/>
      <c r="AS241" s="49"/>
      <c r="AT241" s="49"/>
      <c r="AU241" s="49"/>
      <c r="AV241" s="49"/>
      <c r="AW241" s="49"/>
      <c r="AX241" s="49"/>
      <c r="AY241" s="49"/>
      <c r="AZ241" s="49"/>
      <c r="BA241" s="49"/>
      <c r="BB241" s="49"/>
      <c r="BC241" s="49"/>
      <c r="BD241" s="49"/>
      <c r="BE241" s="49"/>
      <c r="BF241" s="49"/>
      <c r="BG241" s="49"/>
      <c r="BH241" s="49"/>
      <c r="BI241" s="49"/>
      <c r="BJ241" s="49"/>
      <c r="BK241" s="49"/>
      <c r="BL241" s="49"/>
      <c r="BM241" s="49"/>
      <c r="BN241" s="49"/>
      <c r="BO241" s="49"/>
      <c r="BP241" s="49"/>
      <c r="BQ241" s="49"/>
      <c r="BR241" s="49"/>
      <c r="BS241" s="49"/>
      <c r="BT241" s="49"/>
      <c r="BU241" s="49"/>
      <c r="BV241" s="49"/>
      <c r="BW241" s="49"/>
      <c r="BX241" s="49"/>
      <c r="BY241" s="49"/>
      <c r="BZ241" s="49"/>
      <c r="CA241" s="49"/>
      <c r="CB241" s="49"/>
      <c r="CC241" s="49"/>
      <c r="CD241" s="49"/>
      <c r="CE241" s="49"/>
      <c r="CF241" s="49"/>
      <c r="CG241" s="49"/>
      <c r="CH241" s="49"/>
      <c r="CI241" s="49"/>
      <c r="CJ241" s="49"/>
      <c r="CK241" s="49"/>
      <c r="CL241" s="49"/>
      <c r="CM241" s="49"/>
      <c r="CN241" s="49"/>
      <c r="CO241" s="49"/>
      <c r="CP241" s="49"/>
      <c r="CQ241" s="49"/>
      <c r="CT241" s="54"/>
      <c r="DE241" s="34"/>
    </row>
    <row r="242" spans="1:109" ht="14.5" x14ac:dyDescent="0.35">
      <c r="A242" s="19"/>
      <c r="B242" s="1"/>
      <c r="C242"/>
      <c r="D242"/>
      <c r="E242" s="38"/>
      <c r="F242" s="38"/>
      <c r="G242" s="38"/>
      <c r="H242" s="38"/>
      <c r="I242" s="38"/>
      <c r="J242" s="33"/>
      <c r="K242" s="46"/>
      <c r="O242" s="54"/>
      <c r="P242" s="54"/>
      <c r="Q242" s="54"/>
      <c r="R242" s="54"/>
      <c r="S242" s="47"/>
      <c r="T242" s="48"/>
      <c r="U242" s="48"/>
      <c r="V242" s="48"/>
      <c r="W242" s="48"/>
      <c r="X242" s="49"/>
      <c r="Y242" s="49"/>
      <c r="Z242" s="49"/>
      <c r="AA242" s="49"/>
      <c r="AB242" s="49"/>
      <c r="AC242" s="49"/>
      <c r="AD242" s="49"/>
      <c r="AE242" s="49"/>
      <c r="AF242" s="49"/>
      <c r="AG242" s="49"/>
      <c r="AH242" s="49"/>
      <c r="AI242" s="49"/>
      <c r="AJ242" s="49"/>
      <c r="AK242" s="49"/>
      <c r="AL242" s="49"/>
      <c r="AM242" s="49"/>
      <c r="AN242" s="49"/>
      <c r="AO242" s="49"/>
      <c r="AP242" s="49"/>
      <c r="AQ242" s="49"/>
      <c r="AR242" s="49"/>
      <c r="AS242" s="49"/>
      <c r="AT242" s="49"/>
      <c r="AU242" s="49"/>
      <c r="AV242" s="49"/>
      <c r="AW242" s="49"/>
      <c r="AX242" s="49"/>
      <c r="AY242" s="49"/>
      <c r="AZ242" s="49"/>
      <c r="BA242" s="49"/>
      <c r="BB242" s="49"/>
      <c r="BC242" s="49"/>
      <c r="BD242" s="49"/>
      <c r="BE242" s="49"/>
      <c r="BF242" s="49"/>
      <c r="BG242" s="49"/>
      <c r="BH242" s="49"/>
      <c r="BI242" s="49"/>
      <c r="BJ242" s="49"/>
      <c r="BK242" s="49"/>
      <c r="BL242" s="49"/>
      <c r="BM242" s="49"/>
      <c r="BN242" s="49"/>
      <c r="BO242" s="49"/>
      <c r="BP242" s="49"/>
      <c r="BQ242" s="49"/>
      <c r="BR242" s="49"/>
      <c r="BS242" s="49"/>
      <c r="BT242" s="49"/>
      <c r="BU242" s="49"/>
      <c r="BV242" s="49"/>
      <c r="BW242" s="49"/>
      <c r="BX242" s="49"/>
      <c r="BY242" s="49"/>
      <c r="BZ242" s="49"/>
      <c r="CA242" s="49"/>
      <c r="CB242" s="49"/>
      <c r="CC242" s="49"/>
      <c r="CD242" s="49"/>
      <c r="CE242" s="49"/>
      <c r="CF242" s="49"/>
      <c r="CG242" s="49"/>
      <c r="CH242" s="49"/>
      <c r="CI242" s="49"/>
      <c r="CJ242" s="49"/>
      <c r="CK242" s="49"/>
      <c r="CL242" s="49"/>
      <c r="CM242" s="49"/>
      <c r="CN242" s="49"/>
      <c r="CO242" s="49"/>
      <c r="CP242" s="49"/>
      <c r="CQ242" s="49"/>
      <c r="CT242" s="54"/>
      <c r="DE242" s="34"/>
    </row>
    <row r="243" spans="1:109" ht="14.5" x14ac:dyDescent="0.35">
      <c r="A243" s="19"/>
      <c r="B243" s="1"/>
      <c r="C243"/>
      <c r="D243"/>
      <c r="E243" s="38"/>
      <c r="F243" s="38"/>
      <c r="G243" s="38"/>
      <c r="H243" s="38"/>
      <c r="I243" s="38"/>
      <c r="J243" s="33"/>
      <c r="K243" s="46"/>
      <c r="O243" s="54"/>
      <c r="P243" s="54"/>
      <c r="Q243" s="54"/>
      <c r="R243" s="54"/>
      <c r="S243" s="47"/>
      <c r="T243" s="48"/>
      <c r="U243" s="48"/>
      <c r="V243" s="48"/>
      <c r="W243" s="48"/>
      <c r="X243" s="49"/>
      <c r="Y243" s="49"/>
      <c r="Z243" s="49"/>
      <c r="AA243" s="49"/>
      <c r="AB243" s="49"/>
      <c r="AC243" s="49"/>
      <c r="AD243" s="49"/>
      <c r="AE243" s="49"/>
      <c r="AF243" s="49"/>
      <c r="AG243" s="49"/>
      <c r="AH243" s="49"/>
      <c r="AI243" s="49"/>
      <c r="AJ243" s="49"/>
      <c r="AK243" s="49"/>
      <c r="AL243" s="49"/>
      <c r="AM243" s="49"/>
      <c r="AN243" s="49"/>
      <c r="AO243" s="49"/>
      <c r="AP243" s="49"/>
      <c r="AQ243" s="49"/>
      <c r="AR243" s="49"/>
      <c r="AS243" s="49"/>
      <c r="AT243" s="49"/>
      <c r="AU243" s="49"/>
      <c r="AV243" s="49"/>
      <c r="AW243" s="49"/>
      <c r="AX243" s="49"/>
      <c r="AY243" s="49"/>
      <c r="AZ243" s="49"/>
      <c r="BA243" s="49"/>
      <c r="BB243" s="49"/>
      <c r="BC243" s="49"/>
      <c r="BD243" s="49"/>
      <c r="BE243" s="49"/>
      <c r="BF243" s="49"/>
      <c r="BG243" s="49"/>
      <c r="BH243" s="49"/>
      <c r="BI243" s="49"/>
      <c r="BJ243" s="49"/>
      <c r="BK243" s="49"/>
      <c r="BL243" s="49"/>
      <c r="BM243" s="49"/>
      <c r="BN243" s="49"/>
      <c r="BO243" s="49"/>
      <c r="BP243" s="49"/>
      <c r="BQ243" s="49"/>
      <c r="BR243" s="49"/>
      <c r="BS243" s="49"/>
      <c r="BT243" s="49"/>
      <c r="BU243" s="49"/>
      <c r="BV243" s="49"/>
      <c r="BW243" s="49"/>
      <c r="BX243" s="49"/>
      <c r="BY243" s="49"/>
      <c r="BZ243" s="49"/>
      <c r="CA243" s="49"/>
      <c r="CB243" s="49"/>
      <c r="CC243" s="49"/>
      <c r="CD243" s="49"/>
      <c r="CE243" s="49"/>
      <c r="CF243" s="49"/>
      <c r="CG243" s="49"/>
      <c r="CH243" s="49"/>
      <c r="CI243" s="49"/>
      <c r="CJ243" s="49"/>
      <c r="CK243" s="49"/>
      <c r="CL243" s="49"/>
      <c r="CM243" s="49"/>
      <c r="CN243" s="49"/>
      <c r="CO243" s="49"/>
      <c r="CP243" s="49"/>
      <c r="CQ243" s="49"/>
      <c r="CT243" s="54"/>
      <c r="DE243" s="34"/>
    </row>
    <row r="244" spans="1:109" ht="14.5" x14ac:dyDescent="0.35">
      <c r="A244" s="19"/>
      <c r="B244" s="1"/>
      <c r="C244"/>
      <c r="D244"/>
      <c r="E244" s="38"/>
      <c r="F244" s="38"/>
      <c r="G244" s="38"/>
      <c r="H244" s="38"/>
      <c r="I244" s="38"/>
      <c r="J244" s="33"/>
      <c r="K244" s="46"/>
      <c r="O244" s="54"/>
      <c r="P244" s="54"/>
      <c r="Q244" s="54"/>
      <c r="R244" s="54"/>
      <c r="S244" s="47"/>
      <c r="T244" s="48"/>
      <c r="U244" s="48"/>
      <c r="V244" s="48"/>
      <c r="W244" s="48"/>
      <c r="X244" s="49"/>
      <c r="Y244" s="49"/>
      <c r="Z244" s="49"/>
      <c r="AA244" s="49"/>
      <c r="AB244" s="49"/>
      <c r="AC244" s="49"/>
      <c r="AD244" s="49"/>
      <c r="AE244" s="49"/>
      <c r="AF244" s="49"/>
      <c r="AG244" s="49"/>
      <c r="AH244" s="49"/>
      <c r="AI244" s="49"/>
      <c r="AJ244" s="49"/>
      <c r="AK244" s="49"/>
      <c r="AL244" s="49"/>
      <c r="AM244" s="49"/>
      <c r="AN244" s="49"/>
      <c r="AO244" s="49"/>
      <c r="AP244" s="49"/>
      <c r="AQ244" s="49"/>
      <c r="AR244" s="49"/>
      <c r="AS244" s="49"/>
      <c r="AT244" s="49"/>
      <c r="AU244" s="49"/>
      <c r="AV244" s="49"/>
      <c r="AW244" s="49"/>
      <c r="AX244" s="49"/>
      <c r="AY244" s="49"/>
      <c r="AZ244" s="49"/>
      <c r="BA244" s="49"/>
      <c r="BB244" s="49"/>
      <c r="BC244" s="49"/>
      <c r="BD244" s="49"/>
      <c r="BE244" s="49"/>
      <c r="BF244" s="49"/>
      <c r="BG244" s="49"/>
      <c r="BH244" s="49"/>
      <c r="BI244" s="49"/>
      <c r="BJ244" s="49"/>
      <c r="BK244" s="49"/>
      <c r="BL244" s="49"/>
      <c r="BM244" s="49"/>
      <c r="BN244" s="49"/>
      <c r="BO244" s="49"/>
      <c r="BP244" s="49"/>
      <c r="BQ244" s="49"/>
      <c r="BR244" s="49"/>
      <c r="BS244" s="49"/>
      <c r="BT244" s="49"/>
      <c r="BU244" s="49"/>
      <c r="BV244" s="49"/>
      <c r="BW244" s="49"/>
      <c r="BX244" s="49"/>
      <c r="BY244" s="49"/>
      <c r="BZ244" s="49"/>
      <c r="CA244" s="49"/>
      <c r="CB244" s="49"/>
      <c r="CC244" s="49"/>
      <c r="CD244" s="49"/>
      <c r="CE244" s="49"/>
      <c r="CF244" s="49"/>
      <c r="CG244" s="49"/>
      <c r="CH244" s="49"/>
      <c r="CI244" s="49"/>
      <c r="CJ244" s="49"/>
      <c r="CK244" s="49"/>
      <c r="CL244" s="49"/>
      <c r="CM244" s="49"/>
      <c r="CN244" s="49"/>
      <c r="CO244" s="49"/>
      <c r="CP244" s="49"/>
      <c r="CQ244" s="49"/>
      <c r="CT244" s="54"/>
      <c r="DE244" s="34"/>
    </row>
    <row r="245" spans="1:109" ht="14.5" x14ac:dyDescent="0.35">
      <c r="A245" s="19"/>
      <c r="B245" s="1"/>
      <c r="C245"/>
      <c r="D245"/>
      <c r="E245" s="38"/>
      <c r="F245" s="38"/>
      <c r="G245" s="38"/>
      <c r="H245" s="38"/>
      <c r="I245" s="38"/>
      <c r="J245" s="33"/>
      <c r="K245" s="46"/>
      <c r="O245" s="54"/>
      <c r="P245" s="54"/>
      <c r="Q245" s="54"/>
      <c r="R245" s="54"/>
      <c r="S245" s="47"/>
      <c r="T245" s="48"/>
      <c r="U245" s="48"/>
      <c r="V245" s="48"/>
      <c r="W245" s="48"/>
      <c r="X245" s="49"/>
      <c r="Y245" s="49"/>
      <c r="Z245" s="49"/>
      <c r="AA245" s="49"/>
      <c r="AB245" s="49"/>
      <c r="AC245" s="49"/>
      <c r="AD245" s="49"/>
      <c r="AE245" s="49"/>
      <c r="AF245" s="49"/>
      <c r="AG245" s="49"/>
      <c r="AH245" s="49"/>
      <c r="AI245" s="49"/>
      <c r="AJ245" s="49"/>
      <c r="AK245" s="49"/>
      <c r="AL245" s="49"/>
      <c r="AM245" s="49"/>
      <c r="AN245" s="49"/>
      <c r="AO245" s="49"/>
      <c r="AP245" s="49"/>
      <c r="AQ245" s="49"/>
      <c r="AR245" s="49"/>
      <c r="AS245" s="49"/>
      <c r="AT245" s="49"/>
      <c r="AU245" s="49"/>
      <c r="AV245" s="49"/>
      <c r="AW245" s="49"/>
      <c r="AX245" s="49"/>
      <c r="AY245" s="49"/>
      <c r="AZ245" s="49"/>
      <c r="BA245" s="49"/>
      <c r="BB245" s="49"/>
      <c r="BC245" s="49"/>
      <c r="BD245" s="49"/>
      <c r="BE245" s="49"/>
      <c r="BF245" s="49"/>
      <c r="BG245" s="49"/>
      <c r="BH245" s="49"/>
      <c r="BI245" s="49"/>
      <c r="BJ245" s="49"/>
      <c r="BK245" s="49"/>
      <c r="BL245" s="49"/>
      <c r="BM245" s="49"/>
      <c r="BN245" s="49"/>
      <c r="BO245" s="49"/>
      <c r="BP245" s="49"/>
      <c r="BQ245" s="49"/>
      <c r="BR245" s="49"/>
      <c r="BS245" s="49"/>
      <c r="BT245" s="49"/>
      <c r="BU245" s="49"/>
      <c r="BV245" s="49"/>
      <c r="BW245" s="49"/>
      <c r="BX245" s="49"/>
      <c r="BY245" s="49"/>
      <c r="BZ245" s="49"/>
      <c r="CA245" s="49"/>
      <c r="CB245" s="49"/>
      <c r="CC245" s="49"/>
      <c r="CD245" s="49"/>
      <c r="CE245" s="49"/>
      <c r="CF245" s="49"/>
      <c r="CG245" s="49"/>
      <c r="CH245" s="49"/>
      <c r="CI245" s="49"/>
      <c r="CJ245" s="49"/>
      <c r="CK245" s="49"/>
      <c r="CL245" s="49"/>
      <c r="CM245" s="49"/>
      <c r="CN245" s="49"/>
      <c r="CO245" s="49"/>
      <c r="CP245" s="49"/>
      <c r="CQ245" s="49"/>
      <c r="CT245" s="54"/>
      <c r="DE245" s="34"/>
    </row>
    <row r="246" spans="1:109" ht="14.5" x14ac:dyDescent="0.35">
      <c r="A246" s="19"/>
      <c r="B246" s="1"/>
      <c r="C246"/>
      <c r="D246"/>
      <c r="E246" s="38"/>
      <c r="F246" s="38"/>
      <c r="G246" s="38"/>
      <c r="H246" s="38"/>
      <c r="I246" s="38"/>
      <c r="J246" s="33"/>
      <c r="K246" s="46"/>
      <c r="O246" s="54"/>
      <c r="P246" s="54"/>
      <c r="Q246" s="54"/>
      <c r="R246" s="54"/>
      <c r="S246" s="47"/>
      <c r="T246" s="48"/>
      <c r="U246" s="48"/>
      <c r="V246" s="48"/>
      <c r="W246" s="48"/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49"/>
      <c r="AI246" s="49"/>
      <c r="AJ246" s="49"/>
      <c r="AK246" s="49"/>
      <c r="AL246" s="49"/>
      <c r="AM246" s="49"/>
      <c r="AN246" s="49"/>
      <c r="AO246" s="49"/>
      <c r="AP246" s="49"/>
      <c r="AQ246" s="49"/>
      <c r="AR246" s="49"/>
      <c r="AS246" s="49"/>
      <c r="AT246" s="49"/>
      <c r="AU246" s="49"/>
      <c r="AV246" s="49"/>
      <c r="AW246" s="49"/>
      <c r="AX246" s="49"/>
      <c r="AY246" s="49"/>
      <c r="AZ246" s="49"/>
      <c r="BA246" s="49"/>
      <c r="BB246" s="49"/>
      <c r="BC246" s="49"/>
      <c r="BD246" s="49"/>
      <c r="BE246" s="49"/>
      <c r="BF246" s="49"/>
      <c r="BG246" s="49"/>
      <c r="BH246" s="49"/>
      <c r="BI246" s="49"/>
      <c r="BJ246" s="49"/>
      <c r="BK246" s="49"/>
      <c r="BL246" s="49"/>
      <c r="BM246" s="49"/>
      <c r="BN246" s="49"/>
      <c r="BO246" s="49"/>
      <c r="BP246" s="49"/>
      <c r="BQ246" s="49"/>
      <c r="BR246" s="49"/>
      <c r="BS246" s="49"/>
      <c r="BT246" s="49"/>
      <c r="BU246" s="49"/>
      <c r="BV246" s="49"/>
      <c r="BW246" s="49"/>
      <c r="BX246" s="49"/>
      <c r="BY246" s="49"/>
      <c r="BZ246" s="49"/>
      <c r="CA246" s="49"/>
      <c r="CB246" s="49"/>
      <c r="CC246" s="49"/>
      <c r="CD246" s="49"/>
      <c r="CE246" s="49"/>
      <c r="CF246" s="49"/>
      <c r="CG246" s="49"/>
      <c r="CH246" s="49"/>
      <c r="CI246" s="49"/>
      <c r="CJ246" s="49"/>
      <c r="CK246" s="49"/>
      <c r="CL246" s="49"/>
      <c r="CM246" s="49"/>
      <c r="CN246" s="49"/>
      <c r="CO246" s="49"/>
      <c r="CP246" s="49"/>
      <c r="CQ246" s="49"/>
      <c r="CT246" s="54"/>
      <c r="DE246" s="34"/>
    </row>
    <row r="247" spans="1:109" ht="14.5" x14ac:dyDescent="0.35">
      <c r="A247" s="19"/>
      <c r="B247" s="1"/>
      <c r="C247"/>
      <c r="D247"/>
      <c r="E247" s="38"/>
      <c r="F247" s="38"/>
      <c r="G247" s="38"/>
      <c r="H247" s="38"/>
      <c r="I247" s="38"/>
      <c r="J247" s="33"/>
      <c r="K247" s="46"/>
      <c r="O247" s="54"/>
      <c r="P247" s="54"/>
      <c r="Q247" s="54"/>
      <c r="R247" s="54"/>
      <c r="S247" s="47"/>
      <c r="T247" s="48"/>
      <c r="U247" s="48"/>
      <c r="V247" s="48"/>
      <c r="W247" s="48"/>
      <c r="X247" s="49"/>
      <c r="Y247" s="49"/>
      <c r="Z247" s="49"/>
      <c r="AA247" s="49"/>
      <c r="AB247" s="49"/>
      <c r="AC247" s="49"/>
      <c r="AD247" s="49"/>
      <c r="AE247" s="49"/>
      <c r="AF247" s="49"/>
      <c r="AG247" s="49"/>
      <c r="AH247" s="49"/>
      <c r="AI247" s="49"/>
      <c r="AJ247" s="49"/>
      <c r="AK247" s="49"/>
      <c r="AL247" s="49"/>
      <c r="AM247" s="49"/>
      <c r="AN247" s="49"/>
      <c r="AO247" s="49"/>
      <c r="AP247" s="49"/>
      <c r="AQ247" s="49"/>
      <c r="AR247" s="49"/>
      <c r="AS247" s="49"/>
      <c r="AT247" s="49"/>
      <c r="AU247" s="49"/>
      <c r="AV247" s="49"/>
      <c r="AW247" s="49"/>
      <c r="AX247" s="49"/>
      <c r="AY247" s="49"/>
      <c r="AZ247" s="49"/>
      <c r="BA247" s="49"/>
      <c r="BB247" s="49"/>
      <c r="BC247" s="49"/>
      <c r="BD247" s="49"/>
      <c r="BE247" s="49"/>
      <c r="BF247" s="49"/>
      <c r="BG247" s="49"/>
      <c r="BH247" s="49"/>
      <c r="BI247" s="49"/>
      <c r="BJ247" s="49"/>
      <c r="BK247" s="49"/>
      <c r="BL247" s="49"/>
      <c r="BM247" s="49"/>
      <c r="BN247" s="49"/>
      <c r="BO247" s="49"/>
      <c r="BP247" s="49"/>
      <c r="BQ247" s="49"/>
      <c r="BR247" s="49"/>
      <c r="BS247" s="49"/>
      <c r="BT247" s="49"/>
      <c r="BU247" s="49"/>
      <c r="BV247" s="49"/>
      <c r="BW247" s="49"/>
      <c r="BX247" s="49"/>
      <c r="BY247" s="49"/>
      <c r="BZ247" s="49"/>
      <c r="CA247" s="49"/>
      <c r="CB247" s="49"/>
      <c r="CC247" s="49"/>
      <c r="CD247" s="49"/>
      <c r="CE247" s="49"/>
      <c r="CF247" s="49"/>
      <c r="CG247" s="49"/>
      <c r="CH247" s="49"/>
      <c r="CI247" s="49"/>
      <c r="CJ247" s="49"/>
      <c r="CK247" s="49"/>
      <c r="CL247" s="49"/>
      <c r="CM247" s="49"/>
      <c r="CN247" s="49"/>
      <c r="CO247" s="49"/>
      <c r="CP247" s="49"/>
      <c r="CQ247" s="49"/>
      <c r="CT247" s="54"/>
      <c r="DE247" s="34"/>
    </row>
    <row r="248" spans="1:109" ht="14.5" x14ac:dyDescent="0.35">
      <c r="A248" s="19"/>
      <c r="B248" s="1"/>
      <c r="C248"/>
      <c r="D248"/>
      <c r="E248" s="38"/>
      <c r="F248" s="38"/>
      <c r="G248" s="38"/>
      <c r="H248" s="38"/>
      <c r="I248" s="38"/>
      <c r="J248" s="33"/>
      <c r="K248" s="46"/>
      <c r="O248" s="54"/>
      <c r="P248" s="54"/>
      <c r="Q248" s="54"/>
      <c r="R248" s="54"/>
      <c r="S248" s="47"/>
      <c r="T248" s="48"/>
      <c r="U248" s="48"/>
      <c r="V248" s="48"/>
      <c r="W248" s="48"/>
      <c r="X248" s="49"/>
      <c r="Y248" s="49"/>
      <c r="Z248" s="49"/>
      <c r="AA248" s="49"/>
      <c r="AB248" s="49"/>
      <c r="AC248" s="49"/>
      <c r="AD248" s="49"/>
      <c r="AE248" s="49"/>
      <c r="AF248" s="49"/>
      <c r="AG248" s="49"/>
      <c r="AH248" s="49"/>
      <c r="AI248" s="49"/>
      <c r="AJ248" s="49"/>
      <c r="AK248" s="49"/>
      <c r="AL248" s="49"/>
      <c r="AM248" s="49"/>
      <c r="AN248" s="49"/>
      <c r="AO248" s="49"/>
      <c r="AP248" s="49"/>
      <c r="AQ248" s="49"/>
      <c r="AR248" s="49"/>
      <c r="AS248" s="49"/>
      <c r="AT248" s="49"/>
      <c r="AU248" s="49"/>
      <c r="AV248" s="49"/>
      <c r="AW248" s="49"/>
      <c r="AX248" s="49"/>
      <c r="AY248" s="49"/>
      <c r="AZ248" s="49"/>
      <c r="BA248" s="49"/>
      <c r="BB248" s="49"/>
      <c r="BC248" s="49"/>
      <c r="BD248" s="49"/>
      <c r="BE248" s="49"/>
      <c r="BF248" s="49"/>
      <c r="BG248" s="49"/>
      <c r="BH248" s="49"/>
      <c r="BI248" s="49"/>
      <c r="BJ248" s="49"/>
      <c r="BK248" s="49"/>
      <c r="BL248" s="49"/>
      <c r="BM248" s="49"/>
      <c r="BN248" s="49"/>
      <c r="BO248" s="49"/>
      <c r="BP248" s="49"/>
      <c r="BQ248" s="49"/>
      <c r="BR248" s="49"/>
      <c r="BS248" s="49"/>
      <c r="BT248" s="49"/>
      <c r="BU248" s="49"/>
      <c r="BV248" s="49"/>
      <c r="BW248" s="49"/>
      <c r="BX248" s="49"/>
      <c r="BY248" s="49"/>
      <c r="BZ248" s="49"/>
      <c r="CA248" s="49"/>
      <c r="CB248" s="49"/>
      <c r="CC248" s="49"/>
      <c r="CD248" s="49"/>
      <c r="CE248" s="49"/>
      <c r="CF248" s="49"/>
      <c r="CG248" s="49"/>
      <c r="CH248" s="49"/>
      <c r="CI248" s="49"/>
      <c r="CJ248" s="49"/>
      <c r="CK248" s="49"/>
      <c r="CL248" s="49"/>
      <c r="CM248" s="49"/>
      <c r="CN248" s="49"/>
      <c r="CO248" s="49"/>
      <c r="CP248" s="49"/>
      <c r="CQ248" s="49"/>
      <c r="CT248" s="54"/>
      <c r="DE248" s="34"/>
    </row>
    <row r="249" spans="1:109" ht="14.5" x14ac:dyDescent="0.35">
      <c r="A249" s="19"/>
      <c r="B249" s="1"/>
      <c r="C249"/>
      <c r="D249"/>
      <c r="E249" s="38"/>
      <c r="F249" s="38"/>
      <c r="G249" s="38"/>
      <c r="H249" s="38"/>
      <c r="I249" s="38"/>
      <c r="J249" s="33"/>
      <c r="K249" s="46"/>
      <c r="O249" s="54"/>
      <c r="P249" s="54"/>
      <c r="Q249" s="54"/>
      <c r="R249" s="54"/>
      <c r="S249" s="47"/>
      <c r="T249" s="48"/>
      <c r="U249" s="48"/>
      <c r="V249" s="48"/>
      <c r="W249" s="48"/>
      <c r="X249" s="49"/>
      <c r="Y249" s="49"/>
      <c r="Z249" s="49"/>
      <c r="AA249" s="49"/>
      <c r="AB249" s="49"/>
      <c r="AC249" s="49"/>
      <c r="AD249" s="49"/>
      <c r="AE249" s="49"/>
      <c r="AF249" s="49"/>
      <c r="AG249" s="49"/>
      <c r="AH249" s="49"/>
      <c r="AI249" s="49"/>
      <c r="AJ249" s="49"/>
      <c r="AK249" s="49"/>
      <c r="AL249" s="49"/>
      <c r="AM249" s="49"/>
      <c r="AN249" s="49"/>
      <c r="AO249" s="49"/>
      <c r="AP249" s="49"/>
      <c r="AQ249" s="49"/>
      <c r="AR249" s="49"/>
      <c r="AS249" s="49"/>
      <c r="AT249" s="49"/>
      <c r="AU249" s="49"/>
      <c r="AV249" s="49"/>
      <c r="AW249" s="49"/>
      <c r="AX249" s="49"/>
      <c r="AY249" s="49"/>
      <c r="AZ249" s="49"/>
      <c r="BA249" s="49"/>
      <c r="BB249" s="49"/>
      <c r="BC249" s="49"/>
      <c r="BD249" s="49"/>
      <c r="BE249" s="49"/>
      <c r="BF249" s="49"/>
      <c r="BG249" s="49"/>
      <c r="BH249" s="49"/>
      <c r="BI249" s="49"/>
      <c r="BJ249" s="49"/>
      <c r="BK249" s="49"/>
      <c r="BL249" s="49"/>
      <c r="BM249" s="49"/>
      <c r="BN249" s="49"/>
      <c r="BO249" s="49"/>
      <c r="BP249" s="49"/>
      <c r="BQ249" s="49"/>
      <c r="BR249" s="49"/>
      <c r="BS249" s="49"/>
      <c r="BT249" s="49"/>
      <c r="BU249" s="49"/>
      <c r="BV249" s="49"/>
      <c r="BW249" s="49"/>
      <c r="BX249" s="49"/>
      <c r="BY249" s="49"/>
      <c r="BZ249" s="49"/>
      <c r="CA249" s="49"/>
      <c r="CB249" s="49"/>
      <c r="CC249" s="49"/>
      <c r="CD249" s="49"/>
      <c r="CE249" s="49"/>
      <c r="CF249" s="49"/>
      <c r="CG249" s="49"/>
      <c r="CH249" s="49"/>
      <c r="CI249" s="49"/>
      <c r="CJ249" s="49"/>
      <c r="CK249" s="49"/>
      <c r="CL249" s="49"/>
      <c r="CM249" s="49"/>
      <c r="CN249" s="49"/>
      <c r="CO249" s="49"/>
      <c r="CP249" s="49"/>
      <c r="CQ249" s="49"/>
      <c r="CT249" s="54"/>
      <c r="DE249" s="34"/>
    </row>
    <row r="250" spans="1:109" ht="14.5" x14ac:dyDescent="0.35">
      <c r="A250" s="19"/>
      <c r="B250" s="1"/>
      <c r="C250"/>
      <c r="D250"/>
      <c r="E250" s="38"/>
      <c r="F250" s="38"/>
      <c r="G250" s="38"/>
      <c r="H250" s="38"/>
      <c r="I250" s="38"/>
      <c r="J250" s="33"/>
      <c r="K250" s="46"/>
      <c r="O250" s="54"/>
      <c r="P250" s="54"/>
      <c r="Q250" s="54"/>
      <c r="R250" s="54"/>
      <c r="S250" s="47"/>
      <c r="T250" s="48"/>
      <c r="U250" s="48"/>
      <c r="V250" s="48"/>
      <c r="W250" s="48"/>
      <c r="X250" s="49"/>
      <c r="Y250" s="49"/>
      <c r="Z250" s="49"/>
      <c r="AA250" s="49"/>
      <c r="AB250" s="49"/>
      <c r="AC250" s="49"/>
      <c r="AD250" s="49"/>
      <c r="AE250" s="49"/>
      <c r="AF250" s="49"/>
      <c r="AG250" s="49"/>
      <c r="AH250" s="49"/>
      <c r="AI250" s="49"/>
      <c r="AJ250" s="49"/>
      <c r="AK250" s="49"/>
      <c r="AL250" s="49"/>
      <c r="AM250" s="49"/>
      <c r="AN250" s="49"/>
      <c r="AO250" s="49"/>
      <c r="AP250" s="49"/>
      <c r="AQ250" s="49"/>
      <c r="AR250" s="49"/>
      <c r="AS250" s="49"/>
      <c r="AT250" s="49"/>
      <c r="AU250" s="49"/>
      <c r="AV250" s="49"/>
      <c r="AW250" s="49"/>
      <c r="AX250" s="49"/>
      <c r="AY250" s="49"/>
      <c r="AZ250" s="49"/>
      <c r="BA250" s="49"/>
      <c r="BB250" s="49"/>
      <c r="BC250" s="49"/>
      <c r="BD250" s="49"/>
      <c r="BE250" s="49"/>
      <c r="BF250" s="49"/>
      <c r="BG250" s="49"/>
      <c r="BH250" s="49"/>
      <c r="BI250" s="49"/>
      <c r="BJ250" s="49"/>
      <c r="BK250" s="49"/>
      <c r="BL250" s="49"/>
      <c r="BM250" s="49"/>
      <c r="BN250" s="49"/>
      <c r="BO250" s="49"/>
      <c r="BP250" s="49"/>
      <c r="BQ250" s="49"/>
      <c r="BR250" s="49"/>
      <c r="BS250" s="49"/>
      <c r="BT250" s="49"/>
      <c r="BU250" s="49"/>
      <c r="BV250" s="49"/>
      <c r="BW250" s="49"/>
      <c r="BX250" s="49"/>
      <c r="BY250" s="49"/>
      <c r="BZ250" s="49"/>
      <c r="CA250" s="49"/>
      <c r="CB250" s="49"/>
      <c r="CC250" s="49"/>
      <c r="CD250" s="49"/>
      <c r="CE250" s="49"/>
      <c r="CF250" s="49"/>
      <c r="CG250" s="49"/>
      <c r="CH250" s="49"/>
      <c r="CI250" s="49"/>
      <c r="CJ250" s="49"/>
      <c r="CK250" s="49"/>
      <c r="CL250" s="49"/>
      <c r="CM250" s="49"/>
      <c r="CN250" s="49"/>
      <c r="CO250" s="49"/>
      <c r="CP250" s="49"/>
      <c r="CQ250" s="49"/>
      <c r="CT250" s="54"/>
      <c r="DE250" s="34"/>
    </row>
    <row r="251" spans="1:109" ht="14.5" x14ac:dyDescent="0.35">
      <c r="A251" s="19"/>
      <c r="B251" s="1"/>
      <c r="C251"/>
      <c r="D251"/>
      <c r="E251" s="38"/>
      <c r="F251" s="38"/>
      <c r="G251" s="38"/>
      <c r="H251" s="38"/>
      <c r="I251" s="38"/>
      <c r="J251" s="33"/>
      <c r="K251" s="46"/>
      <c r="O251" s="54"/>
      <c r="P251" s="54"/>
      <c r="Q251" s="54"/>
      <c r="R251" s="54"/>
      <c r="S251" s="47"/>
      <c r="T251" s="48"/>
      <c r="U251" s="48"/>
      <c r="V251" s="48"/>
      <c r="W251" s="48"/>
      <c r="X251" s="49"/>
      <c r="Y251" s="49"/>
      <c r="Z251" s="49"/>
      <c r="AA251" s="49"/>
      <c r="AB251" s="49"/>
      <c r="AC251" s="49"/>
      <c r="AD251" s="49"/>
      <c r="AE251" s="49"/>
      <c r="AF251" s="49"/>
      <c r="AG251" s="49"/>
      <c r="AH251" s="49"/>
      <c r="AI251" s="49"/>
      <c r="AJ251" s="49"/>
      <c r="AK251" s="49"/>
      <c r="AL251" s="49"/>
      <c r="AM251" s="49"/>
      <c r="AN251" s="49"/>
      <c r="AO251" s="49"/>
      <c r="AP251" s="49"/>
      <c r="AQ251" s="49"/>
      <c r="AR251" s="49"/>
      <c r="AS251" s="49"/>
      <c r="AT251" s="49"/>
      <c r="AU251" s="49"/>
      <c r="AV251" s="49"/>
      <c r="AW251" s="49"/>
      <c r="AX251" s="49"/>
      <c r="AY251" s="49"/>
      <c r="AZ251" s="49"/>
      <c r="BA251" s="49"/>
      <c r="BB251" s="49"/>
      <c r="BC251" s="49"/>
      <c r="BD251" s="49"/>
      <c r="BE251" s="49"/>
      <c r="BF251" s="49"/>
      <c r="BG251" s="49"/>
      <c r="BH251" s="49"/>
      <c r="BI251" s="49"/>
      <c r="BJ251" s="49"/>
      <c r="BK251" s="49"/>
      <c r="BL251" s="49"/>
      <c r="BM251" s="49"/>
      <c r="BN251" s="49"/>
      <c r="BO251" s="49"/>
      <c r="BP251" s="49"/>
      <c r="BQ251" s="49"/>
      <c r="BR251" s="49"/>
      <c r="BS251" s="49"/>
      <c r="BT251" s="49"/>
      <c r="BU251" s="49"/>
      <c r="BV251" s="49"/>
      <c r="BW251" s="49"/>
      <c r="BX251" s="49"/>
      <c r="BY251" s="49"/>
      <c r="BZ251" s="49"/>
      <c r="CA251" s="49"/>
      <c r="CB251" s="49"/>
      <c r="CC251" s="49"/>
      <c r="CD251" s="49"/>
      <c r="CE251" s="49"/>
      <c r="CF251" s="49"/>
      <c r="CG251" s="49"/>
      <c r="CH251" s="49"/>
      <c r="CI251" s="49"/>
      <c r="CJ251" s="49"/>
      <c r="CK251" s="49"/>
      <c r="CL251" s="49"/>
      <c r="CM251" s="49"/>
      <c r="CN251" s="49"/>
      <c r="CO251" s="49"/>
      <c r="CP251" s="49"/>
      <c r="CQ251" s="49"/>
      <c r="CT251" s="54"/>
      <c r="DE251" s="34"/>
    </row>
    <row r="252" spans="1:109" ht="14.5" x14ac:dyDescent="0.35">
      <c r="A252" s="19"/>
      <c r="B252" s="1"/>
      <c r="C252"/>
      <c r="D252"/>
      <c r="E252" s="38"/>
      <c r="F252" s="38"/>
      <c r="G252" s="38"/>
      <c r="H252" s="38"/>
      <c r="I252" s="38"/>
      <c r="J252" s="33"/>
      <c r="K252" s="46"/>
      <c r="O252" s="54"/>
      <c r="P252" s="54"/>
      <c r="Q252" s="54"/>
      <c r="R252" s="54"/>
      <c r="S252" s="47"/>
      <c r="T252" s="48"/>
      <c r="U252" s="48"/>
      <c r="V252" s="48"/>
      <c r="W252" s="48"/>
      <c r="X252" s="49"/>
      <c r="Y252" s="49"/>
      <c r="Z252" s="49"/>
      <c r="AA252" s="49"/>
      <c r="AB252" s="49"/>
      <c r="AC252" s="49"/>
      <c r="AD252" s="49"/>
      <c r="AE252" s="49"/>
      <c r="AF252" s="49"/>
      <c r="AG252" s="49"/>
      <c r="AH252" s="49"/>
      <c r="AI252" s="49"/>
      <c r="AJ252" s="49"/>
      <c r="AK252" s="49"/>
      <c r="AL252" s="49"/>
      <c r="AM252" s="49"/>
      <c r="AN252" s="49"/>
      <c r="AO252" s="49"/>
      <c r="AP252" s="49"/>
      <c r="AQ252" s="49"/>
      <c r="AR252" s="49"/>
      <c r="AS252" s="49"/>
      <c r="AT252" s="49"/>
      <c r="AU252" s="49"/>
      <c r="AV252" s="49"/>
      <c r="AW252" s="49"/>
      <c r="AX252" s="49"/>
      <c r="AY252" s="49"/>
      <c r="AZ252" s="49"/>
      <c r="BA252" s="49"/>
      <c r="BB252" s="49"/>
      <c r="BC252" s="49"/>
      <c r="BD252" s="49"/>
      <c r="BE252" s="49"/>
      <c r="BF252" s="49"/>
      <c r="BG252" s="49"/>
      <c r="BH252" s="49"/>
      <c r="BI252" s="49"/>
      <c r="BJ252" s="49"/>
      <c r="BK252" s="49"/>
      <c r="BL252" s="49"/>
      <c r="BM252" s="49"/>
      <c r="BN252" s="49"/>
      <c r="BO252" s="49"/>
      <c r="BP252" s="49"/>
      <c r="BQ252" s="49"/>
      <c r="BR252" s="49"/>
      <c r="BS252" s="49"/>
      <c r="BT252" s="49"/>
      <c r="BU252" s="49"/>
      <c r="BV252" s="49"/>
      <c r="BW252" s="49"/>
      <c r="BX252" s="49"/>
      <c r="BY252" s="49"/>
      <c r="BZ252" s="49"/>
      <c r="CA252" s="49"/>
      <c r="CB252" s="49"/>
      <c r="CC252" s="49"/>
      <c r="CD252" s="49"/>
      <c r="CE252" s="49"/>
      <c r="CF252" s="49"/>
      <c r="CG252" s="49"/>
      <c r="CH252" s="49"/>
      <c r="CI252" s="49"/>
      <c r="CJ252" s="49"/>
      <c r="CK252" s="49"/>
      <c r="CL252" s="49"/>
      <c r="CM252" s="49"/>
      <c r="CN252" s="49"/>
      <c r="CO252" s="49"/>
      <c r="CP252" s="49"/>
      <c r="CQ252" s="49"/>
      <c r="CT252" s="54"/>
      <c r="DE252" s="34"/>
    </row>
    <row r="253" spans="1:109" ht="14.5" x14ac:dyDescent="0.35">
      <c r="A253" s="19"/>
      <c r="B253" s="1"/>
      <c r="C253"/>
      <c r="D253"/>
      <c r="E253" s="38"/>
      <c r="F253" s="38"/>
      <c r="G253" s="38"/>
      <c r="H253" s="38"/>
      <c r="I253" s="38"/>
      <c r="J253" s="33"/>
      <c r="K253" s="46"/>
      <c r="O253" s="54"/>
      <c r="P253" s="54"/>
      <c r="Q253" s="54"/>
      <c r="R253" s="54"/>
      <c r="S253" s="47"/>
      <c r="T253" s="48"/>
      <c r="U253" s="48"/>
      <c r="V253" s="48"/>
      <c r="W253" s="48"/>
      <c r="X253" s="49"/>
      <c r="Y253" s="49"/>
      <c r="Z253" s="49"/>
      <c r="AA253" s="49"/>
      <c r="AB253" s="49"/>
      <c r="AC253" s="49"/>
      <c r="AD253" s="49"/>
      <c r="AE253" s="49"/>
      <c r="AF253" s="49"/>
      <c r="AG253" s="49"/>
      <c r="AH253" s="49"/>
      <c r="AI253" s="49"/>
      <c r="AJ253" s="49"/>
      <c r="AK253" s="49"/>
      <c r="AL253" s="49"/>
      <c r="AM253" s="49"/>
      <c r="AN253" s="49"/>
      <c r="AO253" s="49"/>
      <c r="AP253" s="49"/>
      <c r="AQ253" s="49"/>
      <c r="AR253" s="49"/>
      <c r="AS253" s="49"/>
      <c r="AT253" s="49"/>
      <c r="AU253" s="49"/>
      <c r="AV253" s="49"/>
      <c r="AW253" s="49"/>
      <c r="AX253" s="49"/>
      <c r="AY253" s="49"/>
      <c r="AZ253" s="49"/>
      <c r="BA253" s="49"/>
      <c r="BB253" s="49"/>
      <c r="BC253" s="49"/>
      <c r="BD253" s="49"/>
      <c r="BE253" s="49"/>
      <c r="BF253" s="49"/>
      <c r="BG253" s="49"/>
      <c r="BH253" s="49"/>
      <c r="BI253" s="49"/>
      <c r="BJ253" s="49"/>
      <c r="BK253" s="49"/>
      <c r="BL253" s="49"/>
      <c r="BM253" s="49"/>
      <c r="BN253" s="49"/>
      <c r="BO253" s="49"/>
      <c r="BP253" s="49"/>
      <c r="BQ253" s="49"/>
      <c r="BR253" s="49"/>
      <c r="BS253" s="49"/>
      <c r="BT253" s="49"/>
      <c r="BU253" s="49"/>
      <c r="BV253" s="49"/>
      <c r="BW253" s="49"/>
      <c r="BX253" s="49"/>
      <c r="BY253" s="49"/>
      <c r="BZ253" s="49"/>
      <c r="CA253" s="49"/>
      <c r="CB253" s="49"/>
      <c r="CC253" s="49"/>
      <c r="CD253" s="49"/>
      <c r="CE253" s="49"/>
      <c r="CF253" s="49"/>
      <c r="CG253" s="49"/>
      <c r="CH253" s="49"/>
      <c r="CI253" s="49"/>
      <c r="CJ253" s="49"/>
      <c r="CK253" s="49"/>
      <c r="CL253" s="49"/>
      <c r="CM253" s="49"/>
      <c r="CN253" s="49"/>
      <c r="CO253" s="49"/>
      <c r="CP253" s="49"/>
      <c r="CQ253" s="49"/>
      <c r="CT253" s="54"/>
      <c r="DE253" s="34"/>
    </row>
    <row r="254" spans="1:109" ht="14.5" x14ac:dyDescent="0.35">
      <c r="A254" s="19"/>
      <c r="B254" s="1"/>
      <c r="C254"/>
      <c r="D254"/>
      <c r="E254" s="38"/>
      <c r="F254" s="38"/>
      <c r="G254" s="38"/>
      <c r="H254" s="38"/>
      <c r="I254" s="38"/>
      <c r="J254" s="33"/>
      <c r="K254" s="46"/>
      <c r="O254" s="54"/>
      <c r="P254" s="54"/>
      <c r="Q254" s="54"/>
      <c r="R254" s="54"/>
      <c r="S254" s="47"/>
      <c r="T254" s="48"/>
      <c r="U254" s="48"/>
      <c r="V254" s="48"/>
      <c r="W254" s="48"/>
      <c r="X254" s="49"/>
      <c r="Y254" s="49"/>
      <c r="Z254" s="49"/>
      <c r="AA254" s="49"/>
      <c r="AB254" s="49"/>
      <c r="AC254" s="49"/>
      <c r="AD254" s="49"/>
      <c r="AE254" s="49"/>
      <c r="AF254" s="49"/>
      <c r="AG254" s="49"/>
      <c r="AH254" s="49"/>
      <c r="AI254" s="49"/>
      <c r="AJ254" s="49"/>
      <c r="AK254" s="49"/>
      <c r="AL254" s="49"/>
      <c r="AM254" s="49"/>
      <c r="AN254" s="49"/>
      <c r="AO254" s="49"/>
      <c r="AP254" s="49"/>
      <c r="AQ254" s="49"/>
      <c r="AR254" s="49"/>
      <c r="AS254" s="49"/>
      <c r="AT254" s="49"/>
      <c r="AU254" s="49"/>
      <c r="AV254" s="49"/>
      <c r="AW254" s="49"/>
      <c r="AX254" s="49"/>
      <c r="AY254" s="49"/>
      <c r="AZ254" s="49"/>
      <c r="BA254" s="49"/>
      <c r="BB254" s="49"/>
      <c r="BC254" s="49"/>
      <c r="BD254" s="49"/>
      <c r="BE254" s="49"/>
      <c r="BF254" s="49"/>
      <c r="BG254" s="49"/>
      <c r="BH254" s="49"/>
      <c r="BI254" s="49"/>
      <c r="BJ254" s="49"/>
      <c r="BK254" s="49"/>
      <c r="BL254" s="49"/>
      <c r="BM254" s="49"/>
      <c r="BN254" s="49"/>
      <c r="BO254" s="49"/>
      <c r="BP254" s="49"/>
      <c r="BQ254" s="49"/>
      <c r="BR254" s="49"/>
      <c r="BS254" s="49"/>
      <c r="BT254" s="49"/>
      <c r="BU254" s="49"/>
      <c r="BV254" s="49"/>
      <c r="BW254" s="49"/>
      <c r="BX254" s="49"/>
      <c r="BY254" s="49"/>
      <c r="BZ254" s="49"/>
      <c r="CA254" s="49"/>
      <c r="CB254" s="49"/>
      <c r="CC254" s="49"/>
      <c r="CD254" s="49"/>
      <c r="CE254" s="49"/>
      <c r="CF254" s="49"/>
      <c r="CG254" s="49"/>
      <c r="CH254" s="49"/>
      <c r="CI254" s="49"/>
      <c r="CJ254" s="49"/>
      <c r="CK254" s="49"/>
      <c r="CL254" s="49"/>
      <c r="CM254" s="49"/>
      <c r="CN254" s="49"/>
      <c r="CO254" s="49"/>
      <c r="CP254" s="49"/>
      <c r="CQ254" s="49"/>
      <c r="CT254" s="54"/>
      <c r="DE254" s="34"/>
    </row>
    <row r="255" spans="1:109" ht="14.5" x14ac:dyDescent="0.35">
      <c r="A255" s="19"/>
      <c r="B255" s="1"/>
      <c r="C255"/>
      <c r="D255"/>
      <c r="E255" s="38"/>
      <c r="F255" s="38"/>
      <c r="G255" s="38"/>
      <c r="H255" s="38"/>
      <c r="I255" s="38"/>
      <c r="J255" s="33"/>
      <c r="K255" s="46"/>
      <c r="O255" s="54"/>
      <c r="P255" s="54"/>
      <c r="Q255" s="54"/>
      <c r="R255" s="54"/>
      <c r="S255" s="47"/>
      <c r="T255" s="48"/>
      <c r="U255" s="48"/>
      <c r="V255" s="48"/>
      <c r="W255" s="48"/>
      <c r="X255" s="49"/>
      <c r="Y255" s="49"/>
      <c r="Z255" s="49"/>
      <c r="AA255" s="49"/>
      <c r="AB255" s="49"/>
      <c r="AC255" s="49"/>
      <c r="AD255" s="49"/>
      <c r="AE255" s="49"/>
      <c r="AF255" s="49"/>
      <c r="AG255" s="49"/>
      <c r="AH255" s="49"/>
      <c r="AI255" s="49"/>
      <c r="AJ255" s="49"/>
      <c r="AK255" s="49"/>
      <c r="AL255" s="49"/>
      <c r="AM255" s="49"/>
      <c r="AN255" s="49"/>
      <c r="AO255" s="49"/>
      <c r="AP255" s="49"/>
      <c r="AQ255" s="49"/>
      <c r="AR255" s="49"/>
      <c r="AS255" s="49"/>
      <c r="AT255" s="49"/>
      <c r="AU255" s="49"/>
      <c r="AV255" s="49"/>
      <c r="AW255" s="49"/>
      <c r="AX255" s="49"/>
      <c r="AY255" s="49"/>
      <c r="AZ255" s="49"/>
      <c r="BA255" s="49"/>
      <c r="BB255" s="49"/>
      <c r="BC255" s="49"/>
      <c r="BD255" s="49"/>
      <c r="BE255" s="49"/>
      <c r="BF255" s="49"/>
      <c r="BG255" s="49"/>
      <c r="BH255" s="49"/>
      <c r="BI255" s="49"/>
      <c r="BJ255" s="49"/>
      <c r="BK255" s="49"/>
      <c r="BL255" s="49"/>
      <c r="BM255" s="49"/>
      <c r="BN255" s="49"/>
      <c r="BO255" s="49"/>
      <c r="BP255" s="49"/>
      <c r="BQ255" s="49"/>
      <c r="BR255" s="49"/>
      <c r="BS255" s="49"/>
      <c r="BT255" s="49"/>
      <c r="BU255" s="49"/>
      <c r="BV255" s="49"/>
      <c r="BW255" s="49"/>
      <c r="BX255" s="49"/>
      <c r="BY255" s="49"/>
      <c r="BZ255" s="49"/>
      <c r="CA255" s="49"/>
      <c r="CB255" s="49"/>
      <c r="CC255" s="49"/>
      <c r="CD255" s="49"/>
      <c r="CE255" s="49"/>
      <c r="CF255" s="49"/>
      <c r="CG255" s="49"/>
      <c r="CH255" s="49"/>
      <c r="CI255" s="49"/>
      <c r="CJ255" s="49"/>
      <c r="CK255" s="49"/>
      <c r="CL255" s="49"/>
      <c r="CM255" s="49"/>
      <c r="CN255" s="49"/>
      <c r="CO255" s="49"/>
      <c r="CP255" s="49"/>
      <c r="CQ255" s="49"/>
      <c r="CT255" s="54"/>
      <c r="DE255" s="34"/>
    </row>
    <row r="256" spans="1:109" ht="14.5" x14ac:dyDescent="0.35">
      <c r="A256" s="19"/>
      <c r="B256" s="1"/>
      <c r="C256"/>
      <c r="D256"/>
      <c r="E256" s="38"/>
      <c r="F256" s="38"/>
      <c r="G256" s="38"/>
      <c r="H256" s="38"/>
      <c r="I256" s="38"/>
      <c r="J256" s="33"/>
      <c r="K256" s="46"/>
      <c r="O256" s="54"/>
      <c r="P256" s="54"/>
      <c r="Q256" s="54"/>
      <c r="R256" s="54"/>
      <c r="S256" s="47"/>
      <c r="T256" s="48"/>
      <c r="U256" s="48"/>
      <c r="V256" s="48"/>
      <c r="W256" s="48"/>
      <c r="X256" s="49"/>
      <c r="Y256" s="49"/>
      <c r="Z256" s="49"/>
      <c r="AA256" s="49"/>
      <c r="AB256" s="49"/>
      <c r="AC256" s="49"/>
      <c r="AD256" s="49"/>
      <c r="AE256" s="49"/>
      <c r="AF256" s="49"/>
      <c r="AG256" s="49"/>
      <c r="AH256" s="49"/>
      <c r="AI256" s="49"/>
      <c r="AJ256" s="49"/>
      <c r="AK256" s="49"/>
      <c r="AL256" s="49"/>
      <c r="AM256" s="49"/>
      <c r="AN256" s="49"/>
      <c r="AO256" s="49"/>
      <c r="AP256" s="49"/>
      <c r="AQ256" s="49"/>
      <c r="AR256" s="49"/>
      <c r="AS256" s="49"/>
      <c r="AT256" s="49"/>
      <c r="AU256" s="49"/>
      <c r="AV256" s="49"/>
      <c r="AW256" s="49"/>
      <c r="AX256" s="49"/>
      <c r="AY256" s="49"/>
      <c r="AZ256" s="49"/>
      <c r="BA256" s="49"/>
      <c r="BB256" s="49"/>
      <c r="BC256" s="49"/>
      <c r="BD256" s="49"/>
      <c r="BE256" s="49"/>
      <c r="BF256" s="49"/>
      <c r="BG256" s="49"/>
      <c r="BH256" s="49"/>
      <c r="BI256" s="49"/>
      <c r="BJ256" s="49"/>
      <c r="BK256" s="49"/>
      <c r="BL256" s="49"/>
      <c r="BM256" s="49"/>
      <c r="BN256" s="49"/>
      <c r="BO256" s="49"/>
      <c r="BP256" s="49"/>
      <c r="BQ256" s="49"/>
      <c r="BR256" s="49"/>
      <c r="BS256" s="49"/>
      <c r="BT256" s="49"/>
      <c r="BU256" s="49"/>
      <c r="BV256" s="49"/>
      <c r="BW256" s="49"/>
      <c r="BX256" s="49"/>
      <c r="BY256" s="49"/>
      <c r="BZ256" s="49"/>
      <c r="CA256" s="49"/>
      <c r="CB256" s="49"/>
      <c r="CC256" s="49"/>
      <c r="CD256" s="49"/>
      <c r="CE256" s="49"/>
      <c r="CF256" s="49"/>
      <c r="CG256" s="49"/>
      <c r="CH256" s="49"/>
      <c r="CI256" s="49"/>
      <c r="CJ256" s="49"/>
      <c r="CK256" s="49"/>
      <c r="CL256" s="49"/>
      <c r="CM256" s="49"/>
      <c r="CN256" s="49"/>
      <c r="CO256" s="49"/>
      <c r="CP256" s="49"/>
      <c r="CQ256" s="49"/>
      <c r="CT256" s="54"/>
      <c r="DE256" s="34"/>
    </row>
    <row r="257" spans="1:109" ht="14.5" x14ac:dyDescent="0.35">
      <c r="A257" s="19"/>
      <c r="B257" s="1"/>
      <c r="C257"/>
      <c r="D257"/>
      <c r="E257" s="38"/>
      <c r="F257" s="38"/>
      <c r="G257" s="38"/>
      <c r="H257" s="38"/>
      <c r="I257" s="38"/>
      <c r="J257" s="33"/>
      <c r="K257" s="46"/>
      <c r="O257" s="54"/>
      <c r="P257" s="54"/>
      <c r="Q257" s="54"/>
      <c r="R257" s="54"/>
      <c r="S257" s="47"/>
      <c r="T257" s="48"/>
      <c r="U257" s="48"/>
      <c r="V257" s="48"/>
      <c r="W257" s="48"/>
      <c r="X257" s="49"/>
      <c r="Y257" s="49"/>
      <c r="Z257" s="49"/>
      <c r="AA257" s="49"/>
      <c r="AB257" s="49"/>
      <c r="AC257" s="49"/>
      <c r="AD257" s="49"/>
      <c r="AE257" s="49"/>
      <c r="AF257" s="49"/>
      <c r="AG257" s="49"/>
      <c r="AH257" s="49"/>
      <c r="AI257" s="49"/>
      <c r="AJ257" s="49"/>
      <c r="AK257" s="49"/>
      <c r="AL257" s="49"/>
      <c r="AM257" s="49"/>
      <c r="AN257" s="49"/>
      <c r="AO257" s="49"/>
      <c r="AP257" s="49"/>
      <c r="AQ257" s="49"/>
      <c r="AR257" s="49"/>
      <c r="AS257" s="49"/>
      <c r="AT257" s="49"/>
      <c r="AU257" s="49"/>
      <c r="AV257" s="49"/>
      <c r="AW257" s="49"/>
      <c r="AX257" s="49"/>
      <c r="AY257" s="49"/>
      <c r="AZ257" s="49"/>
      <c r="BA257" s="49"/>
      <c r="BB257" s="49"/>
      <c r="BC257" s="49"/>
      <c r="BD257" s="49"/>
      <c r="BE257" s="49"/>
      <c r="BF257" s="49"/>
      <c r="BG257" s="49"/>
      <c r="BH257" s="49"/>
      <c r="BI257" s="49"/>
      <c r="BJ257" s="49"/>
      <c r="BK257" s="49"/>
      <c r="BL257" s="49"/>
      <c r="BM257" s="49"/>
      <c r="BN257" s="49"/>
      <c r="BO257" s="49"/>
      <c r="BP257" s="49"/>
      <c r="BQ257" s="49"/>
      <c r="BR257" s="49"/>
      <c r="BS257" s="49"/>
      <c r="BT257" s="49"/>
      <c r="BU257" s="49"/>
      <c r="BV257" s="49"/>
      <c r="BW257" s="49"/>
      <c r="BX257" s="49"/>
      <c r="BY257" s="49"/>
      <c r="BZ257" s="49"/>
      <c r="CA257" s="49"/>
      <c r="CB257" s="49"/>
      <c r="CC257" s="49"/>
      <c r="CD257" s="49"/>
      <c r="CE257" s="49"/>
      <c r="CF257" s="49"/>
      <c r="CG257" s="49"/>
      <c r="CH257" s="49"/>
      <c r="CI257" s="49"/>
      <c r="CJ257" s="49"/>
      <c r="CK257" s="49"/>
      <c r="CL257" s="49"/>
      <c r="CM257" s="49"/>
      <c r="CN257" s="49"/>
      <c r="CO257" s="49"/>
      <c r="CP257" s="49"/>
      <c r="CQ257" s="49"/>
      <c r="CT257" s="54"/>
      <c r="DE257" s="34"/>
    </row>
    <row r="258" spans="1:109" ht="14.5" x14ac:dyDescent="0.35">
      <c r="A258" s="19"/>
      <c r="B258" s="1"/>
      <c r="C258"/>
      <c r="D258"/>
      <c r="E258" s="38"/>
      <c r="F258" s="38"/>
      <c r="G258" s="38"/>
      <c r="H258" s="38"/>
      <c r="I258" s="38"/>
      <c r="J258" s="33"/>
      <c r="K258" s="46"/>
      <c r="O258" s="54"/>
      <c r="P258" s="54"/>
      <c r="Q258" s="54"/>
      <c r="R258" s="54"/>
      <c r="S258" s="47"/>
      <c r="T258" s="48"/>
      <c r="U258" s="48"/>
      <c r="V258" s="48"/>
      <c r="W258" s="48"/>
      <c r="X258" s="49"/>
      <c r="Y258" s="49"/>
      <c r="Z258" s="49"/>
      <c r="AA258" s="49"/>
      <c r="AB258" s="49"/>
      <c r="AC258" s="49"/>
      <c r="AD258" s="49"/>
      <c r="AE258" s="49"/>
      <c r="AF258" s="49"/>
      <c r="AG258" s="49"/>
      <c r="AH258" s="49"/>
      <c r="AI258" s="49"/>
      <c r="AJ258" s="49"/>
      <c r="AK258" s="49"/>
      <c r="AL258" s="49"/>
      <c r="AM258" s="49"/>
      <c r="AN258" s="49"/>
      <c r="AO258" s="49"/>
      <c r="AP258" s="49"/>
      <c r="AQ258" s="49"/>
      <c r="AR258" s="49"/>
      <c r="AS258" s="49"/>
      <c r="AT258" s="49"/>
      <c r="AU258" s="49"/>
      <c r="AV258" s="49"/>
      <c r="AW258" s="49"/>
      <c r="AX258" s="49"/>
      <c r="AY258" s="49"/>
      <c r="AZ258" s="49"/>
      <c r="BA258" s="49"/>
      <c r="BB258" s="49"/>
      <c r="BC258" s="49"/>
      <c r="BD258" s="49"/>
      <c r="BE258" s="49"/>
      <c r="BF258" s="49"/>
      <c r="BG258" s="49"/>
      <c r="BH258" s="49"/>
      <c r="BI258" s="49"/>
      <c r="BJ258" s="49"/>
      <c r="BK258" s="49"/>
      <c r="BL258" s="49"/>
      <c r="BM258" s="49"/>
      <c r="BN258" s="49"/>
      <c r="BO258" s="49"/>
      <c r="BP258" s="49"/>
      <c r="BQ258" s="49"/>
      <c r="BR258" s="49"/>
      <c r="BS258" s="49"/>
      <c r="BT258" s="49"/>
      <c r="BU258" s="49"/>
      <c r="BV258" s="49"/>
      <c r="BW258" s="49"/>
      <c r="BX258" s="49"/>
      <c r="BY258" s="49"/>
      <c r="BZ258" s="49"/>
      <c r="CA258" s="49"/>
      <c r="CB258" s="49"/>
      <c r="CC258" s="49"/>
      <c r="CD258" s="49"/>
      <c r="CE258" s="49"/>
      <c r="CF258" s="49"/>
      <c r="CG258" s="49"/>
      <c r="CH258" s="49"/>
      <c r="CI258" s="49"/>
      <c r="CJ258" s="49"/>
      <c r="CK258" s="49"/>
      <c r="CL258" s="49"/>
      <c r="CM258" s="49"/>
      <c r="CN258" s="49"/>
      <c r="CO258" s="49"/>
      <c r="CP258" s="49"/>
      <c r="CQ258" s="49"/>
      <c r="CT258" s="54"/>
      <c r="DE258" s="34"/>
    </row>
    <row r="259" spans="1:109" ht="14.5" x14ac:dyDescent="0.35">
      <c r="A259" s="19"/>
      <c r="B259" s="1"/>
      <c r="C259"/>
      <c r="D259"/>
      <c r="E259" s="38"/>
      <c r="F259" s="38"/>
      <c r="G259" s="38"/>
      <c r="H259" s="38"/>
      <c r="I259" s="38"/>
      <c r="J259" s="33"/>
      <c r="K259" s="46"/>
      <c r="O259" s="54"/>
      <c r="P259" s="54"/>
      <c r="Q259" s="54"/>
      <c r="R259" s="54"/>
      <c r="S259" s="47"/>
      <c r="T259" s="48"/>
      <c r="U259" s="48"/>
      <c r="V259" s="48"/>
      <c r="W259" s="48"/>
      <c r="X259" s="49"/>
      <c r="Y259" s="49"/>
      <c r="Z259" s="49"/>
      <c r="AA259" s="49"/>
      <c r="AB259" s="49"/>
      <c r="AC259" s="49"/>
      <c r="AD259" s="49"/>
      <c r="AE259" s="49"/>
      <c r="AF259" s="49"/>
      <c r="AG259" s="49"/>
      <c r="AH259" s="49"/>
      <c r="AI259" s="49"/>
      <c r="AJ259" s="49"/>
      <c r="AK259" s="49"/>
      <c r="AL259" s="49"/>
      <c r="AM259" s="49"/>
      <c r="AN259" s="49"/>
      <c r="AO259" s="49"/>
      <c r="AP259" s="49"/>
      <c r="AQ259" s="49"/>
      <c r="AR259" s="49"/>
      <c r="AS259" s="49"/>
      <c r="AT259" s="49"/>
      <c r="AU259" s="49"/>
      <c r="AV259" s="49"/>
      <c r="AW259" s="49"/>
      <c r="AX259" s="49"/>
      <c r="AY259" s="49"/>
      <c r="AZ259" s="49"/>
      <c r="BA259" s="49"/>
      <c r="BB259" s="49"/>
      <c r="BC259" s="49"/>
      <c r="BD259" s="49"/>
      <c r="BE259" s="49"/>
      <c r="BF259" s="49"/>
      <c r="BG259" s="49"/>
      <c r="BH259" s="49"/>
      <c r="BI259" s="49"/>
      <c r="BJ259" s="49"/>
      <c r="BK259" s="49"/>
      <c r="BL259" s="49"/>
      <c r="BM259" s="49"/>
      <c r="BN259" s="49"/>
      <c r="BO259" s="49"/>
      <c r="BP259" s="49"/>
      <c r="BQ259" s="49"/>
      <c r="BR259" s="49"/>
      <c r="BS259" s="49"/>
      <c r="BT259" s="49"/>
      <c r="BU259" s="49"/>
      <c r="BV259" s="49"/>
      <c r="BW259" s="49"/>
      <c r="BX259" s="49"/>
      <c r="BY259" s="49"/>
      <c r="BZ259" s="49"/>
      <c r="CA259" s="49"/>
      <c r="CB259" s="49"/>
      <c r="CC259" s="49"/>
      <c r="CD259" s="49"/>
      <c r="CE259" s="49"/>
      <c r="CF259" s="49"/>
      <c r="CG259" s="49"/>
      <c r="CH259" s="49"/>
      <c r="CI259" s="49"/>
      <c r="CJ259" s="49"/>
      <c r="CK259" s="49"/>
      <c r="CL259" s="49"/>
      <c r="CM259" s="49"/>
      <c r="CN259" s="49"/>
      <c r="CO259" s="49"/>
      <c r="CP259" s="49"/>
      <c r="CQ259" s="49"/>
      <c r="CT259" s="54"/>
      <c r="DE259" s="34"/>
    </row>
    <row r="260" spans="1:109" ht="14.5" x14ac:dyDescent="0.35">
      <c r="A260" s="19"/>
      <c r="B260" s="1"/>
      <c r="C260"/>
      <c r="D260"/>
      <c r="E260" s="38"/>
      <c r="F260" s="38"/>
      <c r="G260" s="38"/>
      <c r="H260" s="38"/>
      <c r="I260" s="38"/>
      <c r="J260" s="33"/>
      <c r="K260" s="46"/>
      <c r="O260" s="54"/>
      <c r="P260" s="54"/>
      <c r="Q260" s="54"/>
      <c r="R260" s="54"/>
      <c r="S260" s="47"/>
      <c r="T260" s="48"/>
      <c r="U260" s="48"/>
      <c r="V260" s="48"/>
      <c r="W260" s="48"/>
      <c r="X260" s="49"/>
      <c r="Y260" s="49"/>
      <c r="Z260" s="49"/>
      <c r="AA260" s="49"/>
      <c r="AB260" s="49"/>
      <c r="AC260" s="49"/>
      <c r="AD260" s="49"/>
      <c r="AE260" s="49"/>
      <c r="AF260" s="49"/>
      <c r="AG260" s="49"/>
      <c r="AH260" s="49"/>
      <c r="AI260" s="49"/>
      <c r="AJ260" s="49"/>
      <c r="AK260" s="49"/>
      <c r="AL260" s="49"/>
      <c r="AM260" s="49"/>
      <c r="AN260" s="49"/>
      <c r="AO260" s="49"/>
      <c r="AP260" s="49"/>
      <c r="AQ260" s="49"/>
      <c r="AR260" s="49"/>
      <c r="AS260" s="49"/>
      <c r="AT260" s="49"/>
      <c r="AU260" s="49"/>
      <c r="AV260" s="49"/>
      <c r="AW260" s="49"/>
      <c r="AX260" s="49"/>
      <c r="AY260" s="49"/>
      <c r="AZ260" s="49"/>
      <c r="BA260" s="49"/>
      <c r="BB260" s="49"/>
      <c r="BC260" s="49"/>
      <c r="BD260" s="49"/>
      <c r="BE260" s="49"/>
      <c r="BF260" s="49"/>
      <c r="BG260" s="49"/>
      <c r="BH260" s="49"/>
      <c r="BI260" s="49"/>
      <c r="BJ260" s="49"/>
      <c r="BK260" s="49"/>
      <c r="BL260" s="49"/>
      <c r="BM260" s="49"/>
      <c r="BN260" s="49"/>
      <c r="BO260" s="49"/>
      <c r="BP260" s="49"/>
      <c r="BQ260" s="49"/>
      <c r="BR260" s="49"/>
      <c r="BS260" s="49"/>
      <c r="BT260" s="49"/>
      <c r="BU260" s="49"/>
      <c r="BV260" s="49"/>
      <c r="BW260" s="49"/>
      <c r="BX260" s="49"/>
      <c r="BY260" s="49"/>
      <c r="BZ260" s="49"/>
      <c r="CA260" s="49"/>
      <c r="CB260" s="49"/>
      <c r="CC260" s="49"/>
      <c r="CD260" s="49"/>
      <c r="CE260" s="49"/>
      <c r="CF260" s="49"/>
      <c r="CG260" s="49"/>
      <c r="CH260" s="49"/>
      <c r="CI260" s="49"/>
      <c r="CJ260" s="49"/>
      <c r="CK260" s="49"/>
      <c r="CL260" s="49"/>
      <c r="CM260" s="49"/>
      <c r="CN260" s="49"/>
      <c r="CO260" s="49"/>
      <c r="CP260" s="49"/>
      <c r="CQ260" s="49"/>
      <c r="CT260" s="54"/>
      <c r="DE260" s="34"/>
    </row>
    <row r="261" spans="1:109" ht="14.5" x14ac:dyDescent="0.35">
      <c r="A261" s="19"/>
      <c r="B261" s="1"/>
      <c r="C261"/>
      <c r="D261"/>
      <c r="E261" s="38"/>
      <c r="F261" s="38"/>
      <c r="G261" s="38"/>
      <c r="H261" s="38"/>
      <c r="I261" s="38"/>
      <c r="J261" s="33"/>
      <c r="K261" s="46"/>
      <c r="O261" s="54"/>
      <c r="P261" s="54"/>
      <c r="Q261" s="54"/>
      <c r="R261" s="54"/>
      <c r="S261" s="47"/>
      <c r="T261" s="48"/>
      <c r="U261" s="48"/>
      <c r="V261" s="48"/>
      <c r="W261" s="48"/>
      <c r="X261" s="49"/>
      <c r="Y261" s="49"/>
      <c r="Z261" s="49"/>
      <c r="AA261" s="49"/>
      <c r="AB261" s="49"/>
      <c r="AC261" s="49"/>
      <c r="AD261" s="49"/>
      <c r="AE261" s="49"/>
      <c r="AF261" s="49"/>
      <c r="AG261" s="49"/>
      <c r="AH261" s="49"/>
      <c r="AI261" s="49"/>
      <c r="AJ261" s="49"/>
      <c r="AK261" s="49"/>
      <c r="AL261" s="49"/>
      <c r="AM261" s="49"/>
      <c r="AN261" s="49"/>
      <c r="AO261" s="49"/>
      <c r="AP261" s="49"/>
      <c r="AQ261" s="49"/>
      <c r="AR261" s="49"/>
      <c r="AS261" s="49"/>
      <c r="AT261" s="49"/>
      <c r="AU261" s="49"/>
      <c r="AV261" s="49"/>
      <c r="AW261" s="49"/>
      <c r="AX261" s="49"/>
      <c r="AY261" s="49"/>
      <c r="AZ261" s="49"/>
      <c r="BA261" s="49"/>
      <c r="BB261" s="49"/>
      <c r="BC261" s="49"/>
      <c r="BD261" s="49"/>
      <c r="BE261" s="49"/>
      <c r="BF261" s="49"/>
      <c r="BG261" s="49"/>
      <c r="BH261" s="49"/>
      <c r="BI261" s="49"/>
      <c r="BJ261" s="49"/>
      <c r="BK261" s="49"/>
      <c r="BL261" s="49"/>
      <c r="BM261" s="49"/>
      <c r="BN261" s="49"/>
      <c r="BO261" s="49"/>
      <c r="BP261" s="49"/>
      <c r="BQ261" s="49"/>
      <c r="BR261" s="49"/>
      <c r="BS261" s="49"/>
      <c r="BT261" s="49"/>
      <c r="BU261" s="49"/>
      <c r="BV261" s="49"/>
      <c r="BW261" s="49"/>
      <c r="BX261" s="49"/>
      <c r="BY261" s="49"/>
      <c r="BZ261" s="49"/>
      <c r="CA261" s="49"/>
      <c r="CB261" s="49"/>
      <c r="CC261" s="49"/>
      <c r="CD261" s="49"/>
      <c r="CE261" s="49"/>
      <c r="CF261" s="49"/>
      <c r="CG261" s="49"/>
      <c r="CH261" s="49"/>
      <c r="CI261" s="49"/>
      <c r="CJ261" s="49"/>
      <c r="CK261" s="49"/>
      <c r="CL261" s="49"/>
      <c r="CM261" s="49"/>
      <c r="CN261" s="49"/>
      <c r="CO261" s="49"/>
      <c r="CP261" s="49"/>
      <c r="CQ261" s="49"/>
      <c r="CT261" s="54"/>
      <c r="DE261" s="34"/>
    </row>
    <row r="262" spans="1:109" ht="14.5" x14ac:dyDescent="0.35">
      <c r="A262" s="19"/>
      <c r="B262" s="1"/>
      <c r="C262"/>
      <c r="D262"/>
      <c r="E262" s="38"/>
      <c r="F262" s="38"/>
      <c r="G262" s="38"/>
      <c r="H262" s="38"/>
      <c r="I262" s="38"/>
      <c r="J262" s="33"/>
      <c r="K262" s="46"/>
      <c r="O262" s="54"/>
      <c r="P262" s="54"/>
      <c r="Q262" s="54"/>
      <c r="R262" s="54"/>
      <c r="S262" s="47"/>
      <c r="T262" s="48"/>
      <c r="U262" s="48"/>
      <c r="V262" s="48"/>
      <c r="W262" s="48"/>
      <c r="X262" s="49"/>
      <c r="Y262" s="49"/>
      <c r="Z262" s="49"/>
      <c r="AA262" s="49"/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9"/>
      <c r="AN262" s="49"/>
      <c r="AO262" s="49"/>
      <c r="AP262" s="49"/>
      <c r="AQ262" s="49"/>
      <c r="AR262" s="49"/>
      <c r="AS262" s="49"/>
      <c r="AT262" s="49"/>
      <c r="AU262" s="49"/>
      <c r="AV262" s="49"/>
      <c r="AW262" s="49"/>
      <c r="AX262" s="49"/>
      <c r="AY262" s="49"/>
      <c r="AZ262" s="49"/>
      <c r="BA262" s="49"/>
      <c r="BB262" s="49"/>
      <c r="BC262" s="49"/>
      <c r="BD262" s="49"/>
      <c r="BE262" s="49"/>
      <c r="BF262" s="49"/>
      <c r="BG262" s="49"/>
      <c r="BH262" s="49"/>
      <c r="BI262" s="49"/>
      <c r="BJ262" s="49"/>
      <c r="BK262" s="49"/>
      <c r="BL262" s="49"/>
      <c r="BM262" s="49"/>
      <c r="BN262" s="49"/>
      <c r="BO262" s="49"/>
      <c r="BP262" s="49"/>
      <c r="BQ262" s="49"/>
      <c r="BR262" s="49"/>
      <c r="BS262" s="49"/>
      <c r="BT262" s="49"/>
      <c r="BU262" s="49"/>
      <c r="BV262" s="49"/>
      <c r="BW262" s="49"/>
      <c r="BX262" s="49"/>
      <c r="BY262" s="49"/>
      <c r="BZ262" s="49"/>
      <c r="CA262" s="49"/>
      <c r="CB262" s="49"/>
      <c r="CC262" s="49"/>
      <c r="CD262" s="49"/>
      <c r="CE262" s="49"/>
      <c r="CF262" s="49"/>
      <c r="CG262" s="49"/>
      <c r="CH262" s="49"/>
      <c r="CI262" s="49"/>
      <c r="CJ262" s="49"/>
      <c r="CK262" s="49"/>
      <c r="CL262" s="49"/>
      <c r="CM262" s="49"/>
      <c r="CN262" s="49"/>
      <c r="CO262" s="49"/>
      <c r="CP262" s="49"/>
      <c r="CQ262" s="49"/>
      <c r="CT262" s="54"/>
      <c r="DE262" s="34"/>
    </row>
    <row r="263" spans="1:109" ht="14.5" x14ac:dyDescent="0.35">
      <c r="A263" s="19"/>
      <c r="B263" s="1"/>
      <c r="C263"/>
      <c r="D263"/>
      <c r="E263" s="38"/>
      <c r="F263" s="38"/>
      <c r="G263" s="38"/>
      <c r="H263" s="38"/>
      <c r="I263" s="38"/>
      <c r="J263" s="33"/>
      <c r="K263" s="46"/>
      <c r="O263" s="54"/>
      <c r="P263" s="54"/>
      <c r="Q263" s="54"/>
      <c r="R263" s="54"/>
      <c r="S263" s="47"/>
      <c r="T263" s="48"/>
      <c r="U263" s="48"/>
      <c r="V263" s="48"/>
      <c r="W263" s="48"/>
      <c r="X263" s="49"/>
      <c r="Y263" s="49"/>
      <c r="Z263" s="49"/>
      <c r="AA263" s="49"/>
      <c r="AB263" s="49"/>
      <c r="AC263" s="49"/>
      <c r="AD263" s="49"/>
      <c r="AE263" s="49"/>
      <c r="AF263" s="49"/>
      <c r="AG263" s="49"/>
      <c r="AH263" s="49"/>
      <c r="AI263" s="49"/>
      <c r="AJ263" s="49"/>
      <c r="AK263" s="49"/>
      <c r="AL263" s="49"/>
      <c r="AM263" s="49"/>
      <c r="AN263" s="49"/>
      <c r="AO263" s="49"/>
      <c r="AP263" s="49"/>
      <c r="AQ263" s="49"/>
      <c r="AR263" s="49"/>
      <c r="AS263" s="49"/>
      <c r="AT263" s="49"/>
      <c r="AU263" s="49"/>
      <c r="AV263" s="49"/>
      <c r="AW263" s="49"/>
      <c r="AX263" s="49"/>
      <c r="AY263" s="49"/>
      <c r="AZ263" s="49"/>
      <c r="BA263" s="49"/>
      <c r="BB263" s="49"/>
      <c r="BC263" s="49"/>
      <c r="BD263" s="49"/>
      <c r="BE263" s="49"/>
      <c r="BF263" s="49"/>
      <c r="BG263" s="49"/>
      <c r="BH263" s="49"/>
      <c r="BI263" s="49"/>
      <c r="BJ263" s="49"/>
      <c r="BK263" s="49"/>
      <c r="BL263" s="49"/>
      <c r="BM263" s="49"/>
      <c r="BN263" s="49"/>
      <c r="BO263" s="49"/>
      <c r="BP263" s="49"/>
      <c r="BQ263" s="49"/>
      <c r="BR263" s="49"/>
      <c r="BS263" s="49"/>
      <c r="BT263" s="49"/>
      <c r="BU263" s="49"/>
      <c r="BV263" s="49"/>
      <c r="BW263" s="49"/>
      <c r="BX263" s="49"/>
      <c r="BY263" s="49"/>
      <c r="BZ263" s="49"/>
      <c r="CA263" s="49"/>
      <c r="CB263" s="49"/>
      <c r="CC263" s="49"/>
      <c r="CD263" s="49"/>
      <c r="CE263" s="49"/>
      <c r="CF263" s="49"/>
      <c r="CG263" s="49"/>
      <c r="CH263" s="49"/>
      <c r="CI263" s="49"/>
      <c r="CJ263" s="49"/>
      <c r="CK263" s="49"/>
      <c r="CL263" s="49"/>
      <c r="CM263" s="49"/>
      <c r="CN263" s="49"/>
      <c r="CO263" s="49"/>
      <c r="CP263" s="49"/>
      <c r="CQ263" s="49"/>
      <c r="CT263" s="54"/>
      <c r="DE263" s="34"/>
    </row>
    <row r="264" spans="1:109" ht="14.5" x14ac:dyDescent="0.35">
      <c r="A264" s="19"/>
      <c r="B264" s="1"/>
      <c r="C264"/>
      <c r="D264"/>
      <c r="E264" s="38"/>
      <c r="F264" s="38"/>
      <c r="G264" s="38"/>
      <c r="H264" s="38"/>
      <c r="I264" s="38"/>
      <c r="J264" s="33"/>
      <c r="K264" s="46"/>
      <c r="O264" s="54"/>
      <c r="P264" s="54"/>
      <c r="Q264" s="54"/>
      <c r="R264" s="54"/>
      <c r="S264" s="47"/>
      <c r="T264" s="48"/>
      <c r="U264" s="48"/>
      <c r="V264" s="48"/>
      <c r="W264" s="48"/>
      <c r="X264" s="49"/>
      <c r="Y264" s="49"/>
      <c r="Z264" s="49"/>
      <c r="AA264" s="49"/>
      <c r="AB264" s="49"/>
      <c r="AC264" s="49"/>
      <c r="AD264" s="49"/>
      <c r="AE264" s="49"/>
      <c r="AF264" s="49"/>
      <c r="AG264" s="49"/>
      <c r="AH264" s="49"/>
      <c r="AI264" s="49"/>
      <c r="AJ264" s="49"/>
      <c r="AK264" s="49"/>
      <c r="AL264" s="49"/>
      <c r="AM264" s="49"/>
      <c r="AN264" s="49"/>
      <c r="AO264" s="49"/>
      <c r="AP264" s="49"/>
      <c r="AQ264" s="49"/>
      <c r="AR264" s="49"/>
      <c r="AS264" s="49"/>
      <c r="AT264" s="49"/>
      <c r="AU264" s="49"/>
      <c r="AV264" s="49"/>
      <c r="AW264" s="49"/>
      <c r="AX264" s="49"/>
      <c r="AY264" s="49"/>
      <c r="AZ264" s="49"/>
      <c r="BA264" s="49"/>
      <c r="BB264" s="49"/>
      <c r="BC264" s="49"/>
      <c r="BD264" s="49"/>
      <c r="BE264" s="49"/>
      <c r="BF264" s="49"/>
      <c r="BG264" s="49"/>
      <c r="BH264" s="49"/>
      <c r="BI264" s="49"/>
      <c r="BJ264" s="49"/>
      <c r="BK264" s="49"/>
      <c r="BL264" s="49"/>
      <c r="BM264" s="49"/>
      <c r="BN264" s="49"/>
      <c r="BO264" s="49"/>
      <c r="BP264" s="49"/>
      <c r="BQ264" s="49"/>
      <c r="BR264" s="49"/>
      <c r="BS264" s="49"/>
      <c r="BT264" s="49"/>
      <c r="BU264" s="49"/>
      <c r="BV264" s="49"/>
      <c r="BW264" s="49"/>
      <c r="BX264" s="49"/>
      <c r="BY264" s="49"/>
      <c r="BZ264" s="49"/>
      <c r="CA264" s="49"/>
      <c r="CB264" s="49"/>
      <c r="CC264" s="49"/>
      <c r="CD264" s="49"/>
      <c r="CE264" s="49"/>
      <c r="CF264" s="49"/>
      <c r="CG264" s="49"/>
      <c r="CH264" s="49"/>
      <c r="CI264" s="49"/>
      <c r="CJ264" s="49"/>
      <c r="CK264" s="49"/>
      <c r="CL264" s="49"/>
      <c r="CM264" s="49"/>
      <c r="CN264" s="49"/>
      <c r="CO264" s="49"/>
      <c r="CP264" s="49"/>
      <c r="CQ264" s="49"/>
      <c r="CT264" s="54"/>
      <c r="DE264" s="34"/>
    </row>
    <row r="265" spans="1:109" ht="14.5" x14ac:dyDescent="0.35">
      <c r="A265" s="19"/>
      <c r="B265" s="1"/>
      <c r="C265"/>
      <c r="D265"/>
      <c r="E265" s="38"/>
      <c r="F265" s="38"/>
      <c r="G265" s="38"/>
      <c r="H265" s="38"/>
      <c r="I265" s="38"/>
      <c r="J265" s="33"/>
      <c r="K265" s="46"/>
      <c r="O265" s="54"/>
      <c r="P265" s="54"/>
      <c r="Q265" s="54"/>
      <c r="R265" s="54"/>
      <c r="S265" s="47"/>
      <c r="T265" s="48"/>
      <c r="U265" s="48"/>
      <c r="V265" s="48"/>
      <c r="W265" s="48"/>
      <c r="X265" s="49"/>
      <c r="Y265" s="49"/>
      <c r="Z265" s="49"/>
      <c r="AA265" s="49"/>
      <c r="AB265" s="49"/>
      <c r="AC265" s="49"/>
      <c r="AD265" s="49"/>
      <c r="AE265" s="49"/>
      <c r="AF265" s="49"/>
      <c r="AG265" s="49"/>
      <c r="AH265" s="49"/>
      <c r="AI265" s="49"/>
      <c r="AJ265" s="49"/>
      <c r="AK265" s="49"/>
      <c r="AL265" s="49"/>
      <c r="AM265" s="49"/>
      <c r="AN265" s="49"/>
      <c r="AO265" s="49"/>
      <c r="AP265" s="49"/>
      <c r="AQ265" s="49"/>
      <c r="AR265" s="49"/>
      <c r="AS265" s="49"/>
      <c r="AT265" s="49"/>
      <c r="AU265" s="49"/>
      <c r="AV265" s="49"/>
      <c r="AW265" s="49"/>
      <c r="AX265" s="49"/>
      <c r="AY265" s="49"/>
      <c r="AZ265" s="49"/>
      <c r="BA265" s="49"/>
      <c r="BB265" s="49"/>
      <c r="BC265" s="49"/>
      <c r="BD265" s="49"/>
      <c r="BE265" s="49"/>
      <c r="BF265" s="49"/>
      <c r="BG265" s="49"/>
      <c r="BH265" s="49"/>
      <c r="BI265" s="49"/>
      <c r="BJ265" s="49"/>
      <c r="BK265" s="49"/>
      <c r="BL265" s="49"/>
      <c r="BM265" s="49"/>
      <c r="BN265" s="49"/>
      <c r="BO265" s="49"/>
      <c r="BP265" s="49"/>
      <c r="BQ265" s="49"/>
      <c r="BR265" s="49"/>
      <c r="BS265" s="49"/>
      <c r="BT265" s="49"/>
      <c r="BU265" s="49"/>
      <c r="BV265" s="49"/>
      <c r="BW265" s="49"/>
      <c r="BX265" s="49"/>
      <c r="BY265" s="49"/>
      <c r="BZ265" s="49"/>
      <c r="CA265" s="49"/>
      <c r="CB265" s="49"/>
      <c r="CC265" s="49"/>
      <c r="CD265" s="49"/>
      <c r="CE265" s="49"/>
      <c r="CF265" s="49"/>
      <c r="CG265" s="49"/>
      <c r="CH265" s="49"/>
      <c r="CI265" s="49"/>
      <c r="CJ265" s="49"/>
      <c r="CK265" s="49"/>
      <c r="CL265" s="49"/>
      <c r="CM265" s="49"/>
      <c r="CN265" s="49"/>
      <c r="CO265" s="49"/>
      <c r="CP265" s="49"/>
      <c r="CQ265" s="49"/>
      <c r="CT265" s="54"/>
      <c r="DE265" s="34"/>
    </row>
    <row r="266" spans="1:109" ht="14.5" x14ac:dyDescent="0.35">
      <c r="A266" s="19"/>
      <c r="B266" s="1"/>
      <c r="C266"/>
      <c r="D266"/>
      <c r="E266" s="38"/>
      <c r="F266" s="38"/>
      <c r="G266" s="38"/>
      <c r="H266" s="38"/>
      <c r="I266" s="38"/>
      <c r="J266" s="33"/>
      <c r="K266" s="46"/>
      <c r="O266" s="54"/>
      <c r="P266" s="54"/>
      <c r="Q266" s="54"/>
      <c r="R266" s="54"/>
      <c r="S266" s="47"/>
      <c r="T266" s="48"/>
      <c r="U266" s="48"/>
      <c r="V266" s="48"/>
      <c r="W266" s="48"/>
      <c r="X266" s="49"/>
      <c r="Y266" s="49"/>
      <c r="Z266" s="49"/>
      <c r="AA266" s="49"/>
      <c r="AB266" s="49"/>
      <c r="AC266" s="49"/>
      <c r="AD266" s="49"/>
      <c r="AE266" s="49"/>
      <c r="AF266" s="49"/>
      <c r="AG266" s="49"/>
      <c r="AH266" s="49"/>
      <c r="AI266" s="49"/>
      <c r="AJ266" s="49"/>
      <c r="AK266" s="49"/>
      <c r="AL266" s="49"/>
      <c r="AM266" s="49"/>
      <c r="AN266" s="49"/>
      <c r="AO266" s="49"/>
      <c r="AP266" s="49"/>
      <c r="AQ266" s="49"/>
      <c r="AR266" s="49"/>
      <c r="AS266" s="49"/>
      <c r="AT266" s="49"/>
      <c r="AU266" s="49"/>
      <c r="AV266" s="49"/>
      <c r="AW266" s="49"/>
      <c r="AX266" s="49"/>
      <c r="AY266" s="49"/>
      <c r="AZ266" s="49"/>
      <c r="BA266" s="49"/>
      <c r="BB266" s="49"/>
      <c r="BC266" s="49"/>
      <c r="BD266" s="49"/>
      <c r="BE266" s="49"/>
      <c r="BF266" s="49"/>
      <c r="BG266" s="49"/>
      <c r="BH266" s="49"/>
      <c r="BI266" s="49"/>
      <c r="BJ266" s="49"/>
      <c r="BK266" s="49"/>
      <c r="BL266" s="49"/>
      <c r="BM266" s="49"/>
      <c r="BN266" s="49"/>
      <c r="BO266" s="49"/>
      <c r="BP266" s="49"/>
      <c r="BQ266" s="49"/>
      <c r="BR266" s="49"/>
      <c r="BS266" s="49"/>
      <c r="BT266" s="49"/>
      <c r="BU266" s="49"/>
      <c r="BV266" s="49"/>
      <c r="BW266" s="49"/>
      <c r="BX266" s="49"/>
      <c r="BY266" s="49"/>
      <c r="BZ266" s="49"/>
      <c r="CA266" s="49"/>
      <c r="CB266" s="49"/>
      <c r="CC266" s="49"/>
      <c r="CD266" s="49"/>
      <c r="CE266" s="49"/>
      <c r="CF266" s="49"/>
      <c r="CG266" s="49"/>
      <c r="CH266" s="49"/>
      <c r="CI266" s="49"/>
      <c r="CJ266" s="49"/>
      <c r="CK266" s="49"/>
      <c r="CL266" s="49"/>
      <c r="CM266" s="49"/>
      <c r="CN266" s="49"/>
      <c r="CO266" s="49"/>
      <c r="CP266" s="49"/>
      <c r="CQ266" s="49"/>
      <c r="CT266" s="54"/>
      <c r="DE266" s="34"/>
    </row>
    <row r="267" spans="1:109" ht="14.5" x14ac:dyDescent="0.35">
      <c r="A267" s="19"/>
      <c r="B267" s="1"/>
      <c r="C267"/>
      <c r="D267"/>
      <c r="E267" s="38"/>
      <c r="F267" s="38"/>
      <c r="G267" s="38"/>
      <c r="H267" s="38"/>
      <c r="I267" s="38"/>
      <c r="J267" s="33"/>
      <c r="K267" s="46"/>
      <c r="O267" s="54"/>
      <c r="P267" s="54"/>
      <c r="Q267" s="54"/>
      <c r="R267" s="54"/>
      <c r="S267" s="47"/>
      <c r="T267" s="48"/>
      <c r="U267" s="48"/>
      <c r="V267" s="48"/>
      <c r="W267" s="48"/>
      <c r="X267" s="49"/>
      <c r="Y267" s="49"/>
      <c r="Z267" s="49"/>
      <c r="AA267" s="49"/>
      <c r="AB267" s="49"/>
      <c r="AC267" s="49"/>
      <c r="AD267" s="49"/>
      <c r="AE267" s="49"/>
      <c r="AF267" s="49"/>
      <c r="AG267" s="49"/>
      <c r="AH267" s="49"/>
      <c r="AI267" s="49"/>
      <c r="AJ267" s="49"/>
      <c r="AK267" s="49"/>
      <c r="AL267" s="49"/>
      <c r="AM267" s="49"/>
      <c r="AN267" s="49"/>
      <c r="AO267" s="49"/>
      <c r="AP267" s="49"/>
      <c r="AQ267" s="49"/>
      <c r="AR267" s="49"/>
      <c r="AS267" s="49"/>
      <c r="AT267" s="49"/>
      <c r="AU267" s="49"/>
      <c r="AV267" s="49"/>
      <c r="AW267" s="49"/>
      <c r="AX267" s="49"/>
      <c r="AY267" s="49"/>
      <c r="AZ267" s="49"/>
      <c r="BA267" s="49"/>
      <c r="BB267" s="49"/>
      <c r="BC267" s="49"/>
      <c r="BD267" s="49"/>
      <c r="BE267" s="49"/>
      <c r="BF267" s="49"/>
      <c r="BG267" s="49"/>
      <c r="BH267" s="49"/>
      <c r="BI267" s="49"/>
      <c r="BJ267" s="49"/>
      <c r="BK267" s="49"/>
      <c r="BL267" s="49"/>
      <c r="BM267" s="49"/>
      <c r="BN267" s="49"/>
      <c r="BO267" s="49"/>
      <c r="BP267" s="49"/>
      <c r="BQ267" s="49"/>
      <c r="BR267" s="49"/>
      <c r="BS267" s="49"/>
      <c r="BT267" s="49"/>
      <c r="BU267" s="49"/>
      <c r="BV267" s="49"/>
      <c r="BW267" s="49"/>
      <c r="BX267" s="49"/>
      <c r="BY267" s="49"/>
      <c r="BZ267" s="49"/>
      <c r="CA267" s="49"/>
      <c r="CB267" s="49"/>
      <c r="CC267" s="49"/>
      <c r="CD267" s="49"/>
      <c r="CE267" s="49"/>
      <c r="CF267" s="49"/>
      <c r="CG267" s="49"/>
      <c r="CH267" s="49"/>
      <c r="CI267" s="49"/>
      <c r="CJ267" s="49"/>
      <c r="CK267" s="49"/>
      <c r="CL267" s="49"/>
      <c r="CM267" s="49"/>
      <c r="CN267" s="49"/>
      <c r="CO267" s="49"/>
      <c r="CP267" s="49"/>
      <c r="CQ267" s="49"/>
      <c r="CT267" s="54"/>
      <c r="DE267" s="34"/>
    </row>
    <row r="268" spans="1:109" ht="14.5" x14ac:dyDescent="0.35">
      <c r="A268" s="19"/>
      <c r="B268" s="1"/>
      <c r="C268"/>
      <c r="D268"/>
      <c r="E268" s="38"/>
      <c r="F268" s="38"/>
      <c r="G268" s="38"/>
      <c r="H268" s="38"/>
      <c r="I268" s="38"/>
      <c r="J268" s="33"/>
      <c r="K268" s="46"/>
      <c r="O268" s="54"/>
      <c r="P268" s="54"/>
      <c r="Q268" s="54"/>
      <c r="R268" s="54"/>
      <c r="S268" s="47"/>
      <c r="T268" s="48"/>
      <c r="U268" s="48"/>
      <c r="V268" s="48"/>
      <c r="W268" s="48"/>
      <c r="X268" s="49"/>
      <c r="Y268" s="49"/>
      <c r="Z268" s="49"/>
      <c r="AA268" s="49"/>
      <c r="AB268" s="49"/>
      <c r="AC268" s="49"/>
      <c r="AD268" s="49"/>
      <c r="AE268" s="49"/>
      <c r="AF268" s="49"/>
      <c r="AG268" s="49"/>
      <c r="AH268" s="49"/>
      <c r="AI268" s="49"/>
      <c r="AJ268" s="49"/>
      <c r="AK268" s="49"/>
      <c r="AL268" s="49"/>
      <c r="AM268" s="49"/>
      <c r="AN268" s="49"/>
      <c r="AO268" s="49"/>
      <c r="AP268" s="49"/>
      <c r="AQ268" s="49"/>
      <c r="AR268" s="49"/>
      <c r="AS268" s="49"/>
      <c r="AT268" s="49"/>
      <c r="AU268" s="49"/>
      <c r="AV268" s="49"/>
      <c r="AW268" s="49"/>
      <c r="AX268" s="49"/>
      <c r="AY268" s="49"/>
      <c r="AZ268" s="49"/>
      <c r="BA268" s="49"/>
      <c r="BB268" s="49"/>
      <c r="BC268" s="49"/>
      <c r="BD268" s="49"/>
      <c r="BE268" s="49"/>
      <c r="BF268" s="49"/>
      <c r="BG268" s="49"/>
      <c r="BH268" s="49"/>
      <c r="BI268" s="49"/>
      <c r="BJ268" s="49"/>
      <c r="BK268" s="49"/>
      <c r="BL268" s="49"/>
      <c r="BM268" s="49"/>
      <c r="BN268" s="49"/>
      <c r="BO268" s="49"/>
      <c r="BP268" s="49"/>
      <c r="BQ268" s="49"/>
      <c r="BR268" s="49"/>
      <c r="BS268" s="49"/>
      <c r="BT268" s="49"/>
      <c r="BU268" s="49"/>
      <c r="BV268" s="49"/>
      <c r="BW268" s="49"/>
      <c r="BX268" s="49"/>
      <c r="BY268" s="49"/>
      <c r="BZ268" s="49"/>
      <c r="CA268" s="49"/>
      <c r="CB268" s="49"/>
      <c r="CC268" s="49"/>
      <c r="CD268" s="49"/>
      <c r="CE268" s="49"/>
      <c r="CF268" s="49"/>
      <c r="CG268" s="49"/>
      <c r="CH268" s="49"/>
      <c r="CI268" s="49"/>
      <c r="CJ268" s="49"/>
      <c r="CK268" s="49"/>
      <c r="CL268" s="49"/>
      <c r="CM268" s="49"/>
      <c r="CN268" s="49"/>
      <c r="CO268" s="49"/>
      <c r="CP268" s="49"/>
      <c r="CQ268" s="49"/>
      <c r="CT268" s="54"/>
      <c r="DE268" s="34"/>
    </row>
    <row r="269" spans="1:109" ht="14.5" x14ac:dyDescent="0.35">
      <c r="A269" s="19"/>
      <c r="B269" s="1"/>
      <c r="C269"/>
      <c r="D269"/>
      <c r="E269" s="38"/>
      <c r="F269" s="38"/>
      <c r="G269" s="38"/>
      <c r="H269" s="38"/>
      <c r="I269" s="38"/>
      <c r="J269" s="33"/>
      <c r="K269" s="46"/>
      <c r="O269" s="54"/>
      <c r="P269" s="54"/>
      <c r="Q269" s="54"/>
      <c r="R269" s="54"/>
      <c r="S269" s="47"/>
      <c r="T269" s="48"/>
      <c r="U269" s="48"/>
      <c r="V269" s="48"/>
      <c r="W269" s="48"/>
      <c r="X269" s="49"/>
      <c r="Y269" s="49"/>
      <c r="Z269" s="49"/>
      <c r="AA269" s="49"/>
      <c r="AB269" s="49"/>
      <c r="AC269" s="49"/>
      <c r="AD269" s="49"/>
      <c r="AE269" s="49"/>
      <c r="AF269" s="49"/>
      <c r="AG269" s="49"/>
      <c r="AH269" s="49"/>
      <c r="AI269" s="49"/>
      <c r="AJ269" s="49"/>
      <c r="AK269" s="49"/>
      <c r="AL269" s="49"/>
      <c r="AM269" s="49"/>
      <c r="AN269" s="49"/>
      <c r="AO269" s="49"/>
      <c r="AP269" s="49"/>
      <c r="AQ269" s="49"/>
      <c r="AR269" s="49"/>
      <c r="AS269" s="49"/>
      <c r="AT269" s="49"/>
      <c r="AU269" s="49"/>
      <c r="AV269" s="49"/>
      <c r="AW269" s="49"/>
      <c r="AX269" s="49"/>
      <c r="AY269" s="49"/>
      <c r="AZ269" s="49"/>
      <c r="BA269" s="49"/>
      <c r="BB269" s="49"/>
      <c r="BC269" s="49"/>
      <c r="BD269" s="49"/>
      <c r="BE269" s="49"/>
      <c r="BF269" s="49"/>
      <c r="BG269" s="49"/>
      <c r="BH269" s="49"/>
      <c r="BI269" s="49"/>
      <c r="BJ269" s="49"/>
      <c r="BK269" s="49"/>
      <c r="BL269" s="49"/>
      <c r="BM269" s="49"/>
      <c r="BN269" s="49"/>
      <c r="BO269" s="49"/>
      <c r="BP269" s="49"/>
      <c r="BQ269" s="49"/>
      <c r="BR269" s="49"/>
      <c r="BS269" s="49"/>
      <c r="BT269" s="49"/>
      <c r="BU269" s="49"/>
      <c r="BV269" s="49"/>
      <c r="BW269" s="49"/>
      <c r="BX269" s="49"/>
      <c r="BY269" s="49"/>
      <c r="BZ269" s="49"/>
      <c r="CA269" s="49"/>
      <c r="CB269" s="49"/>
      <c r="CC269" s="49"/>
      <c r="CD269" s="49"/>
      <c r="CE269" s="49"/>
      <c r="CF269" s="49"/>
      <c r="CG269" s="49"/>
      <c r="CH269" s="49"/>
      <c r="CI269" s="49"/>
      <c r="CJ269" s="49"/>
      <c r="CK269" s="49"/>
      <c r="CL269" s="49"/>
      <c r="CM269" s="49"/>
      <c r="CN269" s="49"/>
      <c r="CO269" s="49"/>
      <c r="CP269" s="49"/>
      <c r="CQ269" s="49"/>
      <c r="CT269" s="54"/>
      <c r="DE269" s="34"/>
    </row>
    <row r="270" spans="1:109" ht="14.5" x14ac:dyDescent="0.35">
      <c r="A270" s="19"/>
      <c r="B270" s="1"/>
      <c r="C270"/>
      <c r="D270"/>
      <c r="E270" s="38"/>
      <c r="F270" s="38"/>
      <c r="G270" s="38"/>
      <c r="H270" s="38"/>
      <c r="I270" s="38"/>
      <c r="J270" s="33"/>
      <c r="K270" s="46"/>
      <c r="O270" s="54"/>
      <c r="P270" s="54"/>
      <c r="Q270" s="54"/>
      <c r="R270" s="54"/>
      <c r="S270" s="47"/>
      <c r="T270" s="48"/>
      <c r="U270" s="48"/>
      <c r="V270" s="48"/>
      <c r="W270" s="48"/>
      <c r="X270" s="49"/>
      <c r="Y270" s="49"/>
      <c r="Z270" s="49"/>
      <c r="AA270" s="49"/>
      <c r="AB270" s="49"/>
      <c r="AC270" s="49"/>
      <c r="AD270" s="49"/>
      <c r="AE270" s="49"/>
      <c r="AF270" s="49"/>
      <c r="AG270" s="49"/>
      <c r="AH270" s="49"/>
      <c r="AI270" s="49"/>
      <c r="AJ270" s="49"/>
      <c r="AK270" s="49"/>
      <c r="AL270" s="49"/>
      <c r="AM270" s="49"/>
      <c r="AN270" s="49"/>
      <c r="AO270" s="49"/>
      <c r="AP270" s="49"/>
      <c r="AQ270" s="49"/>
      <c r="AR270" s="49"/>
      <c r="AS270" s="49"/>
      <c r="AT270" s="49"/>
      <c r="AU270" s="49"/>
      <c r="AV270" s="49"/>
      <c r="AW270" s="49"/>
      <c r="AX270" s="49"/>
      <c r="AY270" s="49"/>
      <c r="AZ270" s="49"/>
      <c r="BA270" s="49"/>
      <c r="BB270" s="49"/>
      <c r="BC270" s="49"/>
      <c r="BD270" s="49"/>
      <c r="BE270" s="49"/>
      <c r="BF270" s="49"/>
      <c r="BG270" s="49"/>
      <c r="BH270" s="49"/>
      <c r="BI270" s="49"/>
      <c r="BJ270" s="49"/>
      <c r="BK270" s="49"/>
      <c r="BL270" s="49"/>
      <c r="BM270" s="49"/>
      <c r="BN270" s="49"/>
      <c r="BO270" s="49"/>
      <c r="BP270" s="49"/>
      <c r="BQ270" s="49"/>
      <c r="BR270" s="49"/>
      <c r="BS270" s="49"/>
      <c r="BT270" s="49"/>
      <c r="BU270" s="49"/>
      <c r="BV270" s="49"/>
      <c r="BW270" s="49"/>
      <c r="BX270" s="49"/>
      <c r="BY270" s="49"/>
      <c r="BZ270" s="49"/>
      <c r="CA270" s="49"/>
      <c r="CB270" s="49"/>
      <c r="CC270" s="49"/>
      <c r="CD270" s="49"/>
      <c r="CE270" s="49"/>
      <c r="CF270" s="49"/>
      <c r="CG270" s="49"/>
      <c r="CH270" s="49"/>
      <c r="CI270" s="49"/>
      <c r="CJ270" s="49"/>
      <c r="CK270" s="49"/>
      <c r="CL270" s="49"/>
      <c r="CM270" s="49"/>
      <c r="CN270" s="49"/>
      <c r="CO270" s="49"/>
      <c r="CP270" s="49"/>
      <c r="CQ270" s="49"/>
      <c r="CT270" s="54"/>
      <c r="DE270" s="34"/>
    </row>
    <row r="271" spans="1:109" ht="14.5" x14ac:dyDescent="0.35">
      <c r="A271" s="19"/>
      <c r="B271" s="1"/>
      <c r="C271"/>
      <c r="D271"/>
      <c r="E271" s="38"/>
      <c r="F271" s="38"/>
      <c r="G271" s="38"/>
      <c r="H271" s="38"/>
      <c r="I271" s="38"/>
      <c r="J271" s="33"/>
      <c r="K271" s="46"/>
      <c r="O271" s="54"/>
      <c r="P271" s="54"/>
      <c r="Q271" s="54"/>
      <c r="R271" s="54"/>
      <c r="S271" s="47"/>
      <c r="T271" s="48"/>
      <c r="U271" s="48"/>
      <c r="V271" s="48"/>
      <c r="W271" s="48"/>
      <c r="X271" s="49"/>
      <c r="Y271" s="49"/>
      <c r="Z271" s="49"/>
      <c r="AA271" s="49"/>
      <c r="AB271" s="49"/>
      <c r="AC271" s="49"/>
      <c r="AD271" s="49"/>
      <c r="AE271" s="49"/>
      <c r="AF271" s="49"/>
      <c r="AG271" s="49"/>
      <c r="AH271" s="49"/>
      <c r="AI271" s="49"/>
      <c r="AJ271" s="49"/>
      <c r="AK271" s="49"/>
      <c r="AL271" s="49"/>
      <c r="AM271" s="49"/>
      <c r="AN271" s="49"/>
      <c r="AO271" s="49"/>
      <c r="AP271" s="49"/>
      <c r="AQ271" s="49"/>
      <c r="AR271" s="49"/>
      <c r="AS271" s="49"/>
      <c r="AT271" s="49"/>
      <c r="AU271" s="49"/>
      <c r="AV271" s="49"/>
      <c r="AW271" s="49"/>
      <c r="AX271" s="49"/>
      <c r="AY271" s="49"/>
      <c r="AZ271" s="49"/>
      <c r="BA271" s="49"/>
      <c r="BB271" s="49"/>
      <c r="BC271" s="49"/>
      <c r="BD271" s="49"/>
      <c r="BE271" s="49"/>
      <c r="BF271" s="49"/>
      <c r="BG271" s="49"/>
      <c r="BH271" s="49"/>
      <c r="BI271" s="49"/>
      <c r="BJ271" s="49"/>
      <c r="BK271" s="49"/>
      <c r="BL271" s="49"/>
      <c r="BM271" s="49"/>
      <c r="BN271" s="49"/>
      <c r="BO271" s="49"/>
      <c r="BP271" s="49"/>
      <c r="BQ271" s="49"/>
      <c r="BR271" s="49"/>
      <c r="BS271" s="49"/>
      <c r="BT271" s="49"/>
      <c r="BU271" s="49"/>
      <c r="BV271" s="49"/>
      <c r="BW271" s="49"/>
      <c r="BX271" s="49"/>
      <c r="BY271" s="49"/>
      <c r="BZ271" s="49"/>
      <c r="CA271" s="49"/>
      <c r="CB271" s="49"/>
      <c r="CC271" s="49"/>
      <c r="CD271" s="49"/>
      <c r="CE271" s="49"/>
      <c r="CF271" s="49"/>
      <c r="CG271" s="49"/>
      <c r="CH271" s="49"/>
      <c r="CI271" s="49"/>
      <c r="CJ271" s="49"/>
      <c r="CK271" s="49"/>
      <c r="CL271" s="49"/>
      <c r="CM271" s="49"/>
      <c r="CN271" s="49"/>
      <c r="CO271" s="49"/>
      <c r="CP271" s="49"/>
      <c r="CQ271" s="49"/>
      <c r="CT271" s="54"/>
      <c r="DE271" s="34"/>
    </row>
    <row r="272" spans="1:109" ht="14.5" x14ac:dyDescent="0.35">
      <c r="A272" s="19"/>
      <c r="B272" s="1"/>
      <c r="C272"/>
      <c r="D272"/>
      <c r="E272" s="38"/>
      <c r="F272" s="38"/>
      <c r="G272" s="38"/>
      <c r="H272" s="38"/>
      <c r="I272" s="38"/>
      <c r="J272" s="33"/>
      <c r="K272" s="46"/>
      <c r="O272" s="54"/>
      <c r="P272" s="54"/>
      <c r="Q272" s="54"/>
      <c r="R272" s="54"/>
      <c r="S272" s="47"/>
      <c r="T272" s="48"/>
      <c r="U272" s="48"/>
      <c r="V272" s="48"/>
      <c r="W272" s="48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/>
      <c r="AI272" s="49"/>
      <c r="AJ272" s="49"/>
      <c r="AK272" s="49"/>
      <c r="AL272" s="49"/>
      <c r="AM272" s="49"/>
      <c r="AN272" s="49"/>
      <c r="AO272" s="49"/>
      <c r="AP272" s="49"/>
      <c r="AQ272" s="49"/>
      <c r="AR272" s="49"/>
      <c r="AS272" s="49"/>
      <c r="AT272" s="49"/>
      <c r="AU272" s="49"/>
      <c r="AV272" s="49"/>
      <c r="AW272" s="49"/>
      <c r="AX272" s="49"/>
      <c r="AY272" s="49"/>
      <c r="AZ272" s="49"/>
      <c r="BA272" s="49"/>
      <c r="BB272" s="49"/>
      <c r="BC272" s="49"/>
      <c r="BD272" s="49"/>
      <c r="BE272" s="49"/>
      <c r="BF272" s="49"/>
      <c r="BG272" s="49"/>
      <c r="BH272" s="49"/>
      <c r="BI272" s="49"/>
      <c r="BJ272" s="49"/>
      <c r="BK272" s="49"/>
      <c r="BL272" s="49"/>
      <c r="BM272" s="49"/>
      <c r="BN272" s="49"/>
      <c r="BO272" s="49"/>
      <c r="BP272" s="49"/>
      <c r="BQ272" s="49"/>
      <c r="BR272" s="49"/>
      <c r="BS272" s="49"/>
      <c r="BT272" s="49"/>
      <c r="BU272" s="49"/>
      <c r="BV272" s="49"/>
      <c r="BW272" s="49"/>
      <c r="BX272" s="49"/>
      <c r="BY272" s="49"/>
      <c r="BZ272" s="49"/>
      <c r="CA272" s="49"/>
      <c r="CB272" s="49"/>
      <c r="CC272" s="49"/>
      <c r="CD272" s="49"/>
      <c r="CE272" s="49"/>
      <c r="CF272" s="49"/>
      <c r="CG272" s="49"/>
      <c r="CH272" s="49"/>
      <c r="CI272" s="49"/>
      <c r="CJ272" s="49"/>
      <c r="CK272" s="49"/>
      <c r="CL272" s="49"/>
      <c r="CM272" s="49"/>
      <c r="CN272" s="49"/>
      <c r="CO272" s="49"/>
      <c r="CP272" s="49"/>
      <c r="CQ272" s="49"/>
      <c r="CT272" s="54"/>
      <c r="DE272" s="34"/>
    </row>
    <row r="273" spans="1:109" ht="14.5" x14ac:dyDescent="0.35">
      <c r="A273" s="19"/>
      <c r="B273" s="1"/>
      <c r="C273"/>
      <c r="D273"/>
      <c r="E273" s="38"/>
      <c r="F273" s="38"/>
      <c r="G273" s="38"/>
      <c r="H273" s="38"/>
      <c r="I273" s="38"/>
      <c r="J273" s="33"/>
      <c r="K273" s="46"/>
      <c r="O273" s="54"/>
      <c r="P273" s="54"/>
      <c r="Q273" s="54"/>
      <c r="R273" s="54"/>
      <c r="S273" s="47"/>
      <c r="T273" s="48"/>
      <c r="U273" s="48"/>
      <c r="V273" s="48"/>
      <c r="W273" s="48"/>
      <c r="X273" s="49"/>
      <c r="Y273" s="49"/>
      <c r="Z273" s="49"/>
      <c r="AA273" s="49"/>
      <c r="AB273" s="49"/>
      <c r="AC273" s="49"/>
      <c r="AD273" s="49"/>
      <c r="AE273" s="49"/>
      <c r="AF273" s="49"/>
      <c r="AG273" s="49"/>
      <c r="AH273" s="49"/>
      <c r="AI273" s="49"/>
      <c r="AJ273" s="49"/>
      <c r="AK273" s="49"/>
      <c r="AL273" s="49"/>
      <c r="AM273" s="49"/>
      <c r="AN273" s="49"/>
      <c r="AO273" s="49"/>
      <c r="AP273" s="49"/>
      <c r="AQ273" s="49"/>
      <c r="AR273" s="49"/>
      <c r="AS273" s="49"/>
      <c r="AT273" s="49"/>
      <c r="AU273" s="49"/>
      <c r="AV273" s="49"/>
      <c r="AW273" s="49"/>
      <c r="AX273" s="49"/>
      <c r="AY273" s="49"/>
      <c r="AZ273" s="49"/>
      <c r="BA273" s="49"/>
      <c r="BB273" s="49"/>
      <c r="BC273" s="49"/>
      <c r="BD273" s="49"/>
      <c r="BE273" s="49"/>
      <c r="BF273" s="49"/>
      <c r="BG273" s="49"/>
      <c r="BH273" s="49"/>
      <c r="BI273" s="49"/>
      <c r="BJ273" s="49"/>
      <c r="BK273" s="49"/>
      <c r="BL273" s="49"/>
      <c r="BM273" s="49"/>
      <c r="BN273" s="49"/>
      <c r="BO273" s="49"/>
      <c r="BP273" s="49"/>
      <c r="BQ273" s="49"/>
      <c r="BR273" s="49"/>
      <c r="BS273" s="49"/>
      <c r="BT273" s="49"/>
      <c r="BU273" s="49"/>
      <c r="BV273" s="49"/>
      <c r="BW273" s="49"/>
      <c r="BX273" s="49"/>
      <c r="BY273" s="49"/>
      <c r="BZ273" s="49"/>
      <c r="CA273" s="49"/>
      <c r="CB273" s="49"/>
      <c r="CC273" s="49"/>
      <c r="CD273" s="49"/>
      <c r="CE273" s="49"/>
      <c r="CF273" s="49"/>
      <c r="CG273" s="49"/>
      <c r="CH273" s="49"/>
      <c r="CI273" s="49"/>
      <c r="CJ273" s="49"/>
      <c r="CK273" s="49"/>
      <c r="CL273" s="49"/>
      <c r="CM273" s="49"/>
      <c r="CN273" s="49"/>
      <c r="CO273" s="49"/>
      <c r="CP273" s="49"/>
      <c r="CQ273" s="49"/>
      <c r="CT273" s="54"/>
      <c r="DE273" s="34"/>
    </row>
    <row r="274" spans="1:109" ht="14.5" x14ac:dyDescent="0.35">
      <c r="A274" s="19"/>
      <c r="B274" s="1"/>
      <c r="C274"/>
      <c r="D274"/>
      <c r="E274" s="38"/>
      <c r="F274" s="38"/>
      <c r="G274" s="38"/>
      <c r="H274" s="38"/>
      <c r="I274" s="38"/>
      <c r="J274" s="33"/>
      <c r="K274" s="46"/>
      <c r="O274" s="54"/>
      <c r="P274" s="54"/>
      <c r="Q274" s="54"/>
      <c r="R274" s="54"/>
      <c r="S274" s="47"/>
      <c r="T274" s="48"/>
      <c r="U274" s="48"/>
      <c r="V274" s="48"/>
      <c r="W274" s="48"/>
      <c r="X274" s="49"/>
      <c r="Y274" s="49"/>
      <c r="Z274" s="49"/>
      <c r="AA274" s="49"/>
      <c r="AB274" s="49"/>
      <c r="AC274" s="49"/>
      <c r="AD274" s="49"/>
      <c r="AE274" s="49"/>
      <c r="AF274" s="49"/>
      <c r="AG274" s="49"/>
      <c r="AH274" s="49"/>
      <c r="AI274" s="49"/>
      <c r="AJ274" s="49"/>
      <c r="AK274" s="49"/>
      <c r="AL274" s="49"/>
      <c r="AM274" s="49"/>
      <c r="AN274" s="49"/>
      <c r="AO274" s="49"/>
      <c r="AP274" s="49"/>
      <c r="AQ274" s="49"/>
      <c r="AR274" s="49"/>
      <c r="AS274" s="49"/>
      <c r="AT274" s="49"/>
      <c r="AU274" s="49"/>
      <c r="AV274" s="49"/>
      <c r="AW274" s="49"/>
      <c r="AX274" s="49"/>
      <c r="AY274" s="49"/>
      <c r="AZ274" s="49"/>
      <c r="BA274" s="49"/>
      <c r="BB274" s="49"/>
      <c r="BC274" s="49"/>
      <c r="BD274" s="49"/>
      <c r="BE274" s="49"/>
      <c r="BF274" s="49"/>
      <c r="BG274" s="49"/>
      <c r="BH274" s="49"/>
      <c r="BI274" s="49"/>
      <c r="BJ274" s="49"/>
      <c r="BK274" s="49"/>
      <c r="BL274" s="49"/>
      <c r="BM274" s="49"/>
      <c r="BN274" s="49"/>
      <c r="BO274" s="49"/>
      <c r="BP274" s="49"/>
      <c r="BQ274" s="49"/>
      <c r="BR274" s="49"/>
      <c r="BS274" s="49"/>
      <c r="BT274" s="49"/>
      <c r="BU274" s="49"/>
      <c r="BV274" s="49"/>
      <c r="BW274" s="49"/>
      <c r="BX274" s="49"/>
      <c r="BY274" s="49"/>
      <c r="BZ274" s="49"/>
      <c r="CA274" s="49"/>
      <c r="CB274" s="49"/>
      <c r="CC274" s="49"/>
      <c r="CD274" s="49"/>
      <c r="CE274" s="49"/>
      <c r="CF274" s="49"/>
      <c r="CG274" s="49"/>
      <c r="CH274" s="49"/>
      <c r="CI274" s="49"/>
      <c r="CJ274" s="49"/>
      <c r="CK274" s="49"/>
      <c r="CL274" s="49"/>
      <c r="CM274" s="49"/>
      <c r="CN274" s="49"/>
      <c r="CO274" s="49"/>
      <c r="CP274" s="49"/>
      <c r="CQ274" s="49"/>
      <c r="CT274" s="54"/>
      <c r="DE274" s="34"/>
    </row>
    <row r="275" spans="1:109" ht="14.5" x14ac:dyDescent="0.35">
      <c r="A275" s="19"/>
      <c r="B275" s="1"/>
      <c r="C275"/>
      <c r="D275"/>
      <c r="E275" s="38"/>
      <c r="F275" s="38"/>
      <c r="G275" s="38"/>
      <c r="H275" s="38"/>
      <c r="I275" s="38"/>
      <c r="J275" s="33"/>
      <c r="K275" s="46"/>
      <c r="O275" s="54"/>
      <c r="P275" s="54"/>
      <c r="Q275" s="54"/>
      <c r="R275" s="54"/>
      <c r="S275" s="47"/>
      <c r="T275" s="48"/>
      <c r="U275" s="48"/>
      <c r="V275" s="48"/>
      <c r="W275" s="48"/>
      <c r="X275" s="49"/>
      <c r="Y275" s="49"/>
      <c r="Z275" s="49"/>
      <c r="AA275" s="49"/>
      <c r="AB275" s="49"/>
      <c r="AC275" s="49"/>
      <c r="AD275" s="49"/>
      <c r="AE275" s="49"/>
      <c r="AF275" s="49"/>
      <c r="AG275" s="49"/>
      <c r="AH275" s="49"/>
      <c r="AI275" s="49"/>
      <c r="AJ275" s="49"/>
      <c r="AK275" s="49"/>
      <c r="AL275" s="49"/>
      <c r="AM275" s="49"/>
      <c r="AN275" s="49"/>
      <c r="AO275" s="49"/>
      <c r="AP275" s="49"/>
      <c r="AQ275" s="49"/>
      <c r="AR275" s="49"/>
      <c r="AS275" s="49"/>
      <c r="AT275" s="49"/>
      <c r="AU275" s="49"/>
      <c r="AV275" s="49"/>
      <c r="AW275" s="49"/>
      <c r="AX275" s="49"/>
      <c r="AY275" s="49"/>
      <c r="AZ275" s="49"/>
      <c r="BA275" s="49"/>
      <c r="BB275" s="49"/>
      <c r="BC275" s="49"/>
      <c r="BD275" s="49"/>
      <c r="BE275" s="49"/>
      <c r="BF275" s="49"/>
      <c r="BG275" s="49"/>
      <c r="BH275" s="49"/>
      <c r="BI275" s="49"/>
      <c r="BJ275" s="49"/>
      <c r="BK275" s="49"/>
      <c r="BL275" s="49"/>
      <c r="BM275" s="49"/>
      <c r="BN275" s="49"/>
      <c r="BO275" s="49"/>
      <c r="BP275" s="49"/>
      <c r="BQ275" s="49"/>
      <c r="BR275" s="49"/>
      <c r="BS275" s="49"/>
      <c r="BT275" s="49"/>
      <c r="BU275" s="49"/>
      <c r="BV275" s="49"/>
      <c r="BW275" s="49"/>
      <c r="BX275" s="49"/>
      <c r="BY275" s="49"/>
      <c r="BZ275" s="49"/>
      <c r="CA275" s="49"/>
      <c r="CB275" s="49"/>
      <c r="CC275" s="49"/>
      <c r="CD275" s="49"/>
      <c r="CE275" s="49"/>
      <c r="CF275" s="49"/>
      <c r="CG275" s="49"/>
      <c r="CH275" s="49"/>
      <c r="CI275" s="49"/>
      <c r="CJ275" s="49"/>
      <c r="CK275" s="49"/>
      <c r="CL275" s="49"/>
      <c r="CM275" s="49"/>
      <c r="CN275" s="49"/>
      <c r="CO275" s="49"/>
      <c r="CP275" s="49"/>
      <c r="CQ275" s="49"/>
      <c r="CT275" s="54"/>
      <c r="DE275" s="34"/>
    </row>
    <row r="276" spans="1:109" ht="14.5" x14ac:dyDescent="0.35">
      <c r="A276" s="19"/>
      <c r="B276" s="1"/>
      <c r="C276"/>
      <c r="D276"/>
      <c r="E276" s="38"/>
      <c r="F276" s="38"/>
      <c r="G276" s="38"/>
      <c r="H276" s="38"/>
      <c r="I276" s="38"/>
      <c r="J276" s="33"/>
      <c r="K276" s="46"/>
      <c r="O276" s="54"/>
      <c r="P276" s="54"/>
      <c r="Q276" s="54"/>
      <c r="R276" s="54"/>
      <c r="S276" s="47"/>
      <c r="T276" s="48"/>
      <c r="U276" s="48"/>
      <c r="V276" s="48"/>
      <c r="W276" s="48"/>
      <c r="X276" s="49"/>
      <c r="Y276" s="49"/>
      <c r="Z276" s="49"/>
      <c r="AA276" s="49"/>
      <c r="AB276" s="49"/>
      <c r="AC276" s="49"/>
      <c r="AD276" s="49"/>
      <c r="AE276" s="49"/>
      <c r="AF276" s="49"/>
      <c r="AG276" s="49"/>
      <c r="AH276" s="49"/>
      <c r="AI276" s="49"/>
      <c r="AJ276" s="49"/>
      <c r="AK276" s="49"/>
      <c r="AL276" s="49"/>
      <c r="AM276" s="49"/>
      <c r="AN276" s="49"/>
      <c r="AO276" s="49"/>
      <c r="AP276" s="49"/>
      <c r="AQ276" s="49"/>
      <c r="AR276" s="49"/>
      <c r="AS276" s="49"/>
      <c r="AT276" s="49"/>
      <c r="AU276" s="49"/>
      <c r="AV276" s="49"/>
      <c r="AW276" s="49"/>
      <c r="AX276" s="49"/>
      <c r="AY276" s="49"/>
      <c r="AZ276" s="49"/>
      <c r="BA276" s="49"/>
      <c r="BB276" s="49"/>
      <c r="BC276" s="49"/>
      <c r="BD276" s="49"/>
      <c r="BE276" s="49"/>
      <c r="BF276" s="49"/>
      <c r="BG276" s="49"/>
      <c r="BH276" s="49"/>
      <c r="BI276" s="49"/>
      <c r="BJ276" s="49"/>
      <c r="BK276" s="49"/>
      <c r="BL276" s="49"/>
      <c r="BM276" s="49"/>
      <c r="BN276" s="49"/>
      <c r="BO276" s="49"/>
      <c r="BP276" s="49"/>
      <c r="BQ276" s="49"/>
      <c r="BR276" s="49"/>
      <c r="BS276" s="49"/>
      <c r="BT276" s="49"/>
      <c r="BU276" s="49"/>
      <c r="BV276" s="49"/>
      <c r="BW276" s="49"/>
      <c r="BX276" s="49"/>
      <c r="BY276" s="49"/>
      <c r="BZ276" s="49"/>
      <c r="CA276" s="49"/>
      <c r="CB276" s="49"/>
      <c r="CC276" s="49"/>
      <c r="CD276" s="49"/>
      <c r="CE276" s="49"/>
      <c r="CF276" s="49"/>
      <c r="CG276" s="49"/>
      <c r="CH276" s="49"/>
      <c r="CI276" s="49"/>
      <c r="CJ276" s="49"/>
      <c r="CK276" s="49"/>
      <c r="CL276" s="49"/>
      <c r="CM276" s="49"/>
      <c r="CN276" s="49"/>
      <c r="CO276" s="49"/>
      <c r="CP276" s="49"/>
      <c r="CQ276" s="49"/>
      <c r="CT276" s="54"/>
      <c r="DE276" s="34"/>
    </row>
    <row r="277" spans="1:109" ht="14.5" x14ac:dyDescent="0.35">
      <c r="A277" s="19"/>
      <c r="B277" s="1"/>
      <c r="C277"/>
      <c r="D277"/>
      <c r="E277" s="38"/>
      <c r="F277" s="38"/>
      <c r="G277" s="38"/>
      <c r="H277" s="38"/>
      <c r="I277" s="38"/>
      <c r="J277" s="33"/>
      <c r="K277" s="46"/>
      <c r="O277" s="54"/>
      <c r="P277" s="54"/>
      <c r="Q277" s="54"/>
      <c r="R277" s="54"/>
      <c r="S277" s="47"/>
      <c r="T277" s="48"/>
      <c r="U277" s="48"/>
      <c r="V277" s="48"/>
      <c r="W277" s="48"/>
      <c r="X277" s="49"/>
      <c r="Y277" s="49"/>
      <c r="Z277" s="49"/>
      <c r="AA277" s="49"/>
      <c r="AB277" s="49"/>
      <c r="AC277" s="49"/>
      <c r="AD277" s="49"/>
      <c r="AE277" s="49"/>
      <c r="AF277" s="49"/>
      <c r="AG277" s="49"/>
      <c r="AH277" s="49"/>
      <c r="AI277" s="49"/>
      <c r="AJ277" s="49"/>
      <c r="AK277" s="49"/>
      <c r="AL277" s="49"/>
      <c r="AM277" s="49"/>
      <c r="AN277" s="49"/>
      <c r="AO277" s="49"/>
      <c r="AP277" s="49"/>
      <c r="AQ277" s="49"/>
      <c r="AR277" s="49"/>
      <c r="AS277" s="49"/>
      <c r="AT277" s="49"/>
      <c r="AU277" s="49"/>
      <c r="AV277" s="49"/>
      <c r="AW277" s="49"/>
      <c r="AX277" s="49"/>
      <c r="AY277" s="49"/>
      <c r="AZ277" s="49"/>
      <c r="BA277" s="49"/>
      <c r="BB277" s="49"/>
      <c r="BC277" s="49"/>
      <c r="BD277" s="49"/>
      <c r="BE277" s="49"/>
      <c r="BF277" s="49"/>
      <c r="BG277" s="49"/>
      <c r="BH277" s="49"/>
      <c r="BI277" s="49"/>
      <c r="BJ277" s="49"/>
      <c r="BK277" s="49"/>
      <c r="BL277" s="49"/>
      <c r="BM277" s="49"/>
      <c r="BN277" s="49"/>
      <c r="BO277" s="49"/>
      <c r="BP277" s="49"/>
      <c r="BQ277" s="49"/>
      <c r="BR277" s="49"/>
      <c r="BS277" s="49"/>
      <c r="BT277" s="49"/>
      <c r="BU277" s="49"/>
      <c r="BV277" s="49"/>
      <c r="BW277" s="49"/>
      <c r="BX277" s="49"/>
      <c r="BY277" s="49"/>
      <c r="BZ277" s="49"/>
      <c r="CA277" s="49"/>
      <c r="CB277" s="49"/>
      <c r="CC277" s="49"/>
      <c r="CD277" s="49"/>
      <c r="CE277" s="49"/>
      <c r="CF277" s="49"/>
      <c r="CG277" s="49"/>
      <c r="CH277" s="49"/>
      <c r="CI277" s="49"/>
      <c r="CJ277" s="49"/>
      <c r="CK277" s="49"/>
      <c r="CL277" s="49"/>
      <c r="CM277" s="49"/>
      <c r="CN277" s="49"/>
      <c r="CO277" s="49"/>
      <c r="CP277" s="49"/>
      <c r="CQ277" s="49"/>
      <c r="CT277" s="54"/>
      <c r="DE277" s="34"/>
    </row>
    <row r="278" spans="1:109" ht="14.5" x14ac:dyDescent="0.35">
      <c r="A278" s="19"/>
      <c r="B278" s="1"/>
      <c r="C278"/>
      <c r="D278"/>
      <c r="E278" s="38"/>
      <c r="F278" s="38"/>
      <c r="G278" s="38"/>
      <c r="H278" s="38"/>
      <c r="I278" s="38"/>
      <c r="J278" s="33"/>
      <c r="K278" s="46"/>
      <c r="O278" s="54"/>
      <c r="P278" s="54"/>
      <c r="Q278" s="54"/>
      <c r="R278" s="54"/>
      <c r="S278" s="47"/>
      <c r="T278" s="48"/>
      <c r="U278" s="48"/>
      <c r="V278" s="48"/>
      <c r="W278" s="48"/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49"/>
      <c r="AI278" s="49"/>
      <c r="AJ278" s="49"/>
      <c r="AK278" s="49"/>
      <c r="AL278" s="49"/>
      <c r="AM278" s="49"/>
      <c r="AN278" s="49"/>
      <c r="AO278" s="49"/>
      <c r="AP278" s="49"/>
      <c r="AQ278" s="49"/>
      <c r="AR278" s="49"/>
      <c r="AS278" s="49"/>
      <c r="AT278" s="49"/>
      <c r="AU278" s="49"/>
      <c r="AV278" s="49"/>
      <c r="AW278" s="49"/>
      <c r="AX278" s="49"/>
      <c r="AY278" s="49"/>
      <c r="AZ278" s="49"/>
      <c r="BA278" s="49"/>
      <c r="BB278" s="49"/>
      <c r="BC278" s="49"/>
      <c r="BD278" s="49"/>
      <c r="BE278" s="49"/>
      <c r="BF278" s="49"/>
      <c r="BG278" s="49"/>
      <c r="BH278" s="49"/>
      <c r="BI278" s="49"/>
      <c r="BJ278" s="49"/>
      <c r="BK278" s="49"/>
      <c r="BL278" s="49"/>
      <c r="BM278" s="49"/>
      <c r="BN278" s="49"/>
      <c r="BO278" s="49"/>
      <c r="BP278" s="49"/>
      <c r="BQ278" s="49"/>
      <c r="BR278" s="49"/>
      <c r="BS278" s="49"/>
      <c r="BT278" s="49"/>
      <c r="BU278" s="49"/>
      <c r="BV278" s="49"/>
      <c r="BW278" s="49"/>
      <c r="BX278" s="49"/>
      <c r="BY278" s="49"/>
      <c r="BZ278" s="49"/>
      <c r="CA278" s="49"/>
      <c r="CB278" s="49"/>
      <c r="CC278" s="49"/>
      <c r="CD278" s="49"/>
      <c r="CE278" s="49"/>
      <c r="CF278" s="49"/>
      <c r="CG278" s="49"/>
      <c r="CH278" s="49"/>
      <c r="CI278" s="49"/>
      <c r="CJ278" s="49"/>
      <c r="CK278" s="49"/>
      <c r="CL278" s="49"/>
      <c r="CM278" s="49"/>
      <c r="CN278" s="49"/>
      <c r="CO278" s="49"/>
      <c r="CP278" s="49"/>
      <c r="CQ278" s="49"/>
      <c r="CT278" s="54"/>
      <c r="DE278" s="34"/>
    </row>
    <row r="279" spans="1:109" ht="14.5" x14ac:dyDescent="0.35">
      <c r="A279" s="19"/>
      <c r="B279" s="1"/>
      <c r="C279"/>
      <c r="D279"/>
      <c r="E279" s="38"/>
      <c r="F279" s="38"/>
      <c r="G279" s="38"/>
      <c r="H279" s="38"/>
      <c r="I279" s="38"/>
      <c r="J279" s="33"/>
      <c r="K279" s="46"/>
      <c r="O279" s="54"/>
      <c r="P279" s="54"/>
      <c r="Q279" s="54"/>
      <c r="R279" s="54"/>
      <c r="S279" s="47"/>
      <c r="T279" s="48"/>
      <c r="U279" s="48"/>
      <c r="V279" s="48"/>
      <c r="W279" s="48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  <c r="AN279" s="49"/>
      <c r="AO279" s="49"/>
      <c r="AP279" s="49"/>
      <c r="AQ279" s="49"/>
      <c r="AR279" s="49"/>
      <c r="AS279" s="49"/>
      <c r="AT279" s="49"/>
      <c r="AU279" s="49"/>
      <c r="AV279" s="49"/>
      <c r="AW279" s="49"/>
      <c r="AX279" s="49"/>
      <c r="AY279" s="49"/>
      <c r="AZ279" s="49"/>
      <c r="BA279" s="49"/>
      <c r="BB279" s="49"/>
      <c r="BC279" s="49"/>
      <c r="BD279" s="49"/>
      <c r="BE279" s="49"/>
      <c r="BF279" s="49"/>
      <c r="BG279" s="49"/>
      <c r="BH279" s="49"/>
      <c r="BI279" s="49"/>
      <c r="BJ279" s="49"/>
      <c r="BK279" s="49"/>
      <c r="BL279" s="49"/>
      <c r="BM279" s="49"/>
      <c r="BN279" s="49"/>
      <c r="BO279" s="49"/>
      <c r="BP279" s="49"/>
      <c r="BQ279" s="49"/>
      <c r="BR279" s="49"/>
      <c r="BS279" s="49"/>
      <c r="BT279" s="49"/>
      <c r="BU279" s="49"/>
      <c r="BV279" s="49"/>
      <c r="BW279" s="49"/>
      <c r="BX279" s="49"/>
      <c r="BY279" s="49"/>
      <c r="BZ279" s="49"/>
      <c r="CA279" s="49"/>
      <c r="CB279" s="49"/>
      <c r="CC279" s="49"/>
      <c r="CD279" s="49"/>
      <c r="CE279" s="49"/>
      <c r="CF279" s="49"/>
      <c r="CG279" s="49"/>
      <c r="CH279" s="49"/>
      <c r="CI279" s="49"/>
      <c r="CJ279" s="49"/>
      <c r="CK279" s="49"/>
      <c r="CL279" s="49"/>
      <c r="CM279" s="49"/>
      <c r="CN279" s="49"/>
      <c r="CO279" s="49"/>
      <c r="CP279" s="49"/>
      <c r="CQ279" s="49"/>
      <c r="CT279" s="54"/>
      <c r="DE279" s="34"/>
    </row>
    <row r="280" spans="1:109" ht="14.5" x14ac:dyDescent="0.35">
      <c r="A280" s="19"/>
      <c r="B280" s="1"/>
      <c r="C280"/>
      <c r="D280"/>
      <c r="E280" s="38"/>
      <c r="F280" s="38"/>
      <c r="G280" s="38"/>
      <c r="H280" s="38"/>
      <c r="I280" s="38"/>
      <c r="J280" s="33"/>
      <c r="K280" s="46"/>
      <c r="O280" s="54"/>
      <c r="P280" s="54"/>
      <c r="Q280" s="54"/>
      <c r="R280" s="54"/>
      <c r="S280" s="47"/>
      <c r="T280" s="48"/>
      <c r="U280" s="48"/>
      <c r="V280" s="48"/>
      <c r="W280" s="48"/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  <c r="AI280" s="49"/>
      <c r="AJ280" s="49"/>
      <c r="AK280" s="49"/>
      <c r="AL280" s="49"/>
      <c r="AM280" s="49"/>
      <c r="AN280" s="49"/>
      <c r="AO280" s="49"/>
      <c r="AP280" s="49"/>
      <c r="AQ280" s="49"/>
      <c r="AR280" s="49"/>
      <c r="AS280" s="49"/>
      <c r="AT280" s="49"/>
      <c r="AU280" s="49"/>
      <c r="AV280" s="49"/>
      <c r="AW280" s="49"/>
      <c r="AX280" s="49"/>
      <c r="AY280" s="49"/>
      <c r="AZ280" s="49"/>
      <c r="BA280" s="49"/>
      <c r="BB280" s="49"/>
      <c r="BC280" s="49"/>
      <c r="BD280" s="49"/>
      <c r="BE280" s="49"/>
      <c r="BF280" s="49"/>
      <c r="BG280" s="49"/>
      <c r="BH280" s="49"/>
      <c r="BI280" s="49"/>
      <c r="BJ280" s="49"/>
      <c r="BK280" s="49"/>
      <c r="BL280" s="49"/>
      <c r="BM280" s="49"/>
      <c r="BN280" s="49"/>
      <c r="BO280" s="49"/>
      <c r="BP280" s="49"/>
      <c r="BQ280" s="49"/>
      <c r="BR280" s="49"/>
      <c r="BS280" s="49"/>
      <c r="BT280" s="49"/>
      <c r="BU280" s="49"/>
      <c r="BV280" s="49"/>
      <c r="BW280" s="49"/>
      <c r="BX280" s="49"/>
      <c r="BY280" s="49"/>
      <c r="BZ280" s="49"/>
      <c r="CA280" s="49"/>
      <c r="CB280" s="49"/>
      <c r="CC280" s="49"/>
      <c r="CD280" s="49"/>
      <c r="CE280" s="49"/>
      <c r="CF280" s="49"/>
      <c r="CG280" s="49"/>
      <c r="CH280" s="49"/>
      <c r="CI280" s="49"/>
      <c r="CJ280" s="49"/>
      <c r="CK280" s="49"/>
      <c r="CL280" s="49"/>
      <c r="CM280" s="49"/>
      <c r="CN280" s="49"/>
      <c r="CO280" s="49"/>
      <c r="CP280" s="49"/>
      <c r="CQ280" s="49"/>
      <c r="CT280" s="54"/>
      <c r="DE280" s="34"/>
    </row>
    <row r="281" spans="1:109" ht="14.5" x14ac:dyDescent="0.35">
      <c r="A281" s="19"/>
      <c r="B281" s="1"/>
      <c r="C281"/>
      <c r="D281"/>
      <c r="E281" s="38"/>
      <c r="F281" s="38"/>
      <c r="G281" s="38"/>
      <c r="H281" s="38"/>
      <c r="I281" s="38"/>
      <c r="J281" s="33"/>
      <c r="K281" s="46"/>
      <c r="O281" s="54"/>
      <c r="P281" s="54"/>
      <c r="Q281" s="54"/>
      <c r="R281" s="54"/>
      <c r="S281" s="47"/>
      <c r="T281" s="48"/>
      <c r="U281" s="48"/>
      <c r="V281" s="48"/>
      <c r="W281" s="48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  <c r="AM281" s="49"/>
      <c r="AN281" s="49"/>
      <c r="AO281" s="49"/>
      <c r="AP281" s="49"/>
      <c r="AQ281" s="49"/>
      <c r="AR281" s="49"/>
      <c r="AS281" s="49"/>
      <c r="AT281" s="49"/>
      <c r="AU281" s="49"/>
      <c r="AV281" s="49"/>
      <c r="AW281" s="49"/>
      <c r="AX281" s="49"/>
      <c r="AY281" s="49"/>
      <c r="AZ281" s="49"/>
      <c r="BA281" s="49"/>
      <c r="BB281" s="49"/>
      <c r="BC281" s="49"/>
      <c r="BD281" s="49"/>
      <c r="BE281" s="49"/>
      <c r="BF281" s="49"/>
      <c r="BG281" s="49"/>
      <c r="BH281" s="49"/>
      <c r="BI281" s="49"/>
      <c r="BJ281" s="49"/>
      <c r="BK281" s="49"/>
      <c r="BL281" s="49"/>
      <c r="BM281" s="49"/>
      <c r="BN281" s="49"/>
      <c r="BO281" s="49"/>
      <c r="BP281" s="49"/>
      <c r="BQ281" s="49"/>
      <c r="BR281" s="49"/>
      <c r="BS281" s="49"/>
      <c r="BT281" s="49"/>
      <c r="BU281" s="49"/>
      <c r="BV281" s="49"/>
      <c r="BW281" s="49"/>
      <c r="BX281" s="49"/>
      <c r="BY281" s="49"/>
      <c r="BZ281" s="49"/>
      <c r="CA281" s="49"/>
      <c r="CB281" s="49"/>
      <c r="CC281" s="49"/>
      <c r="CD281" s="49"/>
      <c r="CE281" s="49"/>
      <c r="CF281" s="49"/>
      <c r="CG281" s="49"/>
      <c r="CH281" s="49"/>
      <c r="CI281" s="49"/>
      <c r="CJ281" s="49"/>
      <c r="CK281" s="49"/>
      <c r="CL281" s="49"/>
      <c r="CM281" s="49"/>
      <c r="CN281" s="49"/>
      <c r="CO281" s="49"/>
      <c r="CP281" s="49"/>
      <c r="CQ281" s="49"/>
      <c r="CT281" s="54"/>
      <c r="DE281" s="34"/>
    </row>
    <row r="282" spans="1:109" ht="14.5" x14ac:dyDescent="0.35">
      <c r="A282" s="19"/>
      <c r="B282" s="1"/>
      <c r="C282"/>
      <c r="D282"/>
      <c r="E282" s="38"/>
      <c r="F282" s="38"/>
      <c r="G282" s="38"/>
      <c r="H282" s="38"/>
      <c r="I282" s="38"/>
      <c r="J282" s="33"/>
      <c r="K282" s="46"/>
      <c r="O282" s="54"/>
      <c r="P282" s="54"/>
      <c r="Q282" s="54"/>
      <c r="R282" s="54"/>
      <c r="S282" s="47"/>
      <c r="T282" s="48"/>
      <c r="U282" s="48"/>
      <c r="V282" s="48"/>
      <c r="W282" s="48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49"/>
      <c r="AO282" s="49"/>
      <c r="AP282" s="49"/>
      <c r="AQ282" s="49"/>
      <c r="AR282" s="49"/>
      <c r="AS282" s="49"/>
      <c r="AT282" s="49"/>
      <c r="AU282" s="49"/>
      <c r="AV282" s="49"/>
      <c r="AW282" s="49"/>
      <c r="AX282" s="49"/>
      <c r="AY282" s="49"/>
      <c r="AZ282" s="49"/>
      <c r="BA282" s="49"/>
      <c r="BB282" s="49"/>
      <c r="BC282" s="49"/>
      <c r="BD282" s="49"/>
      <c r="BE282" s="49"/>
      <c r="BF282" s="49"/>
      <c r="BG282" s="49"/>
      <c r="BH282" s="49"/>
      <c r="BI282" s="49"/>
      <c r="BJ282" s="49"/>
      <c r="BK282" s="49"/>
      <c r="BL282" s="49"/>
      <c r="BM282" s="49"/>
      <c r="BN282" s="49"/>
      <c r="BO282" s="49"/>
      <c r="BP282" s="49"/>
      <c r="BQ282" s="49"/>
      <c r="BR282" s="49"/>
      <c r="BS282" s="49"/>
      <c r="BT282" s="49"/>
      <c r="BU282" s="49"/>
      <c r="BV282" s="49"/>
      <c r="BW282" s="49"/>
      <c r="BX282" s="49"/>
      <c r="BY282" s="49"/>
      <c r="BZ282" s="49"/>
      <c r="CA282" s="49"/>
      <c r="CB282" s="49"/>
      <c r="CC282" s="49"/>
      <c r="CD282" s="49"/>
      <c r="CE282" s="49"/>
      <c r="CF282" s="49"/>
      <c r="CG282" s="49"/>
      <c r="CH282" s="49"/>
      <c r="CI282" s="49"/>
      <c r="CJ282" s="49"/>
      <c r="CK282" s="49"/>
      <c r="CL282" s="49"/>
      <c r="CM282" s="49"/>
      <c r="CN282" s="49"/>
      <c r="CO282" s="49"/>
      <c r="CP282" s="49"/>
      <c r="CQ282" s="49"/>
      <c r="CT282" s="54"/>
      <c r="DE282" s="34"/>
    </row>
    <row r="283" spans="1:109" ht="14.5" x14ac:dyDescent="0.35">
      <c r="A283" s="19"/>
      <c r="B283" s="1"/>
      <c r="C283"/>
      <c r="D283"/>
      <c r="E283" s="38"/>
      <c r="F283" s="38"/>
      <c r="G283" s="38"/>
      <c r="H283" s="38"/>
      <c r="I283" s="38"/>
      <c r="J283" s="33"/>
      <c r="K283" s="46"/>
      <c r="O283" s="54"/>
      <c r="P283" s="54"/>
      <c r="Q283" s="54"/>
      <c r="R283" s="54"/>
      <c r="S283" s="47"/>
      <c r="T283" s="48"/>
      <c r="U283" s="48"/>
      <c r="V283" s="48"/>
      <c r="W283" s="48"/>
      <c r="X283" s="49"/>
      <c r="Y283" s="49"/>
      <c r="Z283" s="49"/>
      <c r="AA283" s="49"/>
      <c r="AB283" s="49"/>
      <c r="AC283" s="49"/>
      <c r="AD283" s="49"/>
      <c r="AE283" s="49"/>
      <c r="AF283" s="49"/>
      <c r="AG283" s="49"/>
      <c r="AH283" s="49"/>
      <c r="AI283" s="49"/>
      <c r="AJ283" s="49"/>
      <c r="AK283" s="49"/>
      <c r="AL283" s="49"/>
      <c r="AM283" s="49"/>
      <c r="AN283" s="49"/>
      <c r="AO283" s="49"/>
      <c r="AP283" s="49"/>
      <c r="AQ283" s="49"/>
      <c r="AR283" s="49"/>
      <c r="AS283" s="49"/>
      <c r="AT283" s="49"/>
      <c r="AU283" s="49"/>
      <c r="AV283" s="49"/>
      <c r="AW283" s="49"/>
      <c r="AX283" s="49"/>
      <c r="AY283" s="49"/>
      <c r="AZ283" s="49"/>
      <c r="BA283" s="49"/>
      <c r="BB283" s="49"/>
      <c r="BC283" s="49"/>
      <c r="BD283" s="49"/>
      <c r="BE283" s="49"/>
      <c r="BF283" s="49"/>
      <c r="BG283" s="49"/>
      <c r="BH283" s="49"/>
      <c r="BI283" s="49"/>
      <c r="BJ283" s="49"/>
      <c r="BK283" s="49"/>
      <c r="BL283" s="49"/>
      <c r="BM283" s="49"/>
      <c r="BN283" s="49"/>
      <c r="BO283" s="49"/>
      <c r="BP283" s="49"/>
      <c r="BQ283" s="49"/>
      <c r="BR283" s="49"/>
      <c r="BS283" s="49"/>
      <c r="BT283" s="49"/>
      <c r="BU283" s="49"/>
      <c r="BV283" s="49"/>
      <c r="BW283" s="49"/>
      <c r="BX283" s="49"/>
      <c r="BY283" s="49"/>
      <c r="BZ283" s="49"/>
      <c r="CA283" s="49"/>
      <c r="CB283" s="49"/>
      <c r="CC283" s="49"/>
      <c r="CD283" s="49"/>
      <c r="CE283" s="49"/>
      <c r="CF283" s="49"/>
      <c r="CG283" s="49"/>
      <c r="CH283" s="49"/>
      <c r="CI283" s="49"/>
      <c r="CJ283" s="49"/>
      <c r="CK283" s="49"/>
      <c r="CL283" s="49"/>
      <c r="CM283" s="49"/>
      <c r="CN283" s="49"/>
      <c r="CO283" s="49"/>
      <c r="CP283" s="49"/>
      <c r="CQ283" s="49"/>
      <c r="CT283" s="54"/>
      <c r="DE283" s="34"/>
    </row>
    <row r="284" spans="1:109" ht="14.5" x14ac:dyDescent="0.35">
      <c r="A284" s="19"/>
      <c r="B284" s="1"/>
      <c r="C284"/>
      <c r="D284"/>
      <c r="E284" s="38"/>
      <c r="F284" s="38"/>
      <c r="G284" s="38"/>
      <c r="H284" s="38"/>
      <c r="I284" s="38"/>
      <c r="J284" s="33"/>
      <c r="K284" s="46"/>
      <c r="O284" s="54"/>
      <c r="P284" s="54"/>
      <c r="Q284" s="54"/>
      <c r="R284" s="54"/>
      <c r="S284" s="47"/>
      <c r="T284" s="48"/>
      <c r="U284" s="48"/>
      <c r="V284" s="48"/>
      <c r="W284" s="48"/>
      <c r="X284" s="49"/>
      <c r="Y284" s="49"/>
      <c r="Z284" s="49"/>
      <c r="AA284" s="49"/>
      <c r="AB284" s="49"/>
      <c r="AC284" s="49"/>
      <c r="AD284" s="49"/>
      <c r="AE284" s="49"/>
      <c r="AF284" s="49"/>
      <c r="AG284" s="49"/>
      <c r="AH284" s="49"/>
      <c r="AI284" s="49"/>
      <c r="AJ284" s="49"/>
      <c r="AK284" s="49"/>
      <c r="AL284" s="49"/>
      <c r="AM284" s="49"/>
      <c r="AN284" s="49"/>
      <c r="AO284" s="49"/>
      <c r="AP284" s="49"/>
      <c r="AQ284" s="49"/>
      <c r="AR284" s="49"/>
      <c r="AS284" s="49"/>
      <c r="AT284" s="49"/>
      <c r="AU284" s="49"/>
      <c r="AV284" s="49"/>
      <c r="AW284" s="49"/>
      <c r="AX284" s="49"/>
      <c r="AY284" s="49"/>
      <c r="AZ284" s="49"/>
      <c r="BA284" s="49"/>
      <c r="BB284" s="49"/>
      <c r="BC284" s="49"/>
      <c r="BD284" s="49"/>
      <c r="BE284" s="49"/>
      <c r="BF284" s="49"/>
      <c r="BG284" s="49"/>
      <c r="BH284" s="49"/>
      <c r="BI284" s="49"/>
      <c r="BJ284" s="49"/>
      <c r="BK284" s="49"/>
      <c r="BL284" s="49"/>
      <c r="BM284" s="49"/>
      <c r="BN284" s="49"/>
      <c r="BO284" s="49"/>
      <c r="BP284" s="49"/>
      <c r="BQ284" s="49"/>
      <c r="BR284" s="49"/>
      <c r="BS284" s="49"/>
      <c r="BT284" s="49"/>
      <c r="BU284" s="49"/>
      <c r="BV284" s="49"/>
      <c r="BW284" s="49"/>
      <c r="BX284" s="49"/>
      <c r="BY284" s="49"/>
      <c r="BZ284" s="49"/>
      <c r="CA284" s="49"/>
      <c r="CB284" s="49"/>
      <c r="CC284" s="49"/>
      <c r="CD284" s="49"/>
      <c r="CE284" s="49"/>
      <c r="CF284" s="49"/>
      <c r="CG284" s="49"/>
      <c r="CH284" s="49"/>
      <c r="CI284" s="49"/>
      <c r="CJ284" s="49"/>
      <c r="CK284" s="49"/>
      <c r="CL284" s="49"/>
      <c r="CM284" s="49"/>
      <c r="CN284" s="49"/>
      <c r="CO284" s="49"/>
      <c r="CP284" s="49"/>
      <c r="CQ284" s="49"/>
      <c r="CT284" s="54"/>
      <c r="DE284" s="34"/>
    </row>
    <row r="285" spans="1:109" ht="14.5" x14ac:dyDescent="0.35">
      <c r="A285" s="19"/>
      <c r="B285" s="1"/>
      <c r="C285"/>
      <c r="D285"/>
      <c r="E285" s="38"/>
      <c r="F285" s="38"/>
      <c r="G285" s="38"/>
      <c r="H285" s="38"/>
      <c r="I285" s="38"/>
      <c r="J285" s="33"/>
      <c r="K285" s="46"/>
      <c r="O285" s="54"/>
      <c r="P285" s="54"/>
      <c r="Q285" s="54"/>
      <c r="R285" s="54"/>
      <c r="S285" s="47"/>
      <c r="T285" s="48"/>
      <c r="U285" s="48"/>
      <c r="V285" s="48"/>
      <c r="W285" s="48"/>
      <c r="X285" s="49"/>
      <c r="Y285" s="49"/>
      <c r="Z285" s="49"/>
      <c r="AA285" s="49"/>
      <c r="AB285" s="49"/>
      <c r="AC285" s="49"/>
      <c r="AD285" s="49"/>
      <c r="AE285" s="49"/>
      <c r="AF285" s="49"/>
      <c r="AG285" s="49"/>
      <c r="AH285" s="49"/>
      <c r="AI285" s="49"/>
      <c r="AJ285" s="49"/>
      <c r="AK285" s="49"/>
      <c r="AL285" s="49"/>
      <c r="AM285" s="49"/>
      <c r="AN285" s="49"/>
      <c r="AO285" s="49"/>
      <c r="AP285" s="49"/>
      <c r="AQ285" s="49"/>
      <c r="AR285" s="49"/>
      <c r="AS285" s="49"/>
      <c r="AT285" s="49"/>
      <c r="AU285" s="49"/>
      <c r="AV285" s="49"/>
      <c r="AW285" s="49"/>
      <c r="AX285" s="49"/>
      <c r="AY285" s="49"/>
      <c r="AZ285" s="49"/>
      <c r="BA285" s="49"/>
      <c r="BB285" s="49"/>
      <c r="BC285" s="49"/>
      <c r="BD285" s="49"/>
      <c r="BE285" s="49"/>
      <c r="BF285" s="49"/>
      <c r="BG285" s="49"/>
      <c r="BH285" s="49"/>
      <c r="BI285" s="49"/>
      <c r="BJ285" s="49"/>
      <c r="BK285" s="49"/>
      <c r="BL285" s="49"/>
      <c r="BM285" s="49"/>
      <c r="BN285" s="49"/>
      <c r="BO285" s="49"/>
      <c r="BP285" s="49"/>
      <c r="BQ285" s="49"/>
      <c r="BR285" s="49"/>
      <c r="BS285" s="49"/>
      <c r="BT285" s="49"/>
      <c r="BU285" s="49"/>
      <c r="BV285" s="49"/>
      <c r="BW285" s="49"/>
      <c r="BX285" s="49"/>
      <c r="BY285" s="49"/>
      <c r="BZ285" s="49"/>
      <c r="CA285" s="49"/>
      <c r="CB285" s="49"/>
      <c r="CC285" s="49"/>
      <c r="CD285" s="49"/>
      <c r="CE285" s="49"/>
      <c r="CF285" s="49"/>
      <c r="CG285" s="49"/>
      <c r="CH285" s="49"/>
      <c r="CI285" s="49"/>
      <c r="CJ285" s="49"/>
      <c r="CK285" s="49"/>
      <c r="CL285" s="49"/>
      <c r="CM285" s="49"/>
      <c r="CN285" s="49"/>
      <c r="CO285" s="49"/>
      <c r="CP285" s="49"/>
      <c r="CQ285" s="49"/>
      <c r="CT285" s="54"/>
      <c r="DE285" s="34"/>
    </row>
    <row r="286" spans="1:109" ht="14.5" x14ac:dyDescent="0.35">
      <c r="A286" s="19"/>
      <c r="B286" s="1"/>
      <c r="C286"/>
      <c r="D286"/>
      <c r="E286" s="38"/>
      <c r="F286" s="38"/>
      <c r="G286" s="38"/>
      <c r="H286" s="38"/>
      <c r="I286" s="38"/>
      <c r="J286" s="33"/>
      <c r="K286" s="46"/>
      <c r="O286" s="54"/>
      <c r="P286" s="54"/>
      <c r="Q286" s="54"/>
      <c r="R286" s="54"/>
      <c r="S286" s="47"/>
      <c r="T286" s="48"/>
      <c r="U286" s="48"/>
      <c r="V286" s="48"/>
      <c r="W286" s="48"/>
      <c r="X286" s="49"/>
      <c r="Y286" s="49"/>
      <c r="Z286" s="49"/>
      <c r="AA286" s="49"/>
      <c r="AB286" s="49"/>
      <c r="AC286" s="49"/>
      <c r="AD286" s="49"/>
      <c r="AE286" s="49"/>
      <c r="AF286" s="49"/>
      <c r="AG286" s="49"/>
      <c r="AH286" s="49"/>
      <c r="AI286" s="49"/>
      <c r="AJ286" s="49"/>
      <c r="AK286" s="49"/>
      <c r="AL286" s="49"/>
      <c r="AM286" s="49"/>
      <c r="AN286" s="49"/>
      <c r="AO286" s="49"/>
      <c r="AP286" s="49"/>
      <c r="AQ286" s="49"/>
      <c r="AR286" s="49"/>
      <c r="AS286" s="49"/>
      <c r="AT286" s="49"/>
      <c r="AU286" s="49"/>
      <c r="AV286" s="49"/>
      <c r="AW286" s="49"/>
      <c r="AX286" s="49"/>
      <c r="AY286" s="49"/>
      <c r="AZ286" s="49"/>
      <c r="BA286" s="49"/>
      <c r="BB286" s="49"/>
      <c r="BC286" s="49"/>
      <c r="BD286" s="49"/>
      <c r="BE286" s="49"/>
      <c r="BF286" s="49"/>
      <c r="BG286" s="49"/>
      <c r="BH286" s="49"/>
      <c r="BI286" s="49"/>
      <c r="BJ286" s="49"/>
      <c r="BK286" s="49"/>
      <c r="BL286" s="49"/>
      <c r="BM286" s="49"/>
      <c r="BN286" s="49"/>
      <c r="BO286" s="49"/>
      <c r="BP286" s="49"/>
      <c r="BQ286" s="49"/>
      <c r="BR286" s="49"/>
      <c r="BS286" s="49"/>
      <c r="BT286" s="49"/>
      <c r="BU286" s="49"/>
      <c r="BV286" s="49"/>
      <c r="BW286" s="49"/>
      <c r="BX286" s="49"/>
      <c r="BY286" s="49"/>
      <c r="BZ286" s="49"/>
      <c r="CA286" s="49"/>
      <c r="CB286" s="49"/>
      <c r="CC286" s="49"/>
      <c r="CD286" s="49"/>
      <c r="CE286" s="49"/>
      <c r="CF286" s="49"/>
      <c r="CG286" s="49"/>
      <c r="CH286" s="49"/>
      <c r="CI286" s="49"/>
      <c r="CJ286" s="49"/>
      <c r="CK286" s="49"/>
      <c r="CL286" s="49"/>
      <c r="CM286" s="49"/>
      <c r="CN286" s="49"/>
      <c r="CO286" s="49"/>
      <c r="CP286" s="49"/>
      <c r="CQ286" s="49"/>
      <c r="CT286" s="54"/>
      <c r="DE286" s="34"/>
    </row>
    <row r="287" spans="1:109" ht="14.5" x14ac:dyDescent="0.35">
      <c r="A287" s="19"/>
      <c r="B287" s="1"/>
      <c r="C287"/>
      <c r="D287"/>
      <c r="E287" s="38"/>
      <c r="F287" s="38"/>
      <c r="G287" s="38"/>
      <c r="H287" s="38"/>
      <c r="I287" s="38"/>
      <c r="J287" s="33"/>
      <c r="K287" s="46"/>
      <c r="O287" s="54"/>
      <c r="P287" s="54"/>
      <c r="Q287" s="54"/>
      <c r="R287" s="54"/>
      <c r="S287" s="47"/>
      <c r="T287" s="48"/>
      <c r="U287" s="48"/>
      <c r="V287" s="48"/>
      <c r="W287" s="48"/>
      <c r="X287" s="49"/>
      <c r="Y287" s="49"/>
      <c r="Z287" s="49"/>
      <c r="AA287" s="49"/>
      <c r="AB287" s="49"/>
      <c r="AC287" s="49"/>
      <c r="AD287" s="49"/>
      <c r="AE287" s="49"/>
      <c r="AF287" s="49"/>
      <c r="AG287" s="49"/>
      <c r="AH287" s="49"/>
      <c r="AI287" s="49"/>
      <c r="AJ287" s="49"/>
      <c r="AK287" s="49"/>
      <c r="AL287" s="49"/>
      <c r="AM287" s="49"/>
      <c r="AN287" s="49"/>
      <c r="AO287" s="49"/>
      <c r="AP287" s="49"/>
      <c r="AQ287" s="49"/>
      <c r="AR287" s="49"/>
      <c r="AS287" s="49"/>
      <c r="AT287" s="49"/>
      <c r="AU287" s="49"/>
      <c r="AV287" s="49"/>
      <c r="AW287" s="49"/>
      <c r="AX287" s="49"/>
      <c r="AY287" s="49"/>
      <c r="AZ287" s="49"/>
      <c r="BA287" s="49"/>
      <c r="BB287" s="49"/>
      <c r="BC287" s="49"/>
      <c r="BD287" s="49"/>
      <c r="BE287" s="49"/>
      <c r="BF287" s="49"/>
      <c r="BG287" s="49"/>
      <c r="BH287" s="49"/>
      <c r="BI287" s="49"/>
      <c r="BJ287" s="49"/>
      <c r="BK287" s="49"/>
      <c r="BL287" s="49"/>
      <c r="BM287" s="49"/>
      <c r="BN287" s="49"/>
      <c r="BO287" s="49"/>
      <c r="BP287" s="49"/>
      <c r="BQ287" s="49"/>
      <c r="BR287" s="49"/>
      <c r="BS287" s="49"/>
      <c r="BT287" s="49"/>
      <c r="BU287" s="49"/>
      <c r="BV287" s="49"/>
      <c r="BW287" s="49"/>
      <c r="BX287" s="49"/>
      <c r="BY287" s="49"/>
      <c r="BZ287" s="49"/>
      <c r="CA287" s="49"/>
      <c r="CB287" s="49"/>
      <c r="CC287" s="49"/>
      <c r="CD287" s="49"/>
      <c r="CE287" s="49"/>
      <c r="CF287" s="49"/>
      <c r="CG287" s="49"/>
      <c r="CH287" s="49"/>
      <c r="CI287" s="49"/>
      <c r="CJ287" s="49"/>
      <c r="CK287" s="49"/>
      <c r="CL287" s="49"/>
      <c r="CM287" s="49"/>
      <c r="CN287" s="49"/>
      <c r="CO287" s="49"/>
      <c r="CP287" s="49"/>
      <c r="CQ287" s="49"/>
      <c r="CT287" s="54"/>
      <c r="DE287" s="34"/>
    </row>
    <row r="288" spans="1:109" ht="14.5" x14ac:dyDescent="0.35">
      <c r="A288" s="19"/>
      <c r="B288" s="1"/>
      <c r="C288"/>
      <c r="D288"/>
      <c r="E288" s="38"/>
      <c r="F288" s="38"/>
      <c r="G288" s="38"/>
      <c r="H288" s="38"/>
      <c r="I288" s="38"/>
      <c r="J288" s="33"/>
      <c r="K288" s="46"/>
      <c r="O288" s="54"/>
      <c r="P288" s="54"/>
      <c r="Q288" s="54"/>
      <c r="R288" s="54"/>
      <c r="S288" s="47"/>
      <c r="T288" s="48"/>
      <c r="U288" s="48"/>
      <c r="V288" s="48"/>
      <c r="W288" s="48"/>
      <c r="X288" s="49"/>
      <c r="Y288" s="49"/>
      <c r="Z288" s="49"/>
      <c r="AA288" s="49"/>
      <c r="AB288" s="49"/>
      <c r="AC288" s="49"/>
      <c r="AD288" s="49"/>
      <c r="AE288" s="49"/>
      <c r="AF288" s="49"/>
      <c r="AG288" s="49"/>
      <c r="AH288" s="49"/>
      <c r="AI288" s="49"/>
      <c r="AJ288" s="49"/>
      <c r="AK288" s="49"/>
      <c r="AL288" s="49"/>
      <c r="AM288" s="49"/>
      <c r="AN288" s="49"/>
      <c r="AO288" s="49"/>
      <c r="AP288" s="49"/>
      <c r="AQ288" s="49"/>
      <c r="AR288" s="49"/>
      <c r="AS288" s="49"/>
      <c r="AT288" s="49"/>
      <c r="AU288" s="49"/>
      <c r="AV288" s="49"/>
      <c r="AW288" s="49"/>
      <c r="AX288" s="49"/>
      <c r="AY288" s="49"/>
      <c r="AZ288" s="49"/>
      <c r="BA288" s="49"/>
      <c r="BB288" s="49"/>
      <c r="BC288" s="49"/>
      <c r="BD288" s="49"/>
      <c r="BE288" s="49"/>
      <c r="BF288" s="49"/>
      <c r="BG288" s="49"/>
      <c r="BH288" s="49"/>
      <c r="BI288" s="49"/>
      <c r="BJ288" s="49"/>
      <c r="BK288" s="49"/>
      <c r="BL288" s="49"/>
      <c r="BM288" s="49"/>
      <c r="BN288" s="49"/>
      <c r="BO288" s="49"/>
      <c r="BP288" s="49"/>
      <c r="BQ288" s="49"/>
      <c r="BR288" s="49"/>
      <c r="BS288" s="49"/>
      <c r="BT288" s="49"/>
      <c r="BU288" s="49"/>
      <c r="BV288" s="49"/>
      <c r="BW288" s="49"/>
      <c r="BX288" s="49"/>
      <c r="BY288" s="49"/>
      <c r="BZ288" s="49"/>
      <c r="CA288" s="49"/>
      <c r="CB288" s="49"/>
      <c r="CC288" s="49"/>
      <c r="CD288" s="49"/>
      <c r="CE288" s="49"/>
      <c r="CF288" s="49"/>
      <c r="CG288" s="49"/>
      <c r="CH288" s="49"/>
      <c r="CI288" s="49"/>
      <c r="CJ288" s="49"/>
      <c r="CK288" s="49"/>
      <c r="CL288" s="49"/>
      <c r="CM288" s="49"/>
      <c r="CN288" s="49"/>
      <c r="CO288" s="49"/>
      <c r="CP288" s="49"/>
      <c r="CQ288" s="49"/>
      <c r="CT288" s="54"/>
      <c r="DE288" s="34"/>
    </row>
    <row r="289" spans="1:109" ht="14.5" x14ac:dyDescent="0.35">
      <c r="A289" s="19"/>
      <c r="B289" s="1"/>
      <c r="C289"/>
      <c r="D289"/>
      <c r="E289" s="38"/>
      <c r="F289" s="38"/>
      <c r="G289" s="38"/>
      <c r="H289" s="38"/>
      <c r="I289" s="38"/>
      <c r="J289" s="33"/>
      <c r="K289" s="46"/>
      <c r="O289" s="54"/>
      <c r="P289" s="54"/>
      <c r="Q289" s="54"/>
      <c r="R289" s="54"/>
      <c r="S289" s="47"/>
      <c r="T289" s="48"/>
      <c r="U289" s="48"/>
      <c r="V289" s="48"/>
      <c r="W289" s="48"/>
      <c r="X289" s="49"/>
      <c r="Y289" s="49"/>
      <c r="Z289" s="49"/>
      <c r="AA289" s="49"/>
      <c r="AB289" s="49"/>
      <c r="AC289" s="49"/>
      <c r="AD289" s="49"/>
      <c r="AE289" s="49"/>
      <c r="AF289" s="49"/>
      <c r="AG289" s="49"/>
      <c r="AH289" s="49"/>
      <c r="AI289" s="49"/>
      <c r="AJ289" s="49"/>
      <c r="AK289" s="49"/>
      <c r="AL289" s="49"/>
      <c r="AM289" s="49"/>
      <c r="AN289" s="49"/>
      <c r="AO289" s="49"/>
      <c r="AP289" s="49"/>
      <c r="AQ289" s="49"/>
      <c r="AR289" s="49"/>
      <c r="AS289" s="49"/>
      <c r="AT289" s="49"/>
      <c r="AU289" s="49"/>
      <c r="AV289" s="49"/>
      <c r="AW289" s="49"/>
      <c r="AX289" s="49"/>
      <c r="AY289" s="49"/>
      <c r="AZ289" s="49"/>
      <c r="BA289" s="49"/>
      <c r="BB289" s="49"/>
      <c r="BC289" s="49"/>
      <c r="BD289" s="49"/>
      <c r="BE289" s="49"/>
      <c r="BF289" s="49"/>
      <c r="BG289" s="49"/>
      <c r="BH289" s="49"/>
      <c r="BI289" s="49"/>
      <c r="BJ289" s="49"/>
      <c r="BK289" s="49"/>
      <c r="BL289" s="49"/>
      <c r="BM289" s="49"/>
      <c r="BN289" s="49"/>
      <c r="BO289" s="49"/>
      <c r="BP289" s="49"/>
      <c r="BQ289" s="49"/>
      <c r="BR289" s="49"/>
      <c r="BS289" s="49"/>
      <c r="BT289" s="49"/>
      <c r="BU289" s="49"/>
      <c r="BV289" s="49"/>
      <c r="BW289" s="49"/>
      <c r="BX289" s="49"/>
      <c r="BY289" s="49"/>
      <c r="BZ289" s="49"/>
      <c r="CA289" s="49"/>
      <c r="CB289" s="49"/>
      <c r="CC289" s="49"/>
      <c r="CD289" s="49"/>
      <c r="CE289" s="49"/>
      <c r="CF289" s="49"/>
      <c r="CG289" s="49"/>
      <c r="CH289" s="49"/>
      <c r="CI289" s="49"/>
      <c r="CJ289" s="49"/>
      <c r="CK289" s="49"/>
      <c r="CL289" s="49"/>
      <c r="CM289" s="49"/>
      <c r="CN289" s="49"/>
      <c r="CO289" s="49"/>
      <c r="CP289" s="49"/>
      <c r="CQ289" s="49"/>
      <c r="CT289" s="54"/>
      <c r="DE289" s="34"/>
    </row>
    <row r="290" spans="1:109" ht="14.5" x14ac:dyDescent="0.35">
      <c r="A290" s="19"/>
      <c r="B290" s="1"/>
      <c r="C290"/>
      <c r="D290"/>
      <c r="E290" s="38"/>
      <c r="F290" s="38"/>
      <c r="G290" s="38"/>
      <c r="H290" s="38"/>
      <c r="I290" s="38"/>
      <c r="J290" s="33"/>
      <c r="K290" s="46"/>
      <c r="O290" s="54"/>
      <c r="P290" s="54"/>
      <c r="Q290" s="54"/>
      <c r="R290" s="54"/>
      <c r="S290" s="47"/>
      <c r="T290" s="48"/>
      <c r="U290" s="48"/>
      <c r="V290" s="48"/>
      <c r="W290" s="48"/>
      <c r="X290" s="49"/>
      <c r="Y290" s="49"/>
      <c r="Z290" s="49"/>
      <c r="AA290" s="49"/>
      <c r="AB290" s="49"/>
      <c r="AC290" s="49"/>
      <c r="AD290" s="49"/>
      <c r="AE290" s="49"/>
      <c r="AF290" s="49"/>
      <c r="AG290" s="49"/>
      <c r="AH290" s="49"/>
      <c r="AI290" s="49"/>
      <c r="AJ290" s="49"/>
      <c r="AK290" s="49"/>
      <c r="AL290" s="49"/>
      <c r="AM290" s="49"/>
      <c r="AN290" s="49"/>
      <c r="AO290" s="49"/>
      <c r="AP290" s="49"/>
      <c r="AQ290" s="49"/>
      <c r="AR290" s="49"/>
      <c r="AS290" s="49"/>
      <c r="AT290" s="49"/>
      <c r="AU290" s="49"/>
      <c r="AV290" s="49"/>
      <c r="AW290" s="49"/>
      <c r="AX290" s="49"/>
      <c r="AY290" s="49"/>
      <c r="AZ290" s="49"/>
      <c r="BA290" s="49"/>
      <c r="BB290" s="49"/>
      <c r="BC290" s="49"/>
      <c r="BD290" s="49"/>
      <c r="BE290" s="49"/>
      <c r="BF290" s="49"/>
      <c r="BG290" s="49"/>
      <c r="BH290" s="49"/>
      <c r="BI290" s="49"/>
      <c r="BJ290" s="49"/>
      <c r="BK290" s="49"/>
      <c r="BL290" s="49"/>
      <c r="BM290" s="49"/>
      <c r="BN290" s="49"/>
      <c r="BO290" s="49"/>
      <c r="BP290" s="49"/>
      <c r="BQ290" s="49"/>
      <c r="BR290" s="49"/>
      <c r="BS290" s="49"/>
      <c r="BT290" s="49"/>
      <c r="BU290" s="49"/>
      <c r="BV290" s="49"/>
      <c r="BW290" s="49"/>
      <c r="BX290" s="49"/>
      <c r="BY290" s="49"/>
      <c r="BZ290" s="49"/>
      <c r="CA290" s="49"/>
      <c r="CB290" s="49"/>
      <c r="CC290" s="49"/>
      <c r="CD290" s="49"/>
      <c r="CE290" s="49"/>
      <c r="CF290" s="49"/>
      <c r="CG290" s="49"/>
      <c r="CH290" s="49"/>
      <c r="CI290" s="49"/>
      <c r="CJ290" s="49"/>
      <c r="CK290" s="49"/>
      <c r="CL290" s="49"/>
      <c r="CM290" s="49"/>
      <c r="CN290" s="49"/>
      <c r="CO290" s="49"/>
      <c r="CP290" s="49"/>
      <c r="CQ290" s="49"/>
      <c r="CT290" s="54"/>
      <c r="DE290" s="34"/>
    </row>
    <row r="291" spans="1:109" ht="14.5" x14ac:dyDescent="0.35">
      <c r="A291" s="19"/>
      <c r="B291" s="1"/>
      <c r="C291"/>
      <c r="D291"/>
      <c r="E291" s="38"/>
      <c r="F291" s="38"/>
      <c r="G291" s="38"/>
      <c r="H291" s="38"/>
      <c r="I291" s="38"/>
      <c r="J291" s="33"/>
      <c r="K291" s="46"/>
      <c r="O291" s="54"/>
      <c r="P291" s="54"/>
      <c r="Q291" s="54"/>
      <c r="R291" s="54"/>
      <c r="S291" s="47"/>
      <c r="T291" s="48"/>
      <c r="U291" s="48"/>
      <c r="V291" s="48"/>
      <c r="W291" s="48"/>
      <c r="X291" s="49"/>
      <c r="Y291" s="49"/>
      <c r="Z291" s="49"/>
      <c r="AA291" s="49"/>
      <c r="AB291" s="49"/>
      <c r="AC291" s="49"/>
      <c r="AD291" s="49"/>
      <c r="AE291" s="49"/>
      <c r="AF291" s="49"/>
      <c r="AG291" s="49"/>
      <c r="AH291" s="49"/>
      <c r="AI291" s="49"/>
      <c r="AJ291" s="49"/>
      <c r="AK291" s="49"/>
      <c r="AL291" s="49"/>
      <c r="AM291" s="49"/>
      <c r="AN291" s="49"/>
      <c r="AO291" s="49"/>
      <c r="AP291" s="49"/>
      <c r="AQ291" s="49"/>
      <c r="AR291" s="49"/>
      <c r="AS291" s="49"/>
      <c r="AT291" s="49"/>
      <c r="AU291" s="49"/>
      <c r="AV291" s="49"/>
      <c r="AW291" s="49"/>
      <c r="AX291" s="49"/>
      <c r="AY291" s="49"/>
      <c r="AZ291" s="49"/>
      <c r="BA291" s="49"/>
      <c r="BB291" s="49"/>
      <c r="BC291" s="49"/>
      <c r="BD291" s="49"/>
      <c r="BE291" s="49"/>
      <c r="BF291" s="49"/>
      <c r="BG291" s="49"/>
      <c r="BH291" s="49"/>
      <c r="BI291" s="49"/>
      <c r="BJ291" s="49"/>
      <c r="BK291" s="49"/>
      <c r="BL291" s="49"/>
      <c r="BM291" s="49"/>
      <c r="BN291" s="49"/>
      <c r="BO291" s="49"/>
      <c r="BP291" s="49"/>
      <c r="BQ291" s="49"/>
      <c r="BR291" s="49"/>
      <c r="BS291" s="49"/>
      <c r="BT291" s="49"/>
      <c r="BU291" s="49"/>
      <c r="BV291" s="49"/>
      <c r="BW291" s="49"/>
      <c r="BX291" s="49"/>
      <c r="BY291" s="49"/>
      <c r="BZ291" s="49"/>
      <c r="CA291" s="49"/>
      <c r="CB291" s="49"/>
      <c r="CC291" s="49"/>
      <c r="CD291" s="49"/>
      <c r="CE291" s="49"/>
      <c r="CF291" s="49"/>
      <c r="CG291" s="49"/>
      <c r="CH291" s="49"/>
      <c r="CI291" s="49"/>
      <c r="CJ291" s="49"/>
      <c r="CK291" s="49"/>
      <c r="CL291" s="49"/>
      <c r="CM291" s="49"/>
      <c r="CN291" s="49"/>
      <c r="CO291" s="49"/>
      <c r="CP291" s="49"/>
      <c r="CQ291" s="49"/>
      <c r="CT291" s="54"/>
      <c r="DE291" s="34"/>
    </row>
    <row r="292" spans="1:109" ht="14.5" x14ac:dyDescent="0.35">
      <c r="A292" s="19"/>
      <c r="B292" s="1"/>
      <c r="C292"/>
      <c r="D292"/>
      <c r="E292" s="38"/>
      <c r="F292" s="38"/>
      <c r="G292" s="38"/>
      <c r="H292" s="38"/>
      <c r="I292" s="38"/>
      <c r="J292" s="33"/>
      <c r="K292" s="46"/>
      <c r="O292" s="54"/>
      <c r="P292" s="54"/>
      <c r="Q292" s="54"/>
      <c r="R292" s="54"/>
      <c r="S292" s="47"/>
      <c r="T292" s="48"/>
      <c r="U292" s="48"/>
      <c r="V292" s="48"/>
      <c r="W292" s="48"/>
      <c r="X292" s="49"/>
      <c r="Y292" s="49"/>
      <c r="Z292" s="49"/>
      <c r="AA292" s="49"/>
      <c r="AB292" s="49"/>
      <c r="AC292" s="49"/>
      <c r="AD292" s="49"/>
      <c r="AE292" s="49"/>
      <c r="AF292" s="49"/>
      <c r="AG292" s="49"/>
      <c r="AH292" s="49"/>
      <c r="AI292" s="49"/>
      <c r="AJ292" s="49"/>
      <c r="AK292" s="49"/>
      <c r="AL292" s="49"/>
      <c r="AM292" s="49"/>
      <c r="AN292" s="49"/>
      <c r="AO292" s="49"/>
      <c r="AP292" s="49"/>
      <c r="AQ292" s="49"/>
      <c r="AR292" s="49"/>
      <c r="AS292" s="49"/>
      <c r="AT292" s="49"/>
      <c r="AU292" s="49"/>
      <c r="AV292" s="49"/>
      <c r="AW292" s="49"/>
      <c r="AX292" s="49"/>
      <c r="AY292" s="49"/>
      <c r="AZ292" s="49"/>
      <c r="BA292" s="49"/>
      <c r="BB292" s="49"/>
      <c r="BC292" s="49"/>
      <c r="BD292" s="49"/>
      <c r="BE292" s="49"/>
      <c r="BF292" s="49"/>
      <c r="BG292" s="49"/>
      <c r="BH292" s="49"/>
      <c r="BI292" s="49"/>
      <c r="BJ292" s="49"/>
      <c r="BK292" s="49"/>
      <c r="BL292" s="49"/>
      <c r="BM292" s="49"/>
      <c r="BN292" s="49"/>
      <c r="BO292" s="49"/>
      <c r="BP292" s="49"/>
      <c r="BQ292" s="49"/>
      <c r="BR292" s="49"/>
      <c r="BS292" s="49"/>
      <c r="BT292" s="49"/>
      <c r="BU292" s="49"/>
      <c r="BV292" s="49"/>
      <c r="BW292" s="49"/>
      <c r="BX292" s="49"/>
      <c r="BY292" s="49"/>
      <c r="BZ292" s="49"/>
      <c r="CA292" s="49"/>
      <c r="CB292" s="49"/>
      <c r="CC292" s="49"/>
      <c r="CD292" s="49"/>
      <c r="CE292" s="49"/>
      <c r="CF292" s="49"/>
      <c r="CG292" s="49"/>
      <c r="CH292" s="49"/>
      <c r="CI292" s="49"/>
      <c r="CJ292" s="49"/>
      <c r="CK292" s="49"/>
      <c r="CL292" s="49"/>
      <c r="CM292" s="49"/>
      <c r="CN292" s="49"/>
      <c r="CO292" s="49"/>
      <c r="CP292" s="49"/>
      <c r="CQ292" s="49"/>
      <c r="CT292" s="54"/>
      <c r="DE292" s="34"/>
    </row>
    <row r="293" spans="1:109" ht="14.5" x14ac:dyDescent="0.35">
      <c r="A293" s="19"/>
      <c r="B293" s="1"/>
      <c r="C293"/>
      <c r="D293"/>
      <c r="E293" s="38"/>
      <c r="F293" s="38"/>
      <c r="G293" s="38"/>
      <c r="H293" s="38"/>
      <c r="I293" s="38"/>
      <c r="J293" s="33"/>
      <c r="K293" s="46"/>
      <c r="O293" s="54"/>
      <c r="P293" s="54"/>
      <c r="Q293" s="54"/>
      <c r="R293" s="54"/>
      <c r="S293" s="47"/>
      <c r="T293" s="48"/>
      <c r="U293" s="48"/>
      <c r="V293" s="48"/>
      <c r="W293" s="48"/>
      <c r="X293" s="49"/>
      <c r="Y293" s="49"/>
      <c r="Z293" s="49"/>
      <c r="AA293" s="49"/>
      <c r="AB293" s="49"/>
      <c r="AC293" s="49"/>
      <c r="AD293" s="49"/>
      <c r="AE293" s="49"/>
      <c r="AF293" s="49"/>
      <c r="AG293" s="49"/>
      <c r="AH293" s="49"/>
      <c r="AI293" s="49"/>
      <c r="AJ293" s="49"/>
      <c r="AK293" s="49"/>
      <c r="AL293" s="49"/>
      <c r="AM293" s="49"/>
      <c r="AN293" s="49"/>
      <c r="AO293" s="49"/>
      <c r="AP293" s="49"/>
      <c r="AQ293" s="49"/>
      <c r="AR293" s="49"/>
      <c r="AS293" s="49"/>
      <c r="AT293" s="49"/>
      <c r="AU293" s="49"/>
      <c r="AV293" s="49"/>
      <c r="AW293" s="49"/>
      <c r="AX293" s="49"/>
      <c r="AY293" s="49"/>
      <c r="AZ293" s="49"/>
      <c r="BA293" s="49"/>
      <c r="BB293" s="49"/>
      <c r="BC293" s="49"/>
      <c r="BD293" s="49"/>
      <c r="BE293" s="49"/>
      <c r="BF293" s="49"/>
      <c r="BG293" s="49"/>
      <c r="BH293" s="49"/>
      <c r="BI293" s="49"/>
      <c r="BJ293" s="49"/>
      <c r="BK293" s="49"/>
      <c r="BL293" s="49"/>
      <c r="BM293" s="49"/>
      <c r="BN293" s="49"/>
      <c r="BO293" s="49"/>
      <c r="BP293" s="49"/>
      <c r="BQ293" s="49"/>
      <c r="BR293" s="49"/>
      <c r="BS293" s="49"/>
      <c r="BT293" s="49"/>
      <c r="BU293" s="49"/>
      <c r="BV293" s="49"/>
      <c r="BW293" s="49"/>
      <c r="BX293" s="49"/>
      <c r="BY293" s="49"/>
      <c r="BZ293" s="49"/>
      <c r="CA293" s="49"/>
      <c r="CB293" s="49"/>
      <c r="CC293" s="49"/>
      <c r="CD293" s="49"/>
      <c r="CE293" s="49"/>
      <c r="CF293" s="49"/>
      <c r="CG293" s="49"/>
      <c r="CH293" s="49"/>
      <c r="CI293" s="49"/>
      <c r="CJ293" s="49"/>
      <c r="CK293" s="49"/>
      <c r="CL293" s="49"/>
      <c r="CM293" s="49"/>
      <c r="CN293" s="49"/>
      <c r="CO293" s="49"/>
      <c r="CP293" s="49"/>
      <c r="CQ293" s="49"/>
      <c r="CT293" s="54"/>
      <c r="DE293" s="34"/>
    </row>
    <row r="294" spans="1:109" ht="14.5" x14ac:dyDescent="0.35">
      <c r="A294" s="19"/>
      <c r="B294" s="1"/>
      <c r="C294"/>
      <c r="D294"/>
      <c r="E294" s="38"/>
      <c r="F294" s="38"/>
      <c r="G294" s="38"/>
      <c r="H294" s="38"/>
      <c r="I294" s="38"/>
      <c r="J294" s="33"/>
      <c r="K294" s="46"/>
      <c r="O294" s="54"/>
      <c r="P294" s="54"/>
      <c r="Q294" s="54"/>
      <c r="R294" s="54"/>
      <c r="S294" s="47"/>
      <c r="T294" s="48"/>
      <c r="U294" s="48"/>
      <c r="V294" s="48"/>
      <c r="W294" s="48"/>
      <c r="X294" s="49"/>
      <c r="Y294" s="49"/>
      <c r="Z294" s="49"/>
      <c r="AA294" s="49"/>
      <c r="AB294" s="49"/>
      <c r="AC294" s="49"/>
      <c r="AD294" s="49"/>
      <c r="AE294" s="49"/>
      <c r="AF294" s="49"/>
      <c r="AG294" s="49"/>
      <c r="AH294" s="49"/>
      <c r="AI294" s="49"/>
      <c r="AJ294" s="49"/>
      <c r="AK294" s="49"/>
      <c r="AL294" s="49"/>
      <c r="AM294" s="49"/>
      <c r="AN294" s="49"/>
      <c r="AO294" s="49"/>
      <c r="AP294" s="49"/>
      <c r="AQ294" s="49"/>
      <c r="AR294" s="49"/>
      <c r="AS294" s="49"/>
      <c r="AT294" s="49"/>
      <c r="AU294" s="49"/>
      <c r="AV294" s="49"/>
      <c r="AW294" s="49"/>
      <c r="AX294" s="49"/>
      <c r="AY294" s="49"/>
      <c r="AZ294" s="49"/>
      <c r="BA294" s="49"/>
      <c r="BB294" s="49"/>
      <c r="BC294" s="49"/>
      <c r="BD294" s="49"/>
      <c r="BE294" s="49"/>
      <c r="BF294" s="49"/>
      <c r="BG294" s="49"/>
      <c r="BH294" s="49"/>
      <c r="BI294" s="49"/>
      <c r="BJ294" s="49"/>
      <c r="BK294" s="49"/>
      <c r="BL294" s="49"/>
      <c r="BM294" s="49"/>
      <c r="BN294" s="49"/>
      <c r="BO294" s="49"/>
      <c r="BP294" s="49"/>
      <c r="BQ294" s="49"/>
      <c r="BR294" s="49"/>
      <c r="BS294" s="49"/>
      <c r="BT294" s="49"/>
      <c r="BU294" s="49"/>
      <c r="BV294" s="49"/>
      <c r="BW294" s="49"/>
      <c r="BX294" s="49"/>
      <c r="BY294" s="49"/>
      <c r="BZ294" s="49"/>
      <c r="CA294" s="49"/>
      <c r="CB294" s="49"/>
      <c r="CC294" s="49"/>
      <c r="CD294" s="49"/>
      <c r="CE294" s="49"/>
      <c r="CF294" s="49"/>
      <c r="CG294" s="49"/>
      <c r="CH294" s="49"/>
      <c r="CI294" s="49"/>
      <c r="CJ294" s="49"/>
      <c r="CK294" s="49"/>
      <c r="CL294" s="49"/>
      <c r="CM294" s="49"/>
      <c r="CN294" s="49"/>
      <c r="CO294" s="49"/>
      <c r="CP294" s="49"/>
      <c r="CQ294" s="49"/>
      <c r="CT294" s="54"/>
      <c r="DE294" s="34"/>
    </row>
    <row r="295" spans="1:109" ht="14.5" x14ac:dyDescent="0.35">
      <c r="A295" s="19"/>
      <c r="B295" s="1"/>
      <c r="C295"/>
      <c r="D295"/>
      <c r="E295" s="38"/>
      <c r="F295" s="38"/>
      <c r="G295" s="38"/>
      <c r="H295" s="38"/>
      <c r="I295" s="38"/>
      <c r="J295" s="33"/>
      <c r="K295" s="46"/>
      <c r="O295" s="54"/>
      <c r="P295" s="54"/>
      <c r="Q295" s="54"/>
      <c r="R295" s="54"/>
      <c r="S295" s="47"/>
      <c r="T295" s="48"/>
      <c r="U295" s="48"/>
      <c r="V295" s="48"/>
      <c r="W295" s="48"/>
      <c r="X295" s="49"/>
      <c r="Y295" s="49"/>
      <c r="Z295" s="49"/>
      <c r="AA295" s="49"/>
      <c r="AB295" s="49"/>
      <c r="AC295" s="49"/>
      <c r="AD295" s="49"/>
      <c r="AE295" s="49"/>
      <c r="AF295" s="49"/>
      <c r="AG295" s="49"/>
      <c r="AH295" s="49"/>
      <c r="AI295" s="49"/>
      <c r="AJ295" s="49"/>
      <c r="AK295" s="49"/>
      <c r="AL295" s="49"/>
      <c r="AM295" s="49"/>
      <c r="AN295" s="49"/>
      <c r="AO295" s="49"/>
      <c r="AP295" s="49"/>
      <c r="AQ295" s="49"/>
      <c r="AR295" s="49"/>
      <c r="AS295" s="49"/>
      <c r="AT295" s="49"/>
      <c r="AU295" s="49"/>
      <c r="AV295" s="49"/>
      <c r="AW295" s="49"/>
      <c r="AX295" s="49"/>
      <c r="AY295" s="49"/>
      <c r="AZ295" s="49"/>
      <c r="BA295" s="49"/>
      <c r="BB295" s="49"/>
      <c r="BC295" s="49"/>
      <c r="BD295" s="49"/>
      <c r="BE295" s="49"/>
      <c r="BF295" s="49"/>
      <c r="BG295" s="49"/>
      <c r="BH295" s="49"/>
      <c r="BI295" s="49"/>
      <c r="BJ295" s="49"/>
      <c r="BK295" s="49"/>
      <c r="BL295" s="49"/>
      <c r="BM295" s="49"/>
      <c r="BN295" s="49"/>
      <c r="BO295" s="49"/>
      <c r="BP295" s="49"/>
      <c r="BQ295" s="49"/>
      <c r="BR295" s="49"/>
      <c r="BS295" s="49"/>
      <c r="BT295" s="49"/>
      <c r="BU295" s="49"/>
      <c r="BV295" s="49"/>
      <c r="BW295" s="49"/>
      <c r="BX295" s="49"/>
      <c r="BY295" s="49"/>
      <c r="BZ295" s="49"/>
      <c r="CA295" s="49"/>
      <c r="CB295" s="49"/>
      <c r="CC295" s="49"/>
      <c r="CD295" s="49"/>
      <c r="CE295" s="49"/>
      <c r="CF295" s="49"/>
      <c r="CG295" s="49"/>
      <c r="CH295" s="49"/>
      <c r="CI295" s="49"/>
      <c r="CJ295" s="49"/>
      <c r="CK295" s="49"/>
      <c r="CL295" s="49"/>
      <c r="CM295" s="49"/>
      <c r="CN295" s="49"/>
      <c r="CO295" s="49"/>
      <c r="CP295" s="49"/>
      <c r="CQ295" s="49"/>
      <c r="CT295" s="54"/>
      <c r="DE295" s="34"/>
    </row>
    <row r="296" spans="1:109" ht="14.5" x14ac:dyDescent="0.35">
      <c r="A296" s="19"/>
      <c r="B296" s="1"/>
      <c r="C296"/>
      <c r="D296"/>
      <c r="E296" s="38"/>
      <c r="F296" s="38"/>
      <c r="G296" s="38"/>
      <c r="H296" s="38"/>
      <c r="I296" s="38"/>
      <c r="J296" s="33"/>
      <c r="K296" s="46"/>
      <c r="O296" s="54"/>
      <c r="P296" s="54"/>
      <c r="Q296" s="54"/>
      <c r="R296" s="54"/>
      <c r="S296" s="47"/>
      <c r="T296" s="48"/>
      <c r="U296" s="48"/>
      <c r="V296" s="48"/>
      <c r="W296" s="48"/>
      <c r="X296" s="49"/>
      <c r="Y296" s="49"/>
      <c r="Z296" s="49"/>
      <c r="AA296" s="49"/>
      <c r="AB296" s="49"/>
      <c r="AC296" s="49"/>
      <c r="AD296" s="49"/>
      <c r="AE296" s="49"/>
      <c r="AF296" s="49"/>
      <c r="AG296" s="49"/>
      <c r="AH296" s="49"/>
      <c r="AI296" s="49"/>
      <c r="AJ296" s="49"/>
      <c r="AK296" s="49"/>
      <c r="AL296" s="49"/>
      <c r="AM296" s="49"/>
      <c r="AN296" s="49"/>
      <c r="AO296" s="49"/>
      <c r="AP296" s="49"/>
      <c r="AQ296" s="49"/>
      <c r="AR296" s="49"/>
      <c r="AS296" s="49"/>
      <c r="AT296" s="49"/>
      <c r="AU296" s="49"/>
      <c r="AV296" s="49"/>
      <c r="AW296" s="49"/>
      <c r="AX296" s="49"/>
      <c r="AY296" s="49"/>
      <c r="AZ296" s="49"/>
      <c r="BA296" s="49"/>
      <c r="BB296" s="49"/>
      <c r="BC296" s="49"/>
      <c r="BD296" s="49"/>
      <c r="BE296" s="49"/>
      <c r="BF296" s="49"/>
      <c r="BG296" s="49"/>
      <c r="BH296" s="49"/>
      <c r="BI296" s="49"/>
      <c r="BJ296" s="49"/>
      <c r="BK296" s="49"/>
      <c r="BL296" s="49"/>
      <c r="BM296" s="49"/>
      <c r="BN296" s="49"/>
      <c r="BO296" s="49"/>
      <c r="BP296" s="49"/>
      <c r="BQ296" s="49"/>
      <c r="BR296" s="49"/>
      <c r="BS296" s="49"/>
      <c r="BT296" s="49"/>
      <c r="BU296" s="49"/>
      <c r="BV296" s="49"/>
      <c r="BW296" s="49"/>
      <c r="BX296" s="49"/>
      <c r="BY296" s="49"/>
      <c r="BZ296" s="49"/>
      <c r="CA296" s="49"/>
      <c r="CB296" s="49"/>
      <c r="CC296" s="49"/>
      <c r="CD296" s="49"/>
      <c r="CE296" s="49"/>
      <c r="CF296" s="49"/>
      <c r="CG296" s="49"/>
      <c r="CH296" s="49"/>
      <c r="CI296" s="49"/>
      <c r="CJ296" s="49"/>
      <c r="CK296" s="49"/>
      <c r="CL296" s="49"/>
      <c r="CM296" s="49"/>
      <c r="CN296" s="49"/>
      <c r="CO296" s="49"/>
      <c r="CP296" s="49"/>
      <c r="CQ296" s="49"/>
      <c r="CT296" s="54"/>
      <c r="DE296" s="34"/>
    </row>
    <row r="297" spans="1:109" ht="14.5" x14ac:dyDescent="0.35">
      <c r="A297" s="19"/>
      <c r="B297" s="1"/>
      <c r="C297"/>
      <c r="D297"/>
      <c r="E297" s="38"/>
      <c r="F297" s="38"/>
      <c r="G297" s="38"/>
      <c r="H297" s="38"/>
      <c r="I297" s="38"/>
      <c r="J297" s="33"/>
      <c r="K297" s="46"/>
      <c r="O297" s="54"/>
      <c r="P297" s="54"/>
      <c r="Q297" s="54"/>
      <c r="R297" s="54"/>
      <c r="S297" s="47"/>
      <c r="T297" s="48"/>
      <c r="U297" s="48"/>
      <c r="V297" s="48"/>
      <c r="W297" s="48"/>
      <c r="X297" s="49"/>
      <c r="Y297" s="49"/>
      <c r="Z297" s="49"/>
      <c r="AA297" s="49"/>
      <c r="AB297" s="49"/>
      <c r="AC297" s="49"/>
      <c r="AD297" s="49"/>
      <c r="AE297" s="49"/>
      <c r="AF297" s="49"/>
      <c r="AG297" s="49"/>
      <c r="AH297" s="49"/>
      <c r="AI297" s="49"/>
      <c r="AJ297" s="49"/>
      <c r="AK297" s="49"/>
      <c r="AL297" s="49"/>
      <c r="AM297" s="49"/>
      <c r="AN297" s="49"/>
      <c r="AO297" s="49"/>
      <c r="AP297" s="49"/>
      <c r="AQ297" s="49"/>
      <c r="AR297" s="49"/>
      <c r="AS297" s="49"/>
      <c r="AT297" s="49"/>
      <c r="AU297" s="49"/>
      <c r="AV297" s="49"/>
      <c r="AW297" s="49"/>
      <c r="AX297" s="49"/>
      <c r="AY297" s="49"/>
      <c r="AZ297" s="49"/>
      <c r="BA297" s="49"/>
      <c r="BB297" s="49"/>
      <c r="BC297" s="49"/>
      <c r="BD297" s="49"/>
      <c r="BE297" s="49"/>
      <c r="BF297" s="49"/>
      <c r="BG297" s="49"/>
      <c r="BH297" s="49"/>
      <c r="BI297" s="49"/>
      <c r="BJ297" s="49"/>
      <c r="BK297" s="49"/>
      <c r="BL297" s="49"/>
      <c r="BM297" s="49"/>
      <c r="BN297" s="49"/>
      <c r="BO297" s="49"/>
      <c r="BP297" s="49"/>
      <c r="BQ297" s="49"/>
      <c r="BR297" s="49"/>
      <c r="BS297" s="49"/>
      <c r="BT297" s="49"/>
      <c r="BU297" s="49"/>
      <c r="BV297" s="49"/>
      <c r="BW297" s="49"/>
      <c r="BX297" s="49"/>
      <c r="BY297" s="49"/>
      <c r="BZ297" s="49"/>
      <c r="CA297" s="49"/>
      <c r="CB297" s="49"/>
      <c r="CC297" s="49"/>
      <c r="CD297" s="49"/>
      <c r="CE297" s="49"/>
      <c r="CF297" s="49"/>
      <c r="CG297" s="49"/>
      <c r="CH297" s="49"/>
      <c r="CI297" s="49"/>
      <c r="CJ297" s="49"/>
      <c r="CK297" s="49"/>
      <c r="CL297" s="49"/>
      <c r="CM297" s="49"/>
      <c r="CN297" s="49"/>
      <c r="CO297" s="49"/>
      <c r="CP297" s="49"/>
      <c r="CQ297" s="49"/>
      <c r="CT297" s="54"/>
      <c r="DE297" s="34"/>
    </row>
    <row r="298" spans="1:109" ht="14.5" x14ac:dyDescent="0.35">
      <c r="A298" s="19"/>
      <c r="B298" s="1"/>
      <c r="C298"/>
      <c r="D298"/>
      <c r="E298" s="38"/>
      <c r="F298" s="38"/>
      <c r="G298" s="38"/>
      <c r="H298" s="38"/>
      <c r="I298" s="38"/>
      <c r="J298" s="33"/>
      <c r="K298" s="46"/>
      <c r="O298" s="54"/>
      <c r="P298" s="54"/>
      <c r="Q298" s="54"/>
      <c r="R298" s="54"/>
      <c r="S298" s="47"/>
      <c r="T298" s="48"/>
      <c r="U298" s="48"/>
      <c r="V298" s="48"/>
      <c r="W298" s="48"/>
      <c r="X298" s="49"/>
      <c r="Y298" s="49"/>
      <c r="Z298" s="49"/>
      <c r="AA298" s="49"/>
      <c r="AB298" s="49"/>
      <c r="AC298" s="49"/>
      <c r="AD298" s="49"/>
      <c r="AE298" s="49"/>
      <c r="AF298" s="49"/>
      <c r="AG298" s="49"/>
      <c r="AH298" s="49"/>
      <c r="AI298" s="49"/>
      <c r="AJ298" s="49"/>
      <c r="AK298" s="49"/>
      <c r="AL298" s="49"/>
      <c r="AM298" s="49"/>
      <c r="AN298" s="49"/>
      <c r="AO298" s="49"/>
      <c r="AP298" s="49"/>
      <c r="AQ298" s="49"/>
      <c r="AR298" s="49"/>
      <c r="AS298" s="49"/>
      <c r="AT298" s="49"/>
      <c r="AU298" s="49"/>
      <c r="AV298" s="49"/>
      <c r="AW298" s="49"/>
      <c r="AX298" s="49"/>
      <c r="AY298" s="49"/>
      <c r="AZ298" s="49"/>
      <c r="BA298" s="49"/>
      <c r="BB298" s="49"/>
      <c r="BC298" s="49"/>
      <c r="BD298" s="49"/>
      <c r="BE298" s="49"/>
      <c r="BF298" s="49"/>
      <c r="BG298" s="49"/>
      <c r="BH298" s="49"/>
      <c r="BI298" s="49"/>
      <c r="BJ298" s="49"/>
      <c r="BK298" s="49"/>
      <c r="BL298" s="49"/>
      <c r="BM298" s="49"/>
      <c r="BN298" s="49"/>
      <c r="BO298" s="49"/>
      <c r="BP298" s="49"/>
      <c r="BQ298" s="49"/>
      <c r="BR298" s="49"/>
      <c r="BS298" s="49"/>
      <c r="BT298" s="49"/>
      <c r="BU298" s="49"/>
      <c r="BV298" s="49"/>
      <c r="BW298" s="49"/>
      <c r="BX298" s="49"/>
      <c r="BY298" s="49"/>
      <c r="BZ298" s="49"/>
      <c r="CA298" s="49"/>
      <c r="CB298" s="49"/>
      <c r="CC298" s="49"/>
      <c r="CD298" s="49"/>
      <c r="CE298" s="49"/>
      <c r="CF298" s="49"/>
      <c r="CG298" s="49"/>
      <c r="CH298" s="49"/>
      <c r="CI298" s="49"/>
      <c r="CJ298" s="49"/>
      <c r="CK298" s="49"/>
      <c r="CL298" s="49"/>
      <c r="CM298" s="49"/>
      <c r="CN298" s="49"/>
      <c r="CO298" s="49"/>
      <c r="CP298" s="49"/>
      <c r="CQ298" s="49"/>
      <c r="CT298" s="54"/>
      <c r="DE298" s="34"/>
    </row>
    <row r="299" spans="1:109" ht="14.5" x14ac:dyDescent="0.35">
      <c r="A299" s="19"/>
      <c r="B299" s="1"/>
      <c r="C299"/>
      <c r="D299"/>
      <c r="E299" s="38"/>
      <c r="F299" s="38"/>
      <c r="G299" s="38"/>
      <c r="H299" s="38"/>
      <c r="I299" s="38"/>
      <c r="J299" s="33"/>
      <c r="K299" s="46"/>
      <c r="O299" s="54"/>
      <c r="P299" s="54"/>
      <c r="Q299" s="54"/>
      <c r="R299" s="54"/>
      <c r="S299" s="47"/>
      <c r="T299" s="48"/>
      <c r="U299" s="48"/>
      <c r="V299" s="48"/>
      <c r="W299" s="48"/>
      <c r="X299" s="49"/>
      <c r="Y299" s="49"/>
      <c r="Z299" s="49"/>
      <c r="AA299" s="49"/>
      <c r="AB299" s="49"/>
      <c r="AC299" s="49"/>
      <c r="AD299" s="49"/>
      <c r="AE299" s="49"/>
      <c r="AF299" s="49"/>
      <c r="AG299" s="49"/>
      <c r="AH299" s="49"/>
      <c r="AI299" s="49"/>
      <c r="AJ299" s="49"/>
      <c r="AK299" s="49"/>
      <c r="AL299" s="49"/>
      <c r="AM299" s="49"/>
      <c r="AN299" s="49"/>
      <c r="AO299" s="49"/>
      <c r="AP299" s="49"/>
      <c r="AQ299" s="49"/>
      <c r="AR299" s="49"/>
      <c r="AS299" s="49"/>
      <c r="AT299" s="49"/>
      <c r="AU299" s="49"/>
      <c r="AV299" s="49"/>
      <c r="AW299" s="49"/>
      <c r="AX299" s="49"/>
      <c r="AY299" s="49"/>
      <c r="AZ299" s="49"/>
      <c r="BA299" s="49"/>
      <c r="BB299" s="49"/>
      <c r="BC299" s="49"/>
      <c r="BD299" s="49"/>
      <c r="BE299" s="49"/>
      <c r="BF299" s="49"/>
      <c r="BG299" s="49"/>
      <c r="BH299" s="49"/>
      <c r="BI299" s="49"/>
      <c r="BJ299" s="49"/>
      <c r="BK299" s="49"/>
      <c r="BL299" s="49"/>
      <c r="BM299" s="49"/>
      <c r="BN299" s="49"/>
      <c r="BO299" s="49"/>
      <c r="BP299" s="49"/>
      <c r="BQ299" s="49"/>
      <c r="BR299" s="49"/>
      <c r="BS299" s="49"/>
      <c r="BT299" s="49"/>
      <c r="BU299" s="49"/>
      <c r="BV299" s="49"/>
      <c r="BW299" s="49"/>
      <c r="BX299" s="49"/>
      <c r="BY299" s="49"/>
      <c r="BZ299" s="49"/>
      <c r="CA299" s="49"/>
      <c r="CB299" s="49"/>
      <c r="CC299" s="49"/>
      <c r="CD299" s="49"/>
      <c r="CE299" s="49"/>
      <c r="CF299" s="49"/>
      <c r="CG299" s="49"/>
      <c r="CH299" s="49"/>
      <c r="CI299" s="49"/>
      <c r="CJ299" s="49"/>
      <c r="CK299" s="49"/>
      <c r="CL299" s="49"/>
      <c r="CM299" s="49"/>
      <c r="CN299" s="49"/>
      <c r="CO299" s="49"/>
      <c r="CP299" s="49"/>
      <c r="CQ299" s="49"/>
      <c r="CT299" s="54"/>
      <c r="DE299" s="34"/>
    </row>
    <row r="300" spans="1:109" ht="14.5" x14ac:dyDescent="0.35">
      <c r="A300" s="19"/>
      <c r="B300" s="1"/>
      <c r="C300"/>
      <c r="D300"/>
      <c r="E300" s="38"/>
      <c r="F300" s="38"/>
      <c r="G300" s="38"/>
      <c r="H300" s="38"/>
      <c r="I300" s="38"/>
      <c r="J300" s="33"/>
      <c r="K300" s="46"/>
      <c r="O300" s="54"/>
      <c r="P300" s="54"/>
      <c r="Q300" s="54"/>
      <c r="R300" s="54"/>
      <c r="S300" s="47"/>
      <c r="T300" s="48"/>
      <c r="U300" s="48"/>
      <c r="V300" s="48"/>
      <c r="W300" s="48"/>
      <c r="X300" s="49"/>
      <c r="Y300" s="49"/>
      <c r="Z300" s="49"/>
      <c r="AA300" s="49"/>
      <c r="AB300" s="49"/>
      <c r="AC300" s="49"/>
      <c r="AD300" s="49"/>
      <c r="AE300" s="49"/>
      <c r="AF300" s="49"/>
      <c r="AG300" s="49"/>
      <c r="AH300" s="49"/>
      <c r="AI300" s="49"/>
      <c r="AJ300" s="49"/>
      <c r="AK300" s="49"/>
      <c r="AL300" s="49"/>
      <c r="AM300" s="49"/>
      <c r="AN300" s="49"/>
      <c r="AO300" s="49"/>
      <c r="AP300" s="49"/>
      <c r="AQ300" s="49"/>
      <c r="AR300" s="49"/>
      <c r="AS300" s="49"/>
      <c r="AT300" s="49"/>
      <c r="AU300" s="49"/>
      <c r="AV300" s="49"/>
      <c r="AW300" s="49"/>
      <c r="AX300" s="49"/>
      <c r="AY300" s="49"/>
      <c r="AZ300" s="49"/>
      <c r="BA300" s="49"/>
      <c r="BB300" s="49"/>
      <c r="BC300" s="49"/>
      <c r="BD300" s="49"/>
      <c r="BE300" s="49"/>
      <c r="BF300" s="49"/>
      <c r="BG300" s="49"/>
      <c r="BH300" s="49"/>
      <c r="BI300" s="49"/>
      <c r="BJ300" s="49"/>
      <c r="BK300" s="49"/>
      <c r="BL300" s="49"/>
      <c r="BM300" s="49"/>
      <c r="BN300" s="49"/>
      <c r="BO300" s="49"/>
      <c r="BP300" s="49"/>
      <c r="BQ300" s="49"/>
      <c r="BR300" s="49"/>
      <c r="BS300" s="49"/>
      <c r="BT300" s="49"/>
      <c r="BU300" s="49"/>
      <c r="BV300" s="49"/>
      <c r="BW300" s="49"/>
      <c r="BX300" s="49"/>
      <c r="BY300" s="49"/>
      <c r="BZ300" s="49"/>
      <c r="CA300" s="49"/>
      <c r="CB300" s="49"/>
      <c r="CC300" s="49"/>
      <c r="CD300" s="49"/>
      <c r="CE300" s="49"/>
      <c r="CF300" s="49"/>
      <c r="CG300" s="49"/>
      <c r="CH300" s="49"/>
      <c r="CI300" s="49"/>
      <c r="CJ300" s="49"/>
      <c r="CK300" s="49"/>
      <c r="CL300" s="49"/>
      <c r="CM300" s="49"/>
      <c r="CN300" s="49"/>
      <c r="CO300" s="49"/>
      <c r="CP300" s="49"/>
      <c r="CQ300" s="49"/>
      <c r="CT300" s="54"/>
      <c r="DE300" s="34"/>
    </row>
    <row r="301" spans="1:109" ht="14.5" x14ac:dyDescent="0.35">
      <c r="A301" s="19"/>
      <c r="B301" s="1"/>
      <c r="C301"/>
      <c r="D301"/>
      <c r="E301" s="38"/>
      <c r="F301" s="38"/>
      <c r="G301" s="38"/>
      <c r="H301" s="38"/>
      <c r="I301" s="38"/>
      <c r="J301" s="33"/>
      <c r="K301" s="46"/>
      <c r="O301" s="54"/>
      <c r="P301" s="54"/>
      <c r="Q301" s="54"/>
      <c r="R301" s="54"/>
      <c r="S301" s="47"/>
      <c r="T301" s="48"/>
      <c r="U301" s="48"/>
      <c r="V301" s="48"/>
      <c r="W301" s="48"/>
      <c r="X301" s="49"/>
      <c r="Y301" s="49"/>
      <c r="Z301" s="49"/>
      <c r="AA301" s="49"/>
      <c r="AB301" s="49"/>
      <c r="AC301" s="49"/>
      <c r="AD301" s="49"/>
      <c r="AE301" s="49"/>
      <c r="AF301" s="49"/>
      <c r="AG301" s="49"/>
      <c r="AH301" s="49"/>
      <c r="AI301" s="49"/>
      <c r="AJ301" s="49"/>
      <c r="AK301" s="49"/>
      <c r="AL301" s="49"/>
      <c r="AM301" s="49"/>
      <c r="AN301" s="49"/>
      <c r="AO301" s="49"/>
      <c r="AP301" s="49"/>
      <c r="AQ301" s="49"/>
      <c r="AR301" s="49"/>
      <c r="AS301" s="49"/>
      <c r="AT301" s="49"/>
      <c r="AU301" s="49"/>
      <c r="AV301" s="49"/>
      <c r="AW301" s="49"/>
      <c r="AX301" s="49"/>
      <c r="AY301" s="49"/>
      <c r="AZ301" s="49"/>
      <c r="BA301" s="49"/>
      <c r="BB301" s="49"/>
      <c r="BC301" s="49"/>
      <c r="BD301" s="49"/>
      <c r="BE301" s="49"/>
      <c r="BF301" s="49"/>
      <c r="BG301" s="49"/>
      <c r="BH301" s="49"/>
      <c r="BI301" s="49"/>
      <c r="BJ301" s="49"/>
      <c r="BK301" s="49"/>
      <c r="BL301" s="49"/>
      <c r="BM301" s="49"/>
      <c r="BN301" s="49"/>
      <c r="BO301" s="49"/>
      <c r="BP301" s="49"/>
      <c r="BQ301" s="49"/>
      <c r="BR301" s="49"/>
      <c r="BS301" s="49"/>
      <c r="BT301" s="49"/>
      <c r="BU301" s="49"/>
      <c r="BV301" s="49"/>
      <c r="BW301" s="49"/>
      <c r="BX301" s="49"/>
      <c r="BY301" s="49"/>
      <c r="BZ301" s="49"/>
      <c r="CA301" s="49"/>
      <c r="CB301" s="49"/>
      <c r="CC301" s="49"/>
      <c r="CD301" s="49"/>
      <c r="CE301" s="49"/>
      <c r="CF301" s="49"/>
      <c r="CG301" s="49"/>
      <c r="CH301" s="49"/>
      <c r="CI301" s="49"/>
      <c r="CJ301" s="49"/>
      <c r="CK301" s="49"/>
      <c r="CL301" s="49"/>
      <c r="CM301" s="49"/>
      <c r="CN301" s="49"/>
      <c r="CO301" s="49"/>
      <c r="CP301" s="49"/>
      <c r="CQ301" s="49"/>
      <c r="CT301" s="54"/>
      <c r="DE301" s="34"/>
    </row>
    <row r="302" spans="1:109" ht="14.5" x14ac:dyDescent="0.35">
      <c r="A302" s="19"/>
      <c r="B302" s="1"/>
      <c r="C302"/>
      <c r="D302"/>
      <c r="E302" s="38"/>
      <c r="F302" s="38"/>
      <c r="G302" s="38"/>
      <c r="H302" s="38"/>
      <c r="I302" s="38"/>
      <c r="J302" s="33"/>
      <c r="K302" s="46"/>
      <c r="O302" s="54"/>
      <c r="P302" s="54"/>
      <c r="Q302" s="54"/>
      <c r="R302" s="54"/>
      <c r="S302" s="47"/>
      <c r="T302" s="48"/>
      <c r="U302" s="48"/>
      <c r="V302" s="48"/>
      <c r="W302" s="48"/>
      <c r="X302" s="49"/>
      <c r="Y302" s="49"/>
      <c r="Z302" s="49"/>
      <c r="AA302" s="49"/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9"/>
      <c r="AN302" s="49"/>
      <c r="AO302" s="49"/>
      <c r="AP302" s="49"/>
      <c r="AQ302" s="49"/>
      <c r="AR302" s="49"/>
      <c r="AS302" s="49"/>
      <c r="AT302" s="49"/>
      <c r="AU302" s="49"/>
      <c r="AV302" s="49"/>
      <c r="AW302" s="49"/>
      <c r="AX302" s="49"/>
      <c r="AY302" s="49"/>
      <c r="AZ302" s="49"/>
      <c r="BA302" s="49"/>
      <c r="BB302" s="49"/>
      <c r="BC302" s="49"/>
      <c r="BD302" s="49"/>
      <c r="BE302" s="49"/>
      <c r="BF302" s="49"/>
      <c r="BG302" s="49"/>
      <c r="BH302" s="49"/>
      <c r="BI302" s="49"/>
      <c r="BJ302" s="49"/>
      <c r="BK302" s="49"/>
      <c r="BL302" s="49"/>
      <c r="BM302" s="49"/>
      <c r="BN302" s="49"/>
      <c r="BO302" s="49"/>
      <c r="BP302" s="49"/>
      <c r="BQ302" s="49"/>
      <c r="BR302" s="49"/>
      <c r="BS302" s="49"/>
      <c r="BT302" s="49"/>
      <c r="BU302" s="49"/>
      <c r="BV302" s="49"/>
      <c r="BW302" s="49"/>
      <c r="BX302" s="49"/>
      <c r="BY302" s="49"/>
      <c r="BZ302" s="49"/>
      <c r="CA302" s="49"/>
      <c r="CB302" s="49"/>
      <c r="CC302" s="49"/>
      <c r="CD302" s="49"/>
      <c r="CE302" s="49"/>
      <c r="CF302" s="49"/>
      <c r="CG302" s="49"/>
      <c r="CH302" s="49"/>
      <c r="CI302" s="49"/>
      <c r="CJ302" s="49"/>
      <c r="CK302" s="49"/>
      <c r="CL302" s="49"/>
      <c r="CM302" s="49"/>
      <c r="CN302" s="49"/>
      <c r="CO302" s="49"/>
      <c r="CP302" s="49"/>
      <c r="CQ302" s="49"/>
      <c r="CT302" s="54"/>
      <c r="DE302" s="34"/>
    </row>
    <row r="303" spans="1:109" ht="14.5" x14ac:dyDescent="0.35">
      <c r="A303" s="19"/>
      <c r="B303" s="1"/>
      <c r="C303"/>
      <c r="D303"/>
      <c r="E303" s="38"/>
      <c r="F303" s="38"/>
      <c r="G303" s="38"/>
      <c r="H303" s="38"/>
      <c r="I303" s="38"/>
      <c r="J303" s="33"/>
      <c r="K303" s="46"/>
      <c r="O303" s="54"/>
      <c r="P303" s="54"/>
      <c r="Q303" s="54"/>
      <c r="R303" s="54"/>
      <c r="S303" s="47"/>
      <c r="T303" s="48"/>
      <c r="U303" s="48"/>
      <c r="V303" s="48"/>
      <c r="W303" s="48"/>
      <c r="X303" s="49"/>
      <c r="Y303" s="49"/>
      <c r="Z303" s="49"/>
      <c r="AA303" s="49"/>
      <c r="AB303" s="49"/>
      <c r="AC303" s="49"/>
      <c r="AD303" s="49"/>
      <c r="AE303" s="49"/>
      <c r="AF303" s="49"/>
      <c r="AG303" s="49"/>
      <c r="AH303" s="49"/>
      <c r="AI303" s="49"/>
      <c r="AJ303" s="49"/>
      <c r="AK303" s="49"/>
      <c r="AL303" s="49"/>
      <c r="AM303" s="49"/>
      <c r="AN303" s="49"/>
      <c r="AO303" s="49"/>
      <c r="AP303" s="49"/>
      <c r="AQ303" s="49"/>
      <c r="AR303" s="49"/>
      <c r="AS303" s="49"/>
      <c r="AT303" s="49"/>
      <c r="AU303" s="49"/>
      <c r="AV303" s="49"/>
      <c r="AW303" s="49"/>
      <c r="AX303" s="49"/>
      <c r="AY303" s="49"/>
      <c r="AZ303" s="49"/>
      <c r="BA303" s="49"/>
      <c r="BB303" s="49"/>
      <c r="BC303" s="49"/>
      <c r="BD303" s="49"/>
      <c r="BE303" s="49"/>
      <c r="BF303" s="49"/>
      <c r="BG303" s="49"/>
      <c r="BH303" s="49"/>
      <c r="BI303" s="49"/>
      <c r="BJ303" s="49"/>
      <c r="BK303" s="49"/>
      <c r="BL303" s="49"/>
      <c r="BM303" s="49"/>
      <c r="BN303" s="49"/>
      <c r="BO303" s="49"/>
      <c r="BP303" s="49"/>
      <c r="BQ303" s="49"/>
      <c r="BR303" s="49"/>
      <c r="BS303" s="49"/>
      <c r="BT303" s="49"/>
      <c r="BU303" s="49"/>
      <c r="BV303" s="49"/>
      <c r="BW303" s="49"/>
      <c r="BX303" s="49"/>
      <c r="BY303" s="49"/>
      <c r="BZ303" s="49"/>
      <c r="CA303" s="49"/>
      <c r="CB303" s="49"/>
      <c r="CC303" s="49"/>
      <c r="CD303" s="49"/>
      <c r="CE303" s="49"/>
      <c r="CF303" s="49"/>
      <c r="CG303" s="49"/>
      <c r="CH303" s="49"/>
      <c r="CI303" s="49"/>
      <c r="CJ303" s="49"/>
      <c r="CK303" s="49"/>
      <c r="CL303" s="49"/>
      <c r="CM303" s="49"/>
      <c r="CN303" s="49"/>
      <c r="CO303" s="49"/>
      <c r="CP303" s="49"/>
      <c r="CQ303" s="49"/>
      <c r="CT303" s="54"/>
      <c r="DE303" s="34"/>
    </row>
    <row r="304" spans="1:109" ht="14.5" x14ac:dyDescent="0.35">
      <c r="A304" s="19"/>
      <c r="B304" s="1"/>
      <c r="C304"/>
      <c r="D304"/>
      <c r="E304" s="38"/>
      <c r="F304" s="38"/>
      <c r="G304" s="38"/>
      <c r="H304" s="38"/>
      <c r="I304" s="38"/>
      <c r="J304" s="33"/>
      <c r="K304" s="46"/>
      <c r="O304" s="54"/>
      <c r="P304" s="54"/>
      <c r="Q304" s="54"/>
      <c r="R304" s="54"/>
      <c r="S304" s="47"/>
      <c r="T304" s="48"/>
      <c r="U304" s="48"/>
      <c r="V304" s="48"/>
      <c r="W304" s="48"/>
      <c r="X304" s="49"/>
      <c r="Y304" s="49"/>
      <c r="Z304" s="49"/>
      <c r="AA304" s="49"/>
      <c r="AB304" s="49"/>
      <c r="AC304" s="49"/>
      <c r="AD304" s="49"/>
      <c r="AE304" s="49"/>
      <c r="AF304" s="49"/>
      <c r="AG304" s="49"/>
      <c r="AH304" s="49"/>
      <c r="AI304" s="49"/>
      <c r="AJ304" s="49"/>
      <c r="AK304" s="49"/>
      <c r="AL304" s="49"/>
      <c r="AM304" s="49"/>
      <c r="AN304" s="49"/>
      <c r="AO304" s="49"/>
      <c r="AP304" s="49"/>
      <c r="AQ304" s="49"/>
      <c r="AR304" s="49"/>
      <c r="AS304" s="49"/>
      <c r="AT304" s="49"/>
      <c r="AU304" s="49"/>
      <c r="AV304" s="49"/>
      <c r="AW304" s="49"/>
      <c r="AX304" s="49"/>
      <c r="AY304" s="49"/>
      <c r="AZ304" s="49"/>
      <c r="BA304" s="49"/>
      <c r="BB304" s="49"/>
      <c r="BC304" s="49"/>
      <c r="BD304" s="49"/>
      <c r="BE304" s="49"/>
      <c r="BF304" s="49"/>
      <c r="BG304" s="49"/>
      <c r="BH304" s="49"/>
      <c r="BI304" s="49"/>
      <c r="BJ304" s="49"/>
      <c r="BK304" s="49"/>
      <c r="BL304" s="49"/>
      <c r="BM304" s="49"/>
      <c r="BN304" s="49"/>
      <c r="BO304" s="49"/>
      <c r="BP304" s="49"/>
      <c r="BQ304" s="49"/>
      <c r="BR304" s="49"/>
      <c r="BS304" s="49"/>
      <c r="BT304" s="49"/>
      <c r="BU304" s="49"/>
      <c r="BV304" s="49"/>
      <c r="BW304" s="49"/>
      <c r="BX304" s="49"/>
      <c r="BY304" s="49"/>
      <c r="BZ304" s="49"/>
      <c r="CA304" s="49"/>
      <c r="CB304" s="49"/>
      <c r="CC304" s="49"/>
      <c r="CD304" s="49"/>
      <c r="CE304" s="49"/>
      <c r="CF304" s="49"/>
      <c r="CG304" s="49"/>
      <c r="CH304" s="49"/>
      <c r="CI304" s="49"/>
      <c r="CJ304" s="49"/>
      <c r="CK304" s="49"/>
      <c r="CL304" s="49"/>
      <c r="CM304" s="49"/>
      <c r="CN304" s="49"/>
      <c r="CO304" s="49"/>
      <c r="CP304" s="49"/>
      <c r="CQ304" s="49"/>
      <c r="CT304" s="54"/>
      <c r="DE304" s="34"/>
    </row>
    <row r="305" spans="1:109" ht="14.5" x14ac:dyDescent="0.35">
      <c r="A305" s="19"/>
      <c r="B305" s="1"/>
      <c r="C305"/>
      <c r="D305"/>
      <c r="E305" s="38"/>
      <c r="F305" s="38"/>
      <c r="G305" s="38"/>
      <c r="H305" s="38"/>
      <c r="I305" s="38"/>
      <c r="J305" s="33"/>
      <c r="K305" s="46"/>
      <c r="O305" s="54"/>
      <c r="P305" s="54"/>
      <c r="Q305" s="54"/>
      <c r="R305" s="54"/>
      <c r="S305" s="47"/>
      <c r="T305" s="48"/>
      <c r="U305" s="48"/>
      <c r="V305" s="48"/>
      <c r="W305" s="48"/>
      <c r="X305" s="49"/>
      <c r="Y305" s="49"/>
      <c r="Z305" s="49"/>
      <c r="AA305" s="49"/>
      <c r="AB305" s="49"/>
      <c r="AC305" s="49"/>
      <c r="AD305" s="49"/>
      <c r="AE305" s="49"/>
      <c r="AF305" s="49"/>
      <c r="AG305" s="49"/>
      <c r="AH305" s="49"/>
      <c r="AI305" s="49"/>
      <c r="AJ305" s="49"/>
      <c r="AK305" s="49"/>
      <c r="AL305" s="49"/>
      <c r="AM305" s="49"/>
      <c r="AN305" s="49"/>
      <c r="AO305" s="49"/>
      <c r="AP305" s="49"/>
      <c r="AQ305" s="49"/>
      <c r="AR305" s="49"/>
      <c r="AS305" s="49"/>
      <c r="AT305" s="49"/>
      <c r="AU305" s="49"/>
      <c r="AV305" s="49"/>
      <c r="AW305" s="49"/>
      <c r="AX305" s="49"/>
      <c r="AY305" s="49"/>
      <c r="AZ305" s="49"/>
      <c r="BA305" s="49"/>
      <c r="BB305" s="49"/>
      <c r="BC305" s="49"/>
      <c r="BD305" s="49"/>
      <c r="BE305" s="49"/>
      <c r="BF305" s="49"/>
      <c r="BG305" s="49"/>
      <c r="BH305" s="49"/>
      <c r="BI305" s="49"/>
      <c r="BJ305" s="49"/>
      <c r="BK305" s="49"/>
      <c r="BL305" s="49"/>
      <c r="BM305" s="49"/>
      <c r="BN305" s="49"/>
      <c r="BO305" s="49"/>
      <c r="BP305" s="49"/>
      <c r="BQ305" s="49"/>
      <c r="BR305" s="49"/>
      <c r="BS305" s="49"/>
      <c r="BT305" s="49"/>
      <c r="BU305" s="49"/>
      <c r="BV305" s="49"/>
      <c r="BW305" s="49"/>
      <c r="BX305" s="49"/>
      <c r="BY305" s="49"/>
      <c r="BZ305" s="49"/>
      <c r="CA305" s="49"/>
      <c r="CB305" s="49"/>
      <c r="CC305" s="49"/>
      <c r="CD305" s="49"/>
      <c r="CE305" s="49"/>
      <c r="CF305" s="49"/>
      <c r="CG305" s="49"/>
      <c r="CH305" s="49"/>
      <c r="CI305" s="49"/>
      <c r="CJ305" s="49"/>
      <c r="CK305" s="49"/>
      <c r="CL305" s="49"/>
      <c r="CM305" s="49"/>
      <c r="CN305" s="49"/>
      <c r="CO305" s="49"/>
      <c r="CP305" s="49"/>
      <c r="CQ305" s="49"/>
      <c r="CT305" s="54"/>
      <c r="DE305" s="34"/>
    </row>
    <row r="306" spans="1:109" ht="14.5" x14ac:dyDescent="0.35">
      <c r="A306" s="19"/>
      <c r="B306" s="1"/>
      <c r="C306"/>
      <c r="D306"/>
      <c r="E306" s="38"/>
      <c r="F306" s="38"/>
      <c r="G306" s="38"/>
      <c r="H306" s="38"/>
      <c r="I306" s="38"/>
      <c r="J306" s="33"/>
      <c r="K306" s="46"/>
      <c r="O306" s="54"/>
      <c r="P306" s="54"/>
      <c r="Q306" s="54"/>
      <c r="R306" s="54"/>
      <c r="S306" s="47"/>
      <c r="T306" s="48"/>
      <c r="U306" s="48"/>
      <c r="V306" s="48"/>
      <c r="W306" s="48"/>
      <c r="X306" s="49"/>
      <c r="Y306" s="49"/>
      <c r="Z306" s="49"/>
      <c r="AA306" s="49"/>
      <c r="AB306" s="49"/>
      <c r="AC306" s="49"/>
      <c r="AD306" s="49"/>
      <c r="AE306" s="49"/>
      <c r="AF306" s="49"/>
      <c r="AG306" s="49"/>
      <c r="AH306" s="49"/>
      <c r="AI306" s="49"/>
      <c r="AJ306" s="49"/>
      <c r="AK306" s="49"/>
      <c r="AL306" s="49"/>
      <c r="AM306" s="49"/>
      <c r="AN306" s="49"/>
      <c r="AO306" s="49"/>
      <c r="AP306" s="49"/>
      <c r="AQ306" s="49"/>
      <c r="AR306" s="49"/>
      <c r="AS306" s="49"/>
      <c r="AT306" s="49"/>
      <c r="AU306" s="49"/>
      <c r="AV306" s="49"/>
      <c r="AW306" s="49"/>
      <c r="AX306" s="49"/>
      <c r="AY306" s="49"/>
      <c r="AZ306" s="49"/>
      <c r="BA306" s="49"/>
      <c r="BB306" s="49"/>
      <c r="BC306" s="49"/>
      <c r="BD306" s="49"/>
      <c r="BE306" s="49"/>
      <c r="BF306" s="49"/>
      <c r="BG306" s="49"/>
      <c r="BH306" s="49"/>
      <c r="BI306" s="49"/>
      <c r="BJ306" s="49"/>
      <c r="BK306" s="49"/>
      <c r="BL306" s="49"/>
      <c r="BM306" s="49"/>
      <c r="BN306" s="49"/>
      <c r="BO306" s="49"/>
      <c r="BP306" s="49"/>
      <c r="BQ306" s="49"/>
      <c r="BR306" s="49"/>
      <c r="BS306" s="49"/>
      <c r="BT306" s="49"/>
      <c r="BU306" s="49"/>
      <c r="BV306" s="49"/>
      <c r="BW306" s="49"/>
      <c r="BX306" s="49"/>
      <c r="BY306" s="49"/>
      <c r="BZ306" s="49"/>
      <c r="CA306" s="49"/>
      <c r="CB306" s="49"/>
      <c r="CC306" s="49"/>
      <c r="CD306" s="49"/>
      <c r="CE306" s="49"/>
      <c r="CF306" s="49"/>
      <c r="CG306" s="49"/>
      <c r="CH306" s="49"/>
      <c r="CI306" s="49"/>
      <c r="CJ306" s="49"/>
      <c r="CK306" s="49"/>
      <c r="CL306" s="49"/>
      <c r="CM306" s="49"/>
      <c r="CN306" s="49"/>
      <c r="CO306" s="49"/>
      <c r="CP306" s="49"/>
      <c r="CQ306" s="49"/>
      <c r="CT306" s="54"/>
      <c r="DE306" s="34"/>
    </row>
    <row r="307" spans="1:109" ht="14.5" x14ac:dyDescent="0.35">
      <c r="A307" s="19"/>
      <c r="B307" s="1"/>
      <c r="C307"/>
      <c r="D307"/>
      <c r="E307" s="38"/>
      <c r="F307" s="38"/>
      <c r="G307" s="38"/>
      <c r="H307" s="38"/>
      <c r="I307" s="38"/>
      <c r="J307" s="33"/>
      <c r="K307" s="46"/>
      <c r="O307" s="54"/>
      <c r="P307" s="54"/>
      <c r="Q307" s="54"/>
      <c r="R307" s="54"/>
      <c r="S307" s="47"/>
      <c r="T307" s="48"/>
      <c r="U307" s="48"/>
      <c r="V307" s="48"/>
      <c r="W307" s="48"/>
      <c r="X307" s="49"/>
      <c r="Y307" s="49"/>
      <c r="Z307" s="49"/>
      <c r="AA307" s="49"/>
      <c r="AB307" s="49"/>
      <c r="AC307" s="49"/>
      <c r="AD307" s="49"/>
      <c r="AE307" s="49"/>
      <c r="AF307" s="49"/>
      <c r="AG307" s="49"/>
      <c r="AH307" s="49"/>
      <c r="AI307" s="49"/>
      <c r="AJ307" s="49"/>
      <c r="AK307" s="49"/>
      <c r="AL307" s="49"/>
      <c r="AM307" s="49"/>
      <c r="AN307" s="49"/>
      <c r="AO307" s="49"/>
      <c r="AP307" s="49"/>
      <c r="AQ307" s="49"/>
      <c r="AR307" s="49"/>
      <c r="AS307" s="49"/>
      <c r="AT307" s="49"/>
      <c r="AU307" s="49"/>
      <c r="AV307" s="49"/>
      <c r="AW307" s="49"/>
      <c r="AX307" s="49"/>
      <c r="AY307" s="49"/>
      <c r="AZ307" s="49"/>
      <c r="BA307" s="49"/>
      <c r="BB307" s="49"/>
      <c r="BC307" s="49"/>
      <c r="BD307" s="49"/>
      <c r="BE307" s="49"/>
      <c r="BF307" s="49"/>
      <c r="BG307" s="49"/>
      <c r="BH307" s="49"/>
      <c r="BI307" s="49"/>
      <c r="BJ307" s="49"/>
      <c r="BK307" s="49"/>
      <c r="BL307" s="49"/>
      <c r="BM307" s="49"/>
      <c r="BN307" s="49"/>
      <c r="BO307" s="49"/>
      <c r="BP307" s="49"/>
      <c r="BQ307" s="49"/>
      <c r="BR307" s="49"/>
      <c r="BS307" s="49"/>
      <c r="BT307" s="49"/>
      <c r="BU307" s="49"/>
      <c r="BV307" s="49"/>
      <c r="BW307" s="49"/>
      <c r="BX307" s="49"/>
      <c r="BY307" s="49"/>
      <c r="BZ307" s="49"/>
      <c r="CA307" s="49"/>
      <c r="CB307" s="49"/>
      <c r="CC307" s="49"/>
      <c r="CD307" s="49"/>
      <c r="CE307" s="49"/>
      <c r="CF307" s="49"/>
      <c r="CG307" s="49"/>
      <c r="CH307" s="49"/>
      <c r="CI307" s="49"/>
      <c r="CJ307" s="49"/>
      <c r="CK307" s="49"/>
      <c r="CL307" s="49"/>
      <c r="CM307" s="49"/>
      <c r="CN307" s="49"/>
      <c r="CO307" s="49"/>
      <c r="CP307" s="49"/>
      <c r="CQ307" s="49"/>
      <c r="CT307" s="54"/>
      <c r="DE307" s="34"/>
    </row>
    <row r="308" spans="1:109" ht="14.5" x14ac:dyDescent="0.35">
      <c r="A308" s="19"/>
      <c r="B308" s="1"/>
      <c r="C308"/>
      <c r="D308"/>
      <c r="E308" s="38"/>
      <c r="F308" s="38"/>
      <c r="G308" s="38"/>
      <c r="H308" s="38"/>
      <c r="I308" s="38"/>
      <c r="J308" s="33"/>
      <c r="K308" s="46"/>
      <c r="O308" s="54"/>
      <c r="P308" s="54"/>
      <c r="Q308" s="54"/>
      <c r="R308" s="54"/>
      <c r="S308" s="47"/>
      <c r="T308" s="48"/>
      <c r="U308" s="48"/>
      <c r="V308" s="48"/>
      <c r="W308" s="48"/>
      <c r="X308" s="49"/>
      <c r="Y308" s="49"/>
      <c r="Z308" s="49"/>
      <c r="AA308" s="49"/>
      <c r="AB308" s="49"/>
      <c r="AC308" s="49"/>
      <c r="AD308" s="49"/>
      <c r="AE308" s="49"/>
      <c r="AF308" s="49"/>
      <c r="AG308" s="49"/>
      <c r="AH308" s="49"/>
      <c r="AI308" s="49"/>
      <c r="AJ308" s="49"/>
      <c r="AK308" s="49"/>
      <c r="AL308" s="49"/>
      <c r="AM308" s="49"/>
      <c r="AN308" s="49"/>
      <c r="AO308" s="49"/>
      <c r="AP308" s="49"/>
      <c r="AQ308" s="49"/>
      <c r="AR308" s="49"/>
      <c r="AS308" s="49"/>
      <c r="AT308" s="49"/>
      <c r="AU308" s="49"/>
      <c r="AV308" s="49"/>
      <c r="AW308" s="49"/>
      <c r="AX308" s="49"/>
      <c r="AY308" s="49"/>
      <c r="AZ308" s="49"/>
      <c r="BA308" s="49"/>
      <c r="BB308" s="49"/>
      <c r="BC308" s="49"/>
      <c r="BD308" s="49"/>
      <c r="BE308" s="49"/>
      <c r="BF308" s="49"/>
      <c r="BG308" s="49"/>
      <c r="BH308" s="49"/>
      <c r="BI308" s="49"/>
      <c r="BJ308" s="49"/>
      <c r="BK308" s="49"/>
      <c r="BL308" s="49"/>
      <c r="BM308" s="49"/>
      <c r="BN308" s="49"/>
      <c r="BO308" s="49"/>
      <c r="BP308" s="49"/>
      <c r="BQ308" s="49"/>
      <c r="BR308" s="49"/>
      <c r="BS308" s="49"/>
      <c r="BT308" s="49"/>
      <c r="BU308" s="49"/>
      <c r="BV308" s="49"/>
      <c r="BW308" s="49"/>
      <c r="BX308" s="49"/>
      <c r="BY308" s="49"/>
      <c r="BZ308" s="49"/>
      <c r="CA308" s="49"/>
      <c r="CB308" s="49"/>
      <c r="CC308" s="49"/>
      <c r="CD308" s="49"/>
      <c r="CE308" s="49"/>
      <c r="CF308" s="49"/>
      <c r="CG308" s="49"/>
      <c r="CH308" s="49"/>
      <c r="CI308" s="49"/>
      <c r="CJ308" s="49"/>
      <c r="CK308" s="49"/>
      <c r="CL308" s="49"/>
      <c r="CM308" s="49"/>
      <c r="CN308" s="49"/>
      <c r="CO308" s="49"/>
      <c r="CP308" s="49"/>
      <c r="CQ308" s="49"/>
      <c r="CT308" s="54"/>
      <c r="DE308" s="34"/>
    </row>
    <row r="309" spans="1:109" ht="14.5" x14ac:dyDescent="0.35">
      <c r="A309" s="19"/>
      <c r="B309" s="1"/>
      <c r="C309"/>
      <c r="D309"/>
      <c r="E309" s="38"/>
      <c r="F309" s="38"/>
      <c r="G309" s="38"/>
      <c r="H309" s="38"/>
      <c r="I309" s="38"/>
      <c r="J309" s="33"/>
      <c r="K309" s="46"/>
      <c r="O309" s="54"/>
      <c r="P309" s="54"/>
      <c r="Q309" s="54"/>
      <c r="R309" s="54"/>
      <c r="S309" s="47"/>
      <c r="T309" s="48"/>
      <c r="U309" s="48"/>
      <c r="V309" s="48"/>
      <c r="W309" s="48"/>
      <c r="X309" s="49"/>
      <c r="Y309" s="49"/>
      <c r="Z309" s="49"/>
      <c r="AA309" s="49"/>
      <c r="AB309" s="49"/>
      <c r="AC309" s="49"/>
      <c r="AD309" s="49"/>
      <c r="AE309" s="49"/>
      <c r="AF309" s="49"/>
      <c r="AG309" s="49"/>
      <c r="AH309" s="49"/>
      <c r="AI309" s="49"/>
      <c r="AJ309" s="49"/>
      <c r="AK309" s="49"/>
      <c r="AL309" s="49"/>
      <c r="AM309" s="49"/>
      <c r="AN309" s="49"/>
      <c r="AO309" s="49"/>
      <c r="AP309" s="49"/>
      <c r="AQ309" s="49"/>
      <c r="AR309" s="49"/>
      <c r="AS309" s="49"/>
      <c r="AT309" s="49"/>
      <c r="AU309" s="49"/>
      <c r="AV309" s="49"/>
      <c r="AW309" s="49"/>
      <c r="AX309" s="49"/>
      <c r="AY309" s="49"/>
      <c r="AZ309" s="49"/>
      <c r="BA309" s="49"/>
      <c r="BB309" s="49"/>
      <c r="BC309" s="49"/>
      <c r="BD309" s="49"/>
      <c r="BE309" s="49"/>
      <c r="BF309" s="49"/>
      <c r="BG309" s="49"/>
      <c r="BH309" s="49"/>
      <c r="BI309" s="49"/>
      <c r="BJ309" s="49"/>
      <c r="BK309" s="49"/>
      <c r="BL309" s="49"/>
      <c r="BM309" s="49"/>
      <c r="BN309" s="49"/>
      <c r="BO309" s="49"/>
      <c r="BP309" s="49"/>
      <c r="BQ309" s="49"/>
      <c r="BR309" s="49"/>
      <c r="BS309" s="49"/>
      <c r="BT309" s="49"/>
      <c r="BU309" s="49"/>
      <c r="BV309" s="49"/>
      <c r="BW309" s="49"/>
      <c r="BX309" s="49"/>
      <c r="BY309" s="49"/>
      <c r="BZ309" s="49"/>
      <c r="CA309" s="49"/>
      <c r="CB309" s="49"/>
      <c r="CC309" s="49"/>
      <c r="CD309" s="49"/>
      <c r="CE309" s="49"/>
      <c r="CF309" s="49"/>
      <c r="CG309" s="49"/>
      <c r="CH309" s="49"/>
      <c r="CI309" s="49"/>
      <c r="CJ309" s="49"/>
      <c r="CK309" s="49"/>
      <c r="CL309" s="49"/>
      <c r="CM309" s="49"/>
      <c r="CN309" s="49"/>
      <c r="CO309" s="49"/>
      <c r="CP309" s="49"/>
      <c r="CQ309" s="49"/>
      <c r="CT309" s="54"/>
      <c r="DE309" s="34"/>
    </row>
    <row r="310" spans="1:109" ht="14.5" x14ac:dyDescent="0.35">
      <c r="A310" s="19"/>
      <c r="B310" s="1"/>
      <c r="C310"/>
      <c r="D310"/>
      <c r="E310" s="38"/>
      <c r="F310" s="38"/>
      <c r="G310" s="38"/>
      <c r="H310" s="38"/>
      <c r="I310" s="38"/>
      <c r="J310" s="33"/>
      <c r="K310" s="46"/>
      <c r="O310" s="54"/>
      <c r="P310" s="54"/>
      <c r="Q310" s="54"/>
      <c r="R310" s="54"/>
      <c r="S310" s="47"/>
      <c r="T310" s="48"/>
      <c r="U310" s="48"/>
      <c r="V310" s="48"/>
      <c r="W310" s="48"/>
      <c r="X310" s="49"/>
      <c r="Y310" s="49"/>
      <c r="Z310" s="49"/>
      <c r="AA310" s="49"/>
      <c r="AB310" s="49"/>
      <c r="AC310" s="49"/>
      <c r="AD310" s="49"/>
      <c r="AE310" s="49"/>
      <c r="AF310" s="49"/>
      <c r="AG310" s="49"/>
      <c r="AH310" s="49"/>
      <c r="AI310" s="49"/>
      <c r="AJ310" s="49"/>
      <c r="AK310" s="49"/>
      <c r="AL310" s="49"/>
      <c r="AM310" s="49"/>
      <c r="AN310" s="49"/>
      <c r="AO310" s="49"/>
      <c r="AP310" s="49"/>
      <c r="AQ310" s="49"/>
      <c r="AR310" s="49"/>
      <c r="AS310" s="49"/>
      <c r="AT310" s="49"/>
      <c r="AU310" s="49"/>
      <c r="AV310" s="49"/>
      <c r="AW310" s="49"/>
      <c r="AX310" s="49"/>
      <c r="AY310" s="49"/>
      <c r="AZ310" s="49"/>
      <c r="BA310" s="49"/>
      <c r="BB310" s="49"/>
      <c r="BC310" s="49"/>
      <c r="BD310" s="49"/>
      <c r="BE310" s="49"/>
      <c r="BF310" s="49"/>
      <c r="BG310" s="49"/>
      <c r="BH310" s="49"/>
      <c r="BI310" s="49"/>
      <c r="BJ310" s="49"/>
      <c r="BK310" s="49"/>
      <c r="BL310" s="49"/>
      <c r="BM310" s="49"/>
      <c r="BN310" s="49"/>
      <c r="BO310" s="49"/>
      <c r="BP310" s="49"/>
      <c r="BQ310" s="49"/>
      <c r="BR310" s="49"/>
      <c r="BS310" s="49"/>
      <c r="BT310" s="49"/>
      <c r="BU310" s="49"/>
      <c r="BV310" s="49"/>
      <c r="BW310" s="49"/>
      <c r="BX310" s="49"/>
      <c r="BY310" s="49"/>
      <c r="BZ310" s="49"/>
      <c r="CA310" s="49"/>
      <c r="CB310" s="49"/>
      <c r="CC310" s="49"/>
      <c r="CD310" s="49"/>
      <c r="CE310" s="49"/>
      <c r="CF310" s="49"/>
      <c r="CG310" s="49"/>
      <c r="CH310" s="49"/>
      <c r="CI310" s="49"/>
      <c r="CJ310" s="49"/>
      <c r="CK310" s="49"/>
      <c r="CL310" s="49"/>
      <c r="CM310" s="49"/>
      <c r="CN310" s="49"/>
      <c r="CO310" s="49"/>
      <c r="CP310" s="49"/>
      <c r="CQ310" s="49"/>
      <c r="CT310" s="54"/>
      <c r="DE310" s="34"/>
    </row>
    <row r="311" spans="1:109" ht="14.5" x14ac:dyDescent="0.35">
      <c r="A311" s="19"/>
      <c r="B311" s="1"/>
      <c r="C311"/>
      <c r="D311"/>
      <c r="E311" s="38"/>
      <c r="F311" s="38"/>
      <c r="G311" s="38"/>
      <c r="H311" s="38"/>
      <c r="I311" s="38"/>
      <c r="J311" s="33"/>
      <c r="K311" s="46"/>
      <c r="O311" s="54"/>
      <c r="P311" s="54"/>
      <c r="Q311" s="54"/>
      <c r="R311" s="54"/>
      <c r="S311" s="47"/>
      <c r="T311" s="48"/>
      <c r="U311" s="48"/>
      <c r="V311" s="48"/>
      <c r="W311" s="48"/>
      <c r="X311" s="49"/>
      <c r="Y311" s="49"/>
      <c r="Z311" s="49"/>
      <c r="AA311" s="49"/>
      <c r="AB311" s="49"/>
      <c r="AC311" s="49"/>
      <c r="AD311" s="49"/>
      <c r="AE311" s="49"/>
      <c r="AF311" s="49"/>
      <c r="AG311" s="49"/>
      <c r="AH311" s="49"/>
      <c r="AI311" s="49"/>
      <c r="AJ311" s="49"/>
      <c r="AK311" s="49"/>
      <c r="AL311" s="49"/>
      <c r="AM311" s="49"/>
      <c r="AN311" s="49"/>
      <c r="AO311" s="49"/>
      <c r="AP311" s="49"/>
      <c r="AQ311" s="49"/>
      <c r="AR311" s="49"/>
      <c r="AS311" s="49"/>
      <c r="AT311" s="49"/>
      <c r="AU311" s="49"/>
      <c r="AV311" s="49"/>
      <c r="AW311" s="49"/>
      <c r="AX311" s="49"/>
      <c r="AY311" s="49"/>
      <c r="AZ311" s="49"/>
      <c r="BA311" s="49"/>
      <c r="BB311" s="49"/>
      <c r="BC311" s="49"/>
      <c r="BD311" s="49"/>
      <c r="BE311" s="49"/>
      <c r="BF311" s="49"/>
      <c r="BG311" s="49"/>
      <c r="BH311" s="49"/>
      <c r="BI311" s="49"/>
      <c r="BJ311" s="49"/>
      <c r="BK311" s="49"/>
      <c r="BL311" s="49"/>
      <c r="BM311" s="49"/>
      <c r="BN311" s="49"/>
      <c r="BO311" s="49"/>
      <c r="BP311" s="49"/>
      <c r="BQ311" s="49"/>
      <c r="BR311" s="49"/>
      <c r="BS311" s="49"/>
      <c r="BT311" s="49"/>
      <c r="BU311" s="49"/>
      <c r="BV311" s="49"/>
      <c r="BW311" s="49"/>
      <c r="BX311" s="49"/>
      <c r="BY311" s="49"/>
      <c r="BZ311" s="49"/>
      <c r="CA311" s="49"/>
      <c r="CB311" s="49"/>
      <c r="CC311" s="49"/>
      <c r="CD311" s="49"/>
      <c r="CE311" s="49"/>
      <c r="CF311" s="49"/>
      <c r="CG311" s="49"/>
      <c r="CH311" s="49"/>
      <c r="CI311" s="49"/>
      <c r="CJ311" s="49"/>
      <c r="CK311" s="49"/>
      <c r="CL311" s="49"/>
      <c r="CM311" s="49"/>
      <c r="CN311" s="49"/>
      <c r="CO311" s="49"/>
      <c r="CP311" s="49"/>
      <c r="CQ311" s="49"/>
      <c r="CT311" s="54"/>
      <c r="DE311" s="34"/>
    </row>
    <row r="312" spans="1:109" ht="14.5" x14ac:dyDescent="0.35">
      <c r="A312" s="19"/>
      <c r="B312" s="1"/>
      <c r="C312"/>
      <c r="D312"/>
      <c r="E312" s="38"/>
      <c r="F312" s="38"/>
      <c r="G312" s="38"/>
      <c r="H312" s="38"/>
      <c r="I312" s="38"/>
      <c r="J312" s="33"/>
      <c r="K312" s="46"/>
      <c r="O312" s="54"/>
      <c r="P312" s="54"/>
      <c r="Q312" s="54"/>
      <c r="R312" s="54"/>
      <c r="S312" s="47"/>
      <c r="T312" s="48"/>
      <c r="U312" s="48"/>
      <c r="V312" s="48"/>
      <c r="W312" s="48"/>
      <c r="X312" s="49"/>
      <c r="Y312" s="49"/>
      <c r="Z312" s="49"/>
      <c r="AA312" s="49"/>
      <c r="AB312" s="49"/>
      <c r="AC312" s="49"/>
      <c r="AD312" s="49"/>
      <c r="AE312" s="49"/>
      <c r="AF312" s="49"/>
      <c r="AG312" s="49"/>
      <c r="AH312" s="49"/>
      <c r="AI312" s="49"/>
      <c r="AJ312" s="49"/>
      <c r="AK312" s="49"/>
      <c r="AL312" s="49"/>
      <c r="AM312" s="49"/>
      <c r="AN312" s="49"/>
      <c r="AO312" s="49"/>
      <c r="AP312" s="49"/>
      <c r="AQ312" s="49"/>
      <c r="AR312" s="49"/>
      <c r="AS312" s="49"/>
      <c r="AT312" s="49"/>
      <c r="AU312" s="49"/>
      <c r="AV312" s="49"/>
      <c r="AW312" s="49"/>
      <c r="AX312" s="49"/>
      <c r="AY312" s="49"/>
      <c r="AZ312" s="49"/>
      <c r="BA312" s="49"/>
      <c r="BB312" s="49"/>
      <c r="BC312" s="49"/>
      <c r="BD312" s="49"/>
      <c r="BE312" s="49"/>
      <c r="BF312" s="49"/>
      <c r="BG312" s="49"/>
      <c r="BH312" s="49"/>
      <c r="BI312" s="49"/>
      <c r="BJ312" s="49"/>
      <c r="BK312" s="49"/>
      <c r="BL312" s="49"/>
      <c r="BM312" s="49"/>
      <c r="BN312" s="49"/>
      <c r="BO312" s="49"/>
      <c r="BP312" s="49"/>
      <c r="BQ312" s="49"/>
      <c r="BR312" s="49"/>
      <c r="BS312" s="49"/>
      <c r="BT312" s="49"/>
      <c r="BU312" s="49"/>
      <c r="BV312" s="49"/>
      <c r="BW312" s="49"/>
      <c r="BX312" s="49"/>
      <c r="BY312" s="49"/>
      <c r="BZ312" s="49"/>
      <c r="CA312" s="49"/>
      <c r="CB312" s="49"/>
      <c r="CC312" s="49"/>
      <c r="CD312" s="49"/>
      <c r="CE312" s="49"/>
      <c r="CF312" s="49"/>
      <c r="CG312" s="49"/>
      <c r="CH312" s="49"/>
      <c r="CI312" s="49"/>
      <c r="CJ312" s="49"/>
      <c r="CK312" s="49"/>
      <c r="CL312" s="49"/>
      <c r="CM312" s="49"/>
      <c r="CN312" s="49"/>
      <c r="CO312" s="49"/>
      <c r="CP312" s="49"/>
      <c r="CQ312" s="49"/>
      <c r="CT312" s="54"/>
      <c r="DE312" s="34"/>
    </row>
    <row r="313" spans="1:109" ht="14.5" x14ac:dyDescent="0.35">
      <c r="A313" s="19"/>
      <c r="B313" s="1"/>
      <c r="C313"/>
      <c r="D313"/>
      <c r="E313" s="38"/>
      <c r="F313" s="38"/>
      <c r="G313" s="38"/>
      <c r="H313" s="38"/>
      <c r="I313" s="38"/>
      <c r="J313" s="33"/>
      <c r="K313" s="46"/>
      <c r="O313" s="54"/>
      <c r="P313" s="54"/>
      <c r="Q313" s="54"/>
      <c r="R313" s="54"/>
      <c r="S313" s="47"/>
      <c r="T313" s="48"/>
      <c r="U313" s="48"/>
      <c r="V313" s="48"/>
      <c r="W313" s="48"/>
      <c r="X313" s="49"/>
      <c r="Y313" s="49"/>
      <c r="Z313" s="49"/>
      <c r="AA313" s="49"/>
      <c r="AB313" s="49"/>
      <c r="AC313" s="49"/>
      <c r="AD313" s="49"/>
      <c r="AE313" s="49"/>
      <c r="AF313" s="49"/>
      <c r="AG313" s="49"/>
      <c r="AH313" s="49"/>
      <c r="AI313" s="49"/>
      <c r="AJ313" s="49"/>
      <c r="AK313" s="49"/>
      <c r="AL313" s="49"/>
      <c r="AM313" s="49"/>
      <c r="AN313" s="49"/>
      <c r="AO313" s="49"/>
      <c r="AP313" s="49"/>
      <c r="AQ313" s="49"/>
      <c r="AR313" s="49"/>
      <c r="AS313" s="49"/>
      <c r="AT313" s="49"/>
      <c r="AU313" s="49"/>
      <c r="AV313" s="49"/>
      <c r="AW313" s="49"/>
      <c r="AX313" s="49"/>
      <c r="AY313" s="49"/>
      <c r="AZ313" s="49"/>
      <c r="BA313" s="49"/>
      <c r="BB313" s="49"/>
      <c r="BC313" s="49"/>
      <c r="BD313" s="49"/>
      <c r="BE313" s="49"/>
      <c r="BF313" s="49"/>
      <c r="BG313" s="49"/>
      <c r="BH313" s="49"/>
      <c r="BI313" s="49"/>
      <c r="BJ313" s="49"/>
      <c r="BK313" s="49"/>
      <c r="BL313" s="49"/>
      <c r="BM313" s="49"/>
      <c r="BN313" s="49"/>
      <c r="BO313" s="49"/>
      <c r="BP313" s="49"/>
      <c r="BQ313" s="49"/>
      <c r="BR313" s="49"/>
      <c r="BS313" s="49"/>
      <c r="BT313" s="49"/>
      <c r="BU313" s="49"/>
      <c r="BV313" s="49"/>
      <c r="BW313" s="49"/>
      <c r="BX313" s="49"/>
      <c r="BY313" s="49"/>
      <c r="BZ313" s="49"/>
      <c r="CA313" s="49"/>
      <c r="CB313" s="49"/>
      <c r="CC313" s="49"/>
      <c r="CD313" s="49"/>
      <c r="CE313" s="49"/>
      <c r="CF313" s="49"/>
      <c r="CG313" s="49"/>
      <c r="CH313" s="49"/>
      <c r="CI313" s="49"/>
      <c r="CJ313" s="49"/>
      <c r="CK313" s="49"/>
      <c r="CL313" s="49"/>
      <c r="CM313" s="49"/>
      <c r="CN313" s="49"/>
      <c r="CO313" s="49"/>
      <c r="CP313" s="49"/>
      <c r="CQ313" s="49"/>
      <c r="CT313" s="54"/>
      <c r="DE313" s="34"/>
    </row>
    <row r="314" spans="1:109" ht="14.5" x14ac:dyDescent="0.35">
      <c r="A314" s="19"/>
      <c r="B314" s="1"/>
      <c r="C314"/>
      <c r="D314"/>
      <c r="E314" s="38"/>
      <c r="F314" s="38"/>
      <c r="G314" s="38"/>
      <c r="H314" s="38"/>
      <c r="I314" s="38"/>
      <c r="J314" s="33"/>
      <c r="K314" s="46"/>
      <c r="O314" s="54"/>
      <c r="P314" s="54"/>
      <c r="Q314" s="54"/>
      <c r="R314" s="54"/>
      <c r="S314" s="47"/>
      <c r="T314" s="48"/>
      <c r="U314" s="48"/>
      <c r="V314" s="48"/>
      <c r="W314" s="48"/>
      <c r="X314" s="49"/>
      <c r="Y314" s="49"/>
      <c r="Z314" s="49"/>
      <c r="AA314" s="49"/>
      <c r="AB314" s="49"/>
      <c r="AC314" s="49"/>
      <c r="AD314" s="49"/>
      <c r="AE314" s="49"/>
      <c r="AF314" s="49"/>
      <c r="AG314" s="49"/>
      <c r="AH314" s="49"/>
      <c r="AI314" s="49"/>
      <c r="AJ314" s="49"/>
      <c r="AK314" s="49"/>
      <c r="AL314" s="49"/>
      <c r="AM314" s="49"/>
      <c r="AN314" s="49"/>
      <c r="AO314" s="49"/>
      <c r="AP314" s="49"/>
      <c r="AQ314" s="49"/>
      <c r="AR314" s="49"/>
      <c r="AS314" s="49"/>
      <c r="AT314" s="49"/>
      <c r="AU314" s="49"/>
      <c r="AV314" s="49"/>
      <c r="AW314" s="49"/>
      <c r="AX314" s="49"/>
      <c r="AY314" s="49"/>
      <c r="AZ314" s="49"/>
      <c r="BA314" s="49"/>
      <c r="BB314" s="49"/>
      <c r="BC314" s="49"/>
      <c r="BD314" s="49"/>
      <c r="BE314" s="49"/>
      <c r="BF314" s="49"/>
      <c r="BG314" s="49"/>
      <c r="BH314" s="49"/>
      <c r="BI314" s="49"/>
      <c r="BJ314" s="49"/>
      <c r="BK314" s="49"/>
      <c r="BL314" s="49"/>
      <c r="BM314" s="49"/>
      <c r="BN314" s="49"/>
      <c r="BO314" s="49"/>
      <c r="BP314" s="49"/>
      <c r="BQ314" s="49"/>
      <c r="BR314" s="49"/>
      <c r="BS314" s="49"/>
      <c r="BT314" s="49"/>
      <c r="BU314" s="49"/>
      <c r="BV314" s="49"/>
      <c r="BW314" s="49"/>
      <c r="BX314" s="49"/>
      <c r="BY314" s="49"/>
      <c r="BZ314" s="49"/>
      <c r="CA314" s="49"/>
      <c r="CB314" s="49"/>
      <c r="CC314" s="49"/>
      <c r="CD314" s="49"/>
      <c r="CE314" s="49"/>
      <c r="CF314" s="49"/>
      <c r="CG314" s="49"/>
      <c r="CH314" s="49"/>
      <c r="CI314" s="49"/>
      <c r="CJ314" s="49"/>
      <c r="CK314" s="49"/>
      <c r="CL314" s="49"/>
      <c r="CM314" s="49"/>
      <c r="CN314" s="49"/>
      <c r="CO314" s="49"/>
      <c r="CP314" s="49"/>
      <c r="CQ314" s="49"/>
      <c r="CT314" s="54"/>
      <c r="DE314" s="34"/>
    </row>
    <row r="315" spans="1:109" ht="14.5" x14ac:dyDescent="0.35">
      <c r="A315" s="19"/>
      <c r="B315" s="1"/>
      <c r="C315"/>
      <c r="D315"/>
      <c r="E315" s="38"/>
      <c r="F315" s="38"/>
      <c r="G315" s="38"/>
      <c r="H315" s="38"/>
      <c r="I315" s="38"/>
      <c r="J315" s="33"/>
      <c r="K315" s="46"/>
      <c r="O315" s="54"/>
      <c r="P315" s="54"/>
      <c r="Q315" s="54"/>
      <c r="R315" s="54"/>
      <c r="S315" s="47"/>
      <c r="T315" s="48"/>
      <c r="U315" s="48"/>
      <c r="V315" s="48"/>
      <c r="W315" s="48"/>
      <c r="X315" s="49"/>
      <c r="Y315" s="49"/>
      <c r="Z315" s="49"/>
      <c r="AA315" s="49"/>
      <c r="AB315" s="49"/>
      <c r="AC315" s="49"/>
      <c r="AD315" s="49"/>
      <c r="AE315" s="49"/>
      <c r="AF315" s="49"/>
      <c r="AG315" s="49"/>
      <c r="AH315" s="49"/>
      <c r="AI315" s="49"/>
      <c r="AJ315" s="49"/>
      <c r="AK315" s="49"/>
      <c r="AL315" s="49"/>
      <c r="AM315" s="49"/>
      <c r="AN315" s="49"/>
      <c r="AO315" s="49"/>
      <c r="AP315" s="49"/>
      <c r="AQ315" s="49"/>
      <c r="AR315" s="49"/>
      <c r="AS315" s="49"/>
      <c r="AT315" s="49"/>
      <c r="AU315" s="49"/>
      <c r="AV315" s="49"/>
      <c r="AW315" s="49"/>
      <c r="AX315" s="49"/>
      <c r="AY315" s="49"/>
      <c r="AZ315" s="49"/>
      <c r="BA315" s="49"/>
      <c r="BB315" s="49"/>
      <c r="BC315" s="49"/>
      <c r="BD315" s="49"/>
      <c r="BE315" s="49"/>
      <c r="BF315" s="49"/>
      <c r="BG315" s="49"/>
      <c r="BH315" s="49"/>
      <c r="BI315" s="49"/>
      <c r="BJ315" s="49"/>
      <c r="BK315" s="49"/>
      <c r="BL315" s="49"/>
      <c r="BM315" s="49"/>
      <c r="BN315" s="49"/>
      <c r="BO315" s="49"/>
      <c r="BP315" s="49"/>
      <c r="BQ315" s="49"/>
      <c r="BR315" s="49"/>
      <c r="BS315" s="49"/>
      <c r="BT315" s="49"/>
      <c r="BU315" s="49"/>
      <c r="BV315" s="49"/>
      <c r="BW315" s="49"/>
      <c r="BX315" s="49"/>
      <c r="BY315" s="49"/>
      <c r="BZ315" s="49"/>
      <c r="CA315" s="49"/>
      <c r="CB315" s="49"/>
      <c r="CC315" s="49"/>
      <c r="CD315" s="49"/>
      <c r="CE315" s="49"/>
      <c r="CF315" s="49"/>
      <c r="CG315" s="49"/>
      <c r="CH315" s="49"/>
      <c r="CI315" s="49"/>
      <c r="CJ315" s="49"/>
      <c r="CK315" s="49"/>
      <c r="CL315" s="49"/>
      <c r="CM315" s="49"/>
      <c r="CN315" s="49"/>
      <c r="CO315" s="49"/>
      <c r="CP315" s="49"/>
      <c r="CQ315" s="49"/>
      <c r="CT315" s="54"/>
      <c r="DE315" s="34"/>
    </row>
    <row r="316" spans="1:109" ht="14.5" x14ac:dyDescent="0.35">
      <c r="A316" s="19"/>
      <c r="B316" s="1"/>
      <c r="C316"/>
      <c r="D316"/>
      <c r="E316" s="38"/>
      <c r="F316" s="38"/>
      <c r="G316" s="38"/>
      <c r="H316" s="38"/>
      <c r="I316" s="38"/>
      <c r="J316" s="33"/>
      <c r="K316" s="46"/>
      <c r="O316" s="54"/>
      <c r="P316" s="54"/>
      <c r="Q316" s="54"/>
      <c r="R316" s="54"/>
      <c r="S316" s="47"/>
      <c r="T316" s="48"/>
      <c r="U316" s="48"/>
      <c r="V316" s="48"/>
      <c r="W316" s="48"/>
      <c r="X316" s="49"/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  <c r="AI316" s="49"/>
      <c r="AJ316" s="49"/>
      <c r="AK316" s="49"/>
      <c r="AL316" s="49"/>
      <c r="AM316" s="49"/>
      <c r="AN316" s="49"/>
      <c r="AO316" s="49"/>
      <c r="AP316" s="49"/>
      <c r="AQ316" s="49"/>
      <c r="AR316" s="49"/>
      <c r="AS316" s="49"/>
      <c r="AT316" s="49"/>
      <c r="AU316" s="49"/>
      <c r="AV316" s="49"/>
      <c r="AW316" s="49"/>
      <c r="AX316" s="49"/>
      <c r="AY316" s="49"/>
      <c r="AZ316" s="49"/>
      <c r="BA316" s="49"/>
      <c r="BB316" s="49"/>
      <c r="BC316" s="49"/>
      <c r="BD316" s="49"/>
      <c r="BE316" s="49"/>
      <c r="BF316" s="49"/>
      <c r="BG316" s="49"/>
      <c r="BH316" s="49"/>
      <c r="BI316" s="49"/>
      <c r="BJ316" s="49"/>
      <c r="BK316" s="49"/>
      <c r="BL316" s="49"/>
      <c r="BM316" s="49"/>
      <c r="BN316" s="49"/>
      <c r="BO316" s="49"/>
      <c r="BP316" s="49"/>
      <c r="BQ316" s="49"/>
      <c r="BR316" s="49"/>
      <c r="BS316" s="49"/>
      <c r="BT316" s="49"/>
      <c r="BU316" s="49"/>
      <c r="BV316" s="49"/>
      <c r="BW316" s="49"/>
      <c r="BX316" s="49"/>
      <c r="BY316" s="49"/>
      <c r="BZ316" s="49"/>
      <c r="CA316" s="49"/>
      <c r="CB316" s="49"/>
      <c r="CC316" s="49"/>
      <c r="CD316" s="49"/>
      <c r="CE316" s="49"/>
      <c r="CF316" s="49"/>
      <c r="CG316" s="49"/>
      <c r="CH316" s="49"/>
      <c r="CI316" s="49"/>
      <c r="CJ316" s="49"/>
      <c r="CK316" s="49"/>
      <c r="CL316" s="49"/>
      <c r="CM316" s="49"/>
      <c r="CN316" s="49"/>
      <c r="CO316" s="49"/>
      <c r="CP316" s="49"/>
      <c r="CQ316" s="49"/>
      <c r="CT316" s="54"/>
      <c r="DE316" s="34"/>
    </row>
    <row r="317" spans="1:109" ht="14.5" x14ac:dyDescent="0.35">
      <c r="A317" s="19"/>
      <c r="B317" s="1"/>
      <c r="C317"/>
      <c r="D317"/>
      <c r="E317" s="38"/>
      <c r="F317" s="38"/>
      <c r="G317" s="38"/>
      <c r="H317" s="38"/>
      <c r="I317" s="38"/>
      <c r="J317" s="33"/>
      <c r="K317" s="46"/>
      <c r="O317" s="54"/>
      <c r="P317" s="54"/>
      <c r="Q317" s="54"/>
      <c r="R317" s="54"/>
      <c r="S317" s="47"/>
      <c r="T317" s="48"/>
      <c r="U317" s="48"/>
      <c r="V317" s="48"/>
      <c r="W317" s="48"/>
      <c r="X317" s="49"/>
      <c r="Y317" s="49"/>
      <c r="Z317" s="49"/>
      <c r="AA317" s="49"/>
      <c r="AB317" s="49"/>
      <c r="AC317" s="49"/>
      <c r="AD317" s="49"/>
      <c r="AE317" s="49"/>
      <c r="AF317" s="49"/>
      <c r="AG317" s="49"/>
      <c r="AH317" s="49"/>
      <c r="AI317" s="49"/>
      <c r="AJ317" s="49"/>
      <c r="AK317" s="49"/>
      <c r="AL317" s="49"/>
      <c r="AM317" s="49"/>
      <c r="AN317" s="49"/>
      <c r="AO317" s="49"/>
      <c r="AP317" s="49"/>
      <c r="AQ317" s="49"/>
      <c r="AR317" s="49"/>
      <c r="AS317" s="49"/>
      <c r="AT317" s="49"/>
      <c r="AU317" s="49"/>
      <c r="AV317" s="49"/>
      <c r="AW317" s="49"/>
      <c r="AX317" s="49"/>
      <c r="AY317" s="49"/>
      <c r="AZ317" s="49"/>
      <c r="BA317" s="49"/>
      <c r="BB317" s="49"/>
      <c r="BC317" s="49"/>
      <c r="BD317" s="49"/>
      <c r="BE317" s="49"/>
      <c r="BF317" s="49"/>
      <c r="BG317" s="49"/>
      <c r="BH317" s="49"/>
      <c r="BI317" s="49"/>
      <c r="BJ317" s="49"/>
      <c r="BK317" s="49"/>
      <c r="BL317" s="49"/>
      <c r="BM317" s="49"/>
      <c r="BN317" s="49"/>
      <c r="BO317" s="49"/>
      <c r="BP317" s="49"/>
      <c r="BQ317" s="49"/>
      <c r="BR317" s="49"/>
      <c r="BS317" s="49"/>
      <c r="BT317" s="49"/>
      <c r="BU317" s="49"/>
      <c r="BV317" s="49"/>
      <c r="BW317" s="49"/>
      <c r="BX317" s="49"/>
      <c r="BY317" s="49"/>
      <c r="BZ317" s="49"/>
      <c r="CA317" s="49"/>
      <c r="CB317" s="49"/>
      <c r="CC317" s="49"/>
      <c r="CD317" s="49"/>
      <c r="CE317" s="49"/>
      <c r="CF317" s="49"/>
      <c r="CG317" s="49"/>
      <c r="CH317" s="49"/>
      <c r="CI317" s="49"/>
      <c r="CJ317" s="49"/>
      <c r="CK317" s="49"/>
      <c r="CL317" s="49"/>
      <c r="CM317" s="49"/>
      <c r="CN317" s="49"/>
      <c r="CO317" s="49"/>
      <c r="CP317" s="49"/>
      <c r="CQ317" s="49"/>
      <c r="CT317" s="54"/>
      <c r="DE317" s="34"/>
    </row>
    <row r="318" spans="1:109" ht="14.5" x14ac:dyDescent="0.35">
      <c r="A318" s="19"/>
      <c r="B318" s="1"/>
      <c r="C318"/>
      <c r="D318"/>
      <c r="E318" s="38"/>
      <c r="F318" s="38"/>
      <c r="G318" s="38"/>
      <c r="H318" s="38"/>
      <c r="I318" s="38"/>
      <c r="J318" s="33"/>
      <c r="K318" s="46"/>
      <c r="O318" s="54"/>
      <c r="P318" s="54"/>
      <c r="Q318" s="54"/>
      <c r="R318" s="54"/>
      <c r="S318" s="47"/>
      <c r="T318" s="48"/>
      <c r="U318" s="48"/>
      <c r="V318" s="48"/>
      <c r="W318" s="48"/>
      <c r="X318" s="49"/>
      <c r="Y318" s="49"/>
      <c r="Z318" s="49"/>
      <c r="AA318" s="49"/>
      <c r="AB318" s="49"/>
      <c r="AC318" s="49"/>
      <c r="AD318" s="49"/>
      <c r="AE318" s="49"/>
      <c r="AF318" s="49"/>
      <c r="AG318" s="49"/>
      <c r="AH318" s="49"/>
      <c r="AI318" s="49"/>
      <c r="AJ318" s="49"/>
      <c r="AK318" s="49"/>
      <c r="AL318" s="49"/>
      <c r="AM318" s="49"/>
      <c r="AN318" s="49"/>
      <c r="AO318" s="49"/>
      <c r="AP318" s="49"/>
      <c r="AQ318" s="49"/>
      <c r="AR318" s="49"/>
      <c r="AS318" s="49"/>
      <c r="AT318" s="49"/>
      <c r="AU318" s="49"/>
      <c r="AV318" s="49"/>
      <c r="AW318" s="49"/>
      <c r="AX318" s="49"/>
      <c r="AY318" s="49"/>
      <c r="AZ318" s="49"/>
      <c r="BA318" s="49"/>
      <c r="BB318" s="49"/>
      <c r="BC318" s="49"/>
      <c r="BD318" s="49"/>
      <c r="BE318" s="49"/>
      <c r="BF318" s="49"/>
      <c r="BG318" s="49"/>
      <c r="BH318" s="49"/>
      <c r="BI318" s="49"/>
      <c r="BJ318" s="49"/>
      <c r="BK318" s="49"/>
      <c r="BL318" s="49"/>
      <c r="BM318" s="49"/>
      <c r="BN318" s="49"/>
      <c r="BO318" s="49"/>
      <c r="BP318" s="49"/>
      <c r="BQ318" s="49"/>
      <c r="BR318" s="49"/>
      <c r="BS318" s="49"/>
      <c r="BT318" s="49"/>
      <c r="BU318" s="49"/>
      <c r="BV318" s="49"/>
      <c r="BW318" s="49"/>
      <c r="BX318" s="49"/>
      <c r="BY318" s="49"/>
      <c r="BZ318" s="49"/>
      <c r="CA318" s="49"/>
      <c r="CB318" s="49"/>
      <c r="CC318" s="49"/>
      <c r="CD318" s="49"/>
      <c r="CE318" s="49"/>
      <c r="CF318" s="49"/>
      <c r="CG318" s="49"/>
      <c r="CH318" s="49"/>
      <c r="CI318" s="49"/>
      <c r="CJ318" s="49"/>
      <c r="CK318" s="49"/>
      <c r="CL318" s="49"/>
      <c r="CM318" s="49"/>
      <c r="CN318" s="49"/>
      <c r="CO318" s="49"/>
      <c r="CP318" s="49"/>
      <c r="CQ318" s="49"/>
      <c r="CT318" s="54"/>
      <c r="DE318" s="34"/>
    </row>
    <row r="319" spans="1:109" ht="14.5" x14ac:dyDescent="0.35">
      <c r="A319" s="19"/>
      <c r="B319" s="1"/>
      <c r="C319"/>
      <c r="D319"/>
      <c r="E319" s="38"/>
      <c r="F319" s="38"/>
      <c r="G319" s="38"/>
      <c r="H319" s="38"/>
      <c r="I319" s="38"/>
      <c r="J319" s="33"/>
      <c r="K319" s="46"/>
      <c r="O319" s="54"/>
      <c r="P319" s="54"/>
      <c r="Q319" s="54"/>
      <c r="R319" s="54"/>
      <c r="S319" s="47"/>
      <c r="T319" s="48"/>
      <c r="U319" s="48"/>
      <c r="V319" s="48"/>
      <c r="W319" s="48"/>
      <c r="X319" s="49"/>
      <c r="Y319" s="49"/>
      <c r="Z319" s="49"/>
      <c r="AA319" s="49"/>
      <c r="AB319" s="49"/>
      <c r="AC319" s="49"/>
      <c r="AD319" s="49"/>
      <c r="AE319" s="49"/>
      <c r="AF319" s="49"/>
      <c r="AG319" s="49"/>
      <c r="AH319" s="49"/>
      <c r="AI319" s="49"/>
      <c r="AJ319" s="49"/>
      <c r="AK319" s="49"/>
      <c r="AL319" s="49"/>
      <c r="AM319" s="49"/>
      <c r="AN319" s="49"/>
      <c r="AO319" s="49"/>
      <c r="AP319" s="49"/>
      <c r="AQ319" s="49"/>
      <c r="AR319" s="49"/>
      <c r="AS319" s="49"/>
      <c r="AT319" s="49"/>
      <c r="AU319" s="49"/>
      <c r="AV319" s="49"/>
      <c r="AW319" s="49"/>
      <c r="AX319" s="49"/>
      <c r="AY319" s="49"/>
      <c r="AZ319" s="49"/>
      <c r="BA319" s="49"/>
      <c r="BB319" s="49"/>
      <c r="BC319" s="49"/>
      <c r="BD319" s="49"/>
      <c r="BE319" s="49"/>
      <c r="BF319" s="49"/>
      <c r="BG319" s="49"/>
      <c r="BH319" s="49"/>
      <c r="BI319" s="49"/>
      <c r="BJ319" s="49"/>
      <c r="BK319" s="49"/>
      <c r="BL319" s="49"/>
      <c r="BM319" s="49"/>
      <c r="BN319" s="49"/>
      <c r="BO319" s="49"/>
      <c r="BP319" s="49"/>
      <c r="BQ319" s="49"/>
      <c r="BR319" s="49"/>
      <c r="BS319" s="49"/>
      <c r="BT319" s="49"/>
      <c r="BU319" s="49"/>
      <c r="BV319" s="49"/>
      <c r="BW319" s="49"/>
      <c r="BX319" s="49"/>
      <c r="BY319" s="49"/>
      <c r="BZ319" s="49"/>
      <c r="CA319" s="49"/>
      <c r="CB319" s="49"/>
      <c r="CC319" s="49"/>
      <c r="CD319" s="49"/>
      <c r="CE319" s="49"/>
      <c r="CF319" s="49"/>
      <c r="CG319" s="49"/>
      <c r="CH319" s="49"/>
      <c r="CI319" s="49"/>
      <c r="CJ319" s="49"/>
      <c r="CK319" s="49"/>
      <c r="CL319" s="49"/>
      <c r="CM319" s="49"/>
      <c r="CN319" s="49"/>
      <c r="CO319" s="49"/>
      <c r="CP319" s="49"/>
      <c r="CQ319" s="49"/>
      <c r="CT319" s="54"/>
      <c r="DE319" s="34"/>
    </row>
    <row r="320" spans="1:109" ht="14.5" x14ac:dyDescent="0.35">
      <c r="A320" s="19"/>
      <c r="B320" s="1"/>
      <c r="C320"/>
      <c r="D320"/>
      <c r="E320" s="38"/>
      <c r="F320" s="38"/>
      <c r="G320" s="38"/>
      <c r="H320" s="38"/>
      <c r="I320" s="38"/>
      <c r="J320" s="33"/>
      <c r="K320" s="46"/>
      <c r="O320" s="54"/>
      <c r="P320" s="54"/>
      <c r="Q320" s="54"/>
      <c r="R320" s="54"/>
      <c r="S320" s="47"/>
      <c r="T320" s="48"/>
      <c r="U320" s="48"/>
      <c r="V320" s="48"/>
      <c r="W320" s="48"/>
      <c r="X320" s="49"/>
      <c r="Y320" s="49"/>
      <c r="Z320" s="49"/>
      <c r="AA320" s="49"/>
      <c r="AB320" s="49"/>
      <c r="AC320" s="49"/>
      <c r="AD320" s="49"/>
      <c r="AE320" s="49"/>
      <c r="AF320" s="49"/>
      <c r="AG320" s="49"/>
      <c r="AH320" s="49"/>
      <c r="AI320" s="49"/>
      <c r="AJ320" s="49"/>
      <c r="AK320" s="49"/>
      <c r="AL320" s="49"/>
      <c r="AM320" s="49"/>
      <c r="AN320" s="49"/>
      <c r="AO320" s="49"/>
      <c r="AP320" s="49"/>
      <c r="AQ320" s="49"/>
      <c r="AR320" s="49"/>
      <c r="AS320" s="49"/>
      <c r="AT320" s="49"/>
      <c r="AU320" s="49"/>
      <c r="AV320" s="49"/>
      <c r="AW320" s="49"/>
      <c r="AX320" s="49"/>
      <c r="AY320" s="49"/>
      <c r="AZ320" s="49"/>
      <c r="BA320" s="49"/>
      <c r="BB320" s="49"/>
      <c r="BC320" s="49"/>
      <c r="BD320" s="49"/>
      <c r="BE320" s="49"/>
      <c r="BF320" s="49"/>
      <c r="BG320" s="49"/>
      <c r="BH320" s="49"/>
      <c r="BI320" s="49"/>
      <c r="BJ320" s="49"/>
      <c r="BK320" s="49"/>
      <c r="BL320" s="49"/>
      <c r="BM320" s="49"/>
      <c r="BN320" s="49"/>
      <c r="BO320" s="49"/>
      <c r="BP320" s="49"/>
      <c r="BQ320" s="49"/>
      <c r="BR320" s="49"/>
      <c r="BS320" s="49"/>
      <c r="BT320" s="49"/>
      <c r="BU320" s="49"/>
      <c r="BV320" s="49"/>
      <c r="BW320" s="49"/>
      <c r="BX320" s="49"/>
      <c r="BY320" s="49"/>
      <c r="BZ320" s="49"/>
      <c r="CA320" s="49"/>
      <c r="CB320" s="49"/>
      <c r="CC320" s="49"/>
      <c r="CD320" s="49"/>
      <c r="CE320" s="49"/>
      <c r="CF320" s="49"/>
      <c r="CG320" s="49"/>
      <c r="CH320" s="49"/>
      <c r="CI320" s="49"/>
      <c r="CJ320" s="49"/>
      <c r="CK320" s="49"/>
      <c r="CL320" s="49"/>
      <c r="CM320" s="49"/>
      <c r="CN320" s="49"/>
      <c r="CO320" s="49"/>
      <c r="CP320" s="49"/>
      <c r="CQ320" s="49"/>
      <c r="CT320" s="54"/>
      <c r="DE320" s="34"/>
    </row>
    <row r="321" spans="1:109" ht="14.5" x14ac:dyDescent="0.35">
      <c r="A321" s="19"/>
      <c r="B321" s="1"/>
      <c r="C321"/>
      <c r="D321"/>
      <c r="E321" s="38"/>
      <c r="F321" s="38"/>
      <c r="G321" s="38"/>
      <c r="H321" s="38"/>
      <c r="I321" s="38"/>
      <c r="J321" s="33"/>
      <c r="K321" s="46"/>
      <c r="O321" s="54"/>
      <c r="P321" s="54"/>
      <c r="Q321" s="54"/>
      <c r="R321" s="54"/>
      <c r="S321" s="47"/>
      <c r="T321" s="48"/>
      <c r="U321" s="48"/>
      <c r="V321" s="48"/>
      <c r="W321" s="48"/>
      <c r="X321" s="49"/>
      <c r="Y321" s="49"/>
      <c r="Z321" s="49"/>
      <c r="AA321" s="49"/>
      <c r="AB321" s="49"/>
      <c r="AC321" s="49"/>
      <c r="AD321" s="49"/>
      <c r="AE321" s="49"/>
      <c r="AF321" s="49"/>
      <c r="AG321" s="49"/>
      <c r="AH321" s="49"/>
      <c r="AI321" s="49"/>
      <c r="AJ321" s="49"/>
      <c r="AK321" s="49"/>
      <c r="AL321" s="49"/>
      <c r="AM321" s="49"/>
      <c r="AN321" s="49"/>
      <c r="AO321" s="49"/>
      <c r="AP321" s="49"/>
      <c r="AQ321" s="49"/>
      <c r="AR321" s="49"/>
      <c r="AS321" s="49"/>
      <c r="AT321" s="49"/>
      <c r="AU321" s="49"/>
      <c r="AV321" s="49"/>
      <c r="AW321" s="49"/>
      <c r="AX321" s="49"/>
      <c r="AY321" s="49"/>
      <c r="AZ321" s="49"/>
      <c r="BA321" s="49"/>
      <c r="BB321" s="49"/>
      <c r="BC321" s="49"/>
      <c r="BD321" s="49"/>
      <c r="BE321" s="49"/>
      <c r="BF321" s="49"/>
      <c r="BG321" s="49"/>
      <c r="BH321" s="49"/>
      <c r="BI321" s="49"/>
      <c r="BJ321" s="49"/>
      <c r="BK321" s="49"/>
      <c r="BL321" s="49"/>
      <c r="BM321" s="49"/>
      <c r="BN321" s="49"/>
      <c r="BO321" s="49"/>
      <c r="BP321" s="49"/>
      <c r="BQ321" s="49"/>
      <c r="BR321" s="49"/>
      <c r="BS321" s="49"/>
      <c r="BT321" s="49"/>
      <c r="BU321" s="49"/>
      <c r="BV321" s="49"/>
      <c r="BW321" s="49"/>
      <c r="BX321" s="49"/>
      <c r="BY321" s="49"/>
      <c r="BZ321" s="49"/>
      <c r="CA321" s="49"/>
      <c r="CB321" s="49"/>
      <c r="CC321" s="49"/>
      <c r="CD321" s="49"/>
      <c r="CE321" s="49"/>
      <c r="CF321" s="49"/>
      <c r="CG321" s="49"/>
      <c r="CH321" s="49"/>
      <c r="CI321" s="49"/>
      <c r="CJ321" s="49"/>
      <c r="CK321" s="49"/>
      <c r="CL321" s="49"/>
      <c r="CM321" s="49"/>
      <c r="CN321" s="49"/>
      <c r="CO321" s="49"/>
      <c r="CP321" s="49"/>
      <c r="CQ321" s="49"/>
      <c r="CT321" s="54"/>
      <c r="DE321" s="34"/>
    </row>
    <row r="322" spans="1:109" ht="14.5" x14ac:dyDescent="0.35">
      <c r="A322" s="19"/>
      <c r="B322" s="1"/>
      <c r="C322"/>
      <c r="D322"/>
      <c r="E322" s="38"/>
      <c r="F322" s="38"/>
      <c r="G322" s="38"/>
      <c r="H322" s="38"/>
      <c r="I322" s="38"/>
      <c r="J322" s="33"/>
      <c r="K322" s="46"/>
      <c r="O322" s="54"/>
      <c r="P322" s="54"/>
      <c r="Q322" s="54"/>
      <c r="R322" s="54"/>
      <c r="S322" s="47"/>
      <c r="T322" s="48"/>
      <c r="U322" s="48"/>
      <c r="V322" s="48"/>
      <c r="W322" s="48"/>
      <c r="X322" s="49"/>
      <c r="Y322" s="49"/>
      <c r="Z322" s="49"/>
      <c r="AA322" s="49"/>
      <c r="AB322" s="49"/>
      <c r="AC322" s="49"/>
      <c r="AD322" s="49"/>
      <c r="AE322" s="49"/>
      <c r="AF322" s="49"/>
      <c r="AG322" s="49"/>
      <c r="AH322" s="49"/>
      <c r="AI322" s="49"/>
      <c r="AJ322" s="49"/>
      <c r="AK322" s="49"/>
      <c r="AL322" s="49"/>
      <c r="AM322" s="49"/>
      <c r="AN322" s="49"/>
      <c r="AO322" s="49"/>
      <c r="AP322" s="49"/>
      <c r="AQ322" s="49"/>
      <c r="AR322" s="49"/>
      <c r="AS322" s="49"/>
      <c r="AT322" s="49"/>
      <c r="AU322" s="49"/>
      <c r="AV322" s="49"/>
      <c r="AW322" s="49"/>
      <c r="AX322" s="49"/>
      <c r="AY322" s="49"/>
      <c r="AZ322" s="49"/>
      <c r="BA322" s="49"/>
      <c r="BB322" s="49"/>
      <c r="BC322" s="49"/>
      <c r="BD322" s="49"/>
      <c r="BE322" s="49"/>
      <c r="BF322" s="49"/>
      <c r="BG322" s="49"/>
      <c r="BH322" s="49"/>
      <c r="BI322" s="49"/>
      <c r="BJ322" s="49"/>
      <c r="BK322" s="49"/>
      <c r="BL322" s="49"/>
      <c r="BM322" s="49"/>
      <c r="BN322" s="49"/>
      <c r="BO322" s="49"/>
      <c r="BP322" s="49"/>
      <c r="BQ322" s="49"/>
      <c r="BR322" s="49"/>
      <c r="BS322" s="49"/>
      <c r="BT322" s="49"/>
      <c r="BU322" s="49"/>
      <c r="BV322" s="49"/>
      <c r="BW322" s="49"/>
      <c r="BX322" s="49"/>
      <c r="BY322" s="49"/>
      <c r="BZ322" s="49"/>
      <c r="CA322" s="49"/>
      <c r="CB322" s="49"/>
      <c r="CC322" s="49"/>
      <c r="CD322" s="49"/>
      <c r="CE322" s="49"/>
      <c r="CF322" s="49"/>
      <c r="CG322" s="49"/>
      <c r="CH322" s="49"/>
      <c r="CI322" s="49"/>
      <c r="CJ322" s="49"/>
      <c r="CK322" s="49"/>
      <c r="CL322" s="49"/>
      <c r="CM322" s="49"/>
      <c r="CN322" s="49"/>
      <c r="CO322" s="49"/>
      <c r="CP322" s="49"/>
      <c r="CQ322" s="49"/>
      <c r="CT322" s="54"/>
      <c r="DE322" s="34"/>
    </row>
    <row r="323" spans="1:109" ht="14.5" x14ac:dyDescent="0.35">
      <c r="A323" s="19"/>
      <c r="B323" s="1"/>
      <c r="C323"/>
      <c r="D323"/>
      <c r="E323" s="38"/>
      <c r="F323" s="38"/>
      <c r="G323" s="38"/>
      <c r="H323" s="38"/>
      <c r="I323" s="38"/>
      <c r="J323" s="33"/>
      <c r="K323" s="46"/>
      <c r="O323" s="54"/>
      <c r="P323" s="54"/>
      <c r="Q323" s="54"/>
      <c r="R323" s="54"/>
      <c r="S323" s="47"/>
      <c r="T323" s="48"/>
      <c r="U323" s="48"/>
      <c r="V323" s="48"/>
      <c r="W323" s="48"/>
      <c r="X323" s="49"/>
      <c r="Y323" s="49"/>
      <c r="Z323" s="49"/>
      <c r="AA323" s="49"/>
      <c r="AB323" s="49"/>
      <c r="AC323" s="49"/>
      <c r="AD323" s="49"/>
      <c r="AE323" s="49"/>
      <c r="AF323" s="49"/>
      <c r="AG323" s="49"/>
      <c r="AH323" s="49"/>
      <c r="AI323" s="49"/>
      <c r="AJ323" s="49"/>
      <c r="AK323" s="49"/>
      <c r="AL323" s="49"/>
      <c r="AM323" s="49"/>
      <c r="AN323" s="49"/>
      <c r="AO323" s="49"/>
      <c r="AP323" s="49"/>
      <c r="AQ323" s="49"/>
      <c r="AR323" s="49"/>
      <c r="AS323" s="49"/>
      <c r="AT323" s="49"/>
      <c r="AU323" s="49"/>
      <c r="AV323" s="49"/>
      <c r="AW323" s="49"/>
      <c r="AX323" s="49"/>
      <c r="AY323" s="49"/>
      <c r="AZ323" s="49"/>
      <c r="BA323" s="49"/>
      <c r="BB323" s="49"/>
      <c r="BC323" s="49"/>
      <c r="BD323" s="49"/>
      <c r="BE323" s="49"/>
      <c r="BF323" s="49"/>
      <c r="BG323" s="49"/>
      <c r="BH323" s="49"/>
      <c r="BI323" s="49"/>
      <c r="BJ323" s="49"/>
      <c r="BK323" s="49"/>
      <c r="BL323" s="49"/>
      <c r="BM323" s="49"/>
      <c r="BN323" s="49"/>
      <c r="BO323" s="49"/>
      <c r="BP323" s="49"/>
      <c r="BQ323" s="49"/>
      <c r="BR323" s="49"/>
      <c r="BS323" s="49"/>
      <c r="BT323" s="49"/>
      <c r="BU323" s="49"/>
      <c r="BV323" s="49"/>
      <c r="BW323" s="49"/>
      <c r="BX323" s="49"/>
      <c r="BY323" s="49"/>
      <c r="BZ323" s="49"/>
      <c r="CA323" s="49"/>
      <c r="CB323" s="49"/>
      <c r="CC323" s="49"/>
      <c r="CD323" s="49"/>
      <c r="CE323" s="49"/>
      <c r="CF323" s="49"/>
      <c r="CG323" s="49"/>
      <c r="CH323" s="49"/>
      <c r="CI323" s="49"/>
      <c r="CJ323" s="49"/>
      <c r="CK323" s="49"/>
      <c r="CL323" s="49"/>
      <c r="CM323" s="49"/>
      <c r="CN323" s="49"/>
      <c r="CO323" s="49"/>
      <c r="CP323" s="49"/>
      <c r="CQ323" s="49"/>
      <c r="CT323" s="54"/>
      <c r="DE323" s="34"/>
    </row>
    <row r="324" spans="1:109" ht="14.5" x14ac:dyDescent="0.35">
      <c r="A324" s="19"/>
      <c r="B324" s="1"/>
      <c r="C324"/>
      <c r="D324"/>
      <c r="E324" s="38"/>
      <c r="F324" s="38"/>
      <c r="G324" s="38"/>
      <c r="H324" s="38"/>
      <c r="I324" s="38"/>
      <c r="J324" s="33"/>
      <c r="K324" s="46"/>
      <c r="O324" s="54"/>
      <c r="P324" s="54"/>
      <c r="Q324" s="54"/>
      <c r="R324" s="54"/>
      <c r="S324" s="47"/>
      <c r="T324" s="48"/>
      <c r="U324" s="48"/>
      <c r="V324" s="48"/>
      <c r="W324" s="48"/>
      <c r="X324" s="49"/>
      <c r="Y324" s="49"/>
      <c r="Z324" s="49"/>
      <c r="AA324" s="49"/>
      <c r="AB324" s="49"/>
      <c r="AC324" s="49"/>
      <c r="AD324" s="49"/>
      <c r="AE324" s="49"/>
      <c r="AF324" s="49"/>
      <c r="AG324" s="49"/>
      <c r="AH324" s="49"/>
      <c r="AI324" s="49"/>
      <c r="AJ324" s="49"/>
      <c r="AK324" s="49"/>
      <c r="AL324" s="49"/>
      <c r="AM324" s="49"/>
      <c r="AN324" s="49"/>
      <c r="AO324" s="49"/>
      <c r="AP324" s="49"/>
      <c r="AQ324" s="49"/>
      <c r="AR324" s="49"/>
      <c r="AS324" s="49"/>
      <c r="AT324" s="49"/>
      <c r="AU324" s="49"/>
      <c r="AV324" s="49"/>
      <c r="AW324" s="49"/>
      <c r="AX324" s="49"/>
      <c r="AY324" s="49"/>
      <c r="AZ324" s="49"/>
      <c r="BA324" s="49"/>
      <c r="BB324" s="49"/>
      <c r="BC324" s="49"/>
      <c r="BD324" s="49"/>
      <c r="BE324" s="49"/>
      <c r="BF324" s="49"/>
      <c r="BG324" s="49"/>
      <c r="BH324" s="49"/>
      <c r="BI324" s="49"/>
      <c r="BJ324" s="49"/>
      <c r="BK324" s="49"/>
      <c r="BL324" s="49"/>
      <c r="BM324" s="49"/>
      <c r="BN324" s="49"/>
      <c r="BO324" s="49"/>
      <c r="BP324" s="49"/>
      <c r="BQ324" s="49"/>
      <c r="BR324" s="49"/>
      <c r="BS324" s="49"/>
      <c r="BT324" s="49"/>
      <c r="BU324" s="49"/>
      <c r="BV324" s="49"/>
      <c r="BW324" s="49"/>
      <c r="BX324" s="49"/>
      <c r="BY324" s="49"/>
      <c r="BZ324" s="49"/>
      <c r="CA324" s="49"/>
      <c r="CB324" s="49"/>
      <c r="CC324" s="49"/>
      <c r="CD324" s="49"/>
      <c r="CE324" s="49"/>
      <c r="CF324" s="49"/>
      <c r="CG324" s="49"/>
      <c r="CH324" s="49"/>
      <c r="CI324" s="49"/>
      <c r="CJ324" s="49"/>
      <c r="CK324" s="49"/>
      <c r="CL324" s="49"/>
      <c r="CM324" s="49"/>
      <c r="CN324" s="49"/>
      <c r="CO324" s="49"/>
      <c r="CP324" s="49"/>
      <c r="CQ324" s="49"/>
      <c r="CT324" s="54"/>
      <c r="DE324" s="34"/>
    </row>
    <row r="325" spans="1:109" ht="14.5" x14ac:dyDescent="0.35">
      <c r="A325" s="19"/>
      <c r="B325" s="1"/>
      <c r="C325"/>
      <c r="D325"/>
      <c r="E325" s="38"/>
      <c r="F325" s="38"/>
      <c r="G325" s="38"/>
      <c r="H325" s="38"/>
      <c r="I325" s="38"/>
      <c r="J325" s="33"/>
      <c r="K325" s="46"/>
      <c r="O325" s="54"/>
      <c r="P325" s="54"/>
      <c r="Q325" s="54"/>
      <c r="R325" s="54"/>
      <c r="S325" s="47"/>
      <c r="T325" s="48"/>
      <c r="U325" s="48"/>
      <c r="V325" s="48"/>
      <c r="W325" s="48"/>
      <c r="X325" s="49"/>
      <c r="Y325" s="49"/>
      <c r="Z325" s="49"/>
      <c r="AA325" s="49"/>
      <c r="AB325" s="49"/>
      <c r="AC325" s="49"/>
      <c r="AD325" s="49"/>
      <c r="AE325" s="49"/>
      <c r="AF325" s="49"/>
      <c r="AG325" s="49"/>
      <c r="AH325" s="49"/>
      <c r="AI325" s="49"/>
      <c r="AJ325" s="49"/>
      <c r="AK325" s="49"/>
      <c r="AL325" s="49"/>
      <c r="AM325" s="49"/>
      <c r="AN325" s="49"/>
      <c r="AO325" s="49"/>
      <c r="AP325" s="49"/>
      <c r="AQ325" s="49"/>
      <c r="AR325" s="49"/>
      <c r="AS325" s="49"/>
      <c r="AT325" s="49"/>
      <c r="AU325" s="49"/>
      <c r="AV325" s="49"/>
      <c r="AW325" s="49"/>
      <c r="AX325" s="49"/>
      <c r="AY325" s="49"/>
      <c r="AZ325" s="49"/>
      <c r="BA325" s="49"/>
      <c r="BB325" s="49"/>
      <c r="BC325" s="49"/>
      <c r="BD325" s="49"/>
      <c r="BE325" s="49"/>
      <c r="BF325" s="49"/>
      <c r="BG325" s="49"/>
      <c r="BH325" s="49"/>
      <c r="BI325" s="49"/>
      <c r="BJ325" s="49"/>
      <c r="BK325" s="49"/>
      <c r="BL325" s="49"/>
      <c r="BM325" s="49"/>
      <c r="BN325" s="49"/>
      <c r="BO325" s="49"/>
      <c r="BP325" s="49"/>
      <c r="BQ325" s="49"/>
      <c r="BR325" s="49"/>
      <c r="BS325" s="49"/>
      <c r="BT325" s="49"/>
      <c r="BU325" s="49"/>
      <c r="BV325" s="49"/>
      <c r="BW325" s="49"/>
      <c r="BX325" s="49"/>
      <c r="BY325" s="49"/>
      <c r="BZ325" s="49"/>
      <c r="CA325" s="49"/>
      <c r="CB325" s="49"/>
      <c r="CC325" s="49"/>
      <c r="CD325" s="49"/>
      <c r="CE325" s="49"/>
      <c r="CF325" s="49"/>
      <c r="CG325" s="49"/>
      <c r="CH325" s="49"/>
      <c r="CI325" s="49"/>
      <c r="CJ325" s="49"/>
      <c r="CK325" s="49"/>
      <c r="CL325" s="49"/>
      <c r="CM325" s="49"/>
      <c r="CN325" s="49"/>
      <c r="CO325" s="49"/>
      <c r="CP325" s="49"/>
      <c r="CQ325" s="49"/>
      <c r="CT325" s="54"/>
      <c r="DE325" s="34"/>
    </row>
    <row r="326" spans="1:109" ht="14.5" x14ac:dyDescent="0.35">
      <c r="A326" s="19"/>
      <c r="B326" s="1"/>
      <c r="C326"/>
      <c r="D326"/>
      <c r="E326" s="38"/>
      <c r="F326" s="38"/>
      <c r="G326" s="38"/>
      <c r="H326" s="38"/>
      <c r="I326" s="38"/>
      <c r="J326" s="33"/>
      <c r="K326" s="46"/>
      <c r="O326" s="54"/>
      <c r="P326" s="54"/>
      <c r="Q326" s="54"/>
      <c r="R326" s="54"/>
      <c r="S326" s="47"/>
      <c r="T326" s="48"/>
      <c r="U326" s="48"/>
      <c r="V326" s="48"/>
      <c r="W326" s="48"/>
      <c r="X326" s="49"/>
      <c r="Y326" s="49"/>
      <c r="Z326" s="49"/>
      <c r="AA326" s="49"/>
      <c r="AB326" s="49"/>
      <c r="AC326" s="49"/>
      <c r="AD326" s="49"/>
      <c r="AE326" s="49"/>
      <c r="AF326" s="49"/>
      <c r="AG326" s="49"/>
      <c r="AH326" s="49"/>
      <c r="AI326" s="49"/>
      <c r="AJ326" s="49"/>
      <c r="AK326" s="49"/>
      <c r="AL326" s="49"/>
      <c r="AM326" s="49"/>
      <c r="AN326" s="49"/>
      <c r="AO326" s="49"/>
      <c r="AP326" s="49"/>
      <c r="AQ326" s="49"/>
      <c r="AR326" s="49"/>
      <c r="AS326" s="49"/>
      <c r="AT326" s="49"/>
      <c r="AU326" s="49"/>
      <c r="AV326" s="49"/>
      <c r="AW326" s="49"/>
      <c r="AX326" s="49"/>
      <c r="AY326" s="49"/>
      <c r="AZ326" s="49"/>
      <c r="BA326" s="49"/>
      <c r="BB326" s="49"/>
      <c r="BC326" s="49"/>
      <c r="BD326" s="49"/>
      <c r="BE326" s="49"/>
      <c r="BF326" s="49"/>
      <c r="BG326" s="49"/>
      <c r="BH326" s="49"/>
      <c r="BI326" s="49"/>
      <c r="BJ326" s="49"/>
      <c r="BK326" s="49"/>
      <c r="BL326" s="49"/>
      <c r="BM326" s="49"/>
      <c r="BN326" s="49"/>
      <c r="BO326" s="49"/>
      <c r="BP326" s="49"/>
      <c r="BQ326" s="49"/>
      <c r="BR326" s="49"/>
      <c r="BS326" s="49"/>
      <c r="BT326" s="49"/>
      <c r="BU326" s="49"/>
      <c r="BV326" s="49"/>
      <c r="BW326" s="49"/>
      <c r="BX326" s="49"/>
      <c r="BY326" s="49"/>
      <c r="BZ326" s="49"/>
      <c r="CA326" s="49"/>
      <c r="CB326" s="49"/>
      <c r="CC326" s="49"/>
      <c r="CD326" s="49"/>
      <c r="CE326" s="49"/>
      <c r="CF326" s="49"/>
      <c r="CG326" s="49"/>
      <c r="CH326" s="49"/>
      <c r="CI326" s="49"/>
      <c r="CJ326" s="49"/>
      <c r="CK326" s="49"/>
      <c r="CL326" s="49"/>
      <c r="CM326" s="49"/>
      <c r="CN326" s="49"/>
      <c r="CO326" s="49"/>
      <c r="CP326" s="49"/>
      <c r="CQ326" s="49"/>
      <c r="CT326" s="54"/>
      <c r="DE326" s="34"/>
    </row>
    <row r="327" spans="1:109" ht="14.5" x14ac:dyDescent="0.35">
      <c r="A327" s="19"/>
      <c r="B327" s="1"/>
      <c r="C327"/>
      <c r="D327"/>
      <c r="E327" s="38"/>
      <c r="F327" s="38"/>
      <c r="G327" s="38"/>
      <c r="H327" s="38"/>
      <c r="I327" s="38"/>
      <c r="J327" s="33"/>
      <c r="K327" s="46"/>
      <c r="O327" s="54"/>
      <c r="P327" s="54"/>
      <c r="Q327" s="54"/>
      <c r="R327" s="54"/>
      <c r="S327" s="47"/>
      <c r="T327" s="48"/>
      <c r="U327" s="48"/>
      <c r="V327" s="48"/>
      <c r="W327" s="48"/>
      <c r="X327" s="49"/>
      <c r="Y327" s="49"/>
      <c r="Z327" s="49"/>
      <c r="AA327" s="49"/>
      <c r="AB327" s="49"/>
      <c r="AC327" s="49"/>
      <c r="AD327" s="49"/>
      <c r="AE327" s="49"/>
      <c r="AF327" s="49"/>
      <c r="AG327" s="49"/>
      <c r="AH327" s="49"/>
      <c r="AI327" s="49"/>
      <c r="AJ327" s="49"/>
      <c r="AK327" s="49"/>
      <c r="AL327" s="49"/>
      <c r="AM327" s="49"/>
      <c r="AN327" s="49"/>
      <c r="AO327" s="49"/>
      <c r="AP327" s="49"/>
      <c r="AQ327" s="49"/>
      <c r="AR327" s="49"/>
      <c r="AS327" s="49"/>
      <c r="AT327" s="49"/>
      <c r="AU327" s="49"/>
      <c r="AV327" s="49"/>
      <c r="AW327" s="49"/>
      <c r="AX327" s="49"/>
      <c r="AY327" s="49"/>
      <c r="AZ327" s="49"/>
      <c r="BA327" s="49"/>
      <c r="BB327" s="49"/>
      <c r="BC327" s="49"/>
      <c r="BD327" s="49"/>
      <c r="BE327" s="49"/>
      <c r="BF327" s="49"/>
      <c r="BG327" s="49"/>
      <c r="BH327" s="49"/>
      <c r="BI327" s="49"/>
      <c r="BJ327" s="49"/>
      <c r="BK327" s="49"/>
      <c r="BL327" s="49"/>
      <c r="BM327" s="49"/>
      <c r="BN327" s="49"/>
      <c r="BO327" s="49"/>
      <c r="BP327" s="49"/>
      <c r="BQ327" s="49"/>
      <c r="BR327" s="49"/>
      <c r="BS327" s="49"/>
      <c r="BT327" s="49"/>
      <c r="BU327" s="49"/>
      <c r="BV327" s="49"/>
      <c r="BW327" s="49"/>
      <c r="BX327" s="49"/>
      <c r="BY327" s="49"/>
      <c r="BZ327" s="49"/>
      <c r="CA327" s="49"/>
      <c r="CB327" s="49"/>
      <c r="CC327" s="49"/>
      <c r="CD327" s="49"/>
      <c r="CE327" s="49"/>
      <c r="CF327" s="49"/>
      <c r="CG327" s="49"/>
      <c r="CH327" s="49"/>
      <c r="CI327" s="49"/>
      <c r="CJ327" s="49"/>
      <c r="CK327" s="49"/>
      <c r="CL327" s="49"/>
      <c r="CM327" s="49"/>
      <c r="CN327" s="49"/>
      <c r="CO327" s="49"/>
      <c r="CP327" s="49"/>
      <c r="CQ327" s="49"/>
      <c r="CT327" s="54"/>
      <c r="DE327" s="34"/>
    </row>
    <row r="328" spans="1:109" ht="14.5" x14ac:dyDescent="0.35">
      <c r="A328" s="19"/>
      <c r="B328" s="1"/>
      <c r="C328"/>
      <c r="D328"/>
      <c r="E328" s="38"/>
      <c r="F328" s="38"/>
      <c r="G328" s="38"/>
      <c r="H328" s="38"/>
      <c r="I328" s="38"/>
      <c r="J328" s="33"/>
      <c r="K328" s="46"/>
      <c r="O328" s="54"/>
      <c r="P328" s="54"/>
      <c r="Q328" s="54"/>
      <c r="R328" s="54"/>
      <c r="S328" s="47"/>
      <c r="T328" s="48"/>
      <c r="U328" s="48"/>
      <c r="V328" s="48"/>
      <c r="W328" s="48"/>
      <c r="X328" s="49"/>
      <c r="Y328" s="49"/>
      <c r="Z328" s="49"/>
      <c r="AA328" s="49"/>
      <c r="AB328" s="49"/>
      <c r="AC328" s="49"/>
      <c r="AD328" s="49"/>
      <c r="AE328" s="49"/>
      <c r="AF328" s="49"/>
      <c r="AG328" s="49"/>
      <c r="AH328" s="49"/>
      <c r="AI328" s="49"/>
      <c r="AJ328" s="49"/>
      <c r="AK328" s="49"/>
      <c r="AL328" s="49"/>
      <c r="AM328" s="49"/>
      <c r="AN328" s="49"/>
      <c r="AO328" s="49"/>
      <c r="AP328" s="49"/>
      <c r="AQ328" s="49"/>
      <c r="AR328" s="49"/>
      <c r="AS328" s="49"/>
      <c r="AT328" s="49"/>
      <c r="AU328" s="49"/>
      <c r="AV328" s="49"/>
      <c r="AW328" s="49"/>
      <c r="AX328" s="49"/>
      <c r="AY328" s="49"/>
      <c r="AZ328" s="49"/>
      <c r="BA328" s="49"/>
      <c r="BB328" s="49"/>
      <c r="BC328" s="49"/>
      <c r="BD328" s="49"/>
      <c r="BE328" s="49"/>
      <c r="BF328" s="49"/>
      <c r="BG328" s="49"/>
      <c r="BH328" s="49"/>
      <c r="BI328" s="49"/>
      <c r="BJ328" s="49"/>
      <c r="BK328" s="49"/>
      <c r="BL328" s="49"/>
      <c r="BM328" s="49"/>
      <c r="BN328" s="49"/>
      <c r="BO328" s="49"/>
      <c r="BP328" s="49"/>
      <c r="BQ328" s="49"/>
      <c r="BR328" s="49"/>
      <c r="BS328" s="49"/>
      <c r="BT328" s="49"/>
      <c r="BU328" s="49"/>
      <c r="BV328" s="49"/>
      <c r="BW328" s="49"/>
      <c r="BX328" s="49"/>
      <c r="BY328" s="49"/>
      <c r="BZ328" s="49"/>
      <c r="CA328" s="49"/>
      <c r="CB328" s="49"/>
      <c r="CC328" s="49"/>
      <c r="CD328" s="49"/>
      <c r="CE328" s="49"/>
      <c r="CF328" s="49"/>
      <c r="CG328" s="49"/>
      <c r="CH328" s="49"/>
      <c r="CI328" s="49"/>
      <c r="CJ328" s="49"/>
      <c r="CK328" s="49"/>
      <c r="CL328" s="49"/>
      <c r="CM328" s="49"/>
      <c r="CN328" s="49"/>
      <c r="CO328" s="49"/>
      <c r="CP328" s="49"/>
      <c r="CQ328" s="49"/>
      <c r="CT328" s="54"/>
      <c r="DE328" s="34"/>
    </row>
    <row r="329" spans="1:109" ht="14.5" x14ac:dyDescent="0.35">
      <c r="A329" s="19"/>
      <c r="B329" s="1"/>
      <c r="C329"/>
      <c r="D329"/>
      <c r="E329" s="38"/>
      <c r="F329" s="38"/>
      <c r="G329" s="38"/>
      <c r="H329" s="38"/>
      <c r="I329" s="38"/>
      <c r="J329" s="33"/>
      <c r="K329" s="46"/>
      <c r="O329" s="54"/>
      <c r="P329" s="54"/>
      <c r="Q329" s="54"/>
      <c r="R329" s="54"/>
      <c r="S329" s="47"/>
      <c r="T329" s="48"/>
      <c r="U329" s="48"/>
      <c r="V329" s="48"/>
      <c r="W329" s="48"/>
      <c r="X329" s="49"/>
      <c r="Y329" s="49"/>
      <c r="Z329" s="49"/>
      <c r="AA329" s="49"/>
      <c r="AB329" s="49"/>
      <c r="AC329" s="49"/>
      <c r="AD329" s="49"/>
      <c r="AE329" s="49"/>
      <c r="AF329" s="49"/>
      <c r="AG329" s="49"/>
      <c r="AH329" s="49"/>
      <c r="AI329" s="49"/>
      <c r="AJ329" s="49"/>
      <c r="AK329" s="49"/>
      <c r="AL329" s="49"/>
      <c r="AM329" s="49"/>
      <c r="AN329" s="49"/>
      <c r="AO329" s="49"/>
      <c r="AP329" s="49"/>
      <c r="AQ329" s="49"/>
      <c r="AR329" s="49"/>
      <c r="AS329" s="49"/>
      <c r="AT329" s="49"/>
      <c r="AU329" s="49"/>
      <c r="AV329" s="49"/>
      <c r="AW329" s="49"/>
      <c r="AX329" s="49"/>
      <c r="AY329" s="49"/>
      <c r="AZ329" s="49"/>
      <c r="BA329" s="49"/>
      <c r="BB329" s="49"/>
      <c r="BC329" s="49"/>
      <c r="BD329" s="49"/>
      <c r="BE329" s="49"/>
      <c r="BF329" s="49"/>
      <c r="BG329" s="49"/>
      <c r="BH329" s="49"/>
      <c r="BI329" s="49"/>
      <c r="BJ329" s="49"/>
      <c r="BK329" s="49"/>
      <c r="BL329" s="49"/>
      <c r="BM329" s="49"/>
      <c r="BN329" s="49"/>
      <c r="BO329" s="49"/>
      <c r="BP329" s="49"/>
      <c r="BQ329" s="49"/>
      <c r="BR329" s="49"/>
      <c r="BS329" s="49"/>
      <c r="BT329" s="49"/>
      <c r="BU329" s="49"/>
      <c r="BV329" s="49"/>
      <c r="BW329" s="49"/>
      <c r="BX329" s="49"/>
      <c r="BY329" s="49"/>
      <c r="BZ329" s="49"/>
      <c r="CA329" s="49"/>
      <c r="CB329" s="49"/>
      <c r="CC329" s="49"/>
      <c r="CD329" s="49"/>
      <c r="CE329" s="49"/>
      <c r="CF329" s="49"/>
      <c r="CG329" s="49"/>
      <c r="CH329" s="49"/>
      <c r="CI329" s="49"/>
      <c r="CJ329" s="49"/>
      <c r="CK329" s="49"/>
      <c r="CL329" s="49"/>
      <c r="CM329" s="49"/>
      <c r="CN329" s="49"/>
      <c r="CO329" s="49"/>
      <c r="CP329" s="49"/>
      <c r="CQ329" s="49"/>
      <c r="CT329" s="54"/>
      <c r="DE329" s="34"/>
    </row>
    <row r="330" spans="1:109" ht="14.5" x14ac:dyDescent="0.35">
      <c r="A330" s="19"/>
      <c r="B330" s="1"/>
      <c r="C330"/>
      <c r="D330"/>
      <c r="E330" s="38"/>
      <c r="F330" s="38"/>
      <c r="G330" s="38"/>
      <c r="H330" s="38"/>
      <c r="I330" s="38"/>
      <c r="J330" s="33"/>
      <c r="K330" s="46"/>
      <c r="O330" s="54"/>
      <c r="P330" s="54"/>
      <c r="Q330" s="54"/>
      <c r="R330" s="54"/>
      <c r="S330" s="47"/>
      <c r="T330" s="48"/>
      <c r="U330" s="48"/>
      <c r="V330" s="48"/>
      <c r="W330" s="48"/>
      <c r="X330" s="49"/>
      <c r="Y330" s="49"/>
      <c r="Z330" s="49"/>
      <c r="AA330" s="49"/>
      <c r="AB330" s="49"/>
      <c r="AC330" s="49"/>
      <c r="AD330" s="49"/>
      <c r="AE330" s="49"/>
      <c r="AF330" s="49"/>
      <c r="AG330" s="49"/>
      <c r="AH330" s="49"/>
      <c r="AI330" s="49"/>
      <c r="AJ330" s="49"/>
      <c r="AK330" s="49"/>
      <c r="AL330" s="49"/>
      <c r="AM330" s="49"/>
      <c r="AN330" s="49"/>
      <c r="AO330" s="49"/>
      <c r="AP330" s="49"/>
      <c r="AQ330" s="49"/>
      <c r="AR330" s="49"/>
      <c r="AS330" s="49"/>
      <c r="AT330" s="49"/>
      <c r="AU330" s="49"/>
      <c r="AV330" s="49"/>
      <c r="AW330" s="49"/>
      <c r="AX330" s="49"/>
      <c r="AY330" s="49"/>
      <c r="AZ330" s="49"/>
      <c r="BA330" s="49"/>
      <c r="BB330" s="49"/>
      <c r="BC330" s="49"/>
      <c r="BD330" s="49"/>
      <c r="BE330" s="49"/>
      <c r="BF330" s="49"/>
      <c r="BG330" s="49"/>
      <c r="BH330" s="49"/>
      <c r="BI330" s="49"/>
      <c r="BJ330" s="49"/>
      <c r="BK330" s="49"/>
      <c r="BL330" s="49"/>
      <c r="BM330" s="49"/>
      <c r="BN330" s="49"/>
      <c r="BO330" s="49"/>
      <c r="BP330" s="49"/>
      <c r="BQ330" s="49"/>
      <c r="BR330" s="49"/>
      <c r="BS330" s="49"/>
      <c r="BT330" s="49"/>
      <c r="BU330" s="49"/>
      <c r="BV330" s="49"/>
      <c r="BW330" s="49"/>
      <c r="BX330" s="49"/>
      <c r="BY330" s="49"/>
      <c r="BZ330" s="49"/>
      <c r="CA330" s="49"/>
      <c r="CB330" s="49"/>
      <c r="CC330" s="49"/>
      <c r="CD330" s="49"/>
      <c r="CE330" s="49"/>
      <c r="CF330" s="49"/>
      <c r="CG330" s="49"/>
      <c r="CH330" s="49"/>
      <c r="CI330" s="49"/>
      <c r="CJ330" s="49"/>
      <c r="CK330" s="49"/>
      <c r="CL330" s="49"/>
      <c r="CM330" s="49"/>
      <c r="CN330" s="49"/>
      <c r="CO330" s="49"/>
      <c r="CP330" s="49"/>
      <c r="CQ330" s="49"/>
      <c r="CT330" s="54"/>
      <c r="DE330" s="34"/>
    </row>
    <row r="331" spans="1:109" ht="14.5" x14ac:dyDescent="0.35">
      <c r="A331" s="19"/>
      <c r="B331" s="1"/>
      <c r="C331"/>
      <c r="D331"/>
      <c r="E331" s="38"/>
      <c r="F331" s="38"/>
      <c r="G331" s="38"/>
      <c r="H331" s="38"/>
      <c r="I331" s="38"/>
      <c r="J331" s="33"/>
      <c r="K331" s="46"/>
      <c r="O331" s="54"/>
      <c r="P331" s="54"/>
      <c r="Q331" s="54"/>
      <c r="R331" s="54"/>
      <c r="S331" s="47"/>
      <c r="T331" s="48"/>
      <c r="U331" s="48"/>
      <c r="V331" s="48"/>
      <c r="W331" s="48"/>
      <c r="X331" s="49"/>
      <c r="Y331" s="49"/>
      <c r="Z331" s="49"/>
      <c r="AA331" s="49"/>
      <c r="AB331" s="49"/>
      <c r="AC331" s="49"/>
      <c r="AD331" s="49"/>
      <c r="AE331" s="49"/>
      <c r="AF331" s="49"/>
      <c r="AG331" s="49"/>
      <c r="AH331" s="49"/>
      <c r="AI331" s="49"/>
      <c r="AJ331" s="49"/>
      <c r="AK331" s="49"/>
      <c r="AL331" s="49"/>
      <c r="AM331" s="49"/>
      <c r="AN331" s="49"/>
      <c r="AO331" s="49"/>
      <c r="AP331" s="49"/>
      <c r="AQ331" s="49"/>
      <c r="AR331" s="49"/>
      <c r="AS331" s="49"/>
      <c r="AT331" s="49"/>
      <c r="AU331" s="49"/>
      <c r="AV331" s="49"/>
      <c r="AW331" s="49"/>
      <c r="AX331" s="49"/>
      <c r="AY331" s="49"/>
      <c r="AZ331" s="49"/>
      <c r="BA331" s="49"/>
      <c r="BB331" s="49"/>
      <c r="BC331" s="49"/>
      <c r="BD331" s="49"/>
      <c r="BE331" s="49"/>
      <c r="BF331" s="49"/>
      <c r="BG331" s="49"/>
      <c r="BH331" s="49"/>
      <c r="BI331" s="49"/>
      <c r="BJ331" s="49"/>
      <c r="BK331" s="49"/>
      <c r="BL331" s="49"/>
      <c r="BM331" s="49"/>
      <c r="BN331" s="49"/>
      <c r="BO331" s="49"/>
      <c r="BP331" s="49"/>
      <c r="BQ331" s="49"/>
      <c r="BR331" s="49"/>
      <c r="BS331" s="49"/>
      <c r="BT331" s="49"/>
      <c r="BU331" s="49"/>
      <c r="BV331" s="49"/>
      <c r="BW331" s="49"/>
      <c r="BX331" s="49"/>
      <c r="BY331" s="49"/>
      <c r="BZ331" s="49"/>
      <c r="CA331" s="49"/>
      <c r="CB331" s="49"/>
      <c r="CC331" s="49"/>
      <c r="CD331" s="49"/>
      <c r="CE331" s="49"/>
      <c r="CF331" s="49"/>
      <c r="CG331" s="49"/>
      <c r="CH331" s="49"/>
      <c r="CI331" s="49"/>
      <c r="CJ331" s="49"/>
      <c r="CK331" s="49"/>
      <c r="CL331" s="49"/>
      <c r="CM331" s="49"/>
      <c r="CN331" s="49"/>
      <c r="CO331" s="49"/>
      <c r="CP331" s="49"/>
      <c r="CQ331" s="49"/>
      <c r="CT331" s="54"/>
      <c r="DE331" s="34"/>
    </row>
    <row r="332" spans="1:109" ht="14.5" x14ac:dyDescent="0.35">
      <c r="A332" s="19"/>
      <c r="B332" s="1"/>
      <c r="C332"/>
      <c r="D332"/>
      <c r="E332" s="38"/>
      <c r="F332" s="38"/>
      <c r="G332" s="38"/>
      <c r="H332" s="38"/>
      <c r="I332" s="38"/>
      <c r="J332" s="33"/>
      <c r="K332" s="46"/>
      <c r="O332" s="54"/>
      <c r="P332" s="54"/>
      <c r="Q332" s="54"/>
      <c r="R332" s="54"/>
      <c r="S332" s="47"/>
      <c r="T332" s="48"/>
      <c r="U332" s="48"/>
      <c r="V332" s="48"/>
      <c r="W332" s="48"/>
      <c r="X332" s="49"/>
      <c r="Y332" s="49"/>
      <c r="Z332" s="49"/>
      <c r="AA332" s="49"/>
      <c r="AB332" s="49"/>
      <c r="AC332" s="49"/>
      <c r="AD332" s="49"/>
      <c r="AE332" s="49"/>
      <c r="AF332" s="49"/>
      <c r="AG332" s="49"/>
      <c r="AH332" s="49"/>
      <c r="AI332" s="49"/>
      <c r="AJ332" s="49"/>
      <c r="AK332" s="49"/>
      <c r="AL332" s="49"/>
      <c r="AM332" s="49"/>
      <c r="AN332" s="49"/>
      <c r="AO332" s="49"/>
      <c r="AP332" s="49"/>
      <c r="AQ332" s="49"/>
      <c r="AR332" s="49"/>
      <c r="AS332" s="49"/>
      <c r="AT332" s="49"/>
      <c r="AU332" s="49"/>
      <c r="AV332" s="49"/>
      <c r="AW332" s="49"/>
      <c r="AX332" s="49"/>
      <c r="AY332" s="49"/>
      <c r="AZ332" s="49"/>
      <c r="BA332" s="49"/>
      <c r="BB332" s="49"/>
      <c r="BC332" s="49"/>
      <c r="BD332" s="49"/>
      <c r="BE332" s="49"/>
      <c r="BF332" s="49"/>
      <c r="BG332" s="49"/>
      <c r="BH332" s="49"/>
      <c r="BI332" s="49"/>
      <c r="BJ332" s="49"/>
      <c r="BK332" s="49"/>
      <c r="BL332" s="49"/>
      <c r="BM332" s="49"/>
      <c r="BN332" s="49"/>
      <c r="BO332" s="49"/>
      <c r="BP332" s="49"/>
      <c r="BQ332" s="49"/>
      <c r="BR332" s="49"/>
      <c r="BS332" s="49"/>
      <c r="BT332" s="49"/>
      <c r="BU332" s="49"/>
      <c r="BV332" s="49"/>
      <c r="BW332" s="49"/>
      <c r="BX332" s="49"/>
      <c r="BY332" s="49"/>
      <c r="BZ332" s="49"/>
      <c r="CA332" s="49"/>
      <c r="CB332" s="49"/>
      <c r="CC332" s="49"/>
      <c r="CD332" s="49"/>
      <c r="CE332" s="49"/>
      <c r="CF332" s="49"/>
      <c r="CG332" s="49"/>
      <c r="CH332" s="49"/>
      <c r="CI332" s="49"/>
      <c r="CJ332" s="49"/>
      <c r="CK332" s="49"/>
      <c r="CL332" s="49"/>
      <c r="CM332" s="49"/>
      <c r="CN332" s="49"/>
      <c r="CO332" s="49"/>
      <c r="CP332" s="49"/>
      <c r="CQ332" s="49"/>
      <c r="CT332" s="54"/>
      <c r="DE332" s="34"/>
    </row>
    <row r="333" spans="1:109" ht="14.5" x14ac:dyDescent="0.35">
      <c r="A333" s="19"/>
      <c r="B333" s="1"/>
      <c r="C333"/>
      <c r="D333"/>
      <c r="E333" s="38"/>
      <c r="F333" s="38"/>
      <c r="G333" s="38"/>
      <c r="H333" s="38"/>
      <c r="I333" s="38"/>
      <c r="J333" s="33"/>
      <c r="K333" s="46"/>
      <c r="O333" s="54"/>
      <c r="P333" s="54"/>
      <c r="Q333" s="54"/>
      <c r="R333" s="54"/>
      <c r="S333" s="47"/>
      <c r="T333" s="48"/>
      <c r="U333" s="48"/>
      <c r="V333" s="48"/>
      <c r="W333" s="48"/>
      <c r="X333" s="49"/>
      <c r="Y333" s="49"/>
      <c r="Z333" s="49"/>
      <c r="AA333" s="49"/>
      <c r="AB333" s="49"/>
      <c r="AC333" s="49"/>
      <c r="AD333" s="49"/>
      <c r="AE333" s="49"/>
      <c r="AF333" s="49"/>
      <c r="AG333" s="49"/>
      <c r="AH333" s="49"/>
      <c r="AI333" s="49"/>
      <c r="AJ333" s="49"/>
      <c r="AK333" s="49"/>
      <c r="AL333" s="49"/>
      <c r="AM333" s="49"/>
      <c r="AN333" s="49"/>
      <c r="AO333" s="49"/>
      <c r="AP333" s="49"/>
      <c r="AQ333" s="49"/>
      <c r="AR333" s="49"/>
      <c r="AS333" s="49"/>
      <c r="AT333" s="49"/>
      <c r="AU333" s="49"/>
      <c r="AV333" s="49"/>
      <c r="AW333" s="49"/>
      <c r="AX333" s="49"/>
      <c r="AY333" s="49"/>
      <c r="AZ333" s="49"/>
      <c r="BA333" s="49"/>
      <c r="BB333" s="49"/>
      <c r="BC333" s="49"/>
      <c r="BD333" s="49"/>
      <c r="BE333" s="49"/>
      <c r="BF333" s="49"/>
      <c r="BG333" s="49"/>
      <c r="BH333" s="49"/>
      <c r="BI333" s="49"/>
      <c r="BJ333" s="49"/>
      <c r="BK333" s="49"/>
      <c r="BL333" s="49"/>
      <c r="BM333" s="49"/>
      <c r="BN333" s="49"/>
      <c r="BO333" s="49"/>
      <c r="BP333" s="49"/>
      <c r="BQ333" s="49"/>
      <c r="BR333" s="49"/>
      <c r="BS333" s="49"/>
      <c r="BT333" s="49"/>
      <c r="BU333" s="49"/>
      <c r="BV333" s="49"/>
      <c r="BW333" s="49"/>
      <c r="BX333" s="49"/>
      <c r="BY333" s="49"/>
      <c r="BZ333" s="49"/>
      <c r="CA333" s="49"/>
      <c r="CB333" s="49"/>
      <c r="CC333" s="49"/>
      <c r="CD333" s="49"/>
      <c r="CE333" s="49"/>
      <c r="CF333" s="49"/>
      <c r="CG333" s="49"/>
      <c r="CH333" s="49"/>
      <c r="CI333" s="49"/>
      <c r="CJ333" s="49"/>
      <c r="CK333" s="49"/>
      <c r="CL333" s="49"/>
      <c r="CM333" s="49"/>
      <c r="CN333" s="49"/>
      <c r="CO333" s="49"/>
      <c r="CP333" s="49"/>
      <c r="CQ333" s="49"/>
      <c r="CT333" s="54"/>
      <c r="DE333" s="34"/>
    </row>
    <row r="334" spans="1:109" ht="14.5" x14ac:dyDescent="0.35">
      <c r="A334" s="19"/>
      <c r="B334" s="1"/>
      <c r="C334"/>
      <c r="D334"/>
      <c r="E334" s="38"/>
      <c r="F334" s="38"/>
      <c r="G334" s="38"/>
      <c r="H334" s="38"/>
      <c r="I334" s="38"/>
      <c r="J334" s="33"/>
      <c r="K334" s="46"/>
      <c r="O334" s="54"/>
      <c r="P334" s="54"/>
      <c r="Q334" s="54"/>
      <c r="R334" s="54"/>
      <c r="S334" s="47"/>
      <c r="T334" s="48"/>
      <c r="U334" s="48"/>
      <c r="V334" s="48"/>
      <c r="W334" s="48"/>
      <c r="X334" s="49"/>
      <c r="Y334" s="49"/>
      <c r="Z334" s="49"/>
      <c r="AA334" s="49"/>
      <c r="AB334" s="49"/>
      <c r="AC334" s="49"/>
      <c r="AD334" s="49"/>
      <c r="AE334" s="49"/>
      <c r="AF334" s="49"/>
      <c r="AG334" s="49"/>
      <c r="AH334" s="49"/>
      <c r="AI334" s="49"/>
      <c r="AJ334" s="49"/>
      <c r="AK334" s="49"/>
      <c r="AL334" s="49"/>
      <c r="AM334" s="49"/>
      <c r="AN334" s="49"/>
      <c r="AO334" s="49"/>
      <c r="AP334" s="49"/>
      <c r="AQ334" s="49"/>
      <c r="AR334" s="49"/>
      <c r="AS334" s="49"/>
      <c r="AT334" s="49"/>
      <c r="AU334" s="49"/>
      <c r="AV334" s="49"/>
      <c r="AW334" s="49"/>
      <c r="AX334" s="49"/>
      <c r="AY334" s="49"/>
      <c r="AZ334" s="49"/>
      <c r="BA334" s="49"/>
      <c r="BB334" s="49"/>
      <c r="BC334" s="49"/>
      <c r="BD334" s="49"/>
      <c r="BE334" s="49"/>
      <c r="BF334" s="49"/>
      <c r="BG334" s="49"/>
      <c r="BH334" s="49"/>
      <c r="BI334" s="49"/>
      <c r="BJ334" s="49"/>
      <c r="BK334" s="49"/>
      <c r="BL334" s="49"/>
      <c r="BM334" s="49"/>
      <c r="BN334" s="49"/>
      <c r="BO334" s="49"/>
      <c r="BP334" s="49"/>
      <c r="BQ334" s="49"/>
      <c r="BR334" s="49"/>
      <c r="BS334" s="49"/>
      <c r="BT334" s="49"/>
      <c r="BU334" s="49"/>
      <c r="BV334" s="49"/>
      <c r="BW334" s="49"/>
      <c r="BX334" s="49"/>
      <c r="BY334" s="49"/>
      <c r="BZ334" s="49"/>
      <c r="CA334" s="49"/>
      <c r="CB334" s="49"/>
      <c r="CC334" s="49"/>
      <c r="CD334" s="49"/>
      <c r="CE334" s="49"/>
      <c r="CF334" s="49"/>
      <c r="CG334" s="49"/>
      <c r="CH334" s="49"/>
      <c r="CI334" s="49"/>
      <c r="CJ334" s="49"/>
      <c r="CK334" s="49"/>
      <c r="CL334" s="49"/>
      <c r="CM334" s="49"/>
      <c r="CN334" s="49"/>
      <c r="CO334" s="49"/>
      <c r="CP334" s="49"/>
      <c r="CQ334" s="49"/>
      <c r="CT334" s="54"/>
      <c r="DE334" s="34"/>
    </row>
    <row r="335" spans="1:109" ht="14.5" x14ac:dyDescent="0.35">
      <c r="A335" s="19"/>
      <c r="B335" s="1"/>
      <c r="C335"/>
      <c r="D335"/>
      <c r="E335" s="38"/>
      <c r="F335" s="38"/>
      <c r="G335" s="38"/>
      <c r="H335" s="38"/>
      <c r="I335" s="38"/>
      <c r="J335" s="33"/>
      <c r="K335" s="46"/>
      <c r="O335" s="54"/>
      <c r="P335" s="54"/>
      <c r="Q335" s="54"/>
      <c r="R335" s="54"/>
      <c r="S335" s="47"/>
      <c r="T335" s="48"/>
      <c r="U335" s="48"/>
      <c r="V335" s="48"/>
      <c r="W335" s="48"/>
      <c r="X335" s="49"/>
      <c r="Y335" s="49"/>
      <c r="Z335" s="49"/>
      <c r="AA335" s="49"/>
      <c r="AB335" s="49"/>
      <c r="AC335" s="49"/>
      <c r="AD335" s="49"/>
      <c r="AE335" s="49"/>
      <c r="AF335" s="49"/>
      <c r="AG335" s="49"/>
      <c r="AH335" s="49"/>
      <c r="AI335" s="49"/>
      <c r="AJ335" s="49"/>
      <c r="AK335" s="49"/>
      <c r="AL335" s="49"/>
      <c r="AM335" s="49"/>
      <c r="AN335" s="49"/>
      <c r="AO335" s="49"/>
      <c r="AP335" s="49"/>
      <c r="AQ335" s="49"/>
      <c r="AR335" s="49"/>
      <c r="AS335" s="49"/>
      <c r="AT335" s="49"/>
      <c r="AU335" s="49"/>
      <c r="AV335" s="49"/>
      <c r="AW335" s="49"/>
      <c r="AX335" s="49"/>
      <c r="AY335" s="49"/>
      <c r="AZ335" s="49"/>
      <c r="BA335" s="49"/>
      <c r="BB335" s="49"/>
      <c r="BC335" s="49"/>
      <c r="BD335" s="49"/>
      <c r="BE335" s="49"/>
      <c r="BF335" s="49"/>
      <c r="BG335" s="49"/>
      <c r="BH335" s="49"/>
      <c r="BI335" s="49"/>
      <c r="BJ335" s="49"/>
      <c r="BK335" s="49"/>
      <c r="BL335" s="49"/>
      <c r="BM335" s="49"/>
      <c r="BN335" s="49"/>
      <c r="BO335" s="49"/>
      <c r="BP335" s="49"/>
      <c r="BQ335" s="49"/>
      <c r="BR335" s="49"/>
      <c r="BS335" s="49"/>
      <c r="BT335" s="49"/>
      <c r="BU335" s="49"/>
      <c r="BV335" s="49"/>
      <c r="BW335" s="49"/>
      <c r="BX335" s="49"/>
      <c r="BY335" s="49"/>
      <c r="BZ335" s="49"/>
      <c r="CA335" s="49"/>
      <c r="CB335" s="49"/>
      <c r="CC335" s="49"/>
      <c r="CD335" s="49"/>
      <c r="CE335" s="49"/>
      <c r="CF335" s="49"/>
      <c r="CG335" s="49"/>
      <c r="CH335" s="49"/>
      <c r="CI335" s="49"/>
      <c r="CJ335" s="49"/>
      <c r="CK335" s="49"/>
      <c r="CL335" s="49"/>
      <c r="CM335" s="49"/>
      <c r="CN335" s="49"/>
      <c r="CO335" s="49"/>
      <c r="CP335" s="49"/>
      <c r="CQ335" s="49"/>
      <c r="CT335" s="54"/>
      <c r="DE335" s="34"/>
    </row>
    <row r="336" spans="1:109" ht="14.5" x14ac:dyDescent="0.35">
      <c r="A336" s="19"/>
      <c r="B336" s="1"/>
      <c r="C336"/>
      <c r="D336"/>
      <c r="E336" s="38"/>
      <c r="F336" s="38"/>
      <c r="G336" s="38"/>
      <c r="H336" s="38"/>
      <c r="I336" s="38"/>
      <c r="J336" s="33"/>
      <c r="K336" s="46"/>
      <c r="O336" s="54"/>
      <c r="P336" s="54"/>
      <c r="Q336" s="54"/>
      <c r="R336" s="54"/>
      <c r="S336" s="47"/>
      <c r="T336" s="48"/>
      <c r="U336" s="48"/>
      <c r="V336" s="48"/>
      <c r="W336" s="48"/>
      <c r="X336" s="49"/>
      <c r="Y336" s="49"/>
      <c r="Z336" s="49"/>
      <c r="AA336" s="49"/>
      <c r="AB336" s="49"/>
      <c r="AC336" s="49"/>
      <c r="AD336" s="49"/>
      <c r="AE336" s="49"/>
      <c r="AF336" s="49"/>
      <c r="AG336" s="49"/>
      <c r="AH336" s="49"/>
      <c r="AI336" s="49"/>
      <c r="AJ336" s="49"/>
      <c r="AK336" s="49"/>
      <c r="AL336" s="49"/>
      <c r="AM336" s="49"/>
      <c r="AN336" s="49"/>
      <c r="AO336" s="49"/>
      <c r="AP336" s="49"/>
      <c r="AQ336" s="49"/>
      <c r="AR336" s="49"/>
      <c r="AS336" s="49"/>
      <c r="AT336" s="49"/>
      <c r="AU336" s="49"/>
      <c r="AV336" s="49"/>
      <c r="AW336" s="49"/>
      <c r="AX336" s="49"/>
      <c r="AY336" s="49"/>
      <c r="AZ336" s="49"/>
      <c r="BA336" s="49"/>
      <c r="BB336" s="49"/>
      <c r="BC336" s="49"/>
      <c r="BD336" s="49"/>
      <c r="BE336" s="49"/>
      <c r="BF336" s="49"/>
      <c r="BG336" s="49"/>
      <c r="BH336" s="49"/>
      <c r="BI336" s="49"/>
      <c r="BJ336" s="49"/>
      <c r="BK336" s="49"/>
      <c r="BL336" s="49"/>
      <c r="BM336" s="49"/>
      <c r="BN336" s="49"/>
      <c r="BO336" s="49"/>
      <c r="BP336" s="49"/>
      <c r="BQ336" s="49"/>
      <c r="BR336" s="49"/>
      <c r="BS336" s="49"/>
      <c r="BT336" s="49"/>
      <c r="BU336" s="49"/>
      <c r="BV336" s="49"/>
      <c r="BW336" s="49"/>
      <c r="BX336" s="49"/>
      <c r="BY336" s="49"/>
      <c r="BZ336" s="49"/>
      <c r="CA336" s="49"/>
      <c r="CB336" s="49"/>
      <c r="CC336" s="49"/>
      <c r="CD336" s="49"/>
      <c r="CE336" s="49"/>
      <c r="CF336" s="49"/>
      <c r="CG336" s="49"/>
      <c r="CH336" s="49"/>
      <c r="CI336" s="49"/>
      <c r="CJ336" s="49"/>
      <c r="CK336" s="49"/>
      <c r="CL336" s="49"/>
      <c r="CM336" s="49"/>
      <c r="CN336" s="49"/>
      <c r="CO336" s="49"/>
      <c r="CP336" s="49"/>
      <c r="CQ336" s="49"/>
      <c r="CT336" s="54"/>
      <c r="DE336" s="34"/>
    </row>
    <row r="337" spans="1:109" ht="14.5" x14ac:dyDescent="0.35">
      <c r="A337" s="19"/>
      <c r="B337" s="1"/>
      <c r="C337"/>
      <c r="D337"/>
      <c r="E337" s="38"/>
      <c r="F337" s="38"/>
      <c r="G337" s="38"/>
      <c r="H337" s="38"/>
      <c r="I337" s="38"/>
      <c r="J337" s="33"/>
      <c r="K337" s="46"/>
      <c r="O337" s="54"/>
      <c r="P337" s="54"/>
      <c r="Q337" s="54"/>
      <c r="R337" s="54"/>
      <c r="S337" s="47"/>
      <c r="T337" s="48"/>
      <c r="U337" s="48"/>
      <c r="V337" s="48"/>
      <c r="W337" s="48"/>
      <c r="X337" s="49"/>
      <c r="Y337" s="49"/>
      <c r="Z337" s="49"/>
      <c r="AA337" s="49"/>
      <c r="AB337" s="49"/>
      <c r="AC337" s="49"/>
      <c r="AD337" s="49"/>
      <c r="AE337" s="49"/>
      <c r="AF337" s="49"/>
      <c r="AG337" s="49"/>
      <c r="AH337" s="49"/>
      <c r="AI337" s="49"/>
      <c r="AJ337" s="49"/>
      <c r="AK337" s="49"/>
      <c r="AL337" s="49"/>
      <c r="AM337" s="49"/>
      <c r="AN337" s="49"/>
      <c r="AO337" s="49"/>
      <c r="AP337" s="49"/>
      <c r="AQ337" s="49"/>
      <c r="AR337" s="49"/>
      <c r="AS337" s="49"/>
      <c r="AT337" s="49"/>
      <c r="AU337" s="49"/>
      <c r="AV337" s="49"/>
      <c r="AW337" s="49"/>
      <c r="AX337" s="49"/>
      <c r="AY337" s="49"/>
      <c r="AZ337" s="49"/>
      <c r="BA337" s="49"/>
      <c r="BB337" s="49"/>
      <c r="BC337" s="49"/>
      <c r="BD337" s="49"/>
      <c r="BE337" s="49"/>
      <c r="BF337" s="49"/>
      <c r="BG337" s="49"/>
      <c r="BH337" s="49"/>
      <c r="BI337" s="49"/>
      <c r="BJ337" s="49"/>
      <c r="BK337" s="49"/>
      <c r="BL337" s="49"/>
      <c r="BM337" s="49"/>
      <c r="BN337" s="49"/>
      <c r="BO337" s="49"/>
      <c r="BP337" s="49"/>
      <c r="BQ337" s="49"/>
      <c r="BR337" s="49"/>
      <c r="BS337" s="49"/>
      <c r="BT337" s="49"/>
      <c r="BU337" s="49"/>
      <c r="BV337" s="49"/>
      <c r="BW337" s="49"/>
      <c r="BX337" s="49"/>
      <c r="BY337" s="49"/>
      <c r="BZ337" s="49"/>
      <c r="CA337" s="49"/>
      <c r="CB337" s="49"/>
      <c r="CC337" s="49"/>
      <c r="CD337" s="49"/>
      <c r="CE337" s="49"/>
      <c r="CF337" s="49"/>
      <c r="CG337" s="49"/>
      <c r="CH337" s="49"/>
      <c r="CI337" s="49"/>
      <c r="CJ337" s="49"/>
      <c r="CK337" s="49"/>
      <c r="CL337" s="49"/>
      <c r="CM337" s="49"/>
      <c r="CN337" s="49"/>
      <c r="CO337" s="49"/>
      <c r="CP337" s="49"/>
      <c r="CQ337" s="49"/>
      <c r="CT337" s="54"/>
      <c r="DE337" s="34"/>
    </row>
    <row r="338" spans="1:109" ht="14.5" x14ac:dyDescent="0.35">
      <c r="A338" s="19"/>
      <c r="B338" s="1"/>
      <c r="C338"/>
      <c r="D338"/>
      <c r="E338" s="38"/>
      <c r="F338" s="38"/>
      <c r="G338" s="38"/>
      <c r="H338" s="38"/>
      <c r="I338" s="38"/>
      <c r="J338" s="33"/>
      <c r="K338" s="46"/>
      <c r="O338" s="54"/>
      <c r="P338" s="54"/>
      <c r="Q338" s="54"/>
      <c r="R338" s="54"/>
      <c r="S338" s="47"/>
      <c r="T338" s="48"/>
      <c r="U338" s="48"/>
      <c r="V338" s="48"/>
      <c r="W338" s="48"/>
      <c r="X338" s="49"/>
      <c r="Y338" s="49"/>
      <c r="Z338" s="49"/>
      <c r="AA338" s="49"/>
      <c r="AB338" s="49"/>
      <c r="AC338" s="49"/>
      <c r="AD338" s="49"/>
      <c r="AE338" s="49"/>
      <c r="AF338" s="49"/>
      <c r="AG338" s="49"/>
      <c r="AH338" s="49"/>
      <c r="AI338" s="49"/>
      <c r="AJ338" s="49"/>
      <c r="AK338" s="49"/>
      <c r="AL338" s="49"/>
      <c r="AM338" s="49"/>
      <c r="AN338" s="49"/>
      <c r="AO338" s="49"/>
      <c r="AP338" s="49"/>
      <c r="AQ338" s="49"/>
      <c r="AR338" s="49"/>
      <c r="AS338" s="49"/>
      <c r="AT338" s="49"/>
      <c r="AU338" s="49"/>
      <c r="AV338" s="49"/>
      <c r="AW338" s="49"/>
      <c r="AX338" s="49"/>
      <c r="AY338" s="49"/>
      <c r="AZ338" s="49"/>
      <c r="BA338" s="49"/>
      <c r="BB338" s="49"/>
      <c r="BC338" s="49"/>
      <c r="BD338" s="49"/>
      <c r="BE338" s="49"/>
      <c r="BF338" s="49"/>
      <c r="BG338" s="49"/>
      <c r="BH338" s="49"/>
      <c r="BI338" s="49"/>
      <c r="BJ338" s="49"/>
      <c r="BK338" s="49"/>
      <c r="BL338" s="49"/>
      <c r="BM338" s="49"/>
      <c r="BN338" s="49"/>
      <c r="BO338" s="49"/>
      <c r="BP338" s="49"/>
      <c r="BQ338" s="49"/>
      <c r="BR338" s="49"/>
      <c r="BS338" s="49"/>
      <c r="BT338" s="49"/>
      <c r="BU338" s="49"/>
      <c r="BV338" s="49"/>
      <c r="BW338" s="49"/>
      <c r="BX338" s="49"/>
      <c r="BY338" s="49"/>
      <c r="BZ338" s="49"/>
      <c r="CA338" s="49"/>
      <c r="CB338" s="49"/>
      <c r="CC338" s="49"/>
      <c r="CD338" s="49"/>
      <c r="CE338" s="49"/>
      <c r="CF338" s="49"/>
      <c r="CG338" s="49"/>
      <c r="CH338" s="49"/>
      <c r="CI338" s="49"/>
      <c r="CJ338" s="49"/>
      <c r="CK338" s="49"/>
      <c r="CL338" s="49"/>
      <c r="CM338" s="49"/>
      <c r="CN338" s="49"/>
      <c r="CO338" s="49"/>
      <c r="CP338" s="49"/>
      <c r="CQ338" s="49"/>
      <c r="CT338" s="54"/>
      <c r="DE338" s="34"/>
    </row>
    <row r="339" spans="1:109" ht="14.5" x14ac:dyDescent="0.35">
      <c r="A339" s="19"/>
      <c r="B339" s="1"/>
      <c r="C339"/>
      <c r="D339"/>
      <c r="E339" s="38"/>
      <c r="F339" s="38"/>
      <c r="G339" s="38"/>
      <c r="H339" s="38"/>
      <c r="I339" s="38"/>
      <c r="J339" s="33"/>
      <c r="K339" s="46"/>
      <c r="O339" s="54"/>
      <c r="P339" s="54"/>
      <c r="Q339" s="54"/>
      <c r="R339" s="54"/>
      <c r="S339" s="47"/>
      <c r="T339" s="48"/>
      <c r="U339" s="48"/>
      <c r="V339" s="48"/>
      <c r="W339" s="48"/>
      <c r="X339" s="49"/>
      <c r="Y339" s="49"/>
      <c r="Z339" s="49"/>
      <c r="AA339" s="49"/>
      <c r="AB339" s="49"/>
      <c r="AC339" s="49"/>
      <c r="AD339" s="49"/>
      <c r="AE339" s="49"/>
      <c r="AF339" s="49"/>
      <c r="AG339" s="49"/>
      <c r="AH339" s="49"/>
      <c r="AI339" s="49"/>
      <c r="AJ339" s="49"/>
      <c r="AK339" s="49"/>
      <c r="AL339" s="49"/>
      <c r="AM339" s="49"/>
      <c r="AN339" s="49"/>
      <c r="AO339" s="49"/>
      <c r="AP339" s="49"/>
      <c r="AQ339" s="49"/>
      <c r="AR339" s="49"/>
      <c r="AS339" s="49"/>
      <c r="AT339" s="49"/>
      <c r="AU339" s="49"/>
      <c r="AV339" s="49"/>
      <c r="AW339" s="49"/>
      <c r="AX339" s="49"/>
      <c r="AY339" s="49"/>
      <c r="AZ339" s="49"/>
      <c r="BA339" s="49"/>
      <c r="BB339" s="49"/>
      <c r="BC339" s="49"/>
      <c r="BD339" s="49"/>
      <c r="BE339" s="49"/>
      <c r="BF339" s="49"/>
      <c r="BG339" s="49"/>
      <c r="BH339" s="49"/>
      <c r="BI339" s="49"/>
      <c r="BJ339" s="49"/>
      <c r="BK339" s="49"/>
      <c r="BL339" s="49"/>
      <c r="BM339" s="49"/>
      <c r="BN339" s="49"/>
      <c r="BO339" s="49"/>
      <c r="BP339" s="49"/>
      <c r="BQ339" s="49"/>
      <c r="BR339" s="49"/>
      <c r="BS339" s="49"/>
      <c r="BT339" s="49"/>
      <c r="BU339" s="49"/>
      <c r="BV339" s="49"/>
      <c r="BW339" s="49"/>
      <c r="BX339" s="49"/>
      <c r="BY339" s="49"/>
      <c r="BZ339" s="49"/>
      <c r="CA339" s="49"/>
      <c r="CB339" s="49"/>
      <c r="CC339" s="49"/>
      <c r="CD339" s="49"/>
      <c r="CE339" s="49"/>
      <c r="CF339" s="49"/>
      <c r="CG339" s="49"/>
      <c r="CH339" s="49"/>
      <c r="CI339" s="49"/>
      <c r="CJ339" s="49"/>
      <c r="CK339" s="49"/>
      <c r="CL339" s="49"/>
      <c r="CM339" s="49"/>
      <c r="CN339" s="49"/>
      <c r="CO339" s="49"/>
      <c r="CP339" s="49"/>
      <c r="CQ339" s="49"/>
      <c r="CT339" s="54"/>
      <c r="DE339" s="34"/>
    </row>
    <row r="340" spans="1:109" ht="14.5" x14ac:dyDescent="0.35">
      <c r="A340" s="19"/>
      <c r="B340" s="1"/>
      <c r="C340"/>
      <c r="D340"/>
      <c r="E340" s="38"/>
      <c r="F340" s="38"/>
      <c r="G340" s="38"/>
      <c r="H340" s="38"/>
      <c r="I340" s="38"/>
      <c r="J340" s="33"/>
      <c r="K340" s="46"/>
      <c r="O340" s="54"/>
      <c r="P340" s="54"/>
      <c r="Q340" s="54"/>
      <c r="R340" s="54"/>
      <c r="S340" s="47"/>
      <c r="T340" s="48"/>
      <c r="U340" s="48"/>
      <c r="V340" s="48"/>
      <c r="W340" s="48"/>
      <c r="X340" s="49"/>
      <c r="Y340" s="49"/>
      <c r="Z340" s="49"/>
      <c r="AA340" s="49"/>
      <c r="AB340" s="49"/>
      <c r="AC340" s="49"/>
      <c r="AD340" s="49"/>
      <c r="AE340" s="49"/>
      <c r="AF340" s="49"/>
      <c r="AG340" s="49"/>
      <c r="AH340" s="49"/>
      <c r="AI340" s="49"/>
      <c r="AJ340" s="49"/>
      <c r="AK340" s="49"/>
      <c r="AL340" s="49"/>
      <c r="AM340" s="49"/>
      <c r="AN340" s="49"/>
      <c r="AO340" s="49"/>
      <c r="AP340" s="49"/>
      <c r="AQ340" s="49"/>
      <c r="AR340" s="49"/>
      <c r="AS340" s="49"/>
      <c r="AT340" s="49"/>
      <c r="AU340" s="49"/>
      <c r="AV340" s="49"/>
      <c r="AW340" s="49"/>
      <c r="AX340" s="49"/>
      <c r="AY340" s="49"/>
      <c r="AZ340" s="49"/>
      <c r="BA340" s="49"/>
      <c r="BB340" s="49"/>
      <c r="BC340" s="49"/>
      <c r="BD340" s="49"/>
      <c r="BE340" s="49"/>
      <c r="BF340" s="49"/>
      <c r="BG340" s="49"/>
      <c r="BH340" s="49"/>
      <c r="BI340" s="49"/>
      <c r="BJ340" s="49"/>
      <c r="BK340" s="49"/>
      <c r="BL340" s="49"/>
      <c r="BM340" s="49"/>
      <c r="BN340" s="49"/>
      <c r="BO340" s="49"/>
      <c r="BP340" s="49"/>
      <c r="BQ340" s="49"/>
      <c r="BR340" s="49"/>
      <c r="BS340" s="49"/>
      <c r="BT340" s="49"/>
      <c r="BU340" s="49"/>
      <c r="BV340" s="49"/>
      <c r="BW340" s="49"/>
      <c r="BX340" s="49"/>
      <c r="BY340" s="49"/>
      <c r="BZ340" s="49"/>
      <c r="CA340" s="49"/>
      <c r="CB340" s="49"/>
      <c r="CC340" s="49"/>
      <c r="CD340" s="49"/>
      <c r="CE340" s="49"/>
      <c r="CF340" s="49"/>
      <c r="CG340" s="49"/>
      <c r="CH340" s="49"/>
      <c r="CI340" s="49"/>
      <c r="CJ340" s="49"/>
      <c r="CK340" s="49"/>
      <c r="CL340" s="49"/>
      <c r="CM340" s="49"/>
      <c r="CN340" s="49"/>
      <c r="CO340" s="49"/>
      <c r="CP340" s="49"/>
      <c r="CQ340" s="49"/>
      <c r="CT340" s="54"/>
      <c r="DE340" s="34"/>
    </row>
    <row r="341" spans="1:109" ht="14.5" x14ac:dyDescent="0.35">
      <c r="A341" s="19"/>
      <c r="B341" s="1"/>
      <c r="C341"/>
      <c r="D341"/>
      <c r="E341" s="38"/>
      <c r="F341" s="38"/>
      <c r="G341" s="38"/>
      <c r="H341" s="38"/>
      <c r="I341" s="38"/>
      <c r="J341" s="33"/>
      <c r="K341" s="46"/>
      <c r="O341" s="54"/>
      <c r="P341" s="54"/>
      <c r="Q341" s="54"/>
      <c r="R341" s="54"/>
      <c r="S341" s="47"/>
      <c r="T341" s="48"/>
      <c r="U341" s="48"/>
      <c r="V341" s="48"/>
      <c r="W341" s="48"/>
      <c r="X341" s="49"/>
      <c r="Y341" s="49"/>
      <c r="Z341" s="49"/>
      <c r="AA341" s="49"/>
      <c r="AB341" s="49"/>
      <c r="AC341" s="49"/>
      <c r="AD341" s="49"/>
      <c r="AE341" s="49"/>
      <c r="AF341" s="49"/>
      <c r="AG341" s="49"/>
      <c r="AH341" s="49"/>
      <c r="AI341" s="49"/>
      <c r="AJ341" s="49"/>
      <c r="AK341" s="49"/>
      <c r="AL341" s="49"/>
      <c r="AM341" s="49"/>
      <c r="AN341" s="49"/>
      <c r="AO341" s="49"/>
      <c r="AP341" s="49"/>
      <c r="AQ341" s="49"/>
      <c r="AR341" s="49"/>
      <c r="AS341" s="49"/>
      <c r="AT341" s="49"/>
      <c r="AU341" s="49"/>
      <c r="AV341" s="49"/>
      <c r="AW341" s="49"/>
      <c r="AX341" s="49"/>
      <c r="AY341" s="49"/>
      <c r="AZ341" s="49"/>
      <c r="BA341" s="49"/>
      <c r="BB341" s="49"/>
      <c r="BC341" s="49"/>
      <c r="BD341" s="49"/>
      <c r="BE341" s="49"/>
      <c r="BF341" s="49"/>
      <c r="BG341" s="49"/>
      <c r="BH341" s="49"/>
      <c r="BI341" s="49"/>
      <c r="BJ341" s="49"/>
      <c r="BK341" s="49"/>
      <c r="BL341" s="49"/>
      <c r="BM341" s="49"/>
      <c r="BN341" s="49"/>
      <c r="BO341" s="49"/>
      <c r="BP341" s="49"/>
      <c r="BQ341" s="49"/>
      <c r="BR341" s="49"/>
      <c r="BS341" s="49"/>
      <c r="BT341" s="49"/>
      <c r="BU341" s="49"/>
      <c r="BV341" s="49"/>
      <c r="BW341" s="49"/>
      <c r="BX341" s="49"/>
      <c r="BY341" s="49"/>
      <c r="BZ341" s="49"/>
      <c r="CA341" s="49"/>
      <c r="CB341" s="49"/>
      <c r="CC341" s="49"/>
      <c r="CD341" s="49"/>
      <c r="CE341" s="49"/>
      <c r="CF341" s="49"/>
      <c r="CG341" s="49"/>
      <c r="CH341" s="49"/>
      <c r="CI341" s="49"/>
      <c r="CJ341" s="49"/>
      <c r="CK341" s="49"/>
      <c r="CL341" s="49"/>
      <c r="CM341" s="49"/>
      <c r="CN341" s="49"/>
      <c r="CO341" s="49"/>
      <c r="CP341" s="49"/>
      <c r="CQ341" s="49"/>
      <c r="CT341" s="54"/>
      <c r="DE341" s="34"/>
    </row>
    <row r="342" spans="1:109" ht="14.5" x14ac:dyDescent="0.35">
      <c r="A342" s="19"/>
      <c r="B342" s="1"/>
      <c r="C342"/>
      <c r="D342"/>
      <c r="E342" s="38"/>
      <c r="F342" s="38"/>
      <c r="G342" s="38"/>
      <c r="H342" s="38"/>
      <c r="I342" s="38"/>
      <c r="J342" s="33"/>
      <c r="K342" s="46"/>
      <c r="O342" s="54"/>
      <c r="P342" s="54"/>
      <c r="Q342" s="54"/>
      <c r="R342" s="54"/>
      <c r="S342" s="47"/>
      <c r="T342" s="48"/>
      <c r="U342" s="48"/>
      <c r="V342" s="48"/>
      <c r="W342" s="48"/>
      <c r="X342" s="49"/>
      <c r="Y342" s="49"/>
      <c r="Z342" s="49"/>
      <c r="AA342" s="49"/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9"/>
      <c r="AN342" s="49"/>
      <c r="AO342" s="49"/>
      <c r="AP342" s="49"/>
      <c r="AQ342" s="49"/>
      <c r="AR342" s="49"/>
      <c r="AS342" s="49"/>
      <c r="AT342" s="49"/>
      <c r="AU342" s="49"/>
      <c r="AV342" s="49"/>
      <c r="AW342" s="49"/>
      <c r="AX342" s="49"/>
      <c r="AY342" s="49"/>
      <c r="AZ342" s="49"/>
      <c r="BA342" s="49"/>
      <c r="BB342" s="49"/>
      <c r="BC342" s="49"/>
      <c r="BD342" s="49"/>
      <c r="BE342" s="49"/>
      <c r="BF342" s="49"/>
      <c r="BG342" s="49"/>
      <c r="BH342" s="49"/>
      <c r="BI342" s="49"/>
      <c r="BJ342" s="49"/>
      <c r="BK342" s="49"/>
      <c r="BL342" s="49"/>
      <c r="BM342" s="49"/>
      <c r="BN342" s="49"/>
      <c r="BO342" s="49"/>
      <c r="BP342" s="49"/>
      <c r="BQ342" s="49"/>
      <c r="BR342" s="49"/>
      <c r="BS342" s="49"/>
      <c r="BT342" s="49"/>
      <c r="BU342" s="49"/>
      <c r="BV342" s="49"/>
      <c r="BW342" s="49"/>
      <c r="BX342" s="49"/>
      <c r="BY342" s="49"/>
      <c r="BZ342" s="49"/>
      <c r="CA342" s="49"/>
      <c r="CB342" s="49"/>
      <c r="CC342" s="49"/>
      <c r="CD342" s="49"/>
      <c r="CE342" s="49"/>
      <c r="CF342" s="49"/>
      <c r="CG342" s="49"/>
      <c r="CH342" s="49"/>
      <c r="CI342" s="49"/>
      <c r="CJ342" s="49"/>
      <c r="CK342" s="49"/>
      <c r="CL342" s="49"/>
      <c r="CM342" s="49"/>
      <c r="CN342" s="49"/>
      <c r="CO342" s="49"/>
      <c r="CP342" s="49"/>
      <c r="CQ342" s="49"/>
      <c r="CT342" s="54"/>
      <c r="DE342" s="34"/>
    </row>
    <row r="343" spans="1:109" ht="14.5" x14ac:dyDescent="0.35">
      <c r="A343" s="19"/>
      <c r="B343" s="1"/>
      <c r="C343"/>
      <c r="D343"/>
      <c r="E343" s="38"/>
      <c r="F343" s="38"/>
      <c r="G343" s="38"/>
      <c r="H343" s="38"/>
      <c r="I343" s="38"/>
      <c r="J343" s="33"/>
      <c r="K343" s="46"/>
      <c r="O343" s="54"/>
      <c r="P343" s="54"/>
      <c r="Q343" s="54"/>
      <c r="R343" s="54"/>
      <c r="S343" s="47"/>
      <c r="T343" s="48"/>
      <c r="U343" s="48"/>
      <c r="V343" s="48"/>
      <c r="W343" s="48"/>
      <c r="X343" s="49"/>
      <c r="Y343" s="49"/>
      <c r="Z343" s="49"/>
      <c r="AA343" s="49"/>
      <c r="AB343" s="49"/>
      <c r="AC343" s="49"/>
      <c r="AD343" s="49"/>
      <c r="AE343" s="49"/>
      <c r="AF343" s="49"/>
      <c r="AG343" s="49"/>
      <c r="AH343" s="49"/>
      <c r="AI343" s="49"/>
      <c r="AJ343" s="49"/>
      <c r="AK343" s="49"/>
      <c r="AL343" s="49"/>
      <c r="AM343" s="49"/>
      <c r="AN343" s="49"/>
      <c r="AO343" s="49"/>
      <c r="AP343" s="49"/>
      <c r="AQ343" s="49"/>
      <c r="AR343" s="49"/>
      <c r="AS343" s="49"/>
      <c r="AT343" s="49"/>
      <c r="AU343" s="49"/>
      <c r="AV343" s="49"/>
      <c r="AW343" s="49"/>
      <c r="AX343" s="49"/>
      <c r="AY343" s="49"/>
      <c r="AZ343" s="49"/>
      <c r="BA343" s="49"/>
      <c r="BB343" s="49"/>
      <c r="BC343" s="49"/>
      <c r="BD343" s="49"/>
      <c r="BE343" s="49"/>
      <c r="BF343" s="49"/>
      <c r="BG343" s="49"/>
      <c r="BH343" s="49"/>
      <c r="BI343" s="49"/>
      <c r="BJ343" s="49"/>
      <c r="BK343" s="49"/>
      <c r="BL343" s="49"/>
      <c r="BM343" s="49"/>
      <c r="BN343" s="49"/>
      <c r="BO343" s="49"/>
      <c r="BP343" s="49"/>
      <c r="BQ343" s="49"/>
      <c r="BR343" s="49"/>
      <c r="BS343" s="49"/>
      <c r="BT343" s="49"/>
      <c r="BU343" s="49"/>
      <c r="BV343" s="49"/>
      <c r="BW343" s="49"/>
      <c r="BX343" s="49"/>
      <c r="BY343" s="49"/>
      <c r="BZ343" s="49"/>
      <c r="CA343" s="49"/>
      <c r="CB343" s="49"/>
      <c r="CC343" s="49"/>
      <c r="CD343" s="49"/>
      <c r="CE343" s="49"/>
      <c r="CF343" s="49"/>
      <c r="CG343" s="49"/>
      <c r="CH343" s="49"/>
      <c r="CI343" s="49"/>
      <c r="CJ343" s="49"/>
      <c r="CK343" s="49"/>
      <c r="CL343" s="49"/>
      <c r="CM343" s="49"/>
      <c r="CN343" s="49"/>
      <c r="CO343" s="49"/>
      <c r="CP343" s="49"/>
      <c r="CQ343" s="49"/>
      <c r="CT343" s="54"/>
      <c r="DE343" s="34"/>
    </row>
    <row r="344" spans="1:109" ht="14.5" x14ac:dyDescent="0.35">
      <c r="A344" s="19"/>
      <c r="B344" s="1"/>
      <c r="C344"/>
      <c r="D344"/>
      <c r="E344" s="38"/>
      <c r="F344" s="38"/>
      <c r="G344" s="38"/>
      <c r="H344" s="38"/>
      <c r="I344" s="38"/>
      <c r="J344" s="33"/>
      <c r="K344" s="46"/>
      <c r="O344" s="54"/>
      <c r="P344" s="54"/>
      <c r="Q344" s="54"/>
      <c r="R344" s="54"/>
      <c r="S344" s="47"/>
      <c r="T344" s="48"/>
      <c r="U344" s="48"/>
      <c r="V344" s="48"/>
      <c r="W344" s="48"/>
      <c r="X344" s="49"/>
      <c r="Y344" s="49"/>
      <c r="Z344" s="49"/>
      <c r="AA344" s="49"/>
      <c r="AB344" s="49"/>
      <c r="AC344" s="49"/>
      <c r="AD344" s="49"/>
      <c r="AE344" s="49"/>
      <c r="AF344" s="49"/>
      <c r="AG344" s="49"/>
      <c r="AH344" s="49"/>
      <c r="AI344" s="49"/>
      <c r="AJ344" s="49"/>
      <c r="AK344" s="49"/>
      <c r="AL344" s="49"/>
      <c r="AM344" s="49"/>
      <c r="AN344" s="49"/>
      <c r="AO344" s="49"/>
      <c r="AP344" s="49"/>
      <c r="AQ344" s="49"/>
      <c r="AR344" s="49"/>
      <c r="AS344" s="49"/>
      <c r="AT344" s="49"/>
      <c r="AU344" s="49"/>
      <c r="AV344" s="49"/>
      <c r="AW344" s="49"/>
      <c r="AX344" s="49"/>
      <c r="AY344" s="49"/>
      <c r="AZ344" s="49"/>
      <c r="BA344" s="49"/>
      <c r="BB344" s="49"/>
      <c r="BC344" s="49"/>
      <c r="BD344" s="49"/>
      <c r="BE344" s="49"/>
      <c r="BF344" s="49"/>
      <c r="BG344" s="49"/>
      <c r="BH344" s="49"/>
      <c r="BI344" s="49"/>
      <c r="BJ344" s="49"/>
      <c r="BK344" s="49"/>
      <c r="BL344" s="49"/>
      <c r="BM344" s="49"/>
      <c r="BN344" s="49"/>
      <c r="BO344" s="49"/>
      <c r="BP344" s="49"/>
      <c r="BQ344" s="49"/>
      <c r="BR344" s="49"/>
      <c r="BS344" s="49"/>
      <c r="BT344" s="49"/>
      <c r="BU344" s="49"/>
      <c r="BV344" s="49"/>
      <c r="BW344" s="49"/>
      <c r="BX344" s="49"/>
      <c r="BY344" s="49"/>
      <c r="BZ344" s="49"/>
      <c r="CA344" s="49"/>
      <c r="CB344" s="49"/>
      <c r="CC344" s="49"/>
      <c r="CD344" s="49"/>
      <c r="CE344" s="49"/>
      <c r="CF344" s="49"/>
      <c r="CG344" s="49"/>
      <c r="CH344" s="49"/>
      <c r="CI344" s="49"/>
      <c r="CJ344" s="49"/>
      <c r="CK344" s="49"/>
      <c r="CL344" s="49"/>
      <c r="CM344" s="49"/>
      <c r="CN344" s="49"/>
      <c r="CO344" s="49"/>
      <c r="CP344" s="49"/>
      <c r="CQ344" s="49"/>
      <c r="CT344" s="54"/>
      <c r="DE344" s="34"/>
    </row>
    <row r="345" spans="1:109" ht="14.5" x14ac:dyDescent="0.35">
      <c r="A345" s="19"/>
      <c r="B345" s="1"/>
      <c r="C345"/>
      <c r="D345"/>
      <c r="E345" s="38"/>
      <c r="F345" s="38"/>
      <c r="G345" s="38"/>
      <c r="H345" s="38"/>
      <c r="I345" s="38"/>
      <c r="J345" s="33"/>
      <c r="K345" s="46"/>
      <c r="O345" s="54"/>
      <c r="P345" s="54"/>
      <c r="Q345" s="54"/>
      <c r="R345" s="54"/>
      <c r="S345" s="47"/>
      <c r="T345" s="48"/>
      <c r="U345" s="48"/>
      <c r="V345" s="48"/>
      <c r="W345" s="48"/>
      <c r="X345" s="49"/>
      <c r="Y345" s="49"/>
      <c r="Z345" s="49"/>
      <c r="AA345" s="49"/>
      <c r="AB345" s="49"/>
      <c r="AC345" s="49"/>
      <c r="AD345" s="49"/>
      <c r="AE345" s="49"/>
      <c r="AF345" s="49"/>
      <c r="AG345" s="49"/>
      <c r="AH345" s="49"/>
      <c r="AI345" s="49"/>
      <c r="AJ345" s="49"/>
      <c r="AK345" s="49"/>
      <c r="AL345" s="49"/>
      <c r="AM345" s="49"/>
      <c r="AN345" s="49"/>
      <c r="AO345" s="49"/>
      <c r="AP345" s="49"/>
      <c r="AQ345" s="49"/>
      <c r="AR345" s="49"/>
      <c r="AS345" s="49"/>
      <c r="AT345" s="49"/>
      <c r="AU345" s="49"/>
      <c r="AV345" s="49"/>
      <c r="AW345" s="49"/>
      <c r="AX345" s="49"/>
      <c r="AY345" s="49"/>
      <c r="AZ345" s="49"/>
      <c r="BA345" s="49"/>
      <c r="BB345" s="49"/>
      <c r="BC345" s="49"/>
      <c r="BD345" s="49"/>
      <c r="BE345" s="49"/>
      <c r="BF345" s="49"/>
      <c r="BG345" s="49"/>
      <c r="BH345" s="49"/>
      <c r="BI345" s="49"/>
      <c r="BJ345" s="49"/>
      <c r="BK345" s="49"/>
      <c r="BL345" s="49"/>
      <c r="BM345" s="49"/>
      <c r="BN345" s="49"/>
      <c r="BO345" s="49"/>
      <c r="BP345" s="49"/>
      <c r="BQ345" s="49"/>
      <c r="BR345" s="49"/>
      <c r="BS345" s="49"/>
      <c r="BT345" s="49"/>
      <c r="BU345" s="49"/>
      <c r="BV345" s="49"/>
      <c r="BW345" s="49"/>
      <c r="BX345" s="49"/>
      <c r="BY345" s="49"/>
      <c r="BZ345" s="49"/>
      <c r="CA345" s="49"/>
      <c r="CB345" s="49"/>
      <c r="CC345" s="49"/>
      <c r="CD345" s="49"/>
      <c r="CE345" s="49"/>
      <c r="CF345" s="49"/>
      <c r="CG345" s="49"/>
      <c r="CH345" s="49"/>
      <c r="CI345" s="49"/>
      <c r="CJ345" s="49"/>
      <c r="CK345" s="49"/>
      <c r="CL345" s="49"/>
      <c r="CM345" s="49"/>
      <c r="CN345" s="49"/>
      <c r="CO345" s="49"/>
      <c r="CP345" s="49"/>
      <c r="CQ345" s="49"/>
      <c r="CT345" s="54"/>
      <c r="DE345" s="34"/>
    </row>
    <row r="346" spans="1:109" ht="14.5" x14ac:dyDescent="0.35">
      <c r="A346" s="19"/>
      <c r="B346" s="1"/>
      <c r="C346"/>
      <c r="D346"/>
      <c r="E346" s="38"/>
      <c r="F346" s="38"/>
      <c r="G346" s="38"/>
      <c r="H346" s="38"/>
      <c r="I346" s="38"/>
      <c r="J346" s="33"/>
      <c r="K346" s="46"/>
      <c r="O346" s="54"/>
      <c r="P346" s="54"/>
      <c r="Q346" s="54"/>
      <c r="R346" s="54"/>
      <c r="S346" s="47"/>
      <c r="T346" s="48"/>
      <c r="U346" s="48"/>
      <c r="V346" s="48"/>
      <c r="W346" s="48"/>
      <c r="X346" s="49"/>
      <c r="Y346" s="49"/>
      <c r="Z346" s="49"/>
      <c r="AA346" s="49"/>
      <c r="AB346" s="49"/>
      <c r="AC346" s="49"/>
      <c r="AD346" s="49"/>
      <c r="AE346" s="49"/>
      <c r="AF346" s="49"/>
      <c r="AG346" s="49"/>
      <c r="AH346" s="49"/>
      <c r="AI346" s="49"/>
      <c r="AJ346" s="49"/>
      <c r="AK346" s="49"/>
      <c r="AL346" s="49"/>
      <c r="AM346" s="49"/>
      <c r="AN346" s="49"/>
      <c r="AO346" s="49"/>
      <c r="AP346" s="49"/>
      <c r="AQ346" s="49"/>
      <c r="AR346" s="49"/>
      <c r="AS346" s="49"/>
      <c r="AT346" s="49"/>
      <c r="AU346" s="49"/>
      <c r="AV346" s="49"/>
      <c r="AW346" s="49"/>
      <c r="AX346" s="49"/>
      <c r="AY346" s="49"/>
      <c r="AZ346" s="49"/>
      <c r="BA346" s="49"/>
      <c r="BB346" s="49"/>
      <c r="BC346" s="49"/>
      <c r="BD346" s="49"/>
      <c r="BE346" s="49"/>
      <c r="BF346" s="49"/>
      <c r="BG346" s="49"/>
      <c r="BH346" s="49"/>
      <c r="BI346" s="49"/>
      <c r="BJ346" s="49"/>
      <c r="BK346" s="49"/>
      <c r="BL346" s="49"/>
      <c r="BM346" s="49"/>
      <c r="BN346" s="49"/>
      <c r="BO346" s="49"/>
      <c r="BP346" s="49"/>
      <c r="BQ346" s="49"/>
      <c r="BR346" s="49"/>
      <c r="BS346" s="49"/>
      <c r="BT346" s="49"/>
      <c r="BU346" s="49"/>
      <c r="BV346" s="49"/>
      <c r="BW346" s="49"/>
      <c r="BX346" s="49"/>
      <c r="BY346" s="49"/>
      <c r="BZ346" s="49"/>
      <c r="CA346" s="49"/>
      <c r="CB346" s="49"/>
      <c r="CC346" s="49"/>
      <c r="CD346" s="49"/>
      <c r="CE346" s="49"/>
      <c r="CF346" s="49"/>
      <c r="CG346" s="49"/>
      <c r="CH346" s="49"/>
      <c r="CI346" s="49"/>
      <c r="CJ346" s="49"/>
      <c r="CK346" s="49"/>
      <c r="CL346" s="49"/>
      <c r="CM346" s="49"/>
      <c r="CN346" s="49"/>
      <c r="CO346" s="49"/>
      <c r="CP346" s="49"/>
      <c r="CQ346" s="49"/>
      <c r="CT346" s="54"/>
      <c r="DE346" s="34"/>
    </row>
    <row r="347" spans="1:109" ht="14.5" x14ac:dyDescent="0.35">
      <c r="A347" s="19"/>
      <c r="B347" s="1"/>
      <c r="C347"/>
      <c r="D347"/>
      <c r="E347" s="38"/>
      <c r="F347" s="38"/>
      <c r="G347" s="38"/>
      <c r="H347" s="38"/>
      <c r="I347" s="38"/>
      <c r="J347" s="33"/>
      <c r="K347" s="46"/>
      <c r="O347" s="54"/>
      <c r="P347" s="54"/>
      <c r="Q347" s="54"/>
      <c r="R347" s="54"/>
      <c r="S347" s="47"/>
      <c r="T347" s="48"/>
      <c r="U347" s="48"/>
      <c r="V347" s="48"/>
      <c r="W347" s="48"/>
      <c r="X347" s="49"/>
      <c r="Y347" s="49"/>
      <c r="Z347" s="49"/>
      <c r="AA347" s="49"/>
      <c r="AB347" s="49"/>
      <c r="AC347" s="49"/>
      <c r="AD347" s="49"/>
      <c r="AE347" s="49"/>
      <c r="AF347" s="49"/>
      <c r="AG347" s="49"/>
      <c r="AH347" s="49"/>
      <c r="AI347" s="49"/>
      <c r="AJ347" s="49"/>
      <c r="AK347" s="49"/>
      <c r="AL347" s="49"/>
      <c r="AM347" s="49"/>
      <c r="AN347" s="49"/>
      <c r="AO347" s="49"/>
      <c r="AP347" s="49"/>
      <c r="AQ347" s="49"/>
      <c r="AR347" s="49"/>
      <c r="AS347" s="49"/>
      <c r="AT347" s="49"/>
      <c r="AU347" s="49"/>
      <c r="AV347" s="49"/>
      <c r="AW347" s="49"/>
      <c r="AX347" s="49"/>
      <c r="AY347" s="49"/>
      <c r="AZ347" s="49"/>
      <c r="BA347" s="49"/>
      <c r="BB347" s="49"/>
      <c r="BC347" s="49"/>
      <c r="BD347" s="49"/>
      <c r="BE347" s="49"/>
      <c r="BF347" s="49"/>
      <c r="BG347" s="49"/>
      <c r="BH347" s="49"/>
      <c r="BI347" s="49"/>
      <c r="BJ347" s="49"/>
      <c r="BK347" s="49"/>
      <c r="BL347" s="49"/>
      <c r="BM347" s="49"/>
      <c r="BN347" s="49"/>
      <c r="BO347" s="49"/>
      <c r="BP347" s="49"/>
      <c r="BQ347" s="49"/>
      <c r="BR347" s="49"/>
      <c r="BS347" s="49"/>
      <c r="BT347" s="49"/>
      <c r="BU347" s="49"/>
      <c r="BV347" s="49"/>
      <c r="BW347" s="49"/>
      <c r="BX347" s="49"/>
      <c r="BY347" s="49"/>
      <c r="BZ347" s="49"/>
      <c r="CA347" s="49"/>
      <c r="CB347" s="49"/>
      <c r="CC347" s="49"/>
      <c r="CD347" s="49"/>
      <c r="CE347" s="49"/>
      <c r="CF347" s="49"/>
      <c r="CG347" s="49"/>
      <c r="CH347" s="49"/>
      <c r="CI347" s="49"/>
      <c r="CJ347" s="49"/>
      <c r="CK347" s="49"/>
      <c r="CL347" s="49"/>
      <c r="CM347" s="49"/>
      <c r="CN347" s="49"/>
      <c r="CO347" s="49"/>
      <c r="CP347" s="49"/>
      <c r="CQ347" s="49"/>
      <c r="CT347" s="54"/>
      <c r="DE347" s="34"/>
    </row>
    <row r="348" spans="1:109" ht="14.5" x14ac:dyDescent="0.35">
      <c r="A348" s="19"/>
      <c r="B348" s="1"/>
      <c r="C348"/>
      <c r="D348"/>
      <c r="E348" s="38"/>
      <c r="F348" s="38"/>
      <c r="G348" s="38"/>
      <c r="H348" s="38"/>
      <c r="I348" s="38"/>
      <c r="J348" s="33"/>
      <c r="K348" s="46"/>
      <c r="O348" s="54"/>
      <c r="P348" s="54"/>
      <c r="Q348" s="54"/>
      <c r="R348" s="54"/>
      <c r="S348" s="47"/>
      <c r="T348" s="48"/>
      <c r="U348" s="48"/>
      <c r="V348" s="48"/>
      <c r="W348" s="48"/>
      <c r="X348" s="49"/>
      <c r="Y348" s="49"/>
      <c r="Z348" s="49"/>
      <c r="AA348" s="49"/>
      <c r="AB348" s="49"/>
      <c r="AC348" s="49"/>
      <c r="AD348" s="49"/>
      <c r="AE348" s="49"/>
      <c r="AF348" s="49"/>
      <c r="AG348" s="49"/>
      <c r="AH348" s="49"/>
      <c r="AI348" s="49"/>
      <c r="AJ348" s="49"/>
      <c r="AK348" s="49"/>
      <c r="AL348" s="49"/>
      <c r="AM348" s="49"/>
      <c r="AN348" s="49"/>
      <c r="AO348" s="49"/>
      <c r="AP348" s="49"/>
      <c r="AQ348" s="49"/>
      <c r="AR348" s="49"/>
      <c r="AS348" s="49"/>
      <c r="AT348" s="49"/>
      <c r="AU348" s="49"/>
      <c r="AV348" s="49"/>
      <c r="AW348" s="49"/>
      <c r="AX348" s="49"/>
      <c r="AY348" s="49"/>
      <c r="AZ348" s="49"/>
      <c r="BA348" s="49"/>
      <c r="BB348" s="49"/>
      <c r="BC348" s="49"/>
      <c r="BD348" s="49"/>
      <c r="BE348" s="49"/>
      <c r="BF348" s="49"/>
      <c r="BG348" s="49"/>
      <c r="BH348" s="49"/>
      <c r="BI348" s="49"/>
      <c r="BJ348" s="49"/>
      <c r="BK348" s="49"/>
      <c r="BL348" s="49"/>
      <c r="BM348" s="49"/>
      <c r="BN348" s="49"/>
      <c r="BO348" s="49"/>
      <c r="BP348" s="49"/>
      <c r="BQ348" s="49"/>
      <c r="BR348" s="49"/>
      <c r="BS348" s="49"/>
      <c r="BT348" s="49"/>
      <c r="BU348" s="49"/>
      <c r="BV348" s="49"/>
      <c r="BW348" s="49"/>
      <c r="BX348" s="49"/>
      <c r="BY348" s="49"/>
      <c r="BZ348" s="49"/>
      <c r="CA348" s="49"/>
      <c r="CB348" s="49"/>
      <c r="CC348" s="49"/>
      <c r="CD348" s="49"/>
      <c r="CE348" s="49"/>
      <c r="CF348" s="49"/>
      <c r="CG348" s="49"/>
      <c r="CH348" s="49"/>
      <c r="CI348" s="49"/>
      <c r="CJ348" s="49"/>
      <c r="CK348" s="49"/>
      <c r="CL348" s="49"/>
      <c r="CM348" s="49"/>
      <c r="CN348" s="49"/>
      <c r="CO348" s="49"/>
      <c r="CP348" s="49"/>
      <c r="CQ348" s="49"/>
      <c r="CT348" s="54"/>
      <c r="DE348" s="34"/>
    </row>
    <row r="349" spans="1:109" ht="14.5" x14ac:dyDescent="0.35">
      <c r="A349" s="19"/>
      <c r="B349" s="1"/>
      <c r="C349"/>
      <c r="D349"/>
      <c r="E349" s="38"/>
      <c r="F349" s="38"/>
      <c r="G349" s="38"/>
      <c r="H349" s="38"/>
      <c r="I349" s="38"/>
      <c r="J349" s="33"/>
      <c r="K349" s="46"/>
      <c r="O349" s="54"/>
      <c r="P349" s="54"/>
      <c r="Q349" s="54"/>
      <c r="R349" s="54"/>
      <c r="S349" s="47"/>
      <c r="T349" s="48"/>
      <c r="U349" s="48"/>
      <c r="V349" s="48"/>
      <c r="W349" s="48"/>
      <c r="X349" s="49"/>
      <c r="Y349" s="49"/>
      <c r="Z349" s="49"/>
      <c r="AA349" s="49"/>
      <c r="AB349" s="49"/>
      <c r="AC349" s="49"/>
      <c r="AD349" s="49"/>
      <c r="AE349" s="49"/>
      <c r="AF349" s="49"/>
      <c r="AG349" s="49"/>
      <c r="AH349" s="49"/>
      <c r="AI349" s="49"/>
      <c r="AJ349" s="49"/>
      <c r="AK349" s="49"/>
      <c r="AL349" s="49"/>
      <c r="AM349" s="49"/>
      <c r="AN349" s="49"/>
      <c r="AO349" s="49"/>
      <c r="AP349" s="49"/>
      <c r="AQ349" s="49"/>
      <c r="AR349" s="49"/>
      <c r="AS349" s="49"/>
      <c r="AT349" s="49"/>
      <c r="AU349" s="49"/>
      <c r="AV349" s="49"/>
      <c r="AW349" s="49"/>
      <c r="AX349" s="49"/>
      <c r="AY349" s="49"/>
      <c r="AZ349" s="49"/>
      <c r="BA349" s="49"/>
      <c r="BB349" s="49"/>
      <c r="BC349" s="49"/>
      <c r="BD349" s="49"/>
      <c r="BE349" s="49"/>
      <c r="BF349" s="49"/>
      <c r="BG349" s="49"/>
      <c r="BH349" s="49"/>
      <c r="BI349" s="49"/>
      <c r="BJ349" s="49"/>
      <c r="BK349" s="49"/>
      <c r="BL349" s="49"/>
      <c r="BM349" s="49"/>
      <c r="BN349" s="49"/>
      <c r="BO349" s="49"/>
      <c r="BP349" s="49"/>
      <c r="BQ349" s="49"/>
      <c r="BR349" s="49"/>
      <c r="BS349" s="49"/>
      <c r="BT349" s="49"/>
      <c r="BU349" s="49"/>
      <c r="BV349" s="49"/>
      <c r="BW349" s="49"/>
      <c r="BX349" s="49"/>
      <c r="BY349" s="49"/>
      <c r="BZ349" s="49"/>
      <c r="CA349" s="49"/>
      <c r="CB349" s="49"/>
      <c r="CC349" s="49"/>
      <c r="CD349" s="49"/>
      <c r="CE349" s="49"/>
      <c r="CF349" s="49"/>
      <c r="CG349" s="49"/>
      <c r="CH349" s="49"/>
      <c r="CI349" s="49"/>
      <c r="CJ349" s="49"/>
      <c r="CK349" s="49"/>
      <c r="CL349" s="49"/>
      <c r="CM349" s="49"/>
      <c r="CN349" s="49"/>
      <c r="CO349" s="49"/>
      <c r="CP349" s="49"/>
      <c r="CQ349" s="49"/>
      <c r="CT349" s="54"/>
      <c r="DE349" s="34"/>
    </row>
    <row r="350" spans="1:109" ht="14.5" x14ac:dyDescent="0.35">
      <c r="A350" s="19"/>
      <c r="B350" s="1"/>
      <c r="C350"/>
      <c r="D350"/>
      <c r="E350" s="38"/>
      <c r="F350" s="38"/>
      <c r="G350" s="38"/>
      <c r="H350" s="38"/>
      <c r="I350" s="38"/>
      <c r="J350" s="33"/>
      <c r="K350" s="46"/>
      <c r="O350" s="54"/>
      <c r="P350" s="54"/>
      <c r="Q350" s="54"/>
      <c r="R350" s="54"/>
      <c r="S350" s="47"/>
      <c r="T350" s="48"/>
      <c r="U350" s="48"/>
      <c r="V350" s="48"/>
      <c r="W350" s="48"/>
      <c r="X350" s="49"/>
      <c r="Y350" s="49"/>
      <c r="Z350" s="49"/>
      <c r="AA350" s="49"/>
      <c r="AB350" s="49"/>
      <c r="AC350" s="49"/>
      <c r="AD350" s="49"/>
      <c r="AE350" s="49"/>
      <c r="AF350" s="49"/>
      <c r="AG350" s="49"/>
      <c r="AH350" s="49"/>
      <c r="AI350" s="49"/>
      <c r="AJ350" s="49"/>
      <c r="AK350" s="49"/>
      <c r="AL350" s="49"/>
      <c r="AM350" s="49"/>
      <c r="AN350" s="49"/>
      <c r="AO350" s="49"/>
      <c r="AP350" s="49"/>
      <c r="AQ350" s="49"/>
      <c r="AR350" s="49"/>
      <c r="AS350" s="49"/>
      <c r="AT350" s="49"/>
      <c r="AU350" s="49"/>
      <c r="AV350" s="49"/>
      <c r="AW350" s="49"/>
      <c r="AX350" s="49"/>
      <c r="AY350" s="49"/>
      <c r="AZ350" s="49"/>
      <c r="BA350" s="49"/>
      <c r="BB350" s="49"/>
      <c r="BC350" s="49"/>
      <c r="BD350" s="49"/>
      <c r="BE350" s="49"/>
      <c r="BF350" s="49"/>
      <c r="BG350" s="49"/>
      <c r="BH350" s="49"/>
      <c r="BI350" s="49"/>
      <c r="BJ350" s="49"/>
      <c r="BK350" s="49"/>
      <c r="BL350" s="49"/>
      <c r="BM350" s="49"/>
      <c r="BN350" s="49"/>
      <c r="BO350" s="49"/>
      <c r="BP350" s="49"/>
      <c r="BQ350" s="49"/>
      <c r="BR350" s="49"/>
      <c r="BS350" s="49"/>
      <c r="BT350" s="49"/>
      <c r="BU350" s="49"/>
      <c r="BV350" s="49"/>
      <c r="BW350" s="49"/>
      <c r="BX350" s="49"/>
      <c r="BY350" s="49"/>
      <c r="BZ350" s="49"/>
      <c r="CA350" s="49"/>
      <c r="CB350" s="49"/>
      <c r="CC350" s="49"/>
      <c r="CD350" s="49"/>
      <c r="CE350" s="49"/>
      <c r="CF350" s="49"/>
      <c r="CG350" s="49"/>
      <c r="CH350" s="49"/>
      <c r="CI350" s="49"/>
      <c r="CJ350" s="49"/>
      <c r="CK350" s="49"/>
      <c r="CL350" s="49"/>
      <c r="CM350" s="49"/>
      <c r="CN350" s="49"/>
      <c r="CO350" s="49"/>
      <c r="CP350" s="49"/>
      <c r="CQ350" s="49"/>
      <c r="CT350" s="54"/>
      <c r="DE350" s="34"/>
    </row>
    <row r="351" spans="1:109" ht="14.5" x14ac:dyDescent="0.35">
      <c r="A351" s="19"/>
      <c r="B351" s="1"/>
      <c r="C351"/>
      <c r="D351"/>
      <c r="E351" s="38"/>
      <c r="F351" s="38"/>
      <c r="G351" s="38"/>
      <c r="H351" s="38"/>
      <c r="I351" s="38"/>
      <c r="J351" s="33"/>
      <c r="K351" s="46"/>
      <c r="O351" s="54"/>
      <c r="P351" s="54"/>
      <c r="Q351" s="54"/>
      <c r="R351" s="54"/>
      <c r="S351" s="47"/>
      <c r="T351" s="48"/>
      <c r="U351" s="48"/>
      <c r="V351" s="48"/>
      <c r="W351" s="48"/>
      <c r="X351" s="49"/>
      <c r="Y351" s="49"/>
      <c r="Z351" s="49"/>
      <c r="AA351" s="49"/>
      <c r="AB351" s="49"/>
      <c r="AC351" s="49"/>
      <c r="AD351" s="49"/>
      <c r="AE351" s="49"/>
      <c r="AF351" s="49"/>
      <c r="AG351" s="49"/>
      <c r="AH351" s="49"/>
      <c r="AI351" s="49"/>
      <c r="AJ351" s="49"/>
      <c r="AK351" s="49"/>
      <c r="AL351" s="49"/>
      <c r="AM351" s="49"/>
      <c r="AN351" s="49"/>
      <c r="AO351" s="49"/>
      <c r="AP351" s="49"/>
      <c r="AQ351" s="49"/>
      <c r="AR351" s="49"/>
      <c r="AS351" s="49"/>
      <c r="AT351" s="49"/>
      <c r="AU351" s="49"/>
      <c r="AV351" s="49"/>
      <c r="AW351" s="49"/>
      <c r="AX351" s="49"/>
      <c r="AY351" s="49"/>
      <c r="AZ351" s="49"/>
      <c r="BA351" s="49"/>
      <c r="BB351" s="49"/>
      <c r="BC351" s="49"/>
      <c r="BD351" s="49"/>
      <c r="BE351" s="49"/>
      <c r="BF351" s="49"/>
      <c r="BG351" s="49"/>
      <c r="BH351" s="49"/>
      <c r="BI351" s="49"/>
      <c r="BJ351" s="49"/>
      <c r="BK351" s="49"/>
      <c r="BL351" s="49"/>
      <c r="BM351" s="49"/>
      <c r="BN351" s="49"/>
      <c r="BO351" s="49"/>
      <c r="BP351" s="49"/>
      <c r="BQ351" s="49"/>
      <c r="BR351" s="49"/>
      <c r="BS351" s="49"/>
      <c r="BT351" s="49"/>
      <c r="BU351" s="49"/>
      <c r="BV351" s="49"/>
      <c r="BW351" s="49"/>
      <c r="BX351" s="49"/>
      <c r="BY351" s="49"/>
      <c r="BZ351" s="49"/>
      <c r="CA351" s="49"/>
      <c r="CB351" s="49"/>
      <c r="CC351" s="49"/>
      <c r="CD351" s="49"/>
      <c r="CE351" s="49"/>
      <c r="CF351" s="49"/>
      <c r="CG351" s="49"/>
      <c r="CH351" s="49"/>
      <c r="CI351" s="49"/>
      <c r="CJ351" s="49"/>
      <c r="CK351" s="49"/>
      <c r="CL351" s="49"/>
      <c r="CM351" s="49"/>
      <c r="CN351" s="49"/>
      <c r="CO351" s="49"/>
      <c r="CP351" s="49"/>
      <c r="CQ351" s="49"/>
      <c r="CT351" s="54"/>
      <c r="DE351" s="34"/>
    </row>
    <row r="352" spans="1:109" ht="14.5" x14ac:dyDescent="0.35">
      <c r="A352" s="19"/>
      <c r="B352" s="1"/>
      <c r="C352"/>
      <c r="D352"/>
      <c r="E352" s="38"/>
      <c r="F352" s="38"/>
      <c r="G352" s="38"/>
      <c r="H352" s="38"/>
      <c r="I352" s="38"/>
      <c r="J352" s="33"/>
      <c r="K352" s="46"/>
      <c r="O352" s="54"/>
      <c r="P352" s="54"/>
      <c r="Q352" s="54"/>
      <c r="R352" s="54"/>
      <c r="S352" s="47"/>
      <c r="T352" s="48"/>
      <c r="U352" s="48"/>
      <c r="V352" s="48"/>
      <c r="W352" s="48"/>
      <c r="X352" s="49"/>
      <c r="Y352" s="49"/>
      <c r="Z352" s="49"/>
      <c r="AA352" s="49"/>
      <c r="AB352" s="49"/>
      <c r="AC352" s="49"/>
      <c r="AD352" s="49"/>
      <c r="AE352" s="49"/>
      <c r="AF352" s="49"/>
      <c r="AG352" s="49"/>
      <c r="AH352" s="49"/>
      <c r="AI352" s="49"/>
      <c r="AJ352" s="49"/>
      <c r="AK352" s="49"/>
      <c r="AL352" s="49"/>
      <c r="AM352" s="49"/>
      <c r="AN352" s="49"/>
      <c r="AO352" s="49"/>
      <c r="AP352" s="49"/>
      <c r="AQ352" s="49"/>
      <c r="AR352" s="49"/>
      <c r="AS352" s="49"/>
      <c r="AT352" s="49"/>
      <c r="AU352" s="49"/>
      <c r="AV352" s="49"/>
      <c r="AW352" s="49"/>
      <c r="AX352" s="49"/>
      <c r="AY352" s="49"/>
      <c r="AZ352" s="49"/>
      <c r="BA352" s="49"/>
      <c r="BB352" s="49"/>
      <c r="BC352" s="49"/>
      <c r="BD352" s="49"/>
      <c r="BE352" s="49"/>
      <c r="BF352" s="49"/>
      <c r="BG352" s="49"/>
      <c r="BH352" s="49"/>
      <c r="BI352" s="49"/>
      <c r="BJ352" s="49"/>
      <c r="BK352" s="49"/>
      <c r="BL352" s="49"/>
      <c r="BM352" s="49"/>
      <c r="BN352" s="49"/>
      <c r="BO352" s="49"/>
      <c r="BP352" s="49"/>
      <c r="BQ352" s="49"/>
      <c r="BR352" s="49"/>
      <c r="BS352" s="49"/>
      <c r="BT352" s="49"/>
      <c r="BU352" s="49"/>
      <c r="BV352" s="49"/>
      <c r="BW352" s="49"/>
      <c r="BX352" s="49"/>
      <c r="BY352" s="49"/>
      <c r="BZ352" s="49"/>
      <c r="CA352" s="49"/>
      <c r="CB352" s="49"/>
      <c r="CC352" s="49"/>
      <c r="CD352" s="49"/>
      <c r="CE352" s="49"/>
      <c r="CF352" s="49"/>
      <c r="CG352" s="49"/>
      <c r="CH352" s="49"/>
      <c r="CI352" s="49"/>
      <c r="CJ352" s="49"/>
      <c r="CK352" s="49"/>
      <c r="CL352" s="49"/>
      <c r="CM352" s="49"/>
      <c r="CN352" s="49"/>
      <c r="CO352" s="49"/>
      <c r="CP352" s="49"/>
      <c r="CQ352" s="49"/>
      <c r="CT352" s="54"/>
      <c r="DE352" s="34"/>
    </row>
    <row r="353" spans="1:109" ht="14.5" x14ac:dyDescent="0.35">
      <c r="A353" s="19"/>
      <c r="B353" s="1"/>
      <c r="C353"/>
      <c r="D353"/>
      <c r="E353" s="38"/>
      <c r="F353" s="38"/>
      <c r="G353" s="38"/>
      <c r="H353" s="38"/>
      <c r="I353" s="38"/>
      <c r="J353" s="33"/>
      <c r="K353" s="46"/>
      <c r="O353" s="54"/>
      <c r="P353" s="54"/>
      <c r="Q353" s="54"/>
      <c r="R353" s="54"/>
      <c r="S353" s="47"/>
      <c r="T353" s="48"/>
      <c r="U353" s="48"/>
      <c r="V353" s="48"/>
      <c r="W353" s="48"/>
      <c r="X353" s="49"/>
      <c r="Y353" s="49"/>
      <c r="Z353" s="49"/>
      <c r="AA353" s="49"/>
      <c r="AB353" s="49"/>
      <c r="AC353" s="49"/>
      <c r="AD353" s="49"/>
      <c r="AE353" s="49"/>
      <c r="AF353" s="49"/>
      <c r="AG353" s="49"/>
      <c r="AH353" s="49"/>
      <c r="AI353" s="49"/>
      <c r="AJ353" s="49"/>
      <c r="AK353" s="49"/>
      <c r="AL353" s="49"/>
      <c r="AM353" s="49"/>
      <c r="AN353" s="49"/>
      <c r="AO353" s="49"/>
      <c r="AP353" s="49"/>
      <c r="AQ353" s="49"/>
      <c r="AR353" s="49"/>
      <c r="AS353" s="49"/>
      <c r="AT353" s="49"/>
      <c r="AU353" s="49"/>
      <c r="AV353" s="49"/>
      <c r="AW353" s="49"/>
      <c r="AX353" s="49"/>
      <c r="AY353" s="49"/>
      <c r="AZ353" s="49"/>
      <c r="BA353" s="49"/>
      <c r="BB353" s="49"/>
      <c r="BC353" s="49"/>
      <c r="BD353" s="49"/>
      <c r="BE353" s="49"/>
      <c r="BF353" s="49"/>
      <c r="BG353" s="49"/>
      <c r="BH353" s="49"/>
      <c r="BI353" s="49"/>
      <c r="BJ353" s="49"/>
      <c r="BK353" s="49"/>
      <c r="BL353" s="49"/>
      <c r="BM353" s="49"/>
      <c r="BN353" s="49"/>
      <c r="BO353" s="49"/>
      <c r="BP353" s="49"/>
      <c r="BQ353" s="49"/>
      <c r="BR353" s="49"/>
      <c r="BS353" s="49"/>
      <c r="BT353" s="49"/>
      <c r="BU353" s="49"/>
      <c r="BV353" s="49"/>
      <c r="BW353" s="49"/>
      <c r="BX353" s="49"/>
      <c r="BY353" s="49"/>
      <c r="BZ353" s="49"/>
      <c r="CA353" s="49"/>
      <c r="CB353" s="49"/>
      <c r="CC353" s="49"/>
      <c r="CD353" s="49"/>
      <c r="CE353" s="49"/>
      <c r="CF353" s="49"/>
      <c r="CG353" s="49"/>
      <c r="CH353" s="49"/>
      <c r="CI353" s="49"/>
      <c r="CJ353" s="49"/>
      <c r="CK353" s="49"/>
      <c r="CL353" s="49"/>
      <c r="CM353" s="49"/>
      <c r="CN353" s="49"/>
      <c r="CO353" s="49"/>
      <c r="CP353" s="49"/>
      <c r="CQ353" s="49"/>
      <c r="CT353" s="54"/>
      <c r="DE353" s="34"/>
    </row>
    <row r="354" spans="1:109" ht="14.5" x14ac:dyDescent="0.35">
      <c r="A354" s="19"/>
      <c r="B354" s="1"/>
      <c r="C354"/>
      <c r="D354"/>
      <c r="E354" s="38"/>
      <c r="F354" s="38"/>
      <c r="G354" s="38"/>
      <c r="H354" s="38"/>
      <c r="I354" s="38"/>
      <c r="J354" s="33"/>
      <c r="K354" s="46"/>
      <c r="O354" s="54"/>
      <c r="P354" s="54"/>
      <c r="Q354" s="54"/>
      <c r="R354" s="54"/>
      <c r="S354" s="47"/>
      <c r="T354" s="48"/>
      <c r="U354" s="48"/>
      <c r="V354" s="48"/>
      <c r="W354" s="48"/>
      <c r="X354" s="49"/>
      <c r="Y354" s="49"/>
      <c r="Z354" s="49"/>
      <c r="AA354" s="49"/>
      <c r="AB354" s="49"/>
      <c r="AC354" s="49"/>
      <c r="AD354" s="49"/>
      <c r="AE354" s="49"/>
      <c r="AF354" s="49"/>
      <c r="AG354" s="49"/>
      <c r="AH354" s="49"/>
      <c r="AI354" s="49"/>
      <c r="AJ354" s="49"/>
      <c r="AK354" s="49"/>
      <c r="AL354" s="49"/>
      <c r="AM354" s="49"/>
      <c r="AN354" s="49"/>
      <c r="AO354" s="49"/>
      <c r="AP354" s="49"/>
      <c r="AQ354" s="49"/>
      <c r="AR354" s="49"/>
      <c r="AS354" s="49"/>
      <c r="AT354" s="49"/>
      <c r="AU354" s="49"/>
      <c r="AV354" s="49"/>
      <c r="AW354" s="49"/>
      <c r="AX354" s="49"/>
      <c r="AY354" s="49"/>
      <c r="AZ354" s="49"/>
      <c r="BA354" s="49"/>
      <c r="BB354" s="49"/>
      <c r="BC354" s="49"/>
      <c r="BD354" s="49"/>
      <c r="BE354" s="49"/>
      <c r="BF354" s="49"/>
      <c r="BG354" s="49"/>
      <c r="BH354" s="49"/>
      <c r="BI354" s="49"/>
      <c r="BJ354" s="49"/>
      <c r="BK354" s="49"/>
      <c r="BL354" s="49"/>
      <c r="BM354" s="49"/>
      <c r="BN354" s="49"/>
      <c r="BO354" s="49"/>
      <c r="BP354" s="49"/>
      <c r="BQ354" s="49"/>
      <c r="BR354" s="49"/>
      <c r="BS354" s="49"/>
      <c r="BT354" s="49"/>
      <c r="BU354" s="49"/>
      <c r="BV354" s="49"/>
      <c r="BW354" s="49"/>
      <c r="BX354" s="49"/>
      <c r="BY354" s="49"/>
      <c r="BZ354" s="49"/>
      <c r="CA354" s="49"/>
      <c r="CB354" s="49"/>
      <c r="CC354" s="49"/>
      <c r="CD354" s="49"/>
      <c r="CE354" s="49"/>
      <c r="CF354" s="49"/>
      <c r="CG354" s="49"/>
      <c r="CH354" s="49"/>
      <c r="CI354" s="49"/>
      <c r="CJ354" s="49"/>
      <c r="CK354" s="49"/>
      <c r="CL354" s="49"/>
      <c r="CM354" s="49"/>
      <c r="CN354" s="49"/>
      <c r="CO354" s="49"/>
      <c r="CP354" s="49"/>
      <c r="CQ354" s="49"/>
      <c r="CT354" s="54"/>
      <c r="DE354" s="34"/>
    </row>
    <row r="355" spans="1:109" ht="14.5" x14ac:dyDescent="0.35">
      <c r="A355" s="19"/>
      <c r="B355" s="1"/>
      <c r="C355"/>
      <c r="D355"/>
      <c r="E355" s="38"/>
      <c r="F355" s="38"/>
      <c r="G355" s="38"/>
      <c r="H355" s="38"/>
      <c r="I355" s="38"/>
      <c r="J355" s="33"/>
      <c r="K355" s="46"/>
      <c r="O355" s="54"/>
      <c r="P355" s="54"/>
      <c r="Q355" s="54"/>
      <c r="R355" s="54"/>
      <c r="S355" s="47"/>
      <c r="T355" s="48"/>
      <c r="U355" s="48"/>
      <c r="V355" s="48"/>
      <c r="W355" s="48"/>
      <c r="X355" s="49"/>
      <c r="Y355" s="49"/>
      <c r="Z355" s="49"/>
      <c r="AA355" s="49"/>
      <c r="AB355" s="49"/>
      <c r="AC355" s="49"/>
      <c r="AD355" s="49"/>
      <c r="AE355" s="49"/>
      <c r="AF355" s="49"/>
      <c r="AG355" s="49"/>
      <c r="AH355" s="49"/>
      <c r="AI355" s="49"/>
      <c r="AJ355" s="49"/>
      <c r="AK355" s="49"/>
      <c r="AL355" s="49"/>
      <c r="AM355" s="49"/>
      <c r="AN355" s="49"/>
      <c r="AO355" s="49"/>
      <c r="AP355" s="49"/>
      <c r="AQ355" s="49"/>
      <c r="AR355" s="49"/>
      <c r="AS355" s="49"/>
      <c r="AT355" s="49"/>
      <c r="AU355" s="49"/>
      <c r="AV355" s="49"/>
      <c r="AW355" s="49"/>
      <c r="AX355" s="49"/>
      <c r="AY355" s="49"/>
      <c r="AZ355" s="49"/>
      <c r="BA355" s="49"/>
      <c r="BB355" s="49"/>
      <c r="BC355" s="49"/>
      <c r="BD355" s="49"/>
      <c r="BE355" s="49"/>
      <c r="BF355" s="49"/>
      <c r="BG355" s="49"/>
      <c r="BH355" s="49"/>
      <c r="BI355" s="49"/>
      <c r="BJ355" s="49"/>
      <c r="BK355" s="49"/>
      <c r="BL355" s="49"/>
      <c r="BM355" s="49"/>
      <c r="BN355" s="49"/>
      <c r="BO355" s="49"/>
      <c r="BP355" s="49"/>
      <c r="BQ355" s="49"/>
      <c r="BR355" s="49"/>
      <c r="BS355" s="49"/>
      <c r="BT355" s="49"/>
      <c r="BU355" s="49"/>
      <c r="BV355" s="49"/>
      <c r="BW355" s="49"/>
      <c r="BX355" s="49"/>
      <c r="BY355" s="49"/>
      <c r="BZ355" s="49"/>
      <c r="CA355" s="49"/>
      <c r="CB355" s="49"/>
      <c r="CC355" s="49"/>
      <c r="CD355" s="49"/>
      <c r="CE355" s="49"/>
      <c r="CF355" s="49"/>
      <c r="CG355" s="49"/>
      <c r="CH355" s="49"/>
      <c r="CI355" s="49"/>
      <c r="CJ355" s="49"/>
      <c r="CK355" s="49"/>
      <c r="CL355" s="49"/>
      <c r="CM355" s="49"/>
      <c r="CN355" s="49"/>
      <c r="CO355" s="49"/>
      <c r="CP355" s="49"/>
      <c r="CQ355" s="49"/>
      <c r="CT355" s="54"/>
      <c r="DE355" s="34"/>
    </row>
    <row r="356" spans="1:109" ht="14.5" x14ac:dyDescent="0.35">
      <c r="A356" s="19"/>
      <c r="B356" s="1"/>
      <c r="C356"/>
      <c r="D356"/>
      <c r="E356" s="38"/>
      <c r="F356" s="38"/>
      <c r="G356" s="38"/>
      <c r="H356" s="38"/>
      <c r="I356" s="38"/>
      <c r="J356" s="33"/>
      <c r="K356" s="46"/>
      <c r="O356" s="54"/>
      <c r="P356" s="54"/>
      <c r="Q356" s="54"/>
      <c r="R356" s="54"/>
      <c r="S356" s="47"/>
      <c r="T356" s="48"/>
      <c r="U356" s="48"/>
      <c r="V356" s="48"/>
      <c r="W356" s="48"/>
      <c r="X356" s="49"/>
      <c r="Y356" s="49"/>
      <c r="Z356" s="49"/>
      <c r="AA356" s="49"/>
      <c r="AB356" s="49"/>
      <c r="AC356" s="49"/>
      <c r="AD356" s="49"/>
      <c r="AE356" s="49"/>
      <c r="AF356" s="49"/>
      <c r="AG356" s="49"/>
      <c r="AH356" s="49"/>
      <c r="AI356" s="49"/>
      <c r="AJ356" s="49"/>
      <c r="AK356" s="49"/>
      <c r="AL356" s="49"/>
      <c r="AM356" s="49"/>
      <c r="AN356" s="49"/>
      <c r="AO356" s="49"/>
      <c r="AP356" s="49"/>
      <c r="AQ356" s="49"/>
      <c r="AR356" s="49"/>
      <c r="AS356" s="49"/>
      <c r="AT356" s="49"/>
      <c r="AU356" s="49"/>
      <c r="AV356" s="49"/>
      <c r="AW356" s="49"/>
      <c r="AX356" s="49"/>
      <c r="AY356" s="49"/>
      <c r="AZ356" s="49"/>
      <c r="BA356" s="49"/>
      <c r="BB356" s="49"/>
      <c r="BC356" s="49"/>
      <c r="BD356" s="49"/>
      <c r="BE356" s="49"/>
      <c r="BF356" s="49"/>
      <c r="BG356" s="49"/>
      <c r="BH356" s="49"/>
      <c r="BI356" s="49"/>
      <c r="BJ356" s="49"/>
      <c r="BK356" s="49"/>
      <c r="BL356" s="49"/>
      <c r="BM356" s="49"/>
      <c r="BN356" s="49"/>
      <c r="BO356" s="49"/>
      <c r="BP356" s="49"/>
      <c r="BQ356" s="49"/>
      <c r="BR356" s="49"/>
      <c r="BS356" s="49"/>
      <c r="BT356" s="49"/>
      <c r="BU356" s="49"/>
      <c r="BV356" s="49"/>
      <c r="BW356" s="49"/>
      <c r="BX356" s="49"/>
      <c r="BY356" s="49"/>
      <c r="BZ356" s="49"/>
      <c r="CA356" s="49"/>
      <c r="CB356" s="49"/>
      <c r="CC356" s="49"/>
      <c r="CD356" s="49"/>
      <c r="CE356" s="49"/>
      <c r="CF356" s="49"/>
      <c r="CG356" s="49"/>
      <c r="CH356" s="49"/>
      <c r="CI356" s="49"/>
      <c r="CJ356" s="49"/>
      <c r="CK356" s="49"/>
      <c r="CL356" s="49"/>
      <c r="CM356" s="49"/>
      <c r="CN356" s="49"/>
      <c r="CO356" s="49"/>
      <c r="CP356" s="49"/>
      <c r="CQ356" s="49"/>
      <c r="CT356" s="54"/>
      <c r="DE356" s="34"/>
    </row>
    <row r="357" spans="1:109" ht="14.5" x14ac:dyDescent="0.35">
      <c r="A357" s="19"/>
      <c r="B357" s="1"/>
      <c r="C357"/>
      <c r="D357"/>
      <c r="E357" s="38"/>
      <c r="F357" s="38"/>
      <c r="G357" s="38"/>
      <c r="H357" s="38"/>
      <c r="I357" s="38"/>
      <c r="J357" s="33"/>
      <c r="K357" s="46"/>
      <c r="O357" s="54"/>
      <c r="P357" s="54"/>
      <c r="Q357" s="54"/>
      <c r="R357" s="54"/>
      <c r="S357" s="47"/>
      <c r="T357" s="48"/>
      <c r="U357" s="48"/>
      <c r="V357" s="48"/>
      <c r="W357" s="48"/>
      <c r="X357" s="49"/>
      <c r="Y357" s="49"/>
      <c r="Z357" s="49"/>
      <c r="AA357" s="49"/>
      <c r="AB357" s="49"/>
      <c r="AC357" s="49"/>
      <c r="AD357" s="49"/>
      <c r="AE357" s="49"/>
      <c r="AF357" s="49"/>
      <c r="AG357" s="49"/>
      <c r="AH357" s="49"/>
      <c r="AI357" s="49"/>
      <c r="AJ357" s="49"/>
      <c r="AK357" s="49"/>
      <c r="AL357" s="49"/>
      <c r="AM357" s="49"/>
      <c r="AN357" s="49"/>
      <c r="AO357" s="49"/>
      <c r="AP357" s="49"/>
      <c r="AQ357" s="49"/>
      <c r="AR357" s="49"/>
      <c r="AS357" s="49"/>
      <c r="AT357" s="49"/>
      <c r="AU357" s="49"/>
      <c r="AV357" s="49"/>
      <c r="AW357" s="49"/>
      <c r="AX357" s="49"/>
      <c r="AY357" s="49"/>
      <c r="AZ357" s="49"/>
      <c r="BA357" s="49"/>
      <c r="BB357" s="49"/>
      <c r="BC357" s="49"/>
      <c r="BD357" s="49"/>
      <c r="BE357" s="49"/>
      <c r="BF357" s="49"/>
      <c r="BG357" s="49"/>
      <c r="BH357" s="49"/>
      <c r="BI357" s="49"/>
      <c r="BJ357" s="49"/>
      <c r="BK357" s="49"/>
      <c r="BL357" s="49"/>
      <c r="BM357" s="49"/>
      <c r="BN357" s="49"/>
      <c r="BO357" s="49"/>
      <c r="BP357" s="49"/>
      <c r="BQ357" s="49"/>
      <c r="BR357" s="49"/>
      <c r="BS357" s="49"/>
      <c r="BT357" s="49"/>
      <c r="BU357" s="49"/>
      <c r="BV357" s="49"/>
      <c r="BW357" s="49"/>
      <c r="BX357" s="49"/>
      <c r="BY357" s="49"/>
      <c r="BZ357" s="49"/>
      <c r="CA357" s="49"/>
      <c r="CB357" s="49"/>
      <c r="CC357" s="49"/>
      <c r="CD357" s="49"/>
      <c r="CE357" s="49"/>
      <c r="CF357" s="49"/>
      <c r="CG357" s="49"/>
      <c r="CH357" s="49"/>
      <c r="CI357" s="49"/>
      <c r="CJ357" s="49"/>
      <c r="CK357" s="49"/>
      <c r="CL357" s="49"/>
      <c r="CM357" s="49"/>
      <c r="CN357" s="49"/>
      <c r="CO357" s="49"/>
      <c r="CP357" s="49"/>
      <c r="CQ357" s="49"/>
      <c r="CT357" s="54"/>
      <c r="DE357" s="34"/>
    </row>
    <row r="358" spans="1:109" ht="14.5" x14ac:dyDescent="0.35">
      <c r="A358" s="19"/>
      <c r="B358" s="1"/>
      <c r="C358"/>
      <c r="D358"/>
      <c r="E358" s="38"/>
      <c r="F358" s="38"/>
      <c r="G358" s="38"/>
      <c r="H358" s="38"/>
      <c r="I358" s="38"/>
      <c r="J358" s="33"/>
      <c r="K358" s="46"/>
      <c r="O358" s="54"/>
      <c r="P358" s="54"/>
      <c r="Q358" s="54"/>
      <c r="R358" s="54"/>
      <c r="S358" s="47"/>
      <c r="T358" s="48"/>
      <c r="U358" s="48"/>
      <c r="V358" s="48"/>
      <c r="W358" s="48"/>
      <c r="X358" s="49"/>
      <c r="Y358" s="49"/>
      <c r="Z358" s="49"/>
      <c r="AA358" s="49"/>
      <c r="AB358" s="49"/>
      <c r="AC358" s="49"/>
      <c r="AD358" s="49"/>
      <c r="AE358" s="49"/>
      <c r="AF358" s="49"/>
      <c r="AG358" s="49"/>
      <c r="AH358" s="49"/>
      <c r="AI358" s="49"/>
      <c r="AJ358" s="49"/>
      <c r="AK358" s="49"/>
      <c r="AL358" s="49"/>
      <c r="AM358" s="49"/>
      <c r="AN358" s="49"/>
      <c r="AO358" s="49"/>
      <c r="AP358" s="49"/>
      <c r="AQ358" s="49"/>
      <c r="AR358" s="49"/>
      <c r="AS358" s="49"/>
      <c r="AT358" s="49"/>
      <c r="AU358" s="49"/>
      <c r="AV358" s="49"/>
      <c r="AW358" s="49"/>
      <c r="AX358" s="49"/>
      <c r="AY358" s="49"/>
      <c r="AZ358" s="49"/>
      <c r="BA358" s="49"/>
      <c r="BB358" s="49"/>
      <c r="BC358" s="49"/>
      <c r="BD358" s="49"/>
      <c r="BE358" s="49"/>
      <c r="BF358" s="49"/>
      <c r="BG358" s="49"/>
      <c r="BH358" s="49"/>
      <c r="BI358" s="49"/>
      <c r="BJ358" s="49"/>
      <c r="BK358" s="49"/>
      <c r="BL358" s="49"/>
      <c r="BM358" s="49"/>
      <c r="BN358" s="49"/>
      <c r="BO358" s="49"/>
      <c r="BP358" s="49"/>
      <c r="BQ358" s="49"/>
      <c r="BR358" s="49"/>
      <c r="BS358" s="49"/>
      <c r="BT358" s="49"/>
      <c r="BU358" s="49"/>
      <c r="BV358" s="49"/>
      <c r="BW358" s="49"/>
      <c r="BX358" s="49"/>
      <c r="BY358" s="49"/>
      <c r="BZ358" s="49"/>
      <c r="CA358" s="49"/>
      <c r="CB358" s="49"/>
      <c r="CC358" s="49"/>
      <c r="CD358" s="49"/>
      <c r="CE358" s="49"/>
      <c r="CF358" s="49"/>
      <c r="CG358" s="49"/>
      <c r="CH358" s="49"/>
      <c r="CI358" s="49"/>
      <c r="CJ358" s="49"/>
      <c r="CK358" s="49"/>
      <c r="CL358" s="49"/>
      <c r="CM358" s="49"/>
      <c r="CN358" s="49"/>
      <c r="CO358" s="49"/>
      <c r="CP358" s="49"/>
      <c r="CQ358" s="49"/>
      <c r="CT358" s="54"/>
      <c r="DE358" s="34"/>
    </row>
    <row r="359" spans="1:109" ht="14.5" x14ac:dyDescent="0.35">
      <c r="A359" s="19"/>
      <c r="B359" s="1"/>
      <c r="C359"/>
      <c r="D359"/>
      <c r="E359" s="38"/>
      <c r="F359" s="38"/>
      <c r="G359" s="38"/>
      <c r="H359" s="38"/>
      <c r="I359" s="38"/>
      <c r="J359" s="33"/>
      <c r="K359" s="46"/>
      <c r="O359" s="54"/>
      <c r="P359" s="54"/>
      <c r="Q359" s="54"/>
      <c r="R359" s="54"/>
      <c r="S359" s="47"/>
      <c r="T359" s="48"/>
      <c r="U359" s="48"/>
      <c r="V359" s="48"/>
      <c r="W359" s="48"/>
      <c r="X359" s="49"/>
      <c r="Y359" s="49"/>
      <c r="Z359" s="49"/>
      <c r="AA359" s="49"/>
      <c r="AB359" s="49"/>
      <c r="AC359" s="49"/>
      <c r="AD359" s="49"/>
      <c r="AE359" s="49"/>
      <c r="AF359" s="49"/>
      <c r="AG359" s="49"/>
      <c r="AH359" s="49"/>
      <c r="AI359" s="49"/>
      <c r="AJ359" s="49"/>
      <c r="AK359" s="49"/>
      <c r="AL359" s="49"/>
      <c r="AM359" s="49"/>
      <c r="AN359" s="49"/>
      <c r="AO359" s="49"/>
      <c r="AP359" s="49"/>
      <c r="AQ359" s="49"/>
      <c r="AR359" s="49"/>
      <c r="AS359" s="49"/>
      <c r="AT359" s="49"/>
      <c r="AU359" s="49"/>
      <c r="AV359" s="49"/>
      <c r="AW359" s="49"/>
      <c r="AX359" s="49"/>
      <c r="AY359" s="49"/>
      <c r="AZ359" s="49"/>
      <c r="BA359" s="49"/>
      <c r="BB359" s="49"/>
      <c r="BC359" s="49"/>
      <c r="BD359" s="49"/>
      <c r="BE359" s="49"/>
      <c r="BF359" s="49"/>
      <c r="BG359" s="49"/>
      <c r="BH359" s="49"/>
      <c r="BI359" s="49"/>
      <c r="BJ359" s="49"/>
      <c r="BK359" s="49"/>
      <c r="BL359" s="49"/>
      <c r="BM359" s="49"/>
      <c r="BN359" s="49"/>
      <c r="BO359" s="49"/>
      <c r="BP359" s="49"/>
      <c r="BQ359" s="49"/>
      <c r="BR359" s="49"/>
      <c r="BS359" s="49"/>
      <c r="BT359" s="49"/>
      <c r="BU359" s="49"/>
      <c r="BV359" s="49"/>
      <c r="BW359" s="49"/>
      <c r="BX359" s="49"/>
      <c r="BY359" s="49"/>
      <c r="BZ359" s="49"/>
      <c r="CA359" s="49"/>
      <c r="CB359" s="49"/>
      <c r="CC359" s="49"/>
      <c r="CD359" s="49"/>
      <c r="CE359" s="49"/>
      <c r="CF359" s="49"/>
      <c r="CG359" s="49"/>
      <c r="CH359" s="49"/>
      <c r="CI359" s="49"/>
      <c r="CJ359" s="49"/>
      <c r="CK359" s="49"/>
      <c r="CL359" s="49"/>
      <c r="CM359" s="49"/>
      <c r="CN359" s="49"/>
      <c r="CO359" s="49"/>
      <c r="CP359" s="49"/>
      <c r="CQ359" s="49"/>
      <c r="CT359" s="54"/>
      <c r="DE359" s="34"/>
    </row>
    <row r="360" spans="1:109" ht="14.5" x14ac:dyDescent="0.35">
      <c r="A360" s="19"/>
      <c r="B360" s="1"/>
      <c r="C360"/>
      <c r="D360"/>
      <c r="E360" s="38"/>
      <c r="F360" s="38"/>
      <c r="G360" s="38"/>
      <c r="H360" s="38"/>
      <c r="I360" s="38"/>
      <c r="J360" s="33"/>
      <c r="K360" s="46"/>
      <c r="O360" s="54"/>
      <c r="P360" s="54"/>
      <c r="Q360" s="54"/>
      <c r="R360" s="54"/>
      <c r="S360" s="47"/>
      <c r="T360" s="48"/>
      <c r="U360" s="48"/>
      <c r="V360" s="48"/>
      <c r="W360" s="48"/>
      <c r="X360" s="49"/>
      <c r="Y360" s="49"/>
      <c r="Z360" s="49"/>
      <c r="AA360" s="49"/>
      <c r="AB360" s="49"/>
      <c r="AC360" s="49"/>
      <c r="AD360" s="49"/>
      <c r="AE360" s="49"/>
      <c r="AF360" s="49"/>
      <c r="AG360" s="49"/>
      <c r="AH360" s="49"/>
      <c r="AI360" s="49"/>
      <c r="AJ360" s="49"/>
      <c r="AK360" s="49"/>
      <c r="AL360" s="49"/>
      <c r="AM360" s="49"/>
      <c r="AN360" s="49"/>
      <c r="AO360" s="49"/>
      <c r="AP360" s="49"/>
      <c r="AQ360" s="49"/>
      <c r="AR360" s="49"/>
      <c r="AS360" s="49"/>
      <c r="AT360" s="49"/>
      <c r="AU360" s="49"/>
      <c r="AV360" s="49"/>
      <c r="AW360" s="49"/>
      <c r="AX360" s="49"/>
      <c r="AY360" s="49"/>
      <c r="AZ360" s="49"/>
      <c r="BA360" s="49"/>
      <c r="BB360" s="49"/>
      <c r="BC360" s="49"/>
      <c r="BD360" s="49"/>
      <c r="BE360" s="49"/>
      <c r="BF360" s="49"/>
      <c r="BG360" s="49"/>
      <c r="BH360" s="49"/>
      <c r="BI360" s="49"/>
      <c r="BJ360" s="49"/>
      <c r="BK360" s="49"/>
      <c r="BL360" s="49"/>
      <c r="BM360" s="49"/>
      <c r="BN360" s="49"/>
      <c r="BO360" s="49"/>
      <c r="BP360" s="49"/>
      <c r="BQ360" s="49"/>
      <c r="BR360" s="49"/>
      <c r="BS360" s="49"/>
      <c r="BT360" s="49"/>
      <c r="BU360" s="49"/>
      <c r="BV360" s="49"/>
      <c r="BW360" s="49"/>
      <c r="BX360" s="49"/>
      <c r="BY360" s="49"/>
      <c r="BZ360" s="49"/>
      <c r="CA360" s="49"/>
      <c r="CB360" s="49"/>
      <c r="CC360" s="49"/>
      <c r="CD360" s="49"/>
      <c r="CE360" s="49"/>
      <c r="CF360" s="49"/>
      <c r="CG360" s="49"/>
      <c r="CH360" s="49"/>
      <c r="CI360" s="49"/>
      <c r="CJ360" s="49"/>
      <c r="CK360" s="49"/>
      <c r="CL360" s="49"/>
      <c r="CM360" s="49"/>
      <c r="CN360" s="49"/>
      <c r="CO360" s="49"/>
      <c r="CP360" s="49"/>
      <c r="CQ360" s="49"/>
      <c r="CT360" s="54"/>
      <c r="DE360" s="34"/>
    </row>
    <row r="361" spans="1:109" ht="14.5" x14ac:dyDescent="0.35">
      <c r="A361" s="19"/>
      <c r="B361" s="1"/>
      <c r="C361"/>
      <c r="D361"/>
      <c r="E361" s="38"/>
      <c r="F361" s="38"/>
      <c r="G361" s="38"/>
      <c r="H361" s="38"/>
      <c r="I361" s="38"/>
      <c r="J361" s="33"/>
      <c r="K361" s="46"/>
      <c r="O361" s="54"/>
      <c r="P361" s="54"/>
      <c r="Q361" s="54"/>
      <c r="R361" s="54"/>
      <c r="S361" s="47"/>
      <c r="T361" s="48"/>
      <c r="U361" s="48"/>
      <c r="V361" s="48"/>
      <c r="W361" s="48"/>
      <c r="X361" s="49"/>
      <c r="Y361" s="49"/>
      <c r="Z361" s="49"/>
      <c r="AA361" s="49"/>
      <c r="AB361" s="49"/>
      <c r="AC361" s="49"/>
      <c r="AD361" s="49"/>
      <c r="AE361" s="49"/>
      <c r="AF361" s="49"/>
      <c r="AG361" s="49"/>
      <c r="AH361" s="49"/>
      <c r="AI361" s="49"/>
      <c r="AJ361" s="49"/>
      <c r="AK361" s="49"/>
      <c r="AL361" s="49"/>
      <c r="AM361" s="49"/>
      <c r="AN361" s="49"/>
      <c r="AO361" s="49"/>
      <c r="AP361" s="49"/>
      <c r="AQ361" s="49"/>
      <c r="AR361" s="49"/>
      <c r="AS361" s="49"/>
      <c r="AT361" s="49"/>
      <c r="AU361" s="49"/>
      <c r="AV361" s="49"/>
      <c r="AW361" s="49"/>
      <c r="AX361" s="49"/>
      <c r="AY361" s="49"/>
      <c r="AZ361" s="49"/>
      <c r="BA361" s="49"/>
      <c r="BB361" s="49"/>
      <c r="BC361" s="49"/>
      <c r="BD361" s="49"/>
      <c r="BE361" s="49"/>
      <c r="BF361" s="49"/>
      <c r="BG361" s="49"/>
      <c r="BH361" s="49"/>
      <c r="BI361" s="49"/>
      <c r="BJ361" s="49"/>
      <c r="BK361" s="49"/>
      <c r="BL361" s="49"/>
      <c r="BM361" s="49"/>
      <c r="BN361" s="49"/>
      <c r="BO361" s="49"/>
      <c r="BP361" s="49"/>
      <c r="BQ361" s="49"/>
      <c r="BR361" s="49"/>
      <c r="BS361" s="49"/>
      <c r="BT361" s="49"/>
      <c r="BU361" s="49"/>
      <c r="BV361" s="49"/>
      <c r="BW361" s="49"/>
      <c r="BX361" s="49"/>
      <c r="BY361" s="49"/>
      <c r="BZ361" s="49"/>
      <c r="CA361" s="49"/>
      <c r="CB361" s="49"/>
      <c r="CC361" s="49"/>
      <c r="CD361" s="49"/>
      <c r="CE361" s="49"/>
      <c r="CF361" s="49"/>
      <c r="CG361" s="49"/>
      <c r="CH361" s="49"/>
      <c r="CI361" s="49"/>
      <c r="CJ361" s="49"/>
      <c r="CK361" s="49"/>
      <c r="CL361" s="49"/>
      <c r="CM361" s="49"/>
      <c r="CN361" s="49"/>
      <c r="CO361" s="49"/>
      <c r="CP361" s="49"/>
      <c r="CQ361" s="49"/>
      <c r="CT361" s="54"/>
      <c r="DE361" s="34"/>
    </row>
    <row r="362" spans="1:109" ht="14.5" x14ac:dyDescent="0.35">
      <c r="A362" s="19"/>
      <c r="B362" s="1"/>
      <c r="C362"/>
      <c r="D362"/>
      <c r="E362" s="38"/>
      <c r="F362" s="38"/>
      <c r="G362" s="38"/>
      <c r="H362" s="38"/>
      <c r="I362" s="38"/>
      <c r="J362" s="33"/>
      <c r="K362" s="46"/>
      <c r="O362" s="54"/>
      <c r="P362" s="54"/>
      <c r="Q362" s="54"/>
      <c r="R362" s="54"/>
      <c r="S362" s="47"/>
      <c r="T362" s="48"/>
      <c r="U362" s="48"/>
      <c r="V362" s="48"/>
      <c r="W362" s="48"/>
      <c r="X362" s="49"/>
      <c r="Y362" s="49"/>
      <c r="Z362" s="49"/>
      <c r="AA362" s="49"/>
      <c r="AB362" s="49"/>
      <c r="AC362" s="49"/>
      <c r="AD362" s="49"/>
      <c r="AE362" s="49"/>
      <c r="AF362" s="49"/>
      <c r="AG362" s="49"/>
      <c r="AH362" s="49"/>
      <c r="AI362" s="49"/>
      <c r="AJ362" s="49"/>
      <c r="AK362" s="49"/>
      <c r="AL362" s="49"/>
      <c r="AM362" s="49"/>
      <c r="AN362" s="49"/>
      <c r="AO362" s="49"/>
      <c r="AP362" s="49"/>
      <c r="AQ362" s="49"/>
      <c r="AR362" s="49"/>
      <c r="AS362" s="49"/>
      <c r="AT362" s="49"/>
      <c r="AU362" s="49"/>
      <c r="AV362" s="49"/>
      <c r="AW362" s="49"/>
      <c r="AX362" s="49"/>
      <c r="AY362" s="49"/>
      <c r="AZ362" s="49"/>
      <c r="BA362" s="49"/>
      <c r="BB362" s="49"/>
      <c r="BC362" s="49"/>
      <c r="BD362" s="49"/>
      <c r="BE362" s="49"/>
      <c r="BF362" s="49"/>
      <c r="BG362" s="49"/>
      <c r="BH362" s="49"/>
      <c r="BI362" s="49"/>
      <c r="BJ362" s="49"/>
      <c r="BK362" s="49"/>
      <c r="BL362" s="49"/>
      <c r="BM362" s="49"/>
      <c r="BN362" s="49"/>
      <c r="BO362" s="49"/>
      <c r="BP362" s="49"/>
      <c r="BQ362" s="49"/>
      <c r="BR362" s="49"/>
      <c r="BS362" s="49"/>
      <c r="BT362" s="49"/>
      <c r="BU362" s="49"/>
      <c r="BV362" s="49"/>
      <c r="BW362" s="49"/>
      <c r="BX362" s="49"/>
      <c r="BY362" s="49"/>
      <c r="BZ362" s="49"/>
      <c r="CA362" s="49"/>
      <c r="CB362" s="49"/>
      <c r="CC362" s="49"/>
      <c r="CD362" s="49"/>
      <c r="CE362" s="49"/>
      <c r="CF362" s="49"/>
      <c r="CG362" s="49"/>
      <c r="CH362" s="49"/>
      <c r="CI362" s="49"/>
      <c r="CJ362" s="49"/>
      <c r="CK362" s="49"/>
      <c r="CL362" s="49"/>
      <c r="CM362" s="49"/>
      <c r="CN362" s="49"/>
      <c r="CO362" s="49"/>
      <c r="CP362" s="49"/>
      <c r="CQ362" s="49"/>
      <c r="CT362" s="54"/>
      <c r="DE362" s="34"/>
    </row>
    <row r="363" spans="1:109" ht="14.5" x14ac:dyDescent="0.35">
      <c r="A363" s="19"/>
      <c r="B363" s="1"/>
      <c r="C363"/>
      <c r="D363"/>
      <c r="E363" s="38"/>
      <c r="F363" s="38"/>
      <c r="G363" s="38"/>
      <c r="H363" s="38"/>
      <c r="I363" s="38"/>
      <c r="J363" s="33"/>
      <c r="K363" s="46"/>
      <c r="O363" s="54"/>
      <c r="P363" s="54"/>
      <c r="Q363" s="54"/>
      <c r="R363" s="54"/>
      <c r="S363" s="47"/>
      <c r="T363" s="48"/>
      <c r="U363" s="48"/>
      <c r="V363" s="48"/>
      <c r="W363" s="48"/>
      <c r="X363" s="49"/>
      <c r="Y363" s="49"/>
      <c r="Z363" s="49"/>
      <c r="AA363" s="49"/>
      <c r="AB363" s="49"/>
      <c r="AC363" s="49"/>
      <c r="AD363" s="49"/>
      <c r="AE363" s="49"/>
      <c r="AF363" s="49"/>
      <c r="AG363" s="49"/>
      <c r="AH363" s="49"/>
      <c r="AI363" s="49"/>
      <c r="AJ363" s="49"/>
      <c r="AK363" s="49"/>
      <c r="AL363" s="49"/>
      <c r="AM363" s="49"/>
      <c r="AN363" s="49"/>
      <c r="AO363" s="49"/>
      <c r="AP363" s="49"/>
      <c r="AQ363" s="49"/>
      <c r="AR363" s="49"/>
      <c r="AS363" s="49"/>
      <c r="AT363" s="49"/>
      <c r="AU363" s="49"/>
      <c r="AV363" s="49"/>
      <c r="AW363" s="49"/>
      <c r="AX363" s="49"/>
      <c r="AY363" s="49"/>
      <c r="AZ363" s="49"/>
      <c r="BA363" s="49"/>
      <c r="BB363" s="49"/>
      <c r="BC363" s="49"/>
      <c r="BD363" s="49"/>
      <c r="BE363" s="49"/>
      <c r="BF363" s="49"/>
      <c r="BG363" s="49"/>
      <c r="BH363" s="49"/>
      <c r="BI363" s="49"/>
      <c r="BJ363" s="49"/>
      <c r="BK363" s="49"/>
      <c r="BL363" s="49"/>
      <c r="BM363" s="49"/>
      <c r="BN363" s="49"/>
      <c r="BO363" s="49"/>
      <c r="BP363" s="49"/>
      <c r="BQ363" s="49"/>
      <c r="BR363" s="49"/>
      <c r="BS363" s="49"/>
      <c r="BT363" s="49"/>
      <c r="BU363" s="49"/>
      <c r="BV363" s="49"/>
      <c r="BW363" s="49"/>
      <c r="BX363" s="49"/>
      <c r="BY363" s="49"/>
      <c r="BZ363" s="49"/>
      <c r="CA363" s="49"/>
      <c r="CB363" s="49"/>
      <c r="CC363" s="49"/>
      <c r="CD363" s="49"/>
      <c r="CE363" s="49"/>
      <c r="CF363" s="49"/>
      <c r="CG363" s="49"/>
      <c r="CH363" s="49"/>
      <c r="CI363" s="49"/>
      <c r="CJ363" s="49"/>
      <c r="CK363" s="49"/>
      <c r="CL363" s="49"/>
      <c r="CM363" s="49"/>
      <c r="CN363" s="49"/>
      <c r="CO363" s="49"/>
      <c r="CP363" s="49"/>
      <c r="CQ363" s="49"/>
      <c r="CT363" s="54"/>
      <c r="DE363" s="34"/>
    </row>
    <row r="364" spans="1:109" ht="14.5" x14ac:dyDescent="0.35">
      <c r="A364" s="19"/>
      <c r="B364" s="1"/>
      <c r="C364"/>
      <c r="D364"/>
      <c r="E364" s="38"/>
      <c r="F364" s="38"/>
      <c r="G364" s="38"/>
      <c r="H364" s="38"/>
      <c r="I364" s="38"/>
      <c r="J364" s="33"/>
      <c r="K364" s="46"/>
      <c r="O364" s="54"/>
      <c r="P364" s="54"/>
      <c r="Q364" s="54"/>
      <c r="R364" s="54"/>
      <c r="S364" s="47"/>
      <c r="T364" s="48"/>
      <c r="U364" s="48"/>
      <c r="V364" s="48"/>
      <c r="W364" s="48"/>
      <c r="X364" s="49"/>
      <c r="Y364" s="49"/>
      <c r="Z364" s="49"/>
      <c r="AA364" s="49"/>
      <c r="AB364" s="49"/>
      <c r="AC364" s="49"/>
      <c r="AD364" s="49"/>
      <c r="AE364" s="49"/>
      <c r="AF364" s="49"/>
      <c r="AG364" s="49"/>
      <c r="AH364" s="49"/>
      <c r="AI364" s="49"/>
      <c r="AJ364" s="49"/>
      <c r="AK364" s="49"/>
      <c r="AL364" s="49"/>
      <c r="AM364" s="49"/>
      <c r="AN364" s="49"/>
      <c r="AO364" s="49"/>
      <c r="AP364" s="49"/>
      <c r="AQ364" s="49"/>
      <c r="AR364" s="49"/>
      <c r="AS364" s="49"/>
      <c r="AT364" s="49"/>
      <c r="AU364" s="49"/>
      <c r="AV364" s="49"/>
      <c r="AW364" s="49"/>
      <c r="AX364" s="49"/>
      <c r="AY364" s="49"/>
      <c r="AZ364" s="49"/>
      <c r="BA364" s="49"/>
      <c r="BB364" s="49"/>
      <c r="BC364" s="49"/>
      <c r="BD364" s="49"/>
      <c r="BE364" s="49"/>
      <c r="BF364" s="49"/>
      <c r="BG364" s="49"/>
      <c r="BH364" s="49"/>
      <c r="BI364" s="49"/>
      <c r="BJ364" s="49"/>
      <c r="BK364" s="49"/>
      <c r="BL364" s="49"/>
      <c r="BM364" s="49"/>
      <c r="BN364" s="49"/>
      <c r="BO364" s="49"/>
      <c r="BP364" s="49"/>
      <c r="BQ364" s="49"/>
      <c r="BR364" s="49"/>
      <c r="BS364" s="49"/>
      <c r="BT364" s="49"/>
      <c r="BU364" s="49"/>
      <c r="BV364" s="49"/>
      <c r="BW364" s="49"/>
      <c r="BX364" s="49"/>
      <c r="BY364" s="49"/>
      <c r="BZ364" s="49"/>
      <c r="CA364" s="49"/>
      <c r="CB364" s="49"/>
      <c r="CC364" s="49"/>
      <c r="CD364" s="49"/>
      <c r="CE364" s="49"/>
      <c r="CF364" s="49"/>
      <c r="CG364" s="49"/>
      <c r="CH364" s="49"/>
      <c r="CI364" s="49"/>
      <c r="CJ364" s="49"/>
      <c r="CK364" s="49"/>
      <c r="CL364" s="49"/>
      <c r="CM364" s="49"/>
      <c r="CN364" s="49"/>
      <c r="CO364" s="49"/>
      <c r="CP364" s="49"/>
      <c r="CQ364" s="49"/>
      <c r="CT364" s="54"/>
      <c r="DE364" s="34"/>
    </row>
    <row r="365" spans="1:109" ht="14.5" x14ac:dyDescent="0.35">
      <c r="A365" s="19"/>
      <c r="B365" s="1"/>
      <c r="C365"/>
      <c r="D365"/>
      <c r="E365" s="38"/>
      <c r="F365" s="38"/>
      <c r="G365" s="38"/>
      <c r="H365" s="38"/>
      <c r="I365" s="38"/>
      <c r="J365" s="33"/>
      <c r="K365" s="46"/>
      <c r="O365" s="54"/>
      <c r="P365" s="54"/>
      <c r="Q365" s="54"/>
      <c r="R365" s="54"/>
      <c r="S365" s="47"/>
      <c r="T365" s="48"/>
      <c r="U365" s="48"/>
      <c r="V365" s="48"/>
      <c r="W365" s="48"/>
      <c r="X365" s="49"/>
      <c r="Y365" s="49"/>
      <c r="Z365" s="49"/>
      <c r="AA365" s="49"/>
      <c r="AB365" s="49"/>
      <c r="AC365" s="49"/>
      <c r="AD365" s="49"/>
      <c r="AE365" s="49"/>
      <c r="AF365" s="49"/>
      <c r="AG365" s="49"/>
      <c r="AH365" s="49"/>
      <c r="AI365" s="49"/>
      <c r="AJ365" s="49"/>
      <c r="AK365" s="49"/>
      <c r="AL365" s="49"/>
      <c r="AM365" s="49"/>
      <c r="AN365" s="49"/>
      <c r="AO365" s="49"/>
      <c r="AP365" s="49"/>
      <c r="AQ365" s="49"/>
      <c r="AR365" s="49"/>
      <c r="AS365" s="49"/>
      <c r="AT365" s="49"/>
      <c r="AU365" s="49"/>
      <c r="AV365" s="49"/>
      <c r="AW365" s="49"/>
      <c r="AX365" s="49"/>
      <c r="AY365" s="49"/>
      <c r="AZ365" s="49"/>
      <c r="BA365" s="49"/>
      <c r="BB365" s="49"/>
      <c r="BC365" s="49"/>
      <c r="BD365" s="49"/>
      <c r="BE365" s="49"/>
      <c r="BF365" s="49"/>
      <c r="BG365" s="49"/>
      <c r="BH365" s="49"/>
      <c r="BI365" s="49"/>
      <c r="BJ365" s="49"/>
      <c r="BK365" s="49"/>
      <c r="BL365" s="49"/>
      <c r="BM365" s="49"/>
      <c r="BN365" s="49"/>
      <c r="BO365" s="49"/>
      <c r="BP365" s="49"/>
      <c r="BQ365" s="49"/>
      <c r="BR365" s="49"/>
      <c r="BS365" s="49"/>
      <c r="BT365" s="49"/>
      <c r="BU365" s="49"/>
      <c r="BV365" s="49"/>
      <c r="BW365" s="49"/>
      <c r="BX365" s="49"/>
      <c r="BY365" s="49"/>
      <c r="BZ365" s="49"/>
      <c r="CA365" s="49"/>
      <c r="CB365" s="49"/>
      <c r="CC365" s="49"/>
      <c r="CD365" s="49"/>
      <c r="CE365" s="49"/>
      <c r="CF365" s="49"/>
      <c r="CG365" s="49"/>
      <c r="CH365" s="49"/>
      <c r="CI365" s="49"/>
      <c r="CJ365" s="49"/>
      <c r="CK365" s="49"/>
      <c r="CL365" s="49"/>
      <c r="CM365" s="49"/>
      <c r="CN365" s="49"/>
      <c r="CO365" s="49"/>
      <c r="CP365" s="49"/>
      <c r="CQ365" s="49"/>
      <c r="CT365" s="54"/>
      <c r="DE365" s="34"/>
    </row>
    <row r="366" spans="1:109" ht="14.5" x14ac:dyDescent="0.35">
      <c r="A366" s="19"/>
      <c r="B366" s="1"/>
      <c r="C366"/>
      <c r="D366"/>
      <c r="E366" s="38"/>
      <c r="F366" s="38"/>
      <c r="G366" s="38"/>
      <c r="H366" s="38"/>
      <c r="I366" s="38"/>
      <c r="J366" s="33"/>
      <c r="K366" s="46"/>
      <c r="O366" s="54"/>
      <c r="P366" s="54"/>
      <c r="Q366" s="54"/>
      <c r="R366" s="54"/>
      <c r="S366" s="47"/>
      <c r="T366" s="48"/>
      <c r="U366" s="48"/>
      <c r="V366" s="48"/>
      <c r="W366" s="48"/>
      <c r="X366" s="49"/>
      <c r="Y366" s="49"/>
      <c r="Z366" s="49"/>
      <c r="AA366" s="49"/>
      <c r="AB366" s="49"/>
      <c r="AC366" s="49"/>
      <c r="AD366" s="49"/>
      <c r="AE366" s="49"/>
      <c r="AF366" s="49"/>
      <c r="AG366" s="49"/>
      <c r="AH366" s="49"/>
      <c r="AI366" s="49"/>
      <c r="AJ366" s="49"/>
      <c r="AK366" s="49"/>
      <c r="AL366" s="49"/>
      <c r="AM366" s="49"/>
      <c r="AN366" s="49"/>
      <c r="AO366" s="49"/>
      <c r="AP366" s="49"/>
      <c r="AQ366" s="49"/>
      <c r="AR366" s="49"/>
      <c r="AS366" s="49"/>
      <c r="AT366" s="49"/>
      <c r="AU366" s="49"/>
      <c r="AV366" s="49"/>
      <c r="AW366" s="49"/>
      <c r="AX366" s="49"/>
      <c r="AY366" s="49"/>
      <c r="AZ366" s="49"/>
      <c r="BA366" s="49"/>
      <c r="BB366" s="49"/>
      <c r="BC366" s="49"/>
      <c r="BD366" s="49"/>
      <c r="BE366" s="49"/>
      <c r="BF366" s="49"/>
      <c r="BG366" s="49"/>
      <c r="BH366" s="49"/>
      <c r="BI366" s="49"/>
      <c r="BJ366" s="49"/>
      <c r="BK366" s="49"/>
      <c r="BL366" s="49"/>
      <c r="BM366" s="49"/>
      <c r="BN366" s="49"/>
      <c r="BO366" s="49"/>
      <c r="BP366" s="49"/>
      <c r="BQ366" s="49"/>
      <c r="BR366" s="49"/>
      <c r="BS366" s="49"/>
      <c r="BT366" s="49"/>
      <c r="BU366" s="49"/>
      <c r="BV366" s="49"/>
      <c r="BW366" s="49"/>
      <c r="BX366" s="49"/>
      <c r="BY366" s="49"/>
      <c r="BZ366" s="49"/>
      <c r="CA366" s="49"/>
      <c r="CB366" s="49"/>
      <c r="CC366" s="49"/>
      <c r="CD366" s="49"/>
      <c r="CE366" s="49"/>
      <c r="CF366" s="49"/>
      <c r="CG366" s="49"/>
      <c r="CH366" s="49"/>
      <c r="CI366" s="49"/>
      <c r="CJ366" s="49"/>
      <c r="CK366" s="49"/>
      <c r="CL366" s="49"/>
      <c r="CM366" s="49"/>
      <c r="CN366" s="49"/>
      <c r="CO366" s="49"/>
      <c r="CP366" s="49"/>
      <c r="CQ366" s="49"/>
      <c r="CT366" s="54"/>
      <c r="DE366" s="34"/>
    </row>
    <row r="367" spans="1:109" ht="14.5" x14ac:dyDescent="0.35">
      <c r="A367" s="19"/>
      <c r="B367" s="1"/>
      <c r="C367"/>
      <c r="D367"/>
      <c r="E367" s="38"/>
      <c r="F367" s="38"/>
      <c r="G367" s="38"/>
      <c r="H367" s="38"/>
      <c r="I367" s="38"/>
      <c r="J367" s="33"/>
      <c r="K367" s="46"/>
      <c r="O367" s="54"/>
      <c r="P367" s="54"/>
      <c r="Q367" s="54"/>
      <c r="R367" s="54"/>
      <c r="S367" s="47"/>
      <c r="T367" s="48"/>
      <c r="U367" s="48"/>
      <c r="V367" s="48"/>
      <c r="W367" s="48"/>
      <c r="X367" s="49"/>
      <c r="Y367" s="49"/>
      <c r="Z367" s="49"/>
      <c r="AA367" s="49"/>
      <c r="AB367" s="49"/>
      <c r="AC367" s="49"/>
      <c r="AD367" s="49"/>
      <c r="AE367" s="49"/>
      <c r="AF367" s="49"/>
      <c r="AG367" s="49"/>
      <c r="AH367" s="49"/>
      <c r="AI367" s="49"/>
      <c r="AJ367" s="49"/>
      <c r="AK367" s="49"/>
      <c r="AL367" s="49"/>
      <c r="AM367" s="49"/>
      <c r="AN367" s="49"/>
      <c r="AO367" s="49"/>
      <c r="AP367" s="49"/>
      <c r="AQ367" s="49"/>
      <c r="AR367" s="49"/>
      <c r="AS367" s="49"/>
      <c r="AT367" s="49"/>
      <c r="AU367" s="49"/>
      <c r="AV367" s="49"/>
      <c r="AW367" s="49"/>
      <c r="AX367" s="49"/>
      <c r="AY367" s="49"/>
      <c r="AZ367" s="49"/>
      <c r="BA367" s="49"/>
      <c r="BB367" s="49"/>
      <c r="BC367" s="49"/>
      <c r="BD367" s="49"/>
      <c r="BE367" s="49"/>
      <c r="BF367" s="49"/>
      <c r="BG367" s="49"/>
      <c r="BH367" s="49"/>
      <c r="BI367" s="49"/>
      <c r="BJ367" s="49"/>
      <c r="BK367" s="49"/>
      <c r="BL367" s="49"/>
      <c r="BM367" s="49"/>
      <c r="BN367" s="49"/>
      <c r="BO367" s="49"/>
      <c r="BP367" s="49"/>
      <c r="BQ367" s="49"/>
      <c r="BR367" s="49"/>
      <c r="BS367" s="49"/>
      <c r="BT367" s="49"/>
      <c r="BU367" s="49"/>
      <c r="BV367" s="49"/>
      <c r="BW367" s="49"/>
      <c r="BX367" s="49"/>
      <c r="BY367" s="49"/>
      <c r="BZ367" s="49"/>
      <c r="CA367" s="49"/>
      <c r="CB367" s="49"/>
      <c r="CC367" s="49"/>
      <c r="CD367" s="49"/>
      <c r="CE367" s="49"/>
      <c r="CF367" s="49"/>
      <c r="CG367" s="49"/>
      <c r="CH367" s="49"/>
      <c r="CI367" s="49"/>
      <c r="CJ367" s="49"/>
      <c r="CK367" s="49"/>
      <c r="CL367" s="49"/>
      <c r="CM367" s="49"/>
      <c r="CN367" s="49"/>
      <c r="CO367" s="49"/>
      <c r="CP367" s="49"/>
      <c r="CQ367" s="49"/>
      <c r="CT367" s="54"/>
      <c r="DE367" s="34"/>
    </row>
    <row r="368" spans="1:109" ht="14.5" x14ac:dyDescent="0.35">
      <c r="A368" s="19"/>
      <c r="B368" s="1"/>
      <c r="C368"/>
      <c r="D368"/>
      <c r="E368" s="38"/>
      <c r="F368" s="38"/>
      <c r="G368" s="38"/>
      <c r="H368" s="38"/>
      <c r="I368" s="38"/>
      <c r="J368" s="33"/>
      <c r="K368" s="46"/>
      <c r="O368" s="54"/>
      <c r="P368" s="54"/>
      <c r="Q368" s="54"/>
      <c r="R368" s="54"/>
      <c r="S368" s="47"/>
      <c r="T368" s="48"/>
      <c r="U368" s="48"/>
      <c r="V368" s="48"/>
      <c r="W368" s="48"/>
      <c r="X368" s="49"/>
      <c r="Y368" s="49"/>
      <c r="Z368" s="49"/>
      <c r="AA368" s="49"/>
      <c r="AB368" s="49"/>
      <c r="AC368" s="49"/>
      <c r="AD368" s="49"/>
      <c r="AE368" s="49"/>
      <c r="AF368" s="49"/>
      <c r="AG368" s="49"/>
      <c r="AH368" s="49"/>
      <c r="AI368" s="49"/>
      <c r="AJ368" s="49"/>
      <c r="AK368" s="49"/>
      <c r="AL368" s="49"/>
      <c r="AM368" s="49"/>
      <c r="AN368" s="49"/>
      <c r="AO368" s="49"/>
      <c r="AP368" s="49"/>
      <c r="AQ368" s="49"/>
      <c r="AR368" s="49"/>
      <c r="AS368" s="49"/>
      <c r="AT368" s="49"/>
      <c r="AU368" s="49"/>
      <c r="AV368" s="49"/>
      <c r="AW368" s="49"/>
      <c r="AX368" s="49"/>
      <c r="AY368" s="49"/>
      <c r="AZ368" s="49"/>
      <c r="BA368" s="49"/>
      <c r="BB368" s="49"/>
      <c r="BC368" s="49"/>
      <c r="BD368" s="49"/>
      <c r="BE368" s="49"/>
      <c r="BF368" s="49"/>
      <c r="BG368" s="49"/>
      <c r="BH368" s="49"/>
      <c r="BI368" s="49"/>
      <c r="BJ368" s="49"/>
      <c r="BK368" s="49"/>
      <c r="BL368" s="49"/>
      <c r="BM368" s="49"/>
      <c r="BN368" s="49"/>
      <c r="BO368" s="49"/>
      <c r="BP368" s="49"/>
      <c r="BQ368" s="49"/>
      <c r="BR368" s="49"/>
      <c r="BS368" s="49"/>
      <c r="BT368" s="49"/>
      <c r="BU368" s="49"/>
      <c r="BV368" s="49"/>
      <c r="BW368" s="49"/>
      <c r="BX368" s="49"/>
      <c r="BY368" s="49"/>
      <c r="BZ368" s="49"/>
      <c r="CA368" s="49"/>
      <c r="CB368" s="49"/>
      <c r="CC368" s="49"/>
      <c r="CD368" s="49"/>
      <c r="CE368" s="49"/>
      <c r="CF368" s="49"/>
      <c r="CG368" s="49"/>
      <c r="CH368" s="49"/>
      <c r="CI368" s="49"/>
      <c r="CJ368" s="49"/>
      <c r="CK368" s="49"/>
      <c r="CL368" s="49"/>
      <c r="CM368" s="49"/>
      <c r="CN368" s="49"/>
      <c r="CO368" s="49"/>
      <c r="CP368" s="49"/>
      <c r="CQ368" s="49"/>
      <c r="CT368" s="54"/>
      <c r="DE368" s="34"/>
    </row>
    <row r="369" spans="1:109" ht="14.5" x14ac:dyDescent="0.35">
      <c r="A369" s="19"/>
      <c r="B369" s="1"/>
      <c r="C369"/>
      <c r="D369"/>
      <c r="E369" s="38"/>
      <c r="F369" s="38"/>
      <c r="G369" s="38"/>
      <c r="H369" s="38"/>
      <c r="I369" s="38"/>
      <c r="J369" s="33"/>
      <c r="K369" s="46"/>
      <c r="O369" s="54"/>
      <c r="P369" s="54"/>
      <c r="Q369" s="54"/>
      <c r="R369" s="54"/>
      <c r="S369" s="47"/>
      <c r="T369" s="48"/>
      <c r="U369" s="48"/>
      <c r="V369" s="48"/>
      <c r="W369" s="48"/>
      <c r="X369" s="49"/>
      <c r="Y369" s="49"/>
      <c r="Z369" s="49"/>
      <c r="AA369" s="49"/>
      <c r="AB369" s="49"/>
      <c r="AC369" s="49"/>
      <c r="AD369" s="49"/>
      <c r="AE369" s="49"/>
      <c r="AF369" s="49"/>
      <c r="AG369" s="49"/>
      <c r="AH369" s="49"/>
      <c r="AI369" s="49"/>
      <c r="AJ369" s="49"/>
      <c r="AK369" s="49"/>
      <c r="AL369" s="49"/>
      <c r="AM369" s="49"/>
      <c r="AN369" s="49"/>
      <c r="AO369" s="49"/>
      <c r="AP369" s="49"/>
      <c r="AQ369" s="49"/>
      <c r="AR369" s="49"/>
      <c r="AS369" s="49"/>
      <c r="AT369" s="49"/>
      <c r="AU369" s="49"/>
      <c r="AV369" s="49"/>
      <c r="AW369" s="49"/>
      <c r="AX369" s="49"/>
      <c r="AY369" s="49"/>
      <c r="AZ369" s="49"/>
      <c r="BA369" s="49"/>
      <c r="BB369" s="49"/>
      <c r="BC369" s="49"/>
      <c r="BD369" s="49"/>
      <c r="BE369" s="49"/>
      <c r="BF369" s="49"/>
      <c r="BG369" s="49"/>
      <c r="BH369" s="49"/>
      <c r="BI369" s="49"/>
      <c r="BJ369" s="49"/>
      <c r="BK369" s="49"/>
      <c r="BL369" s="49"/>
      <c r="BM369" s="49"/>
      <c r="BN369" s="49"/>
      <c r="BO369" s="49"/>
      <c r="BP369" s="49"/>
      <c r="BQ369" s="49"/>
      <c r="BR369" s="49"/>
      <c r="BS369" s="49"/>
      <c r="BT369" s="49"/>
      <c r="BU369" s="49"/>
      <c r="BV369" s="49"/>
      <c r="BW369" s="49"/>
      <c r="BX369" s="49"/>
      <c r="BY369" s="49"/>
      <c r="BZ369" s="49"/>
      <c r="CA369" s="49"/>
      <c r="CB369" s="49"/>
      <c r="CC369" s="49"/>
      <c r="CD369" s="49"/>
      <c r="CE369" s="49"/>
      <c r="CF369" s="49"/>
      <c r="CG369" s="49"/>
      <c r="CH369" s="49"/>
      <c r="CI369" s="49"/>
      <c r="CJ369" s="49"/>
      <c r="CK369" s="49"/>
      <c r="CL369" s="49"/>
      <c r="CM369" s="49"/>
      <c r="CN369" s="49"/>
      <c r="CO369" s="49"/>
      <c r="CP369" s="49"/>
      <c r="CQ369" s="49"/>
      <c r="CT369" s="54"/>
      <c r="DE369" s="34"/>
    </row>
    <row r="370" spans="1:109" ht="14.5" x14ac:dyDescent="0.35">
      <c r="A370" s="19"/>
      <c r="B370" s="1"/>
      <c r="C370"/>
      <c r="D370"/>
      <c r="E370" s="38"/>
      <c r="F370" s="38"/>
      <c r="G370" s="38"/>
      <c r="H370" s="38"/>
      <c r="I370" s="38"/>
      <c r="J370" s="33"/>
      <c r="K370" s="46"/>
      <c r="O370" s="54"/>
      <c r="P370" s="54"/>
      <c r="Q370" s="54"/>
      <c r="R370" s="54"/>
      <c r="S370" s="47"/>
      <c r="T370" s="48"/>
      <c r="U370" s="48"/>
      <c r="V370" s="48"/>
      <c r="W370" s="48"/>
      <c r="X370" s="49"/>
      <c r="Y370" s="49"/>
      <c r="Z370" s="49"/>
      <c r="AA370" s="49"/>
      <c r="AB370" s="49"/>
      <c r="AC370" s="49"/>
      <c r="AD370" s="49"/>
      <c r="AE370" s="49"/>
      <c r="AF370" s="49"/>
      <c r="AG370" s="49"/>
      <c r="AH370" s="49"/>
      <c r="AI370" s="49"/>
      <c r="AJ370" s="49"/>
      <c r="AK370" s="49"/>
      <c r="AL370" s="49"/>
      <c r="AM370" s="49"/>
      <c r="AN370" s="49"/>
      <c r="AO370" s="49"/>
      <c r="AP370" s="49"/>
      <c r="AQ370" s="49"/>
      <c r="AR370" s="49"/>
      <c r="AS370" s="49"/>
      <c r="AT370" s="49"/>
      <c r="AU370" s="49"/>
      <c r="AV370" s="49"/>
      <c r="AW370" s="49"/>
      <c r="AX370" s="49"/>
      <c r="AY370" s="49"/>
      <c r="AZ370" s="49"/>
      <c r="BA370" s="49"/>
      <c r="BB370" s="49"/>
      <c r="BC370" s="49"/>
      <c r="BD370" s="49"/>
      <c r="BE370" s="49"/>
      <c r="BF370" s="49"/>
      <c r="BG370" s="49"/>
      <c r="BH370" s="49"/>
      <c r="BI370" s="49"/>
      <c r="BJ370" s="49"/>
      <c r="BK370" s="49"/>
      <c r="BL370" s="49"/>
      <c r="BM370" s="49"/>
      <c r="BN370" s="49"/>
      <c r="BO370" s="49"/>
      <c r="BP370" s="49"/>
      <c r="BQ370" s="49"/>
      <c r="BR370" s="49"/>
      <c r="BS370" s="49"/>
      <c r="BT370" s="49"/>
      <c r="BU370" s="49"/>
      <c r="BV370" s="49"/>
      <c r="BW370" s="49"/>
      <c r="BX370" s="49"/>
      <c r="BY370" s="49"/>
      <c r="BZ370" s="49"/>
      <c r="CA370" s="49"/>
      <c r="CB370" s="49"/>
      <c r="CC370" s="49"/>
      <c r="CD370" s="49"/>
      <c r="CE370" s="49"/>
      <c r="CF370" s="49"/>
      <c r="CG370" s="49"/>
      <c r="CH370" s="49"/>
      <c r="CI370" s="49"/>
      <c r="CJ370" s="49"/>
      <c r="CK370" s="49"/>
      <c r="CL370" s="49"/>
      <c r="CM370" s="49"/>
      <c r="CN370" s="49"/>
      <c r="CO370" s="49"/>
      <c r="CP370" s="49"/>
      <c r="CQ370" s="49"/>
      <c r="CT370" s="54"/>
      <c r="DE370" s="34"/>
    </row>
    <row r="371" spans="1:109" ht="14.5" x14ac:dyDescent="0.35">
      <c r="A371" s="19"/>
      <c r="B371" s="1"/>
      <c r="C371"/>
      <c r="D371"/>
      <c r="E371" s="38"/>
      <c r="F371" s="38"/>
      <c r="G371" s="38"/>
      <c r="H371" s="38"/>
      <c r="I371" s="38"/>
      <c r="J371" s="33"/>
      <c r="K371" s="46"/>
      <c r="O371" s="54"/>
      <c r="P371" s="54"/>
      <c r="Q371" s="54"/>
      <c r="R371" s="54"/>
      <c r="S371" s="47"/>
      <c r="T371" s="48"/>
      <c r="U371" s="48"/>
      <c r="V371" s="48"/>
      <c r="W371" s="48"/>
      <c r="X371" s="49"/>
      <c r="Y371" s="49"/>
      <c r="Z371" s="49"/>
      <c r="AA371" s="49"/>
      <c r="AB371" s="49"/>
      <c r="AC371" s="49"/>
      <c r="AD371" s="49"/>
      <c r="AE371" s="49"/>
      <c r="AF371" s="49"/>
      <c r="AG371" s="49"/>
      <c r="AH371" s="49"/>
      <c r="AI371" s="49"/>
      <c r="AJ371" s="49"/>
      <c r="AK371" s="49"/>
      <c r="AL371" s="49"/>
      <c r="AM371" s="49"/>
      <c r="AN371" s="49"/>
      <c r="AO371" s="49"/>
      <c r="AP371" s="49"/>
      <c r="AQ371" s="49"/>
      <c r="AR371" s="49"/>
      <c r="AS371" s="49"/>
      <c r="AT371" s="49"/>
      <c r="AU371" s="49"/>
      <c r="AV371" s="49"/>
      <c r="AW371" s="49"/>
      <c r="AX371" s="49"/>
      <c r="AY371" s="49"/>
      <c r="AZ371" s="49"/>
      <c r="BA371" s="49"/>
      <c r="BB371" s="49"/>
      <c r="BC371" s="49"/>
      <c r="BD371" s="49"/>
      <c r="BE371" s="49"/>
      <c r="BF371" s="49"/>
      <c r="BG371" s="49"/>
      <c r="BH371" s="49"/>
      <c r="BI371" s="49"/>
      <c r="BJ371" s="49"/>
      <c r="BK371" s="49"/>
      <c r="BL371" s="49"/>
      <c r="BM371" s="49"/>
      <c r="BN371" s="49"/>
      <c r="BO371" s="49"/>
      <c r="BP371" s="49"/>
      <c r="BQ371" s="49"/>
      <c r="BR371" s="49"/>
      <c r="BS371" s="49"/>
      <c r="BT371" s="49"/>
      <c r="BU371" s="49"/>
      <c r="BV371" s="49"/>
      <c r="BW371" s="49"/>
      <c r="BX371" s="49"/>
      <c r="BY371" s="49"/>
      <c r="BZ371" s="49"/>
      <c r="CA371" s="49"/>
      <c r="CB371" s="49"/>
      <c r="CC371" s="49"/>
      <c r="CD371" s="49"/>
      <c r="CE371" s="49"/>
      <c r="CF371" s="49"/>
      <c r="CG371" s="49"/>
      <c r="CH371" s="49"/>
      <c r="CI371" s="49"/>
      <c r="CJ371" s="49"/>
      <c r="CK371" s="49"/>
      <c r="CL371" s="49"/>
      <c r="CM371" s="49"/>
      <c r="CN371" s="49"/>
      <c r="CO371" s="49"/>
      <c r="CP371" s="49"/>
      <c r="CQ371" s="49"/>
      <c r="CT371" s="54"/>
      <c r="DE371" s="34"/>
    </row>
    <row r="372" spans="1:109" ht="14.5" x14ac:dyDescent="0.35">
      <c r="A372" s="19"/>
      <c r="B372" s="1"/>
      <c r="C372"/>
      <c r="D372"/>
      <c r="E372" s="38"/>
      <c r="F372" s="38"/>
      <c r="G372" s="38"/>
      <c r="H372" s="38"/>
      <c r="I372" s="38"/>
      <c r="J372" s="33"/>
      <c r="K372" s="46"/>
      <c r="O372" s="54"/>
      <c r="P372" s="54"/>
      <c r="Q372" s="54"/>
      <c r="R372" s="54"/>
      <c r="S372" s="47"/>
      <c r="T372" s="48"/>
      <c r="U372" s="48"/>
      <c r="V372" s="48"/>
      <c r="W372" s="48"/>
      <c r="X372" s="49"/>
      <c r="Y372" s="49"/>
      <c r="Z372" s="49"/>
      <c r="AA372" s="49"/>
      <c r="AB372" s="49"/>
      <c r="AC372" s="49"/>
      <c r="AD372" s="49"/>
      <c r="AE372" s="49"/>
      <c r="AF372" s="49"/>
      <c r="AG372" s="49"/>
      <c r="AH372" s="49"/>
      <c r="AI372" s="49"/>
      <c r="AJ372" s="49"/>
      <c r="AK372" s="49"/>
      <c r="AL372" s="49"/>
      <c r="AM372" s="49"/>
      <c r="AN372" s="49"/>
      <c r="AO372" s="49"/>
      <c r="AP372" s="49"/>
      <c r="AQ372" s="49"/>
      <c r="AR372" s="49"/>
      <c r="AS372" s="49"/>
      <c r="AT372" s="49"/>
      <c r="AU372" s="49"/>
      <c r="AV372" s="49"/>
      <c r="AW372" s="49"/>
      <c r="AX372" s="49"/>
      <c r="AY372" s="49"/>
      <c r="AZ372" s="49"/>
      <c r="BA372" s="49"/>
      <c r="BB372" s="49"/>
      <c r="BC372" s="49"/>
      <c r="BD372" s="49"/>
      <c r="BE372" s="49"/>
      <c r="BF372" s="49"/>
      <c r="BG372" s="49"/>
      <c r="BH372" s="49"/>
      <c r="BI372" s="49"/>
      <c r="BJ372" s="49"/>
      <c r="BK372" s="49"/>
      <c r="BL372" s="49"/>
      <c r="BM372" s="49"/>
      <c r="BN372" s="49"/>
      <c r="BO372" s="49"/>
      <c r="BP372" s="49"/>
      <c r="BQ372" s="49"/>
      <c r="BR372" s="49"/>
      <c r="BS372" s="49"/>
      <c r="BT372" s="49"/>
      <c r="BU372" s="49"/>
      <c r="BV372" s="49"/>
      <c r="BW372" s="49"/>
      <c r="BX372" s="49"/>
      <c r="BY372" s="49"/>
      <c r="BZ372" s="49"/>
      <c r="CA372" s="49"/>
      <c r="CB372" s="49"/>
      <c r="CC372" s="49"/>
      <c r="CD372" s="49"/>
      <c r="CE372" s="49"/>
      <c r="CF372" s="49"/>
      <c r="CG372" s="49"/>
      <c r="CH372" s="49"/>
      <c r="CI372" s="49"/>
      <c r="CJ372" s="49"/>
      <c r="CK372" s="49"/>
      <c r="CL372" s="49"/>
      <c r="CM372" s="49"/>
      <c r="CN372" s="49"/>
      <c r="CO372" s="49"/>
      <c r="CP372" s="49"/>
      <c r="CQ372" s="49"/>
      <c r="CT372" s="54"/>
      <c r="DE372" s="34"/>
    </row>
    <row r="373" spans="1:109" ht="14.5" x14ac:dyDescent="0.35">
      <c r="A373" s="19"/>
      <c r="B373" s="1"/>
      <c r="C373"/>
      <c r="D373"/>
      <c r="E373" s="38"/>
      <c r="F373" s="38"/>
      <c r="G373" s="38"/>
      <c r="H373" s="38"/>
      <c r="I373" s="38"/>
      <c r="J373" s="33"/>
      <c r="K373" s="46"/>
      <c r="O373" s="54"/>
      <c r="P373" s="54"/>
      <c r="Q373" s="54"/>
      <c r="R373" s="54"/>
      <c r="S373" s="47"/>
      <c r="T373" s="48"/>
      <c r="U373" s="48"/>
      <c r="V373" s="48"/>
      <c r="W373" s="48"/>
      <c r="X373" s="49"/>
      <c r="Y373" s="49"/>
      <c r="Z373" s="49"/>
      <c r="AA373" s="49"/>
      <c r="AB373" s="49"/>
      <c r="AC373" s="49"/>
      <c r="AD373" s="49"/>
      <c r="AE373" s="49"/>
      <c r="AF373" s="49"/>
      <c r="AG373" s="49"/>
      <c r="AH373" s="49"/>
      <c r="AI373" s="49"/>
      <c r="AJ373" s="49"/>
      <c r="AK373" s="49"/>
      <c r="AL373" s="49"/>
      <c r="AM373" s="49"/>
      <c r="AN373" s="49"/>
      <c r="AO373" s="49"/>
      <c r="AP373" s="49"/>
      <c r="AQ373" s="49"/>
      <c r="AR373" s="49"/>
      <c r="AS373" s="49"/>
      <c r="AT373" s="49"/>
      <c r="AU373" s="49"/>
      <c r="AV373" s="49"/>
      <c r="AW373" s="49"/>
      <c r="AX373" s="49"/>
      <c r="AY373" s="49"/>
      <c r="AZ373" s="49"/>
      <c r="BA373" s="49"/>
      <c r="BB373" s="49"/>
      <c r="BC373" s="49"/>
      <c r="BD373" s="49"/>
      <c r="BE373" s="49"/>
      <c r="BF373" s="49"/>
      <c r="BG373" s="49"/>
      <c r="BH373" s="49"/>
      <c r="BI373" s="49"/>
      <c r="BJ373" s="49"/>
      <c r="BK373" s="49"/>
      <c r="BL373" s="49"/>
      <c r="BM373" s="49"/>
      <c r="BN373" s="49"/>
      <c r="BO373" s="49"/>
      <c r="BP373" s="49"/>
      <c r="BQ373" s="49"/>
      <c r="BR373" s="49"/>
      <c r="BS373" s="49"/>
      <c r="BT373" s="49"/>
      <c r="BU373" s="49"/>
      <c r="BV373" s="49"/>
      <c r="BW373" s="49"/>
      <c r="BX373" s="49"/>
      <c r="BY373" s="49"/>
      <c r="BZ373" s="49"/>
      <c r="CA373" s="49"/>
      <c r="CB373" s="49"/>
      <c r="CC373" s="49"/>
      <c r="CD373" s="49"/>
      <c r="CE373" s="49"/>
      <c r="CF373" s="49"/>
      <c r="CG373" s="49"/>
      <c r="CH373" s="49"/>
      <c r="CI373" s="49"/>
      <c r="CJ373" s="49"/>
      <c r="CK373" s="49"/>
      <c r="CL373" s="49"/>
      <c r="CM373" s="49"/>
      <c r="CN373" s="49"/>
      <c r="CO373" s="49"/>
      <c r="CP373" s="49"/>
      <c r="CQ373" s="49"/>
      <c r="CT373" s="54"/>
      <c r="DE373" s="34"/>
    </row>
    <row r="374" spans="1:109" ht="14.5" x14ac:dyDescent="0.35">
      <c r="A374" s="19"/>
      <c r="B374" s="1"/>
      <c r="C374"/>
      <c r="D374"/>
      <c r="E374" s="38"/>
      <c r="F374" s="38"/>
      <c r="G374" s="38"/>
      <c r="H374" s="38"/>
      <c r="I374" s="38"/>
      <c r="J374" s="33"/>
      <c r="K374" s="46"/>
      <c r="O374" s="54"/>
      <c r="P374" s="54"/>
      <c r="Q374" s="54"/>
      <c r="R374" s="54"/>
      <c r="S374" s="47"/>
      <c r="T374" s="48"/>
      <c r="U374" s="48"/>
      <c r="V374" s="48"/>
      <c r="W374" s="48"/>
      <c r="X374" s="49"/>
      <c r="Y374" s="49"/>
      <c r="Z374" s="49"/>
      <c r="AA374" s="49"/>
      <c r="AB374" s="49"/>
      <c r="AC374" s="49"/>
      <c r="AD374" s="49"/>
      <c r="AE374" s="49"/>
      <c r="AF374" s="49"/>
      <c r="AG374" s="49"/>
      <c r="AH374" s="49"/>
      <c r="AI374" s="49"/>
      <c r="AJ374" s="49"/>
      <c r="AK374" s="49"/>
      <c r="AL374" s="49"/>
      <c r="AM374" s="49"/>
      <c r="AN374" s="49"/>
      <c r="AO374" s="49"/>
      <c r="AP374" s="49"/>
      <c r="AQ374" s="49"/>
      <c r="AR374" s="49"/>
      <c r="AS374" s="49"/>
      <c r="AT374" s="49"/>
      <c r="AU374" s="49"/>
      <c r="AV374" s="49"/>
      <c r="AW374" s="49"/>
      <c r="AX374" s="49"/>
      <c r="AY374" s="49"/>
      <c r="AZ374" s="49"/>
      <c r="BA374" s="49"/>
      <c r="BB374" s="49"/>
      <c r="BC374" s="49"/>
      <c r="BD374" s="49"/>
      <c r="BE374" s="49"/>
      <c r="BF374" s="49"/>
      <c r="BG374" s="49"/>
      <c r="BH374" s="49"/>
      <c r="BI374" s="49"/>
      <c r="BJ374" s="49"/>
      <c r="BK374" s="49"/>
      <c r="BL374" s="49"/>
      <c r="BM374" s="49"/>
      <c r="BN374" s="49"/>
      <c r="BO374" s="49"/>
      <c r="BP374" s="49"/>
      <c r="BQ374" s="49"/>
      <c r="BR374" s="49"/>
      <c r="BS374" s="49"/>
      <c r="BT374" s="49"/>
      <c r="BU374" s="49"/>
      <c r="BV374" s="49"/>
      <c r="BW374" s="49"/>
      <c r="BX374" s="49"/>
      <c r="BY374" s="49"/>
      <c r="BZ374" s="49"/>
      <c r="CA374" s="49"/>
      <c r="CB374" s="49"/>
      <c r="CC374" s="49"/>
      <c r="CD374" s="49"/>
      <c r="CE374" s="49"/>
      <c r="CF374" s="49"/>
      <c r="CG374" s="49"/>
      <c r="CH374" s="49"/>
      <c r="CI374" s="49"/>
      <c r="CJ374" s="49"/>
      <c r="CK374" s="49"/>
      <c r="CL374" s="49"/>
      <c r="CM374" s="49"/>
      <c r="CN374" s="49"/>
      <c r="CO374" s="49"/>
      <c r="CP374" s="49"/>
      <c r="CQ374" s="49"/>
      <c r="CT374" s="54"/>
      <c r="DE374" s="34"/>
    </row>
    <row r="375" spans="1:109" ht="14.5" x14ac:dyDescent="0.35">
      <c r="A375" s="19"/>
      <c r="B375" s="1"/>
      <c r="C375"/>
      <c r="D375"/>
      <c r="E375" s="38"/>
      <c r="F375" s="38"/>
      <c r="G375" s="38"/>
      <c r="H375" s="38"/>
      <c r="I375" s="38"/>
      <c r="J375" s="33"/>
      <c r="K375" s="46"/>
      <c r="O375" s="54"/>
      <c r="P375" s="54"/>
      <c r="Q375" s="54"/>
      <c r="R375" s="54"/>
      <c r="S375" s="47"/>
      <c r="T375" s="48"/>
      <c r="U375" s="48"/>
      <c r="V375" s="48"/>
      <c r="W375" s="48"/>
      <c r="X375" s="49"/>
      <c r="Y375" s="49"/>
      <c r="Z375" s="49"/>
      <c r="AA375" s="49"/>
      <c r="AB375" s="49"/>
      <c r="AC375" s="49"/>
      <c r="AD375" s="49"/>
      <c r="AE375" s="49"/>
      <c r="AF375" s="49"/>
      <c r="AG375" s="49"/>
      <c r="AH375" s="49"/>
      <c r="AI375" s="49"/>
      <c r="AJ375" s="49"/>
      <c r="AK375" s="49"/>
      <c r="AL375" s="49"/>
      <c r="AM375" s="49"/>
      <c r="AN375" s="49"/>
      <c r="AO375" s="49"/>
      <c r="AP375" s="49"/>
      <c r="AQ375" s="49"/>
      <c r="AR375" s="49"/>
      <c r="AS375" s="49"/>
      <c r="AT375" s="49"/>
      <c r="AU375" s="49"/>
      <c r="AV375" s="49"/>
      <c r="AW375" s="49"/>
      <c r="AX375" s="49"/>
      <c r="AY375" s="49"/>
      <c r="AZ375" s="49"/>
      <c r="BA375" s="49"/>
      <c r="BB375" s="49"/>
      <c r="BC375" s="49"/>
      <c r="BD375" s="49"/>
      <c r="BE375" s="49"/>
      <c r="BF375" s="49"/>
      <c r="BG375" s="49"/>
      <c r="BH375" s="49"/>
      <c r="BI375" s="49"/>
      <c r="BJ375" s="49"/>
      <c r="BK375" s="49"/>
      <c r="BL375" s="49"/>
      <c r="BM375" s="49"/>
      <c r="BN375" s="49"/>
      <c r="BO375" s="49"/>
      <c r="BP375" s="49"/>
      <c r="BQ375" s="49"/>
      <c r="BR375" s="49"/>
      <c r="BS375" s="49"/>
      <c r="BT375" s="49"/>
      <c r="BU375" s="49"/>
      <c r="BV375" s="49"/>
      <c r="BW375" s="49"/>
      <c r="BX375" s="49"/>
      <c r="BY375" s="49"/>
      <c r="BZ375" s="49"/>
      <c r="CA375" s="49"/>
      <c r="CB375" s="49"/>
      <c r="CC375" s="49"/>
      <c r="CD375" s="49"/>
      <c r="CE375" s="49"/>
      <c r="CF375" s="49"/>
      <c r="CG375" s="49"/>
      <c r="CH375" s="49"/>
      <c r="CI375" s="49"/>
      <c r="CJ375" s="49"/>
      <c r="CK375" s="49"/>
      <c r="CL375" s="49"/>
      <c r="CM375" s="49"/>
      <c r="CN375" s="49"/>
      <c r="CO375" s="49"/>
      <c r="CP375" s="49"/>
      <c r="CQ375" s="49"/>
      <c r="CT375" s="54"/>
      <c r="DE375" s="34"/>
    </row>
    <row r="376" spans="1:109" ht="14.5" x14ac:dyDescent="0.35">
      <c r="A376" s="19"/>
      <c r="B376" s="1"/>
      <c r="C376"/>
      <c r="D376"/>
      <c r="E376" s="38"/>
      <c r="F376" s="38"/>
      <c r="G376" s="38"/>
      <c r="H376" s="38"/>
      <c r="I376" s="38"/>
      <c r="J376" s="33"/>
      <c r="K376" s="46"/>
      <c r="O376" s="54"/>
      <c r="P376" s="54"/>
      <c r="Q376" s="54"/>
      <c r="R376" s="54"/>
      <c r="S376" s="47"/>
      <c r="T376" s="48"/>
      <c r="U376" s="48"/>
      <c r="V376" s="48"/>
      <c r="W376" s="48"/>
      <c r="X376" s="49"/>
      <c r="Y376" s="49"/>
      <c r="Z376" s="49"/>
      <c r="AA376" s="49"/>
      <c r="AB376" s="49"/>
      <c r="AC376" s="49"/>
      <c r="AD376" s="49"/>
      <c r="AE376" s="49"/>
      <c r="AF376" s="49"/>
      <c r="AG376" s="49"/>
      <c r="AH376" s="49"/>
      <c r="AI376" s="49"/>
      <c r="AJ376" s="49"/>
      <c r="AK376" s="49"/>
      <c r="AL376" s="49"/>
      <c r="AM376" s="49"/>
      <c r="AN376" s="49"/>
      <c r="AO376" s="49"/>
      <c r="AP376" s="49"/>
      <c r="AQ376" s="49"/>
      <c r="AR376" s="49"/>
      <c r="AS376" s="49"/>
      <c r="AT376" s="49"/>
      <c r="AU376" s="49"/>
      <c r="AV376" s="49"/>
      <c r="AW376" s="49"/>
      <c r="AX376" s="49"/>
      <c r="AY376" s="49"/>
      <c r="AZ376" s="49"/>
      <c r="BA376" s="49"/>
      <c r="BB376" s="49"/>
      <c r="BC376" s="49"/>
      <c r="BD376" s="49"/>
      <c r="BE376" s="49"/>
      <c r="BF376" s="49"/>
      <c r="BG376" s="49"/>
      <c r="BH376" s="49"/>
      <c r="BI376" s="49"/>
      <c r="BJ376" s="49"/>
      <c r="BK376" s="49"/>
      <c r="BL376" s="49"/>
      <c r="BM376" s="49"/>
      <c r="BN376" s="49"/>
      <c r="BO376" s="49"/>
      <c r="BP376" s="49"/>
      <c r="BQ376" s="49"/>
      <c r="BR376" s="49"/>
      <c r="BS376" s="49"/>
      <c r="BT376" s="49"/>
      <c r="BU376" s="49"/>
      <c r="BV376" s="49"/>
      <c r="BW376" s="49"/>
      <c r="BX376" s="49"/>
      <c r="BY376" s="49"/>
      <c r="BZ376" s="49"/>
      <c r="CA376" s="49"/>
      <c r="CB376" s="49"/>
      <c r="CC376" s="49"/>
      <c r="CD376" s="49"/>
      <c r="CE376" s="49"/>
      <c r="CF376" s="49"/>
      <c r="CG376" s="49"/>
      <c r="CH376" s="49"/>
      <c r="CI376" s="49"/>
      <c r="CJ376" s="49"/>
      <c r="CK376" s="49"/>
      <c r="CL376" s="49"/>
      <c r="CM376" s="49"/>
      <c r="CN376" s="49"/>
      <c r="CO376" s="49"/>
      <c r="CP376" s="49"/>
      <c r="CQ376" s="49"/>
      <c r="CT376" s="54"/>
      <c r="DE376" s="34"/>
    </row>
    <row r="377" spans="1:109" ht="14.5" x14ac:dyDescent="0.35">
      <c r="A377" s="19"/>
      <c r="B377" s="1"/>
      <c r="C377"/>
      <c r="D377"/>
      <c r="E377" s="38"/>
      <c r="F377" s="38"/>
      <c r="G377" s="38"/>
      <c r="H377" s="38"/>
      <c r="I377" s="38"/>
      <c r="J377" s="33"/>
      <c r="K377" s="46"/>
      <c r="O377" s="54"/>
      <c r="P377" s="54"/>
      <c r="Q377" s="54"/>
      <c r="R377" s="54"/>
      <c r="S377" s="47"/>
      <c r="T377" s="48"/>
      <c r="U377" s="48"/>
      <c r="V377" s="48"/>
      <c r="W377" s="48"/>
      <c r="X377" s="49"/>
      <c r="Y377" s="49"/>
      <c r="Z377" s="49"/>
      <c r="AA377" s="49"/>
      <c r="AB377" s="49"/>
      <c r="AC377" s="49"/>
      <c r="AD377" s="49"/>
      <c r="AE377" s="49"/>
      <c r="AF377" s="49"/>
      <c r="AG377" s="49"/>
      <c r="AH377" s="49"/>
      <c r="AI377" s="49"/>
      <c r="AJ377" s="49"/>
      <c r="AK377" s="49"/>
      <c r="AL377" s="49"/>
      <c r="AM377" s="49"/>
      <c r="AN377" s="49"/>
      <c r="AO377" s="49"/>
      <c r="AP377" s="49"/>
      <c r="AQ377" s="49"/>
      <c r="AR377" s="49"/>
      <c r="AS377" s="49"/>
      <c r="AT377" s="49"/>
      <c r="AU377" s="49"/>
      <c r="AV377" s="49"/>
      <c r="AW377" s="49"/>
      <c r="AX377" s="49"/>
      <c r="AY377" s="49"/>
      <c r="AZ377" s="49"/>
      <c r="BA377" s="49"/>
      <c r="BB377" s="49"/>
      <c r="BC377" s="49"/>
      <c r="BD377" s="49"/>
      <c r="BE377" s="49"/>
      <c r="BF377" s="49"/>
      <c r="BG377" s="49"/>
      <c r="BH377" s="49"/>
      <c r="BI377" s="49"/>
      <c r="BJ377" s="49"/>
      <c r="BK377" s="49"/>
      <c r="BL377" s="49"/>
      <c r="BM377" s="49"/>
      <c r="BN377" s="49"/>
      <c r="BO377" s="49"/>
      <c r="BP377" s="49"/>
      <c r="BQ377" s="49"/>
      <c r="BR377" s="49"/>
      <c r="BS377" s="49"/>
      <c r="BT377" s="49"/>
      <c r="BU377" s="49"/>
      <c r="BV377" s="49"/>
      <c r="BW377" s="49"/>
      <c r="BX377" s="49"/>
      <c r="BY377" s="49"/>
      <c r="BZ377" s="49"/>
      <c r="CA377" s="49"/>
      <c r="CB377" s="49"/>
      <c r="CC377" s="49"/>
      <c r="CD377" s="49"/>
      <c r="CE377" s="49"/>
      <c r="CF377" s="49"/>
      <c r="CG377" s="49"/>
      <c r="CH377" s="49"/>
      <c r="CI377" s="49"/>
      <c r="CJ377" s="49"/>
      <c r="CK377" s="49"/>
      <c r="CL377" s="49"/>
      <c r="CM377" s="49"/>
      <c r="CN377" s="49"/>
      <c r="CO377" s="49"/>
      <c r="CP377" s="49"/>
      <c r="CQ377" s="49"/>
      <c r="CT377" s="54"/>
      <c r="DE377" s="34"/>
    </row>
    <row r="378" spans="1:109" ht="14.5" x14ac:dyDescent="0.35">
      <c r="A378" s="19"/>
      <c r="B378" s="1"/>
      <c r="C378"/>
      <c r="D378"/>
      <c r="E378" s="38"/>
      <c r="F378" s="38"/>
      <c r="G378" s="38"/>
      <c r="H378" s="38"/>
      <c r="I378" s="38"/>
      <c r="J378" s="33"/>
      <c r="K378" s="46"/>
      <c r="O378" s="54"/>
      <c r="P378" s="54"/>
      <c r="Q378" s="54"/>
      <c r="R378" s="54"/>
      <c r="S378" s="47"/>
      <c r="T378" s="48"/>
      <c r="U378" s="48"/>
      <c r="V378" s="48"/>
      <c r="W378" s="48"/>
      <c r="X378" s="49"/>
      <c r="Y378" s="49"/>
      <c r="Z378" s="49"/>
      <c r="AA378" s="49"/>
      <c r="AB378" s="49"/>
      <c r="AC378" s="49"/>
      <c r="AD378" s="49"/>
      <c r="AE378" s="49"/>
      <c r="AF378" s="49"/>
      <c r="AG378" s="49"/>
      <c r="AH378" s="49"/>
      <c r="AI378" s="49"/>
      <c r="AJ378" s="49"/>
      <c r="AK378" s="49"/>
      <c r="AL378" s="49"/>
      <c r="AM378" s="49"/>
      <c r="AN378" s="49"/>
      <c r="AO378" s="49"/>
      <c r="AP378" s="49"/>
      <c r="AQ378" s="49"/>
      <c r="AR378" s="49"/>
      <c r="AS378" s="49"/>
      <c r="AT378" s="49"/>
      <c r="AU378" s="49"/>
      <c r="AV378" s="49"/>
      <c r="AW378" s="49"/>
      <c r="AX378" s="49"/>
      <c r="AY378" s="49"/>
      <c r="AZ378" s="49"/>
      <c r="BA378" s="49"/>
      <c r="BB378" s="49"/>
      <c r="BC378" s="49"/>
      <c r="BD378" s="49"/>
      <c r="BE378" s="49"/>
      <c r="BF378" s="49"/>
      <c r="BG378" s="49"/>
      <c r="BH378" s="49"/>
      <c r="BI378" s="49"/>
      <c r="BJ378" s="49"/>
      <c r="BK378" s="49"/>
      <c r="BL378" s="49"/>
      <c r="BM378" s="49"/>
      <c r="BN378" s="49"/>
      <c r="BO378" s="49"/>
      <c r="BP378" s="49"/>
      <c r="BQ378" s="49"/>
      <c r="BR378" s="49"/>
      <c r="BS378" s="49"/>
      <c r="BT378" s="49"/>
      <c r="BU378" s="49"/>
      <c r="BV378" s="49"/>
      <c r="BW378" s="49"/>
      <c r="BX378" s="49"/>
      <c r="BY378" s="49"/>
      <c r="BZ378" s="49"/>
      <c r="CA378" s="49"/>
      <c r="CB378" s="49"/>
      <c r="CC378" s="49"/>
      <c r="CD378" s="49"/>
      <c r="CE378" s="49"/>
      <c r="CF378" s="49"/>
      <c r="CG378" s="49"/>
      <c r="CH378" s="49"/>
      <c r="CI378" s="49"/>
      <c r="CJ378" s="49"/>
      <c r="CK378" s="49"/>
      <c r="CL378" s="49"/>
      <c r="CM378" s="49"/>
      <c r="CN378" s="49"/>
      <c r="CO378" s="49"/>
      <c r="CP378" s="49"/>
      <c r="CQ378" s="49"/>
      <c r="CT378" s="54"/>
      <c r="DE378" s="34"/>
    </row>
    <row r="379" spans="1:109" ht="14.5" x14ac:dyDescent="0.35">
      <c r="A379" s="19"/>
      <c r="B379" s="1"/>
      <c r="C379"/>
      <c r="D379"/>
      <c r="E379" s="38"/>
      <c r="F379" s="38"/>
      <c r="G379" s="38"/>
      <c r="H379" s="38"/>
      <c r="I379" s="38"/>
      <c r="J379" s="33"/>
      <c r="K379" s="46"/>
      <c r="O379" s="54"/>
      <c r="P379" s="54"/>
      <c r="Q379" s="54"/>
      <c r="R379" s="54"/>
      <c r="S379" s="47"/>
      <c r="T379" s="48"/>
      <c r="U379" s="48"/>
      <c r="V379" s="48"/>
      <c r="W379" s="48"/>
      <c r="X379" s="49"/>
      <c r="Y379" s="49"/>
      <c r="Z379" s="49"/>
      <c r="AA379" s="49"/>
      <c r="AB379" s="49"/>
      <c r="AC379" s="49"/>
      <c r="AD379" s="49"/>
      <c r="AE379" s="49"/>
      <c r="AF379" s="49"/>
      <c r="AG379" s="49"/>
      <c r="AH379" s="49"/>
      <c r="AI379" s="49"/>
      <c r="AJ379" s="49"/>
      <c r="AK379" s="49"/>
      <c r="AL379" s="49"/>
      <c r="AM379" s="49"/>
      <c r="AN379" s="49"/>
      <c r="AO379" s="49"/>
      <c r="AP379" s="49"/>
      <c r="AQ379" s="49"/>
      <c r="AR379" s="49"/>
      <c r="AS379" s="49"/>
      <c r="AT379" s="49"/>
      <c r="AU379" s="49"/>
      <c r="AV379" s="49"/>
      <c r="AW379" s="49"/>
      <c r="AX379" s="49"/>
      <c r="AY379" s="49"/>
      <c r="AZ379" s="49"/>
      <c r="BA379" s="49"/>
      <c r="BB379" s="49"/>
      <c r="BC379" s="49"/>
      <c r="BD379" s="49"/>
      <c r="BE379" s="49"/>
      <c r="BF379" s="49"/>
      <c r="BG379" s="49"/>
      <c r="BH379" s="49"/>
      <c r="BI379" s="49"/>
      <c r="BJ379" s="49"/>
      <c r="BK379" s="49"/>
      <c r="BL379" s="49"/>
      <c r="BM379" s="49"/>
      <c r="BN379" s="49"/>
      <c r="BO379" s="49"/>
      <c r="BP379" s="49"/>
      <c r="BQ379" s="49"/>
      <c r="BR379" s="49"/>
      <c r="BS379" s="49"/>
      <c r="BT379" s="49"/>
      <c r="BU379" s="49"/>
      <c r="BV379" s="49"/>
      <c r="BW379" s="49"/>
      <c r="BX379" s="49"/>
      <c r="BY379" s="49"/>
      <c r="BZ379" s="49"/>
      <c r="CA379" s="49"/>
      <c r="CB379" s="49"/>
      <c r="CC379" s="49"/>
      <c r="CD379" s="49"/>
      <c r="CE379" s="49"/>
      <c r="CF379" s="49"/>
      <c r="CG379" s="49"/>
      <c r="CH379" s="49"/>
      <c r="CI379" s="49"/>
      <c r="CJ379" s="49"/>
      <c r="CK379" s="49"/>
      <c r="CL379" s="49"/>
      <c r="CM379" s="49"/>
      <c r="CN379" s="49"/>
      <c r="CO379" s="49"/>
      <c r="CP379" s="49"/>
      <c r="CQ379" s="49"/>
      <c r="CT379" s="54"/>
      <c r="DE379" s="34"/>
    </row>
    <row r="380" spans="1:109" ht="14.5" x14ac:dyDescent="0.35">
      <c r="A380" s="19"/>
      <c r="B380" s="1"/>
      <c r="C380"/>
      <c r="D380"/>
      <c r="E380" s="38"/>
      <c r="F380" s="38"/>
      <c r="G380" s="38"/>
      <c r="H380" s="38"/>
      <c r="I380" s="38"/>
      <c r="J380" s="33"/>
      <c r="K380" s="46"/>
      <c r="O380" s="54"/>
      <c r="P380" s="54"/>
      <c r="Q380" s="54"/>
      <c r="R380" s="54"/>
      <c r="S380" s="47"/>
      <c r="T380" s="48"/>
      <c r="U380" s="48"/>
      <c r="V380" s="48"/>
      <c r="W380" s="48"/>
      <c r="X380" s="49"/>
      <c r="Y380" s="49"/>
      <c r="Z380" s="49"/>
      <c r="AA380" s="49"/>
      <c r="AB380" s="49"/>
      <c r="AC380" s="49"/>
      <c r="AD380" s="49"/>
      <c r="AE380" s="49"/>
      <c r="AF380" s="49"/>
      <c r="AG380" s="49"/>
      <c r="AH380" s="49"/>
      <c r="AI380" s="49"/>
      <c r="AJ380" s="49"/>
      <c r="AK380" s="49"/>
      <c r="AL380" s="49"/>
      <c r="AM380" s="49"/>
      <c r="AN380" s="49"/>
      <c r="AO380" s="49"/>
      <c r="AP380" s="49"/>
      <c r="AQ380" s="49"/>
      <c r="AR380" s="49"/>
      <c r="AS380" s="49"/>
      <c r="AT380" s="49"/>
      <c r="AU380" s="49"/>
      <c r="AV380" s="49"/>
      <c r="AW380" s="49"/>
      <c r="AX380" s="49"/>
      <c r="AY380" s="49"/>
      <c r="AZ380" s="49"/>
      <c r="BA380" s="49"/>
      <c r="BB380" s="49"/>
      <c r="BC380" s="49"/>
      <c r="BD380" s="49"/>
      <c r="BE380" s="49"/>
      <c r="BF380" s="49"/>
      <c r="BG380" s="49"/>
      <c r="BH380" s="49"/>
      <c r="BI380" s="49"/>
      <c r="BJ380" s="49"/>
      <c r="BK380" s="49"/>
      <c r="BL380" s="49"/>
      <c r="BM380" s="49"/>
      <c r="BN380" s="49"/>
      <c r="BO380" s="49"/>
      <c r="BP380" s="49"/>
      <c r="BQ380" s="49"/>
      <c r="BR380" s="49"/>
      <c r="BS380" s="49"/>
      <c r="BT380" s="49"/>
      <c r="BU380" s="49"/>
      <c r="BV380" s="49"/>
      <c r="BW380" s="49"/>
      <c r="BX380" s="49"/>
      <c r="BY380" s="49"/>
      <c r="BZ380" s="49"/>
      <c r="CA380" s="49"/>
      <c r="CB380" s="49"/>
      <c r="CC380" s="49"/>
      <c r="CD380" s="49"/>
      <c r="CE380" s="49"/>
      <c r="CF380" s="49"/>
      <c r="CG380" s="49"/>
      <c r="CH380" s="49"/>
      <c r="CI380" s="49"/>
      <c r="CJ380" s="49"/>
      <c r="CK380" s="49"/>
      <c r="CL380" s="49"/>
      <c r="CM380" s="49"/>
      <c r="CN380" s="49"/>
      <c r="CO380" s="49"/>
      <c r="CP380" s="49"/>
      <c r="CQ380" s="49"/>
      <c r="CT380" s="54"/>
      <c r="DE380" s="34"/>
    </row>
    <row r="381" spans="1:109" ht="14.5" x14ac:dyDescent="0.35">
      <c r="A381" s="19"/>
      <c r="B381" s="1"/>
      <c r="C381"/>
      <c r="D381"/>
      <c r="E381" s="38"/>
      <c r="F381" s="38"/>
      <c r="G381" s="38"/>
      <c r="H381" s="38"/>
      <c r="I381" s="38"/>
      <c r="J381" s="33"/>
      <c r="K381" s="46"/>
      <c r="O381" s="54"/>
      <c r="P381" s="54"/>
      <c r="Q381" s="54"/>
      <c r="R381" s="54"/>
      <c r="S381" s="47"/>
      <c r="T381" s="48"/>
      <c r="U381" s="48"/>
      <c r="V381" s="48"/>
      <c r="W381" s="48"/>
      <c r="X381" s="49"/>
      <c r="Y381" s="49"/>
      <c r="Z381" s="49"/>
      <c r="AA381" s="49"/>
      <c r="AB381" s="49"/>
      <c r="AC381" s="49"/>
      <c r="AD381" s="49"/>
      <c r="AE381" s="49"/>
      <c r="AF381" s="49"/>
      <c r="AG381" s="49"/>
      <c r="AH381" s="49"/>
      <c r="AI381" s="49"/>
      <c r="AJ381" s="49"/>
      <c r="AK381" s="49"/>
      <c r="AL381" s="49"/>
      <c r="AM381" s="49"/>
      <c r="AN381" s="49"/>
      <c r="AO381" s="49"/>
      <c r="AP381" s="49"/>
      <c r="AQ381" s="49"/>
      <c r="AR381" s="49"/>
      <c r="AS381" s="49"/>
      <c r="AT381" s="49"/>
      <c r="AU381" s="49"/>
      <c r="AV381" s="49"/>
      <c r="AW381" s="49"/>
      <c r="AX381" s="49"/>
      <c r="AY381" s="49"/>
      <c r="AZ381" s="49"/>
      <c r="BA381" s="49"/>
      <c r="BB381" s="49"/>
      <c r="BC381" s="49"/>
      <c r="BD381" s="49"/>
      <c r="BE381" s="49"/>
      <c r="BF381" s="49"/>
      <c r="BG381" s="49"/>
      <c r="BH381" s="49"/>
      <c r="BI381" s="49"/>
      <c r="BJ381" s="49"/>
      <c r="BK381" s="49"/>
      <c r="BL381" s="49"/>
      <c r="BM381" s="49"/>
      <c r="BN381" s="49"/>
      <c r="BO381" s="49"/>
      <c r="BP381" s="49"/>
      <c r="BQ381" s="49"/>
      <c r="BR381" s="49"/>
      <c r="BS381" s="49"/>
      <c r="BT381" s="49"/>
      <c r="BU381" s="49"/>
      <c r="BV381" s="49"/>
      <c r="BW381" s="49"/>
      <c r="BX381" s="49"/>
      <c r="BY381" s="49"/>
      <c r="BZ381" s="49"/>
      <c r="CA381" s="49"/>
      <c r="CB381" s="49"/>
      <c r="CC381" s="49"/>
      <c r="CD381" s="49"/>
      <c r="CE381" s="49"/>
      <c r="CF381" s="49"/>
      <c r="CG381" s="49"/>
      <c r="CH381" s="49"/>
      <c r="CI381" s="49"/>
      <c r="CJ381" s="49"/>
      <c r="CK381" s="49"/>
      <c r="CL381" s="49"/>
      <c r="CM381" s="49"/>
      <c r="CN381" s="49"/>
      <c r="CO381" s="49"/>
      <c r="CP381" s="49"/>
      <c r="CQ381" s="49"/>
      <c r="CT381" s="54"/>
      <c r="DE381" s="34"/>
    </row>
    <row r="382" spans="1:109" ht="14.5" x14ac:dyDescent="0.35">
      <c r="A382" s="19"/>
      <c r="B382" s="1"/>
      <c r="C382"/>
      <c r="D382"/>
      <c r="E382" s="38"/>
      <c r="F382" s="38"/>
      <c r="G382" s="38"/>
      <c r="H382" s="38"/>
      <c r="I382" s="38"/>
      <c r="J382" s="33"/>
      <c r="K382" s="46"/>
      <c r="O382" s="54"/>
      <c r="P382" s="54"/>
      <c r="Q382" s="54"/>
      <c r="R382" s="54"/>
      <c r="S382" s="47"/>
      <c r="T382" s="48"/>
      <c r="U382" s="48"/>
      <c r="V382" s="48"/>
      <c r="W382" s="48"/>
      <c r="X382" s="49"/>
      <c r="Y382" s="49"/>
      <c r="Z382" s="49"/>
      <c r="AA382" s="49"/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9"/>
      <c r="AN382" s="49"/>
      <c r="AO382" s="49"/>
      <c r="AP382" s="49"/>
      <c r="AQ382" s="49"/>
      <c r="AR382" s="49"/>
      <c r="AS382" s="49"/>
      <c r="AT382" s="49"/>
      <c r="AU382" s="49"/>
      <c r="AV382" s="49"/>
      <c r="AW382" s="49"/>
      <c r="AX382" s="49"/>
      <c r="AY382" s="49"/>
      <c r="AZ382" s="49"/>
      <c r="BA382" s="49"/>
      <c r="BB382" s="49"/>
      <c r="BC382" s="49"/>
      <c r="BD382" s="49"/>
      <c r="BE382" s="49"/>
      <c r="BF382" s="49"/>
      <c r="BG382" s="49"/>
      <c r="BH382" s="49"/>
      <c r="BI382" s="49"/>
      <c r="BJ382" s="49"/>
      <c r="BK382" s="49"/>
      <c r="BL382" s="49"/>
      <c r="BM382" s="49"/>
      <c r="BN382" s="49"/>
      <c r="BO382" s="49"/>
      <c r="BP382" s="49"/>
      <c r="BQ382" s="49"/>
      <c r="BR382" s="49"/>
      <c r="BS382" s="49"/>
      <c r="BT382" s="49"/>
      <c r="BU382" s="49"/>
      <c r="BV382" s="49"/>
      <c r="BW382" s="49"/>
      <c r="BX382" s="49"/>
      <c r="BY382" s="49"/>
      <c r="BZ382" s="49"/>
      <c r="CA382" s="49"/>
      <c r="CB382" s="49"/>
      <c r="CC382" s="49"/>
      <c r="CD382" s="49"/>
      <c r="CE382" s="49"/>
      <c r="CF382" s="49"/>
      <c r="CG382" s="49"/>
      <c r="CH382" s="49"/>
      <c r="CI382" s="49"/>
      <c r="CJ382" s="49"/>
      <c r="CK382" s="49"/>
      <c r="CL382" s="49"/>
      <c r="CM382" s="49"/>
      <c r="CN382" s="49"/>
      <c r="CO382" s="49"/>
      <c r="CP382" s="49"/>
      <c r="CQ382" s="49"/>
      <c r="CT382" s="54"/>
      <c r="DE382" s="34"/>
    </row>
    <row r="383" spans="1:109" ht="14.5" x14ac:dyDescent="0.35">
      <c r="A383" s="19"/>
      <c r="B383" s="1"/>
      <c r="C383"/>
      <c r="D383"/>
      <c r="E383" s="38"/>
      <c r="F383" s="38"/>
      <c r="G383" s="38"/>
      <c r="H383" s="38"/>
      <c r="I383" s="38"/>
      <c r="J383" s="33"/>
      <c r="K383" s="46"/>
      <c r="O383" s="54"/>
      <c r="P383" s="54"/>
      <c r="Q383" s="54"/>
      <c r="R383" s="54"/>
      <c r="S383" s="47"/>
      <c r="T383" s="48"/>
      <c r="U383" s="48"/>
      <c r="V383" s="48"/>
      <c r="W383" s="48"/>
      <c r="X383" s="49"/>
      <c r="Y383" s="49"/>
      <c r="Z383" s="49"/>
      <c r="AA383" s="49"/>
      <c r="AB383" s="49"/>
      <c r="AC383" s="49"/>
      <c r="AD383" s="49"/>
      <c r="AE383" s="49"/>
      <c r="AF383" s="49"/>
      <c r="AG383" s="49"/>
      <c r="AH383" s="49"/>
      <c r="AI383" s="49"/>
      <c r="AJ383" s="49"/>
      <c r="AK383" s="49"/>
      <c r="AL383" s="49"/>
      <c r="AM383" s="49"/>
      <c r="AN383" s="49"/>
      <c r="AO383" s="49"/>
      <c r="AP383" s="49"/>
      <c r="AQ383" s="49"/>
      <c r="AR383" s="49"/>
      <c r="AS383" s="49"/>
      <c r="AT383" s="49"/>
      <c r="AU383" s="49"/>
      <c r="AV383" s="49"/>
      <c r="AW383" s="49"/>
      <c r="AX383" s="49"/>
      <c r="AY383" s="49"/>
      <c r="AZ383" s="49"/>
      <c r="BA383" s="49"/>
      <c r="BB383" s="49"/>
      <c r="BC383" s="49"/>
      <c r="BD383" s="49"/>
      <c r="BE383" s="49"/>
      <c r="BF383" s="49"/>
      <c r="BG383" s="49"/>
      <c r="BH383" s="49"/>
      <c r="BI383" s="49"/>
      <c r="BJ383" s="49"/>
      <c r="BK383" s="49"/>
      <c r="BL383" s="49"/>
      <c r="BM383" s="49"/>
      <c r="BN383" s="49"/>
      <c r="BO383" s="49"/>
      <c r="BP383" s="49"/>
      <c r="BQ383" s="49"/>
      <c r="BR383" s="49"/>
      <c r="BS383" s="49"/>
      <c r="BT383" s="49"/>
      <c r="BU383" s="49"/>
      <c r="BV383" s="49"/>
      <c r="BW383" s="49"/>
      <c r="BX383" s="49"/>
      <c r="BY383" s="49"/>
      <c r="BZ383" s="49"/>
      <c r="CA383" s="49"/>
      <c r="CB383" s="49"/>
      <c r="CC383" s="49"/>
      <c r="CD383" s="49"/>
      <c r="CE383" s="49"/>
      <c r="CF383" s="49"/>
      <c r="CG383" s="49"/>
      <c r="CH383" s="49"/>
      <c r="CI383" s="49"/>
      <c r="CJ383" s="49"/>
      <c r="CK383" s="49"/>
      <c r="CL383" s="49"/>
      <c r="CM383" s="49"/>
      <c r="CN383" s="49"/>
      <c r="CO383" s="49"/>
      <c r="CP383" s="49"/>
      <c r="CQ383" s="49"/>
      <c r="CT383" s="54"/>
      <c r="DE383" s="34"/>
    </row>
    <row r="384" spans="1:109" ht="14.5" x14ac:dyDescent="0.35">
      <c r="A384" s="19"/>
      <c r="B384" s="1"/>
      <c r="C384"/>
      <c r="D384"/>
      <c r="E384" s="38"/>
      <c r="F384" s="38"/>
      <c r="G384" s="38"/>
      <c r="H384" s="38"/>
      <c r="I384" s="38"/>
      <c r="J384" s="33"/>
      <c r="K384" s="46"/>
      <c r="O384" s="54"/>
      <c r="P384" s="54"/>
      <c r="Q384" s="54"/>
      <c r="R384" s="54"/>
      <c r="S384" s="47"/>
      <c r="T384" s="48"/>
      <c r="U384" s="48"/>
      <c r="V384" s="48"/>
      <c r="W384" s="48"/>
      <c r="X384" s="49"/>
      <c r="Y384" s="49"/>
      <c r="Z384" s="49"/>
      <c r="AA384" s="49"/>
      <c r="AB384" s="49"/>
      <c r="AC384" s="49"/>
      <c r="AD384" s="49"/>
      <c r="AE384" s="49"/>
      <c r="AF384" s="49"/>
      <c r="AG384" s="49"/>
      <c r="AH384" s="49"/>
      <c r="AI384" s="49"/>
      <c r="AJ384" s="49"/>
      <c r="AK384" s="49"/>
      <c r="AL384" s="49"/>
      <c r="AM384" s="49"/>
      <c r="AN384" s="49"/>
      <c r="AO384" s="49"/>
      <c r="AP384" s="49"/>
      <c r="AQ384" s="49"/>
      <c r="AR384" s="49"/>
      <c r="AS384" s="49"/>
      <c r="AT384" s="49"/>
      <c r="AU384" s="49"/>
      <c r="AV384" s="49"/>
      <c r="AW384" s="49"/>
      <c r="AX384" s="49"/>
      <c r="AY384" s="49"/>
      <c r="AZ384" s="49"/>
      <c r="BA384" s="49"/>
      <c r="BB384" s="49"/>
      <c r="BC384" s="49"/>
      <c r="BD384" s="49"/>
      <c r="BE384" s="49"/>
      <c r="BF384" s="49"/>
      <c r="BG384" s="49"/>
      <c r="BH384" s="49"/>
      <c r="BI384" s="49"/>
      <c r="BJ384" s="49"/>
      <c r="BK384" s="49"/>
      <c r="BL384" s="49"/>
      <c r="BM384" s="49"/>
      <c r="BN384" s="49"/>
      <c r="BO384" s="49"/>
      <c r="BP384" s="49"/>
      <c r="BQ384" s="49"/>
      <c r="BR384" s="49"/>
      <c r="BS384" s="49"/>
      <c r="BT384" s="49"/>
      <c r="BU384" s="49"/>
      <c r="BV384" s="49"/>
      <c r="BW384" s="49"/>
      <c r="BX384" s="49"/>
      <c r="BY384" s="49"/>
      <c r="BZ384" s="49"/>
      <c r="CA384" s="49"/>
      <c r="CB384" s="49"/>
      <c r="CC384" s="49"/>
      <c r="CD384" s="49"/>
      <c r="CE384" s="49"/>
      <c r="CF384" s="49"/>
      <c r="CG384" s="49"/>
      <c r="CH384" s="49"/>
      <c r="CI384" s="49"/>
      <c r="CJ384" s="49"/>
      <c r="CK384" s="49"/>
      <c r="CL384" s="49"/>
      <c r="CM384" s="49"/>
      <c r="CN384" s="49"/>
      <c r="CO384" s="49"/>
      <c r="CP384" s="49"/>
      <c r="CQ384" s="49"/>
      <c r="CT384" s="54"/>
      <c r="DE384" s="34"/>
    </row>
    <row r="385" spans="1:109" ht="14.5" x14ac:dyDescent="0.35">
      <c r="A385" s="19"/>
      <c r="B385" s="1"/>
      <c r="C385"/>
      <c r="D385"/>
      <c r="E385" s="38"/>
      <c r="F385" s="38"/>
      <c r="G385" s="38"/>
      <c r="H385" s="38"/>
      <c r="I385" s="38"/>
      <c r="J385" s="33"/>
      <c r="K385" s="46"/>
      <c r="O385" s="54"/>
      <c r="P385" s="54"/>
      <c r="Q385" s="54"/>
      <c r="R385" s="54"/>
      <c r="S385" s="47"/>
      <c r="T385" s="48"/>
      <c r="U385" s="48"/>
      <c r="V385" s="48"/>
      <c r="W385" s="48"/>
      <c r="X385" s="49"/>
      <c r="Y385" s="49"/>
      <c r="Z385" s="49"/>
      <c r="AA385" s="49"/>
      <c r="AB385" s="49"/>
      <c r="AC385" s="49"/>
      <c r="AD385" s="49"/>
      <c r="AE385" s="49"/>
      <c r="AF385" s="49"/>
      <c r="AG385" s="49"/>
      <c r="AH385" s="49"/>
      <c r="AI385" s="49"/>
      <c r="AJ385" s="49"/>
      <c r="AK385" s="49"/>
      <c r="AL385" s="49"/>
      <c r="AM385" s="49"/>
      <c r="AN385" s="49"/>
      <c r="AO385" s="49"/>
      <c r="AP385" s="49"/>
      <c r="AQ385" s="49"/>
      <c r="AR385" s="49"/>
      <c r="AS385" s="49"/>
      <c r="AT385" s="49"/>
      <c r="AU385" s="49"/>
      <c r="AV385" s="49"/>
      <c r="AW385" s="49"/>
      <c r="AX385" s="49"/>
      <c r="AY385" s="49"/>
      <c r="AZ385" s="49"/>
      <c r="BA385" s="49"/>
      <c r="BB385" s="49"/>
      <c r="BC385" s="49"/>
      <c r="BD385" s="49"/>
      <c r="BE385" s="49"/>
      <c r="BF385" s="49"/>
      <c r="BG385" s="49"/>
      <c r="BH385" s="49"/>
      <c r="BI385" s="49"/>
      <c r="BJ385" s="49"/>
      <c r="BK385" s="49"/>
      <c r="BL385" s="49"/>
      <c r="BM385" s="49"/>
      <c r="BN385" s="49"/>
      <c r="BO385" s="49"/>
      <c r="BP385" s="49"/>
      <c r="BQ385" s="49"/>
      <c r="BR385" s="49"/>
      <c r="BS385" s="49"/>
      <c r="BT385" s="49"/>
      <c r="BU385" s="49"/>
      <c r="BV385" s="49"/>
      <c r="BW385" s="49"/>
      <c r="BX385" s="49"/>
      <c r="BY385" s="49"/>
      <c r="BZ385" s="49"/>
      <c r="CA385" s="49"/>
      <c r="CB385" s="49"/>
      <c r="CC385" s="49"/>
      <c r="CD385" s="49"/>
      <c r="CE385" s="49"/>
      <c r="CF385" s="49"/>
      <c r="CG385" s="49"/>
      <c r="CH385" s="49"/>
      <c r="CI385" s="49"/>
      <c r="CJ385" s="49"/>
      <c r="CK385" s="49"/>
      <c r="CL385" s="49"/>
      <c r="CM385" s="49"/>
      <c r="CN385" s="49"/>
      <c r="CO385" s="49"/>
      <c r="CP385" s="49"/>
      <c r="CQ385" s="49"/>
      <c r="CT385" s="54"/>
      <c r="DE385" s="34"/>
    </row>
    <row r="386" spans="1:109" ht="14.5" x14ac:dyDescent="0.35">
      <c r="A386" s="19"/>
      <c r="B386" s="1"/>
      <c r="C386"/>
      <c r="D386"/>
      <c r="E386" s="38"/>
      <c r="F386" s="38"/>
      <c r="G386" s="38"/>
      <c r="H386" s="38"/>
      <c r="I386" s="38"/>
      <c r="J386" s="33"/>
      <c r="K386" s="46"/>
      <c r="O386" s="54"/>
      <c r="P386" s="54"/>
      <c r="Q386" s="54"/>
      <c r="R386" s="54"/>
      <c r="S386" s="47"/>
      <c r="T386" s="48"/>
      <c r="U386" s="48"/>
      <c r="V386" s="48"/>
      <c r="W386" s="48"/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  <c r="AH386" s="49"/>
      <c r="AI386" s="49"/>
      <c r="AJ386" s="49"/>
      <c r="AK386" s="49"/>
      <c r="AL386" s="49"/>
      <c r="AM386" s="49"/>
      <c r="AN386" s="49"/>
      <c r="AO386" s="49"/>
      <c r="AP386" s="49"/>
      <c r="AQ386" s="49"/>
      <c r="AR386" s="49"/>
      <c r="AS386" s="49"/>
      <c r="AT386" s="49"/>
      <c r="AU386" s="49"/>
      <c r="AV386" s="49"/>
      <c r="AW386" s="49"/>
      <c r="AX386" s="49"/>
      <c r="AY386" s="49"/>
      <c r="AZ386" s="49"/>
      <c r="BA386" s="49"/>
      <c r="BB386" s="49"/>
      <c r="BC386" s="49"/>
      <c r="BD386" s="49"/>
      <c r="BE386" s="49"/>
      <c r="BF386" s="49"/>
      <c r="BG386" s="49"/>
      <c r="BH386" s="49"/>
      <c r="BI386" s="49"/>
      <c r="BJ386" s="49"/>
      <c r="BK386" s="49"/>
      <c r="BL386" s="49"/>
      <c r="BM386" s="49"/>
      <c r="BN386" s="49"/>
      <c r="BO386" s="49"/>
      <c r="BP386" s="49"/>
      <c r="BQ386" s="49"/>
      <c r="BR386" s="49"/>
      <c r="BS386" s="49"/>
      <c r="BT386" s="49"/>
      <c r="BU386" s="49"/>
      <c r="BV386" s="49"/>
      <c r="BW386" s="49"/>
      <c r="BX386" s="49"/>
      <c r="BY386" s="49"/>
      <c r="BZ386" s="49"/>
      <c r="CA386" s="49"/>
      <c r="CB386" s="49"/>
      <c r="CC386" s="49"/>
      <c r="CD386" s="49"/>
      <c r="CE386" s="49"/>
      <c r="CF386" s="49"/>
      <c r="CG386" s="49"/>
      <c r="CH386" s="49"/>
      <c r="CI386" s="49"/>
      <c r="CJ386" s="49"/>
      <c r="CK386" s="49"/>
      <c r="CL386" s="49"/>
      <c r="CM386" s="49"/>
      <c r="CN386" s="49"/>
      <c r="CO386" s="49"/>
      <c r="CP386" s="49"/>
      <c r="CQ386" s="49"/>
      <c r="CT386" s="54"/>
      <c r="DE386" s="34"/>
    </row>
    <row r="387" spans="1:109" ht="14.5" x14ac:dyDescent="0.35">
      <c r="A387" s="19"/>
      <c r="B387" s="1"/>
      <c r="C387"/>
      <c r="D387"/>
      <c r="E387" s="38"/>
      <c r="F387" s="38"/>
      <c r="G387" s="38"/>
      <c r="H387" s="38"/>
      <c r="I387" s="38"/>
      <c r="J387" s="33"/>
      <c r="K387" s="46"/>
      <c r="O387" s="54"/>
      <c r="P387" s="54"/>
      <c r="Q387" s="54"/>
      <c r="R387" s="54"/>
      <c r="S387" s="47"/>
      <c r="T387" s="48"/>
      <c r="U387" s="48"/>
      <c r="V387" s="48"/>
      <c r="W387" s="48"/>
      <c r="X387" s="49"/>
      <c r="Y387" s="49"/>
      <c r="Z387" s="49"/>
      <c r="AA387" s="49"/>
      <c r="AB387" s="49"/>
      <c r="AC387" s="49"/>
      <c r="AD387" s="49"/>
      <c r="AE387" s="49"/>
      <c r="AF387" s="49"/>
      <c r="AG387" s="49"/>
      <c r="AH387" s="49"/>
      <c r="AI387" s="49"/>
      <c r="AJ387" s="49"/>
      <c r="AK387" s="49"/>
      <c r="AL387" s="49"/>
      <c r="AM387" s="49"/>
      <c r="AN387" s="49"/>
      <c r="AO387" s="49"/>
      <c r="AP387" s="49"/>
      <c r="AQ387" s="49"/>
      <c r="AR387" s="49"/>
      <c r="AS387" s="49"/>
      <c r="AT387" s="49"/>
      <c r="AU387" s="49"/>
      <c r="AV387" s="49"/>
      <c r="AW387" s="49"/>
      <c r="AX387" s="49"/>
      <c r="AY387" s="49"/>
      <c r="AZ387" s="49"/>
      <c r="BA387" s="49"/>
      <c r="BB387" s="49"/>
      <c r="BC387" s="49"/>
      <c r="BD387" s="49"/>
      <c r="BE387" s="49"/>
      <c r="BF387" s="49"/>
      <c r="BG387" s="49"/>
      <c r="BH387" s="49"/>
      <c r="BI387" s="49"/>
      <c r="BJ387" s="49"/>
      <c r="BK387" s="49"/>
      <c r="BL387" s="49"/>
      <c r="BM387" s="49"/>
      <c r="BN387" s="49"/>
      <c r="BO387" s="49"/>
      <c r="BP387" s="49"/>
      <c r="BQ387" s="49"/>
      <c r="BR387" s="49"/>
      <c r="BS387" s="49"/>
      <c r="BT387" s="49"/>
      <c r="BU387" s="49"/>
      <c r="BV387" s="49"/>
      <c r="BW387" s="49"/>
      <c r="BX387" s="49"/>
      <c r="BY387" s="49"/>
      <c r="BZ387" s="49"/>
      <c r="CA387" s="49"/>
      <c r="CB387" s="49"/>
      <c r="CC387" s="49"/>
      <c r="CD387" s="49"/>
      <c r="CE387" s="49"/>
      <c r="CF387" s="49"/>
      <c r="CG387" s="49"/>
      <c r="CH387" s="49"/>
      <c r="CI387" s="49"/>
      <c r="CJ387" s="49"/>
      <c r="CK387" s="49"/>
      <c r="CL387" s="49"/>
      <c r="CM387" s="49"/>
      <c r="CN387" s="49"/>
      <c r="CO387" s="49"/>
      <c r="CP387" s="49"/>
      <c r="CQ387" s="49"/>
      <c r="CT387" s="54"/>
      <c r="DE387" s="34"/>
    </row>
    <row r="388" spans="1:109" ht="14.5" x14ac:dyDescent="0.35">
      <c r="A388" s="19"/>
      <c r="B388" s="1"/>
      <c r="C388"/>
      <c r="D388"/>
      <c r="E388" s="38"/>
      <c r="F388" s="38"/>
      <c r="G388" s="38"/>
      <c r="H388" s="38"/>
      <c r="I388" s="38"/>
      <c r="J388" s="33"/>
      <c r="K388" s="46"/>
      <c r="O388" s="54"/>
      <c r="P388" s="54"/>
      <c r="Q388" s="54"/>
      <c r="R388" s="54"/>
      <c r="S388" s="47"/>
      <c r="T388" s="48"/>
      <c r="U388" s="48"/>
      <c r="V388" s="48"/>
      <c r="W388" s="48"/>
      <c r="X388" s="49"/>
      <c r="Y388" s="49"/>
      <c r="Z388" s="49"/>
      <c r="AA388" s="49"/>
      <c r="AB388" s="49"/>
      <c r="AC388" s="49"/>
      <c r="AD388" s="49"/>
      <c r="AE388" s="49"/>
      <c r="AF388" s="49"/>
      <c r="AG388" s="49"/>
      <c r="AH388" s="49"/>
      <c r="AI388" s="49"/>
      <c r="AJ388" s="49"/>
      <c r="AK388" s="49"/>
      <c r="AL388" s="49"/>
      <c r="AM388" s="49"/>
      <c r="AN388" s="49"/>
      <c r="AO388" s="49"/>
      <c r="AP388" s="49"/>
      <c r="AQ388" s="49"/>
      <c r="AR388" s="49"/>
      <c r="AS388" s="49"/>
      <c r="AT388" s="49"/>
      <c r="AU388" s="49"/>
      <c r="AV388" s="49"/>
      <c r="AW388" s="49"/>
      <c r="AX388" s="49"/>
      <c r="AY388" s="49"/>
      <c r="AZ388" s="49"/>
      <c r="BA388" s="49"/>
      <c r="BB388" s="49"/>
      <c r="BC388" s="49"/>
      <c r="BD388" s="49"/>
      <c r="BE388" s="49"/>
      <c r="BF388" s="49"/>
      <c r="BG388" s="49"/>
      <c r="BH388" s="49"/>
      <c r="BI388" s="49"/>
      <c r="BJ388" s="49"/>
      <c r="BK388" s="49"/>
      <c r="BL388" s="49"/>
      <c r="BM388" s="49"/>
      <c r="BN388" s="49"/>
      <c r="BO388" s="49"/>
      <c r="BP388" s="49"/>
      <c r="BQ388" s="49"/>
      <c r="BR388" s="49"/>
      <c r="BS388" s="49"/>
      <c r="BT388" s="49"/>
      <c r="BU388" s="49"/>
      <c r="BV388" s="49"/>
      <c r="BW388" s="49"/>
      <c r="BX388" s="49"/>
      <c r="BY388" s="49"/>
      <c r="BZ388" s="49"/>
      <c r="CA388" s="49"/>
      <c r="CB388" s="49"/>
      <c r="CC388" s="49"/>
      <c r="CD388" s="49"/>
      <c r="CE388" s="49"/>
      <c r="CF388" s="49"/>
      <c r="CG388" s="49"/>
      <c r="CH388" s="49"/>
      <c r="CI388" s="49"/>
      <c r="CJ388" s="49"/>
      <c r="CK388" s="49"/>
      <c r="CL388" s="49"/>
      <c r="CM388" s="49"/>
      <c r="CN388" s="49"/>
      <c r="CO388" s="49"/>
      <c r="CP388" s="49"/>
      <c r="CQ388" s="49"/>
      <c r="CT388" s="54"/>
      <c r="DE388" s="34"/>
    </row>
    <row r="389" spans="1:109" ht="14.5" x14ac:dyDescent="0.35">
      <c r="A389" s="19"/>
      <c r="B389" s="1"/>
      <c r="C389"/>
      <c r="D389"/>
      <c r="E389" s="38"/>
      <c r="F389" s="38"/>
      <c r="G389" s="38"/>
      <c r="H389" s="38"/>
      <c r="I389" s="38"/>
      <c r="J389" s="33"/>
      <c r="K389" s="46"/>
      <c r="O389" s="54"/>
      <c r="P389" s="54"/>
      <c r="Q389" s="54"/>
      <c r="R389" s="54"/>
      <c r="S389" s="47"/>
      <c r="T389" s="48"/>
      <c r="U389" s="48"/>
      <c r="V389" s="48"/>
      <c r="W389" s="48"/>
      <c r="X389" s="49"/>
      <c r="Y389" s="49"/>
      <c r="Z389" s="49"/>
      <c r="AA389" s="49"/>
      <c r="AB389" s="49"/>
      <c r="AC389" s="49"/>
      <c r="AD389" s="49"/>
      <c r="AE389" s="49"/>
      <c r="AF389" s="49"/>
      <c r="AG389" s="49"/>
      <c r="AH389" s="49"/>
      <c r="AI389" s="49"/>
      <c r="AJ389" s="49"/>
      <c r="AK389" s="49"/>
      <c r="AL389" s="49"/>
      <c r="AM389" s="49"/>
      <c r="AN389" s="49"/>
      <c r="AO389" s="49"/>
      <c r="AP389" s="49"/>
      <c r="AQ389" s="49"/>
      <c r="AR389" s="49"/>
      <c r="AS389" s="49"/>
      <c r="AT389" s="49"/>
      <c r="AU389" s="49"/>
      <c r="AV389" s="49"/>
      <c r="AW389" s="49"/>
      <c r="AX389" s="49"/>
      <c r="AY389" s="49"/>
      <c r="AZ389" s="49"/>
      <c r="BA389" s="49"/>
      <c r="BB389" s="49"/>
      <c r="BC389" s="49"/>
      <c r="BD389" s="49"/>
      <c r="BE389" s="49"/>
      <c r="BF389" s="49"/>
      <c r="BG389" s="49"/>
      <c r="BH389" s="49"/>
      <c r="BI389" s="49"/>
      <c r="BJ389" s="49"/>
      <c r="BK389" s="49"/>
      <c r="BL389" s="49"/>
      <c r="BM389" s="49"/>
      <c r="BN389" s="49"/>
      <c r="BO389" s="49"/>
      <c r="BP389" s="49"/>
      <c r="BQ389" s="49"/>
      <c r="BR389" s="49"/>
      <c r="BS389" s="49"/>
      <c r="BT389" s="49"/>
      <c r="BU389" s="49"/>
      <c r="BV389" s="49"/>
      <c r="BW389" s="49"/>
      <c r="BX389" s="49"/>
      <c r="BY389" s="49"/>
      <c r="BZ389" s="49"/>
      <c r="CA389" s="49"/>
      <c r="CB389" s="49"/>
      <c r="CC389" s="49"/>
      <c r="CD389" s="49"/>
      <c r="CE389" s="49"/>
      <c r="CF389" s="49"/>
      <c r="CG389" s="49"/>
      <c r="CH389" s="49"/>
      <c r="CI389" s="49"/>
      <c r="CJ389" s="49"/>
      <c r="CK389" s="49"/>
      <c r="CL389" s="49"/>
      <c r="CM389" s="49"/>
      <c r="CN389" s="49"/>
      <c r="CO389" s="49"/>
      <c r="CP389" s="49"/>
      <c r="CQ389" s="49"/>
      <c r="CT389" s="54"/>
      <c r="DE389" s="34"/>
    </row>
    <row r="390" spans="1:109" ht="14.5" x14ac:dyDescent="0.35">
      <c r="A390" s="19"/>
      <c r="B390" s="1"/>
      <c r="C390"/>
      <c r="D390"/>
      <c r="E390" s="38"/>
      <c r="F390" s="38"/>
      <c r="G390" s="38"/>
      <c r="H390" s="38"/>
      <c r="I390" s="38"/>
      <c r="J390" s="33"/>
      <c r="K390" s="46"/>
      <c r="O390" s="54"/>
      <c r="P390" s="54"/>
      <c r="Q390" s="54"/>
      <c r="R390" s="54"/>
      <c r="S390" s="47"/>
      <c r="T390" s="48"/>
      <c r="U390" s="48"/>
      <c r="V390" s="48"/>
      <c r="W390" s="48"/>
      <c r="X390" s="49"/>
      <c r="Y390" s="49"/>
      <c r="Z390" s="49"/>
      <c r="AA390" s="49"/>
      <c r="AB390" s="49"/>
      <c r="AC390" s="49"/>
      <c r="AD390" s="49"/>
      <c r="AE390" s="49"/>
      <c r="AF390" s="49"/>
      <c r="AG390" s="49"/>
      <c r="AH390" s="49"/>
      <c r="AI390" s="49"/>
      <c r="AJ390" s="49"/>
      <c r="AK390" s="49"/>
      <c r="AL390" s="49"/>
      <c r="AM390" s="49"/>
      <c r="AN390" s="49"/>
      <c r="AO390" s="49"/>
      <c r="AP390" s="49"/>
      <c r="AQ390" s="49"/>
      <c r="AR390" s="49"/>
      <c r="AS390" s="49"/>
      <c r="AT390" s="49"/>
      <c r="AU390" s="49"/>
      <c r="AV390" s="49"/>
      <c r="AW390" s="49"/>
      <c r="AX390" s="49"/>
      <c r="AY390" s="49"/>
      <c r="AZ390" s="49"/>
      <c r="BA390" s="49"/>
      <c r="BB390" s="49"/>
      <c r="BC390" s="49"/>
      <c r="BD390" s="49"/>
      <c r="BE390" s="49"/>
      <c r="BF390" s="49"/>
      <c r="BG390" s="49"/>
      <c r="BH390" s="49"/>
      <c r="BI390" s="49"/>
      <c r="BJ390" s="49"/>
      <c r="BK390" s="49"/>
      <c r="BL390" s="49"/>
      <c r="BM390" s="49"/>
      <c r="BN390" s="49"/>
      <c r="BO390" s="49"/>
      <c r="BP390" s="49"/>
      <c r="BQ390" s="49"/>
      <c r="BR390" s="49"/>
      <c r="BS390" s="49"/>
      <c r="BT390" s="49"/>
      <c r="BU390" s="49"/>
      <c r="BV390" s="49"/>
      <c r="BW390" s="49"/>
      <c r="BX390" s="49"/>
      <c r="BY390" s="49"/>
      <c r="BZ390" s="49"/>
      <c r="CA390" s="49"/>
      <c r="CB390" s="49"/>
      <c r="CC390" s="49"/>
      <c r="CD390" s="49"/>
      <c r="CE390" s="49"/>
      <c r="CF390" s="49"/>
      <c r="CG390" s="49"/>
      <c r="CH390" s="49"/>
      <c r="CI390" s="49"/>
      <c r="CJ390" s="49"/>
      <c r="CK390" s="49"/>
      <c r="CL390" s="49"/>
      <c r="CM390" s="49"/>
      <c r="CN390" s="49"/>
      <c r="CO390" s="49"/>
      <c r="CP390" s="49"/>
      <c r="CQ390" s="49"/>
      <c r="CT390" s="54"/>
      <c r="DE390" s="34"/>
    </row>
    <row r="391" spans="1:109" ht="14.5" x14ac:dyDescent="0.35">
      <c r="A391" s="19"/>
      <c r="B391" s="1"/>
      <c r="C391"/>
      <c r="D391"/>
      <c r="E391" s="38"/>
      <c r="F391" s="38"/>
      <c r="G391" s="38"/>
      <c r="H391" s="38"/>
      <c r="I391" s="38"/>
      <c r="J391" s="33"/>
      <c r="K391" s="46"/>
      <c r="O391" s="54"/>
      <c r="P391" s="54"/>
      <c r="Q391" s="54"/>
      <c r="R391" s="54"/>
      <c r="S391" s="47"/>
      <c r="T391" s="48"/>
      <c r="U391" s="48"/>
      <c r="V391" s="48"/>
      <c r="W391" s="48"/>
      <c r="X391" s="49"/>
      <c r="Y391" s="49"/>
      <c r="Z391" s="49"/>
      <c r="AA391" s="49"/>
      <c r="AB391" s="49"/>
      <c r="AC391" s="49"/>
      <c r="AD391" s="49"/>
      <c r="AE391" s="49"/>
      <c r="AF391" s="49"/>
      <c r="AG391" s="49"/>
      <c r="AH391" s="49"/>
      <c r="AI391" s="49"/>
      <c r="AJ391" s="49"/>
      <c r="AK391" s="49"/>
      <c r="AL391" s="49"/>
      <c r="AM391" s="49"/>
      <c r="AN391" s="49"/>
      <c r="AO391" s="49"/>
      <c r="AP391" s="49"/>
      <c r="AQ391" s="49"/>
      <c r="AR391" s="49"/>
      <c r="AS391" s="49"/>
      <c r="AT391" s="49"/>
      <c r="AU391" s="49"/>
      <c r="AV391" s="49"/>
      <c r="AW391" s="49"/>
      <c r="AX391" s="49"/>
      <c r="AY391" s="49"/>
      <c r="AZ391" s="49"/>
      <c r="BA391" s="49"/>
      <c r="BB391" s="49"/>
      <c r="BC391" s="49"/>
      <c r="BD391" s="49"/>
      <c r="BE391" s="49"/>
      <c r="BF391" s="49"/>
      <c r="BG391" s="49"/>
      <c r="BH391" s="49"/>
      <c r="BI391" s="49"/>
      <c r="BJ391" s="49"/>
      <c r="BK391" s="49"/>
      <c r="BL391" s="49"/>
      <c r="BM391" s="49"/>
      <c r="BN391" s="49"/>
      <c r="BO391" s="49"/>
      <c r="BP391" s="49"/>
      <c r="BQ391" s="49"/>
      <c r="BR391" s="49"/>
      <c r="BS391" s="49"/>
      <c r="BT391" s="49"/>
      <c r="BU391" s="49"/>
      <c r="BV391" s="49"/>
      <c r="BW391" s="49"/>
      <c r="BX391" s="49"/>
      <c r="BY391" s="49"/>
      <c r="BZ391" s="49"/>
      <c r="CA391" s="49"/>
      <c r="CB391" s="49"/>
      <c r="CC391" s="49"/>
      <c r="CD391" s="49"/>
      <c r="CE391" s="49"/>
      <c r="CF391" s="49"/>
      <c r="CG391" s="49"/>
      <c r="CH391" s="49"/>
      <c r="CI391" s="49"/>
      <c r="CJ391" s="49"/>
      <c r="CK391" s="49"/>
      <c r="CL391" s="49"/>
      <c r="CM391" s="49"/>
      <c r="CN391" s="49"/>
      <c r="CO391" s="49"/>
      <c r="CP391" s="49"/>
      <c r="CQ391" s="49"/>
      <c r="CT391" s="54"/>
      <c r="DE391" s="34"/>
    </row>
    <row r="392" spans="1:109" ht="14.5" x14ac:dyDescent="0.35">
      <c r="A392" s="19"/>
      <c r="B392" s="1"/>
      <c r="C392"/>
      <c r="D392"/>
      <c r="E392" s="38"/>
      <c r="F392" s="38"/>
      <c r="G392" s="38"/>
      <c r="H392" s="38"/>
      <c r="I392" s="38"/>
      <c r="J392" s="33"/>
      <c r="K392" s="46"/>
      <c r="O392" s="54"/>
      <c r="P392" s="54"/>
      <c r="Q392" s="54"/>
      <c r="R392" s="54"/>
      <c r="S392" s="47"/>
      <c r="T392" s="48"/>
      <c r="U392" s="48"/>
      <c r="V392" s="48"/>
      <c r="W392" s="48"/>
      <c r="X392" s="49"/>
      <c r="Y392" s="49"/>
      <c r="Z392" s="49"/>
      <c r="AA392" s="49"/>
      <c r="AB392" s="49"/>
      <c r="AC392" s="49"/>
      <c r="AD392" s="49"/>
      <c r="AE392" s="49"/>
      <c r="AF392" s="49"/>
      <c r="AG392" s="49"/>
      <c r="AH392" s="49"/>
      <c r="AI392" s="49"/>
      <c r="AJ392" s="49"/>
      <c r="AK392" s="49"/>
      <c r="AL392" s="49"/>
      <c r="AM392" s="49"/>
      <c r="AN392" s="49"/>
      <c r="AO392" s="49"/>
      <c r="AP392" s="49"/>
      <c r="AQ392" s="49"/>
      <c r="AR392" s="49"/>
      <c r="AS392" s="49"/>
      <c r="AT392" s="49"/>
      <c r="AU392" s="49"/>
      <c r="AV392" s="49"/>
      <c r="AW392" s="49"/>
      <c r="AX392" s="49"/>
      <c r="AY392" s="49"/>
      <c r="AZ392" s="49"/>
      <c r="BA392" s="49"/>
      <c r="BB392" s="49"/>
      <c r="BC392" s="49"/>
      <c r="BD392" s="49"/>
      <c r="BE392" s="49"/>
      <c r="BF392" s="49"/>
      <c r="BG392" s="49"/>
      <c r="BH392" s="49"/>
      <c r="BI392" s="49"/>
      <c r="BJ392" s="49"/>
      <c r="BK392" s="49"/>
      <c r="BL392" s="49"/>
      <c r="BM392" s="49"/>
      <c r="BN392" s="49"/>
      <c r="BO392" s="49"/>
      <c r="BP392" s="49"/>
      <c r="BQ392" s="49"/>
      <c r="BR392" s="49"/>
      <c r="BS392" s="49"/>
      <c r="BT392" s="49"/>
      <c r="BU392" s="49"/>
      <c r="BV392" s="49"/>
      <c r="BW392" s="49"/>
      <c r="BX392" s="49"/>
      <c r="BY392" s="49"/>
      <c r="BZ392" s="49"/>
      <c r="CA392" s="49"/>
      <c r="CB392" s="49"/>
      <c r="CC392" s="49"/>
      <c r="CD392" s="49"/>
      <c r="CE392" s="49"/>
      <c r="CF392" s="49"/>
      <c r="CG392" s="49"/>
      <c r="CH392" s="49"/>
      <c r="CI392" s="49"/>
      <c r="CJ392" s="49"/>
      <c r="CK392" s="49"/>
      <c r="CL392" s="49"/>
      <c r="CM392" s="49"/>
      <c r="CN392" s="49"/>
      <c r="CO392" s="49"/>
      <c r="CP392" s="49"/>
      <c r="CQ392" s="49"/>
      <c r="CT392" s="54"/>
      <c r="DE392" s="34"/>
    </row>
    <row r="393" spans="1:109" ht="14.5" x14ac:dyDescent="0.35">
      <c r="A393" s="19"/>
      <c r="B393" s="1"/>
      <c r="C393"/>
      <c r="D393"/>
      <c r="E393" s="38"/>
      <c r="F393" s="38"/>
      <c r="G393" s="38"/>
      <c r="H393" s="38"/>
      <c r="I393" s="38"/>
      <c r="J393" s="33"/>
      <c r="K393" s="46"/>
      <c r="O393" s="54"/>
      <c r="P393" s="54"/>
      <c r="Q393" s="54"/>
      <c r="R393" s="54"/>
      <c r="S393" s="47"/>
      <c r="T393" s="48"/>
      <c r="U393" s="48"/>
      <c r="V393" s="48"/>
      <c r="W393" s="48"/>
      <c r="X393" s="49"/>
      <c r="Y393" s="49"/>
      <c r="Z393" s="49"/>
      <c r="AA393" s="49"/>
      <c r="AB393" s="49"/>
      <c r="AC393" s="49"/>
      <c r="AD393" s="49"/>
      <c r="AE393" s="49"/>
      <c r="AF393" s="49"/>
      <c r="AG393" s="49"/>
      <c r="AH393" s="49"/>
      <c r="AI393" s="49"/>
      <c r="AJ393" s="49"/>
      <c r="AK393" s="49"/>
      <c r="AL393" s="49"/>
      <c r="AM393" s="49"/>
      <c r="AN393" s="49"/>
      <c r="AO393" s="49"/>
      <c r="AP393" s="49"/>
      <c r="AQ393" s="49"/>
      <c r="AR393" s="49"/>
      <c r="AS393" s="49"/>
      <c r="AT393" s="49"/>
      <c r="AU393" s="49"/>
      <c r="AV393" s="49"/>
      <c r="AW393" s="49"/>
      <c r="AX393" s="49"/>
      <c r="AY393" s="49"/>
      <c r="AZ393" s="49"/>
      <c r="BA393" s="49"/>
      <c r="BB393" s="49"/>
      <c r="BC393" s="49"/>
      <c r="BD393" s="49"/>
      <c r="BE393" s="49"/>
      <c r="BF393" s="49"/>
      <c r="BG393" s="49"/>
      <c r="BH393" s="49"/>
      <c r="BI393" s="49"/>
      <c r="BJ393" s="49"/>
      <c r="BK393" s="49"/>
      <c r="BL393" s="49"/>
      <c r="BM393" s="49"/>
      <c r="BN393" s="49"/>
      <c r="BO393" s="49"/>
      <c r="BP393" s="49"/>
      <c r="BQ393" s="49"/>
      <c r="BR393" s="49"/>
      <c r="BS393" s="49"/>
      <c r="BT393" s="49"/>
      <c r="BU393" s="49"/>
      <c r="BV393" s="49"/>
      <c r="BW393" s="49"/>
      <c r="BX393" s="49"/>
      <c r="BY393" s="49"/>
      <c r="BZ393" s="49"/>
      <c r="CA393" s="49"/>
      <c r="CB393" s="49"/>
      <c r="CC393" s="49"/>
      <c r="CD393" s="49"/>
      <c r="CE393" s="49"/>
      <c r="CF393" s="49"/>
      <c r="CG393" s="49"/>
      <c r="CH393" s="49"/>
      <c r="CI393" s="49"/>
      <c r="CJ393" s="49"/>
      <c r="CK393" s="49"/>
      <c r="CL393" s="49"/>
      <c r="CM393" s="49"/>
      <c r="CN393" s="49"/>
      <c r="CO393" s="49"/>
      <c r="CP393" s="49"/>
      <c r="CQ393" s="49"/>
      <c r="CT393" s="54"/>
      <c r="DE393" s="34"/>
    </row>
    <row r="394" spans="1:109" ht="14.5" x14ac:dyDescent="0.35">
      <c r="A394" s="19"/>
      <c r="B394" s="1"/>
      <c r="C394"/>
      <c r="D394"/>
      <c r="E394" s="38"/>
      <c r="F394" s="38"/>
      <c r="G394" s="38"/>
      <c r="H394" s="38"/>
      <c r="I394" s="38"/>
      <c r="J394" s="33"/>
      <c r="K394" s="46"/>
      <c r="O394" s="54"/>
      <c r="P394" s="54"/>
      <c r="Q394" s="54"/>
      <c r="R394" s="54"/>
      <c r="S394" s="47"/>
      <c r="T394" s="48"/>
      <c r="U394" s="48"/>
      <c r="V394" s="48"/>
      <c r="W394" s="48"/>
      <c r="X394" s="49"/>
      <c r="Y394" s="49"/>
      <c r="Z394" s="49"/>
      <c r="AA394" s="49"/>
      <c r="AB394" s="49"/>
      <c r="AC394" s="49"/>
      <c r="AD394" s="49"/>
      <c r="AE394" s="49"/>
      <c r="AF394" s="49"/>
      <c r="AG394" s="49"/>
      <c r="AH394" s="49"/>
      <c r="AI394" s="49"/>
      <c r="AJ394" s="49"/>
      <c r="AK394" s="49"/>
      <c r="AL394" s="49"/>
      <c r="AM394" s="49"/>
      <c r="AN394" s="49"/>
      <c r="AO394" s="49"/>
      <c r="AP394" s="49"/>
      <c r="AQ394" s="49"/>
      <c r="AR394" s="49"/>
      <c r="AS394" s="49"/>
      <c r="AT394" s="49"/>
      <c r="AU394" s="49"/>
      <c r="AV394" s="49"/>
      <c r="AW394" s="49"/>
      <c r="AX394" s="49"/>
      <c r="AY394" s="49"/>
      <c r="AZ394" s="49"/>
      <c r="BA394" s="49"/>
      <c r="BB394" s="49"/>
      <c r="BC394" s="49"/>
      <c r="BD394" s="49"/>
      <c r="BE394" s="49"/>
      <c r="BF394" s="49"/>
      <c r="BG394" s="49"/>
      <c r="BH394" s="49"/>
      <c r="BI394" s="49"/>
      <c r="BJ394" s="49"/>
      <c r="BK394" s="49"/>
      <c r="BL394" s="49"/>
      <c r="BM394" s="49"/>
      <c r="BN394" s="49"/>
      <c r="BO394" s="49"/>
      <c r="BP394" s="49"/>
      <c r="BQ394" s="49"/>
      <c r="BR394" s="49"/>
      <c r="BS394" s="49"/>
      <c r="BT394" s="49"/>
      <c r="BU394" s="49"/>
      <c r="BV394" s="49"/>
      <c r="BW394" s="49"/>
      <c r="BX394" s="49"/>
      <c r="BY394" s="49"/>
      <c r="BZ394" s="49"/>
      <c r="CA394" s="49"/>
      <c r="CB394" s="49"/>
      <c r="CC394" s="49"/>
      <c r="CD394" s="49"/>
      <c r="CE394" s="49"/>
      <c r="CF394" s="49"/>
      <c r="CG394" s="49"/>
      <c r="CH394" s="49"/>
      <c r="CI394" s="49"/>
      <c r="CJ394" s="49"/>
      <c r="CK394" s="49"/>
      <c r="CL394" s="49"/>
      <c r="CM394" s="49"/>
      <c r="CN394" s="49"/>
      <c r="CO394" s="49"/>
      <c r="CP394" s="49"/>
      <c r="CQ394" s="49"/>
      <c r="CT394" s="54"/>
      <c r="DE394" s="34"/>
    </row>
    <row r="395" spans="1:109" ht="14.5" x14ac:dyDescent="0.35">
      <c r="A395" s="19"/>
      <c r="B395" s="1"/>
      <c r="C395"/>
      <c r="D395"/>
      <c r="E395" s="38"/>
      <c r="F395" s="38"/>
      <c r="G395" s="38"/>
      <c r="H395" s="38"/>
      <c r="I395" s="38"/>
      <c r="J395" s="33"/>
      <c r="K395" s="46"/>
      <c r="O395" s="54"/>
      <c r="P395" s="54"/>
      <c r="Q395" s="54"/>
      <c r="R395" s="54"/>
      <c r="S395" s="47"/>
      <c r="T395" s="48"/>
      <c r="U395" s="48"/>
      <c r="V395" s="48"/>
      <c r="W395" s="48"/>
      <c r="X395" s="49"/>
      <c r="Y395" s="49"/>
      <c r="Z395" s="49"/>
      <c r="AA395" s="49"/>
      <c r="AB395" s="49"/>
      <c r="AC395" s="49"/>
      <c r="AD395" s="49"/>
      <c r="AE395" s="49"/>
      <c r="AF395" s="49"/>
      <c r="AG395" s="49"/>
      <c r="AH395" s="49"/>
      <c r="AI395" s="49"/>
      <c r="AJ395" s="49"/>
      <c r="AK395" s="49"/>
      <c r="AL395" s="49"/>
      <c r="AM395" s="49"/>
      <c r="AN395" s="49"/>
      <c r="AO395" s="49"/>
      <c r="AP395" s="49"/>
      <c r="AQ395" s="49"/>
      <c r="AR395" s="49"/>
      <c r="AS395" s="49"/>
      <c r="AT395" s="49"/>
      <c r="AU395" s="49"/>
      <c r="AV395" s="49"/>
      <c r="AW395" s="49"/>
      <c r="AX395" s="49"/>
      <c r="AY395" s="49"/>
      <c r="AZ395" s="49"/>
      <c r="BA395" s="49"/>
      <c r="BB395" s="49"/>
      <c r="BC395" s="49"/>
      <c r="BD395" s="49"/>
      <c r="BE395" s="49"/>
      <c r="BF395" s="49"/>
      <c r="BG395" s="49"/>
      <c r="BH395" s="49"/>
      <c r="BI395" s="49"/>
      <c r="BJ395" s="49"/>
      <c r="BK395" s="49"/>
      <c r="BL395" s="49"/>
      <c r="BM395" s="49"/>
      <c r="BN395" s="49"/>
      <c r="BO395" s="49"/>
      <c r="BP395" s="49"/>
      <c r="BQ395" s="49"/>
      <c r="BR395" s="49"/>
      <c r="BS395" s="49"/>
      <c r="BT395" s="49"/>
      <c r="BU395" s="49"/>
      <c r="BV395" s="49"/>
      <c r="BW395" s="49"/>
      <c r="BX395" s="49"/>
      <c r="BY395" s="49"/>
      <c r="BZ395" s="49"/>
      <c r="CA395" s="49"/>
      <c r="CB395" s="49"/>
      <c r="CC395" s="49"/>
      <c r="CD395" s="49"/>
      <c r="CE395" s="49"/>
      <c r="CF395" s="49"/>
      <c r="CG395" s="49"/>
      <c r="CH395" s="49"/>
      <c r="CI395" s="49"/>
      <c r="CJ395" s="49"/>
      <c r="CK395" s="49"/>
      <c r="CL395" s="49"/>
      <c r="CM395" s="49"/>
      <c r="CN395" s="49"/>
      <c r="CO395" s="49"/>
      <c r="CP395" s="49"/>
      <c r="CQ395" s="49"/>
      <c r="CT395" s="54"/>
      <c r="DE395" s="34"/>
    </row>
    <row r="396" spans="1:109" ht="14.5" x14ac:dyDescent="0.35">
      <c r="A396" s="19"/>
      <c r="B396" s="1"/>
      <c r="C396"/>
      <c r="D396"/>
      <c r="E396" s="38"/>
      <c r="F396" s="38"/>
      <c r="G396" s="38"/>
      <c r="H396" s="38"/>
      <c r="I396" s="38"/>
      <c r="J396" s="33"/>
      <c r="K396" s="46"/>
      <c r="O396" s="54"/>
      <c r="P396" s="54"/>
      <c r="Q396" s="54"/>
      <c r="R396" s="54"/>
      <c r="S396" s="47"/>
      <c r="T396" s="48"/>
      <c r="U396" s="48"/>
      <c r="V396" s="48"/>
      <c r="W396" s="48"/>
      <c r="X396" s="49"/>
      <c r="Y396" s="49"/>
      <c r="Z396" s="49"/>
      <c r="AA396" s="49"/>
      <c r="AB396" s="49"/>
      <c r="AC396" s="49"/>
      <c r="AD396" s="49"/>
      <c r="AE396" s="49"/>
      <c r="AF396" s="49"/>
      <c r="AG396" s="49"/>
      <c r="AH396" s="49"/>
      <c r="AI396" s="49"/>
      <c r="AJ396" s="49"/>
      <c r="AK396" s="49"/>
      <c r="AL396" s="49"/>
      <c r="AM396" s="49"/>
      <c r="AN396" s="49"/>
      <c r="AO396" s="49"/>
      <c r="AP396" s="49"/>
      <c r="AQ396" s="49"/>
      <c r="AR396" s="49"/>
      <c r="AS396" s="49"/>
      <c r="AT396" s="49"/>
      <c r="AU396" s="49"/>
      <c r="AV396" s="49"/>
      <c r="AW396" s="49"/>
      <c r="AX396" s="49"/>
      <c r="AY396" s="49"/>
      <c r="AZ396" s="49"/>
      <c r="BA396" s="49"/>
      <c r="BB396" s="49"/>
      <c r="BC396" s="49"/>
      <c r="BD396" s="49"/>
      <c r="BE396" s="49"/>
      <c r="BF396" s="49"/>
      <c r="BG396" s="49"/>
      <c r="BH396" s="49"/>
      <c r="BI396" s="49"/>
      <c r="BJ396" s="49"/>
      <c r="BK396" s="49"/>
      <c r="BL396" s="49"/>
      <c r="BM396" s="49"/>
      <c r="BN396" s="49"/>
      <c r="BO396" s="49"/>
      <c r="BP396" s="49"/>
      <c r="BQ396" s="49"/>
      <c r="BR396" s="49"/>
      <c r="BS396" s="49"/>
      <c r="BT396" s="49"/>
      <c r="BU396" s="49"/>
      <c r="BV396" s="49"/>
      <c r="BW396" s="49"/>
      <c r="BX396" s="49"/>
      <c r="BY396" s="49"/>
      <c r="BZ396" s="49"/>
      <c r="CA396" s="49"/>
      <c r="CB396" s="49"/>
      <c r="CC396" s="49"/>
      <c r="CD396" s="49"/>
      <c r="CE396" s="49"/>
      <c r="CF396" s="49"/>
      <c r="CG396" s="49"/>
      <c r="CH396" s="49"/>
      <c r="CI396" s="49"/>
      <c r="CJ396" s="49"/>
      <c r="CK396" s="49"/>
      <c r="CL396" s="49"/>
      <c r="CM396" s="49"/>
      <c r="CN396" s="49"/>
      <c r="CO396" s="49"/>
      <c r="CP396" s="49"/>
      <c r="CQ396" s="49"/>
      <c r="CT396" s="54"/>
      <c r="DE396" s="34"/>
    </row>
    <row r="397" spans="1:109" ht="14.5" x14ac:dyDescent="0.35">
      <c r="A397" s="19"/>
      <c r="B397" s="1"/>
      <c r="C397"/>
      <c r="D397"/>
      <c r="E397" s="38"/>
      <c r="F397" s="38"/>
      <c r="G397" s="38"/>
      <c r="H397" s="38"/>
      <c r="I397" s="38"/>
      <c r="J397" s="33"/>
      <c r="K397" s="46"/>
      <c r="O397" s="54"/>
      <c r="P397" s="54"/>
      <c r="Q397" s="54"/>
      <c r="R397" s="54"/>
      <c r="S397" s="47"/>
      <c r="T397" s="48"/>
      <c r="U397" s="48"/>
      <c r="V397" s="48"/>
      <c r="W397" s="48"/>
      <c r="X397" s="49"/>
      <c r="Y397" s="49"/>
      <c r="Z397" s="49"/>
      <c r="AA397" s="49"/>
      <c r="AB397" s="49"/>
      <c r="AC397" s="49"/>
      <c r="AD397" s="49"/>
      <c r="AE397" s="49"/>
      <c r="AF397" s="49"/>
      <c r="AG397" s="49"/>
      <c r="AH397" s="49"/>
      <c r="AI397" s="49"/>
      <c r="AJ397" s="49"/>
      <c r="AK397" s="49"/>
      <c r="AL397" s="49"/>
      <c r="AM397" s="49"/>
      <c r="AN397" s="49"/>
      <c r="AO397" s="49"/>
      <c r="AP397" s="49"/>
      <c r="AQ397" s="49"/>
      <c r="AR397" s="49"/>
      <c r="AS397" s="49"/>
      <c r="AT397" s="49"/>
      <c r="AU397" s="49"/>
      <c r="AV397" s="49"/>
      <c r="AW397" s="49"/>
      <c r="AX397" s="49"/>
      <c r="AY397" s="49"/>
      <c r="AZ397" s="49"/>
      <c r="BA397" s="49"/>
      <c r="BB397" s="49"/>
      <c r="BC397" s="49"/>
      <c r="BD397" s="49"/>
      <c r="BE397" s="49"/>
      <c r="BF397" s="49"/>
      <c r="BG397" s="49"/>
      <c r="BH397" s="49"/>
      <c r="BI397" s="49"/>
      <c r="BJ397" s="49"/>
      <c r="BK397" s="49"/>
      <c r="BL397" s="49"/>
      <c r="BM397" s="49"/>
      <c r="BN397" s="49"/>
      <c r="BO397" s="49"/>
      <c r="BP397" s="49"/>
      <c r="BQ397" s="49"/>
      <c r="BR397" s="49"/>
      <c r="BS397" s="49"/>
      <c r="BT397" s="49"/>
      <c r="BU397" s="49"/>
      <c r="BV397" s="49"/>
      <c r="BW397" s="49"/>
      <c r="BX397" s="49"/>
      <c r="BY397" s="49"/>
      <c r="BZ397" s="49"/>
      <c r="CA397" s="49"/>
      <c r="CB397" s="49"/>
      <c r="CC397" s="49"/>
      <c r="CD397" s="49"/>
      <c r="CE397" s="49"/>
      <c r="CF397" s="49"/>
      <c r="CG397" s="49"/>
      <c r="CH397" s="49"/>
      <c r="CI397" s="49"/>
      <c r="CJ397" s="49"/>
      <c r="CK397" s="49"/>
      <c r="CL397" s="49"/>
      <c r="CM397" s="49"/>
      <c r="CN397" s="49"/>
      <c r="CO397" s="49"/>
      <c r="CP397" s="49"/>
      <c r="CQ397" s="49"/>
      <c r="CT397" s="54"/>
      <c r="DE397" s="34"/>
    </row>
    <row r="398" spans="1:109" ht="14.5" x14ac:dyDescent="0.35">
      <c r="A398" s="19"/>
      <c r="B398" s="1"/>
      <c r="C398"/>
      <c r="D398"/>
      <c r="E398" s="38"/>
      <c r="F398" s="38"/>
      <c r="G398" s="38"/>
      <c r="H398" s="38"/>
      <c r="I398" s="38"/>
      <c r="J398" s="33"/>
      <c r="K398" s="46"/>
      <c r="O398" s="54"/>
      <c r="P398" s="54"/>
      <c r="Q398" s="54"/>
      <c r="R398" s="54"/>
      <c r="S398" s="47"/>
      <c r="T398" s="48"/>
      <c r="U398" s="48"/>
      <c r="V398" s="48"/>
      <c r="W398" s="48"/>
      <c r="X398" s="49"/>
      <c r="Y398" s="49"/>
      <c r="Z398" s="49"/>
      <c r="AA398" s="49"/>
      <c r="AB398" s="49"/>
      <c r="AC398" s="49"/>
      <c r="AD398" s="49"/>
      <c r="AE398" s="49"/>
      <c r="AF398" s="49"/>
      <c r="AG398" s="49"/>
      <c r="AH398" s="49"/>
      <c r="AI398" s="49"/>
      <c r="AJ398" s="49"/>
      <c r="AK398" s="49"/>
      <c r="AL398" s="49"/>
      <c r="AM398" s="49"/>
      <c r="AN398" s="49"/>
      <c r="AO398" s="49"/>
      <c r="AP398" s="49"/>
      <c r="AQ398" s="49"/>
      <c r="AR398" s="49"/>
      <c r="AS398" s="49"/>
      <c r="AT398" s="49"/>
      <c r="AU398" s="49"/>
      <c r="AV398" s="49"/>
      <c r="AW398" s="49"/>
      <c r="AX398" s="49"/>
      <c r="AY398" s="49"/>
      <c r="AZ398" s="49"/>
      <c r="BA398" s="49"/>
      <c r="BB398" s="49"/>
      <c r="BC398" s="49"/>
      <c r="BD398" s="49"/>
      <c r="BE398" s="49"/>
      <c r="BF398" s="49"/>
      <c r="BG398" s="49"/>
      <c r="BH398" s="49"/>
      <c r="BI398" s="49"/>
      <c r="BJ398" s="49"/>
      <c r="BK398" s="49"/>
      <c r="BL398" s="49"/>
      <c r="BM398" s="49"/>
      <c r="BN398" s="49"/>
      <c r="BO398" s="49"/>
      <c r="BP398" s="49"/>
      <c r="BQ398" s="49"/>
      <c r="BR398" s="49"/>
      <c r="BS398" s="49"/>
      <c r="BT398" s="49"/>
      <c r="BU398" s="49"/>
      <c r="BV398" s="49"/>
      <c r="BW398" s="49"/>
      <c r="BX398" s="49"/>
      <c r="BY398" s="49"/>
      <c r="BZ398" s="49"/>
      <c r="CA398" s="49"/>
      <c r="CB398" s="49"/>
      <c r="CC398" s="49"/>
      <c r="CD398" s="49"/>
      <c r="CE398" s="49"/>
      <c r="CF398" s="49"/>
      <c r="CG398" s="49"/>
      <c r="CH398" s="49"/>
      <c r="CI398" s="49"/>
      <c r="CJ398" s="49"/>
      <c r="CK398" s="49"/>
      <c r="CL398" s="49"/>
      <c r="CM398" s="49"/>
      <c r="CN398" s="49"/>
      <c r="CO398" s="49"/>
      <c r="CP398" s="49"/>
      <c r="CQ398" s="49"/>
      <c r="CT398" s="54"/>
      <c r="DE398" s="34"/>
    </row>
    <row r="399" spans="1:109" ht="14.5" x14ac:dyDescent="0.35">
      <c r="A399" s="19"/>
      <c r="B399" s="1"/>
      <c r="C399"/>
      <c r="D399"/>
      <c r="E399" s="38"/>
      <c r="F399" s="38"/>
      <c r="G399" s="38"/>
      <c r="H399" s="38"/>
      <c r="I399" s="38"/>
      <c r="J399" s="33"/>
      <c r="K399" s="46"/>
      <c r="O399" s="54"/>
      <c r="P399" s="54"/>
      <c r="Q399" s="54"/>
      <c r="R399" s="54"/>
      <c r="S399" s="47"/>
      <c r="T399" s="48"/>
      <c r="U399" s="48"/>
      <c r="V399" s="48"/>
      <c r="W399" s="48"/>
      <c r="X399" s="49"/>
      <c r="Y399" s="49"/>
      <c r="Z399" s="49"/>
      <c r="AA399" s="49"/>
      <c r="AB399" s="49"/>
      <c r="AC399" s="49"/>
      <c r="AD399" s="49"/>
      <c r="AE399" s="49"/>
      <c r="AF399" s="49"/>
      <c r="AG399" s="49"/>
      <c r="AH399" s="49"/>
      <c r="AI399" s="49"/>
      <c r="AJ399" s="49"/>
      <c r="AK399" s="49"/>
      <c r="AL399" s="49"/>
      <c r="AM399" s="49"/>
      <c r="AN399" s="49"/>
      <c r="AO399" s="49"/>
      <c r="AP399" s="49"/>
      <c r="AQ399" s="49"/>
      <c r="AR399" s="49"/>
      <c r="AS399" s="49"/>
      <c r="AT399" s="49"/>
      <c r="AU399" s="49"/>
      <c r="AV399" s="49"/>
      <c r="AW399" s="49"/>
      <c r="AX399" s="49"/>
      <c r="AY399" s="49"/>
      <c r="AZ399" s="49"/>
      <c r="BA399" s="49"/>
      <c r="BB399" s="49"/>
      <c r="BC399" s="49"/>
      <c r="BD399" s="49"/>
      <c r="BE399" s="49"/>
      <c r="BF399" s="49"/>
      <c r="BG399" s="49"/>
      <c r="BH399" s="49"/>
      <c r="BI399" s="49"/>
      <c r="BJ399" s="49"/>
      <c r="BK399" s="49"/>
      <c r="BL399" s="49"/>
      <c r="BM399" s="49"/>
      <c r="BN399" s="49"/>
      <c r="BO399" s="49"/>
      <c r="BP399" s="49"/>
      <c r="BQ399" s="49"/>
      <c r="BR399" s="49"/>
      <c r="BS399" s="49"/>
      <c r="BT399" s="49"/>
      <c r="BU399" s="49"/>
      <c r="BV399" s="49"/>
      <c r="BW399" s="49"/>
      <c r="BX399" s="49"/>
      <c r="BY399" s="49"/>
      <c r="BZ399" s="49"/>
      <c r="CA399" s="49"/>
      <c r="CB399" s="49"/>
      <c r="CC399" s="49"/>
      <c r="CD399" s="49"/>
      <c r="CE399" s="49"/>
      <c r="CF399" s="49"/>
      <c r="CG399" s="49"/>
      <c r="CH399" s="49"/>
      <c r="CI399" s="49"/>
      <c r="CJ399" s="49"/>
      <c r="CK399" s="49"/>
      <c r="CL399" s="49"/>
      <c r="CM399" s="49"/>
      <c r="CN399" s="49"/>
      <c r="CO399" s="49"/>
      <c r="CP399" s="49"/>
      <c r="CQ399" s="49"/>
      <c r="CT399" s="54"/>
      <c r="DE399" s="34"/>
    </row>
    <row r="400" spans="1:109" ht="14.5" x14ac:dyDescent="0.35">
      <c r="A400" s="19"/>
      <c r="B400" s="1"/>
      <c r="C400"/>
      <c r="D400"/>
      <c r="E400" s="38"/>
      <c r="F400" s="38"/>
      <c r="G400" s="38"/>
      <c r="H400" s="38"/>
      <c r="I400" s="38"/>
      <c r="J400" s="33"/>
      <c r="K400" s="46"/>
      <c r="O400" s="54"/>
      <c r="P400" s="54"/>
      <c r="Q400" s="54"/>
      <c r="R400" s="54"/>
      <c r="S400" s="47"/>
      <c r="T400" s="48"/>
      <c r="U400" s="48"/>
      <c r="V400" s="48"/>
      <c r="W400" s="48"/>
      <c r="X400" s="49"/>
      <c r="Y400" s="49"/>
      <c r="Z400" s="49"/>
      <c r="AA400" s="49"/>
      <c r="AB400" s="49"/>
      <c r="AC400" s="49"/>
      <c r="AD400" s="49"/>
      <c r="AE400" s="49"/>
      <c r="AF400" s="49"/>
      <c r="AG400" s="49"/>
      <c r="AH400" s="49"/>
      <c r="AI400" s="49"/>
      <c r="AJ400" s="49"/>
      <c r="AK400" s="49"/>
      <c r="AL400" s="49"/>
      <c r="AM400" s="49"/>
      <c r="AN400" s="49"/>
      <c r="AO400" s="49"/>
      <c r="AP400" s="49"/>
      <c r="AQ400" s="49"/>
      <c r="AR400" s="49"/>
      <c r="AS400" s="49"/>
      <c r="AT400" s="49"/>
      <c r="AU400" s="49"/>
      <c r="AV400" s="49"/>
      <c r="AW400" s="49"/>
      <c r="AX400" s="49"/>
      <c r="AY400" s="49"/>
      <c r="AZ400" s="49"/>
      <c r="BA400" s="49"/>
      <c r="BB400" s="49"/>
      <c r="BC400" s="49"/>
      <c r="BD400" s="49"/>
      <c r="BE400" s="49"/>
      <c r="BF400" s="49"/>
      <c r="BG400" s="49"/>
      <c r="BH400" s="49"/>
      <c r="BI400" s="49"/>
      <c r="BJ400" s="49"/>
      <c r="BK400" s="49"/>
      <c r="BL400" s="49"/>
      <c r="BM400" s="49"/>
      <c r="BN400" s="49"/>
      <c r="BO400" s="49"/>
      <c r="BP400" s="49"/>
      <c r="BQ400" s="49"/>
      <c r="BR400" s="49"/>
      <c r="BS400" s="49"/>
      <c r="BT400" s="49"/>
      <c r="BU400" s="49"/>
      <c r="BV400" s="49"/>
      <c r="BW400" s="49"/>
      <c r="BX400" s="49"/>
      <c r="BY400" s="49"/>
      <c r="BZ400" s="49"/>
      <c r="CA400" s="49"/>
      <c r="CB400" s="49"/>
      <c r="CC400" s="49"/>
      <c r="CD400" s="49"/>
      <c r="CE400" s="49"/>
      <c r="CF400" s="49"/>
      <c r="CG400" s="49"/>
      <c r="CH400" s="49"/>
      <c r="CI400" s="49"/>
      <c r="CJ400" s="49"/>
      <c r="CK400" s="49"/>
      <c r="CL400" s="49"/>
      <c r="CM400" s="49"/>
      <c r="CN400" s="49"/>
      <c r="CO400" s="49"/>
      <c r="CP400" s="49"/>
      <c r="CQ400" s="49"/>
      <c r="CT400" s="54"/>
      <c r="DE400" s="34"/>
    </row>
    <row r="401" spans="1:109" ht="14.5" x14ac:dyDescent="0.35">
      <c r="A401" s="19"/>
      <c r="B401" s="1"/>
      <c r="C401"/>
      <c r="D401"/>
      <c r="E401" s="38"/>
      <c r="F401" s="38"/>
      <c r="G401" s="38"/>
      <c r="H401" s="38"/>
      <c r="I401" s="38"/>
      <c r="J401" s="33"/>
      <c r="K401" s="46"/>
      <c r="O401" s="54"/>
      <c r="P401" s="54"/>
      <c r="Q401" s="54"/>
      <c r="R401" s="54"/>
      <c r="S401" s="47"/>
      <c r="T401" s="48"/>
      <c r="U401" s="48"/>
      <c r="V401" s="48"/>
      <c r="W401" s="48"/>
      <c r="X401" s="49"/>
      <c r="Y401" s="49"/>
      <c r="Z401" s="49"/>
      <c r="AA401" s="49"/>
      <c r="AB401" s="49"/>
      <c r="AC401" s="49"/>
      <c r="AD401" s="49"/>
      <c r="AE401" s="49"/>
      <c r="AF401" s="49"/>
      <c r="AG401" s="49"/>
      <c r="AH401" s="49"/>
      <c r="AI401" s="49"/>
      <c r="AJ401" s="49"/>
      <c r="AK401" s="49"/>
      <c r="AL401" s="49"/>
      <c r="AM401" s="49"/>
      <c r="AN401" s="49"/>
      <c r="AO401" s="49"/>
      <c r="AP401" s="49"/>
      <c r="AQ401" s="49"/>
      <c r="AR401" s="49"/>
      <c r="AS401" s="49"/>
      <c r="AT401" s="49"/>
      <c r="AU401" s="49"/>
      <c r="AV401" s="49"/>
      <c r="AW401" s="49"/>
      <c r="AX401" s="49"/>
      <c r="AY401" s="49"/>
      <c r="AZ401" s="49"/>
      <c r="BA401" s="49"/>
      <c r="BB401" s="49"/>
      <c r="BC401" s="49"/>
      <c r="BD401" s="49"/>
      <c r="BE401" s="49"/>
      <c r="BF401" s="49"/>
      <c r="BG401" s="49"/>
      <c r="BH401" s="49"/>
      <c r="BI401" s="49"/>
      <c r="BJ401" s="49"/>
      <c r="BK401" s="49"/>
      <c r="BL401" s="49"/>
      <c r="BM401" s="49"/>
      <c r="BN401" s="49"/>
      <c r="BO401" s="49"/>
      <c r="BP401" s="49"/>
      <c r="BQ401" s="49"/>
      <c r="BR401" s="49"/>
      <c r="BS401" s="49"/>
      <c r="BT401" s="49"/>
      <c r="BU401" s="49"/>
      <c r="BV401" s="49"/>
      <c r="BW401" s="49"/>
      <c r="BX401" s="49"/>
      <c r="BY401" s="49"/>
      <c r="BZ401" s="49"/>
      <c r="CA401" s="49"/>
      <c r="CB401" s="49"/>
      <c r="CC401" s="49"/>
      <c r="CD401" s="49"/>
      <c r="CE401" s="49"/>
      <c r="CF401" s="49"/>
      <c r="CG401" s="49"/>
      <c r="CH401" s="49"/>
      <c r="CI401" s="49"/>
      <c r="CJ401" s="49"/>
      <c r="CK401" s="49"/>
      <c r="CL401" s="49"/>
      <c r="CM401" s="49"/>
      <c r="CN401" s="49"/>
      <c r="CO401" s="49"/>
      <c r="CP401" s="49"/>
      <c r="CQ401" s="49"/>
      <c r="CT401" s="54"/>
      <c r="DE401" s="34"/>
    </row>
    <row r="402" spans="1:109" ht="14.5" x14ac:dyDescent="0.35">
      <c r="A402" s="19"/>
      <c r="B402" s="1"/>
      <c r="C402"/>
      <c r="D402"/>
      <c r="E402" s="38"/>
      <c r="F402" s="38"/>
      <c r="G402" s="38"/>
      <c r="H402" s="38"/>
      <c r="I402" s="38"/>
      <c r="J402" s="33"/>
      <c r="K402" s="46"/>
      <c r="O402" s="54"/>
      <c r="P402" s="54"/>
      <c r="Q402" s="54"/>
      <c r="R402" s="54"/>
      <c r="S402" s="47"/>
      <c r="T402" s="48"/>
      <c r="U402" s="48"/>
      <c r="V402" s="48"/>
      <c r="W402" s="48"/>
      <c r="X402" s="49"/>
      <c r="Y402" s="49"/>
      <c r="Z402" s="49"/>
      <c r="AA402" s="49"/>
      <c r="AB402" s="49"/>
      <c r="AC402" s="49"/>
      <c r="AD402" s="49"/>
      <c r="AE402" s="49"/>
      <c r="AF402" s="49"/>
      <c r="AG402" s="49"/>
      <c r="AH402" s="49"/>
      <c r="AI402" s="49"/>
      <c r="AJ402" s="49"/>
      <c r="AK402" s="49"/>
      <c r="AL402" s="49"/>
      <c r="AM402" s="49"/>
      <c r="AN402" s="49"/>
      <c r="AO402" s="49"/>
      <c r="AP402" s="49"/>
      <c r="AQ402" s="49"/>
      <c r="AR402" s="49"/>
      <c r="AS402" s="49"/>
      <c r="AT402" s="49"/>
      <c r="AU402" s="49"/>
      <c r="AV402" s="49"/>
      <c r="AW402" s="49"/>
      <c r="AX402" s="49"/>
      <c r="AY402" s="49"/>
      <c r="AZ402" s="49"/>
      <c r="BA402" s="49"/>
      <c r="BB402" s="49"/>
      <c r="BC402" s="49"/>
      <c r="BD402" s="49"/>
      <c r="BE402" s="49"/>
      <c r="BF402" s="49"/>
      <c r="BG402" s="49"/>
      <c r="BH402" s="49"/>
      <c r="BI402" s="49"/>
      <c r="BJ402" s="49"/>
      <c r="BK402" s="49"/>
      <c r="BL402" s="49"/>
      <c r="BM402" s="49"/>
      <c r="BN402" s="49"/>
      <c r="BO402" s="49"/>
      <c r="BP402" s="49"/>
      <c r="BQ402" s="49"/>
      <c r="BR402" s="49"/>
      <c r="BS402" s="49"/>
      <c r="BT402" s="49"/>
      <c r="BU402" s="49"/>
      <c r="BV402" s="49"/>
      <c r="BW402" s="49"/>
      <c r="BX402" s="49"/>
      <c r="BY402" s="49"/>
      <c r="BZ402" s="49"/>
      <c r="CA402" s="49"/>
      <c r="CB402" s="49"/>
      <c r="CC402" s="49"/>
      <c r="CD402" s="49"/>
      <c r="CE402" s="49"/>
      <c r="CF402" s="49"/>
      <c r="CG402" s="49"/>
      <c r="CH402" s="49"/>
      <c r="CI402" s="49"/>
      <c r="CJ402" s="49"/>
      <c r="CK402" s="49"/>
      <c r="CL402" s="49"/>
      <c r="CM402" s="49"/>
      <c r="CN402" s="49"/>
      <c r="CO402" s="49"/>
      <c r="CP402" s="49"/>
      <c r="CQ402" s="49"/>
      <c r="CT402" s="54"/>
      <c r="DE402" s="34"/>
    </row>
    <row r="403" spans="1:109" ht="14.5" x14ac:dyDescent="0.35">
      <c r="A403" s="19"/>
      <c r="B403" s="1"/>
      <c r="C403"/>
      <c r="D403"/>
      <c r="E403" s="38"/>
      <c r="F403" s="38"/>
      <c r="G403" s="38"/>
      <c r="H403" s="38"/>
      <c r="I403" s="38"/>
      <c r="J403" s="33"/>
      <c r="K403" s="46"/>
      <c r="O403" s="54"/>
      <c r="P403" s="54"/>
      <c r="Q403" s="54"/>
      <c r="R403" s="54"/>
      <c r="S403" s="47"/>
      <c r="T403" s="48"/>
      <c r="U403" s="48"/>
      <c r="V403" s="48"/>
      <c r="W403" s="48"/>
      <c r="X403" s="49"/>
      <c r="Y403" s="49"/>
      <c r="Z403" s="49"/>
      <c r="AA403" s="49"/>
      <c r="AB403" s="49"/>
      <c r="AC403" s="49"/>
      <c r="AD403" s="49"/>
      <c r="AE403" s="49"/>
      <c r="AF403" s="49"/>
      <c r="AG403" s="49"/>
      <c r="AH403" s="49"/>
      <c r="AI403" s="49"/>
      <c r="AJ403" s="49"/>
      <c r="AK403" s="49"/>
      <c r="AL403" s="49"/>
      <c r="AM403" s="49"/>
      <c r="AN403" s="49"/>
      <c r="AO403" s="49"/>
      <c r="AP403" s="49"/>
      <c r="AQ403" s="49"/>
      <c r="AR403" s="49"/>
      <c r="AS403" s="49"/>
      <c r="AT403" s="49"/>
      <c r="AU403" s="49"/>
      <c r="AV403" s="49"/>
      <c r="AW403" s="49"/>
      <c r="AX403" s="49"/>
      <c r="AY403" s="49"/>
      <c r="AZ403" s="49"/>
      <c r="BA403" s="49"/>
      <c r="BB403" s="49"/>
      <c r="BC403" s="49"/>
      <c r="BD403" s="49"/>
      <c r="BE403" s="49"/>
      <c r="BF403" s="49"/>
      <c r="BG403" s="49"/>
      <c r="BH403" s="49"/>
      <c r="BI403" s="49"/>
      <c r="BJ403" s="49"/>
      <c r="BK403" s="49"/>
      <c r="BL403" s="49"/>
      <c r="BM403" s="49"/>
      <c r="BN403" s="49"/>
      <c r="BO403" s="49"/>
      <c r="BP403" s="49"/>
      <c r="BQ403" s="49"/>
      <c r="BR403" s="49"/>
      <c r="BS403" s="49"/>
      <c r="BT403" s="49"/>
      <c r="BU403" s="49"/>
      <c r="BV403" s="49"/>
      <c r="BW403" s="49"/>
      <c r="BX403" s="49"/>
      <c r="BY403" s="49"/>
      <c r="BZ403" s="49"/>
      <c r="CA403" s="49"/>
      <c r="CB403" s="49"/>
      <c r="CC403" s="49"/>
      <c r="CD403" s="49"/>
      <c r="CE403" s="49"/>
      <c r="CF403" s="49"/>
      <c r="CG403" s="49"/>
      <c r="CH403" s="49"/>
      <c r="CI403" s="49"/>
      <c r="CJ403" s="49"/>
      <c r="CK403" s="49"/>
      <c r="CL403" s="49"/>
      <c r="CM403" s="49"/>
      <c r="CN403" s="49"/>
      <c r="CO403" s="49"/>
      <c r="CP403" s="49"/>
      <c r="CQ403" s="49"/>
      <c r="CT403" s="54"/>
      <c r="DE403" s="34"/>
    </row>
    <row r="404" spans="1:109" ht="14.5" x14ac:dyDescent="0.35">
      <c r="A404" s="19"/>
      <c r="B404" s="1"/>
      <c r="C404"/>
      <c r="D404"/>
      <c r="E404" s="38"/>
      <c r="F404" s="38"/>
      <c r="G404" s="38"/>
      <c r="H404" s="38"/>
      <c r="I404" s="38"/>
      <c r="J404" s="33"/>
      <c r="K404" s="46"/>
      <c r="O404" s="54"/>
      <c r="P404" s="54"/>
      <c r="Q404" s="54"/>
      <c r="R404" s="54"/>
      <c r="S404" s="47"/>
      <c r="T404" s="48"/>
      <c r="U404" s="48"/>
      <c r="V404" s="48"/>
      <c r="W404" s="48"/>
      <c r="X404" s="49"/>
      <c r="Y404" s="49"/>
      <c r="Z404" s="49"/>
      <c r="AA404" s="49"/>
      <c r="AB404" s="49"/>
      <c r="AC404" s="49"/>
      <c r="AD404" s="49"/>
      <c r="AE404" s="49"/>
      <c r="AF404" s="49"/>
      <c r="AG404" s="49"/>
      <c r="AH404" s="49"/>
      <c r="AI404" s="49"/>
      <c r="AJ404" s="49"/>
      <c r="AK404" s="49"/>
      <c r="AL404" s="49"/>
      <c r="AM404" s="49"/>
      <c r="AN404" s="49"/>
      <c r="AO404" s="49"/>
      <c r="AP404" s="49"/>
      <c r="AQ404" s="49"/>
      <c r="AR404" s="49"/>
      <c r="AS404" s="49"/>
      <c r="AT404" s="49"/>
      <c r="AU404" s="49"/>
      <c r="AV404" s="49"/>
      <c r="AW404" s="49"/>
      <c r="AX404" s="49"/>
      <c r="AY404" s="49"/>
      <c r="AZ404" s="49"/>
      <c r="BA404" s="49"/>
      <c r="BB404" s="49"/>
      <c r="BC404" s="49"/>
      <c r="BD404" s="49"/>
      <c r="BE404" s="49"/>
      <c r="BF404" s="49"/>
      <c r="BG404" s="49"/>
      <c r="BH404" s="49"/>
      <c r="BI404" s="49"/>
      <c r="BJ404" s="49"/>
      <c r="BK404" s="49"/>
      <c r="BL404" s="49"/>
      <c r="BM404" s="49"/>
      <c r="BN404" s="49"/>
      <c r="BO404" s="49"/>
      <c r="BP404" s="49"/>
      <c r="BQ404" s="49"/>
      <c r="BR404" s="49"/>
      <c r="BS404" s="49"/>
      <c r="BT404" s="49"/>
      <c r="BU404" s="49"/>
      <c r="BV404" s="49"/>
      <c r="BW404" s="49"/>
      <c r="BX404" s="49"/>
      <c r="BY404" s="49"/>
      <c r="BZ404" s="49"/>
      <c r="CA404" s="49"/>
      <c r="CB404" s="49"/>
      <c r="CC404" s="49"/>
      <c r="CD404" s="49"/>
      <c r="CE404" s="49"/>
      <c r="CF404" s="49"/>
      <c r="CG404" s="49"/>
      <c r="CH404" s="49"/>
      <c r="CI404" s="49"/>
      <c r="CJ404" s="49"/>
      <c r="CK404" s="49"/>
      <c r="CL404" s="49"/>
      <c r="CM404" s="49"/>
      <c r="CN404" s="49"/>
      <c r="CO404" s="49"/>
      <c r="CP404" s="49"/>
      <c r="CQ404" s="49"/>
      <c r="CT404" s="54"/>
      <c r="DE404" s="34"/>
    </row>
    <row r="405" spans="1:109" ht="14.5" x14ac:dyDescent="0.35">
      <c r="A405" s="19"/>
      <c r="B405" s="1"/>
      <c r="C405"/>
      <c r="D405"/>
      <c r="E405" s="38"/>
      <c r="F405" s="38"/>
      <c r="G405" s="38"/>
      <c r="H405" s="38"/>
      <c r="I405" s="38"/>
      <c r="J405" s="33"/>
      <c r="K405" s="46"/>
      <c r="O405" s="54"/>
      <c r="P405" s="54"/>
      <c r="Q405" s="54"/>
      <c r="R405" s="54"/>
      <c r="S405" s="47"/>
      <c r="T405" s="48"/>
      <c r="U405" s="48"/>
      <c r="V405" s="48"/>
      <c r="W405" s="48"/>
      <c r="X405" s="49"/>
      <c r="Y405" s="49"/>
      <c r="Z405" s="49"/>
      <c r="AA405" s="49"/>
      <c r="AB405" s="49"/>
      <c r="AC405" s="49"/>
      <c r="AD405" s="49"/>
      <c r="AE405" s="49"/>
      <c r="AF405" s="49"/>
      <c r="AG405" s="49"/>
      <c r="AH405" s="49"/>
      <c r="AI405" s="49"/>
      <c r="AJ405" s="49"/>
      <c r="AK405" s="49"/>
      <c r="AL405" s="49"/>
      <c r="AM405" s="49"/>
      <c r="AN405" s="49"/>
      <c r="AO405" s="49"/>
      <c r="AP405" s="49"/>
      <c r="AQ405" s="49"/>
      <c r="AR405" s="49"/>
      <c r="AS405" s="49"/>
      <c r="AT405" s="49"/>
      <c r="AU405" s="49"/>
      <c r="AV405" s="49"/>
      <c r="AW405" s="49"/>
      <c r="AX405" s="49"/>
      <c r="AY405" s="49"/>
      <c r="AZ405" s="49"/>
      <c r="BA405" s="49"/>
      <c r="BB405" s="49"/>
      <c r="BC405" s="49"/>
      <c r="BD405" s="49"/>
      <c r="BE405" s="49"/>
      <c r="BF405" s="49"/>
      <c r="BG405" s="49"/>
      <c r="BH405" s="49"/>
      <c r="BI405" s="49"/>
      <c r="BJ405" s="49"/>
      <c r="BK405" s="49"/>
      <c r="BL405" s="49"/>
      <c r="BM405" s="49"/>
      <c r="BN405" s="49"/>
      <c r="BO405" s="49"/>
      <c r="BP405" s="49"/>
      <c r="BQ405" s="49"/>
      <c r="BR405" s="49"/>
      <c r="BS405" s="49"/>
      <c r="BT405" s="49"/>
      <c r="BU405" s="49"/>
      <c r="BV405" s="49"/>
      <c r="BW405" s="49"/>
      <c r="BX405" s="49"/>
      <c r="BY405" s="49"/>
      <c r="BZ405" s="49"/>
      <c r="CA405" s="49"/>
      <c r="CB405" s="49"/>
      <c r="CC405" s="49"/>
      <c r="CD405" s="49"/>
      <c r="CE405" s="49"/>
      <c r="CF405" s="49"/>
      <c r="CG405" s="49"/>
      <c r="CH405" s="49"/>
      <c r="CI405" s="49"/>
      <c r="CJ405" s="49"/>
      <c r="CK405" s="49"/>
      <c r="CL405" s="49"/>
      <c r="CM405" s="49"/>
      <c r="CN405" s="49"/>
      <c r="CO405" s="49"/>
      <c r="CP405" s="49"/>
      <c r="CQ405" s="49"/>
      <c r="CT405" s="54"/>
      <c r="DE405" s="34"/>
    </row>
    <row r="406" spans="1:109" ht="14.5" x14ac:dyDescent="0.35">
      <c r="A406" s="19"/>
      <c r="B406" s="1"/>
      <c r="C406"/>
      <c r="D406"/>
      <c r="E406" s="38"/>
      <c r="F406" s="38"/>
      <c r="G406" s="38"/>
      <c r="H406" s="38"/>
      <c r="I406" s="38"/>
      <c r="J406" s="33"/>
      <c r="K406" s="46"/>
      <c r="O406" s="54"/>
      <c r="P406" s="54"/>
      <c r="Q406" s="54"/>
      <c r="R406" s="54"/>
      <c r="S406" s="47"/>
      <c r="T406" s="48"/>
      <c r="U406" s="48"/>
      <c r="V406" s="48"/>
      <c r="W406" s="48"/>
      <c r="X406" s="49"/>
      <c r="Y406" s="49"/>
      <c r="Z406" s="49"/>
      <c r="AA406" s="49"/>
      <c r="AB406" s="49"/>
      <c r="AC406" s="49"/>
      <c r="AD406" s="49"/>
      <c r="AE406" s="49"/>
      <c r="AF406" s="49"/>
      <c r="AG406" s="49"/>
      <c r="AH406" s="49"/>
      <c r="AI406" s="49"/>
      <c r="AJ406" s="49"/>
      <c r="AK406" s="49"/>
      <c r="AL406" s="49"/>
      <c r="AM406" s="49"/>
      <c r="AN406" s="49"/>
      <c r="AO406" s="49"/>
      <c r="AP406" s="49"/>
      <c r="AQ406" s="49"/>
      <c r="AR406" s="49"/>
      <c r="AS406" s="49"/>
      <c r="AT406" s="49"/>
      <c r="AU406" s="49"/>
      <c r="AV406" s="49"/>
      <c r="AW406" s="49"/>
      <c r="AX406" s="49"/>
      <c r="AY406" s="49"/>
      <c r="AZ406" s="49"/>
      <c r="BA406" s="49"/>
      <c r="BB406" s="49"/>
      <c r="BC406" s="49"/>
      <c r="BD406" s="49"/>
      <c r="BE406" s="49"/>
      <c r="BF406" s="49"/>
      <c r="BG406" s="49"/>
      <c r="BH406" s="49"/>
      <c r="BI406" s="49"/>
      <c r="BJ406" s="49"/>
      <c r="BK406" s="49"/>
      <c r="BL406" s="49"/>
      <c r="BM406" s="49"/>
      <c r="BN406" s="49"/>
      <c r="BO406" s="49"/>
      <c r="BP406" s="49"/>
      <c r="BQ406" s="49"/>
      <c r="BR406" s="49"/>
      <c r="BS406" s="49"/>
      <c r="BT406" s="49"/>
      <c r="BU406" s="49"/>
      <c r="BV406" s="49"/>
      <c r="BW406" s="49"/>
      <c r="BX406" s="49"/>
      <c r="BY406" s="49"/>
      <c r="BZ406" s="49"/>
      <c r="CA406" s="49"/>
      <c r="CB406" s="49"/>
      <c r="CC406" s="49"/>
      <c r="CD406" s="49"/>
      <c r="CE406" s="49"/>
      <c r="CF406" s="49"/>
      <c r="CG406" s="49"/>
      <c r="CH406" s="49"/>
      <c r="CI406" s="49"/>
      <c r="CJ406" s="49"/>
      <c r="CK406" s="49"/>
      <c r="CL406" s="49"/>
      <c r="CM406" s="49"/>
      <c r="CN406" s="49"/>
      <c r="CO406" s="49"/>
      <c r="CP406" s="49"/>
      <c r="CQ406" s="49"/>
      <c r="CT406" s="54"/>
      <c r="DE406" s="34"/>
    </row>
    <row r="407" spans="1:109" ht="14.5" x14ac:dyDescent="0.35">
      <c r="A407" s="19"/>
      <c r="B407" s="1"/>
      <c r="C407"/>
      <c r="D407"/>
      <c r="E407" s="38"/>
      <c r="F407" s="38"/>
      <c r="G407" s="38"/>
      <c r="H407" s="38"/>
      <c r="I407" s="38"/>
      <c r="J407" s="33"/>
      <c r="K407" s="46"/>
      <c r="O407" s="54"/>
      <c r="P407" s="54"/>
      <c r="Q407" s="54"/>
      <c r="R407" s="54"/>
      <c r="S407" s="47"/>
      <c r="T407" s="48"/>
      <c r="U407" s="48"/>
      <c r="V407" s="48"/>
      <c r="W407" s="48"/>
      <c r="X407" s="49"/>
      <c r="Y407" s="49"/>
      <c r="Z407" s="49"/>
      <c r="AA407" s="49"/>
      <c r="AB407" s="49"/>
      <c r="AC407" s="49"/>
      <c r="AD407" s="49"/>
      <c r="AE407" s="49"/>
      <c r="AF407" s="49"/>
      <c r="AG407" s="49"/>
      <c r="AH407" s="49"/>
      <c r="AI407" s="49"/>
      <c r="AJ407" s="49"/>
      <c r="AK407" s="49"/>
      <c r="AL407" s="49"/>
      <c r="AM407" s="49"/>
      <c r="AN407" s="49"/>
      <c r="AO407" s="49"/>
      <c r="AP407" s="49"/>
      <c r="AQ407" s="49"/>
      <c r="AR407" s="49"/>
      <c r="AS407" s="49"/>
      <c r="AT407" s="49"/>
      <c r="AU407" s="49"/>
      <c r="AV407" s="49"/>
      <c r="AW407" s="49"/>
      <c r="AX407" s="49"/>
      <c r="AY407" s="49"/>
      <c r="AZ407" s="49"/>
      <c r="BA407" s="49"/>
      <c r="BB407" s="49"/>
      <c r="BC407" s="49"/>
      <c r="BD407" s="49"/>
      <c r="BE407" s="49"/>
      <c r="BF407" s="49"/>
      <c r="BG407" s="49"/>
      <c r="BH407" s="49"/>
      <c r="BI407" s="49"/>
      <c r="BJ407" s="49"/>
      <c r="BK407" s="49"/>
      <c r="BL407" s="49"/>
      <c r="BM407" s="49"/>
      <c r="BN407" s="49"/>
      <c r="BO407" s="49"/>
      <c r="BP407" s="49"/>
      <c r="BQ407" s="49"/>
      <c r="BR407" s="49"/>
      <c r="BS407" s="49"/>
      <c r="BT407" s="49"/>
      <c r="BU407" s="49"/>
      <c r="BV407" s="49"/>
      <c r="BW407" s="49"/>
      <c r="BX407" s="49"/>
      <c r="BY407" s="49"/>
      <c r="BZ407" s="49"/>
      <c r="CA407" s="49"/>
      <c r="CB407" s="49"/>
      <c r="CC407" s="49"/>
      <c r="CD407" s="49"/>
      <c r="CE407" s="49"/>
      <c r="CF407" s="49"/>
      <c r="CG407" s="49"/>
      <c r="CH407" s="49"/>
      <c r="CI407" s="49"/>
      <c r="CJ407" s="49"/>
      <c r="CK407" s="49"/>
      <c r="CL407" s="49"/>
      <c r="CM407" s="49"/>
      <c r="CN407" s="49"/>
      <c r="CO407" s="49"/>
      <c r="CP407" s="49"/>
      <c r="CQ407" s="49"/>
      <c r="CT407" s="54"/>
      <c r="DE407" s="34"/>
    </row>
    <row r="408" spans="1:109" ht="14.5" x14ac:dyDescent="0.35">
      <c r="A408" s="19"/>
      <c r="B408" s="1"/>
      <c r="C408"/>
      <c r="D408"/>
      <c r="E408" s="38"/>
      <c r="F408" s="38"/>
      <c r="G408" s="38"/>
      <c r="H408" s="38"/>
      <c r="I408" s="38"/>
      <c r="J408" s="33"/>
      <c r="K408" s="46"/>
      <c r="O408" s="54"/>
      <c r="P408" s="54"/>
      <c r="Q408" s="54"/>
      <c r="R408" s="54"/>
      <c r="S408" s="47"/>
      <c r="T408" s="48"/>
      <c r="U408" s="48"/>
      <c r="V408" s="48"/>
      <c r="W408" s="48"/>
      <c r="X408" s="49"/>
      <c r="Y408" s="49"/>
      <c r="Z408" s="49"/>
      <c r="AA408" s="49"/>
      <c r="AB408" s="49"/>
      <c r="AC408" s="49"/>
      <c r="AD408" s="49"/>
      <c r="AE408" s="49"/>
      <c r="AF408" s="49"/>
      <c r="AG408" s="49"/>
      <c r="AH408" s="49"/>
      <c r="AI408" s="49"/>
      <c r="AJ408" s="49"/>
      <c r="AK408" s="49"/>
      <c r="AL408" s="49"/>
      <c r="AM408" s="49"/>
      <c r="AN408" s="49"/>
      <c r="AO408" s="49"/>
      <c r="AP408" s="49"/>
      <c r="AQ408" s="49"/>
      <c r="AR408" s="49"/>
      <c r="AS408" s="49"/>
      <c r="AT408" s="49"/>
      <c r="AU408" s="49"/>
      <c r="AV408" s="49"/>
      <c r="AW408" s="49"/>
      <c r="AX408" s="49"/>
      <c r="AY408" s="49"/>
      <c r="AZ408" s="49"/>
      <c r="BA408" s="49"/>
      <c r="BB408" s="49"/>
      <c r="BC408" s="49"/>
      <c r="BD408" s="49"/>
      <c r="BE408" s="49"/>
      <c r="BF408" s="49"/>
      <c r="BG408" s="49"/>
      <c r="BH408" s="49"/>
      <c r="BI408" s="49"/>
      <c r="BJ408" s="49"/>
      <c r="BK408" s="49"/>
      <c r="BL408" s="49"/>
      <c r="BM408" s="49"/>
      <c r="BN408" s="49"/>
      <c r="BO408" s="49"/>
      <c r="BP408" s="49"/>
      <c r="BQ408" s="49"/>
      <c r="BR408" s="49"/>
      <c r="BS408" s="49"/>
      <c r="BT408" s="49"/>
      <c r="BU408" s="49"/>
      <c r="BV408" s="49"/>
      <c r="BW408" s="49"/>
      <c r="BX408" s="49"/>
      <c r="BY408" s="49"/>
      <c r="BZ408" s="49"/>
      <c r="CA408" s="49"/>
      <c r="CB408" s="49"/>
      <c r="CC408" s="49"/>
      <c r="CD408" s="49"/>
      <c r="CE408" s="49"/>
      <c r="CF408" s="49"/>
      <c r="CG408" s="49"/>
      <c r="CH408" s="49"/>
      <c r="CI408" s="49"/>
      <c r="CJ408" s="49"/>
      <c r="CK408" s="49"/>
      <c r="CL408" s="49"/>
      <c r="CM408" s="49"/>
      <c r="CN408" s="49"/>
      <c r="CO408" s="49"/>
      <c r="CP408" s="49"/>
      <c r="CQ408" s="49"/>
      <c r="CT408" s="54"/>
      <c r="DE408" s="34"/>
    </row>
    <row r="409" spans="1:109" ht="14.5" x14ac:dyDescent="0.35">
      <c r="A409" s="19"/>
      <c r="B409" s="1"/>
      <c r="C409"/>
      <c r="D409"/>
      <c r="E409" s="38"/>
      <c r="F409" s="38"/>
      <c r="G409" s="38"/>
      <c r="H409" s="38"/>
      <c r="I409" s="38"/>
      <c r="J409" s="33"/>
      <c r="K409" s="46"/>
      <c r="O409" s="54"/>
      <c r="P409" s="54"/>
      <c r="Q409" s="54"/>
      <c r="R409" s="54"/>
      <c r="S409" s="47"/>
      <c r="T409" s="48"/>
      <c r="U409" s="48"/>
      <c r="V409" s="48"/>
      <c r="W409" s="48"/>
      <c r="X409" s="49"/>
      <c r="Y409" s="49"/>
      <c r="Z409" s="49"/>
      <c r="AA409" s="49"/>
      <c r="AB409" s="49"/>
      <c r="AC409" s="49"/>
      <c r="AD409" s="49"/>
      <c r="AE409" s="49"/>
      <c r="AF409" s="49"/>
      <c r="AG409" s="49"/>
      <c r="AH409" s="49"/>
      <c r="AI409" s="49"/>
      <c r="AJ409" s="49"/>
      <c r="AK409" s="49"/>
      <c r="AL409" s="49"/>
      <c r="AM409" s="49"/>
      <c r="AN409" s="49"/>
      <c r="AO409" s="49"/>
      <c r="AP409" s="49"/>
      <c r="AQ409" s="49"/>
      <c r="AR409" s="49"/>
      <c r="AS409" s="49"/>
      <c r="AT409" s="49"/>
      <c r="AU409" s="49"/>
      <c r="AV409" s="49"/>
      <c r="AW409" s="49"/>
      <c r="AX409" s="49"/>
      <c r="AY409" s="49"/>
      <c r="AZ409" s="49"/>
      <c r="BA409" s="49"/>
      <c r="BB409" s="49"/>
      <c r="BC409" s="49"/>
      <c r="BD409" s="49"/>
      <c r="BE409" s="49"/>
      <c r="BF409" s="49"/>
      <c r="BG409" s="49"/>
      <c r="BH409" s="49"/>
      <c r="BI409" s="49"/>
      <c r="BJ409" s="49"/>
      <c r="BK409" s="49"/>
      <c r="BL409" s="49"/>
      <c r="BM409" s="49"/>
      <c r="BN409" s="49"/>
      <c r="BO409" s="49"/>
      <c r="BP409" s="49"/>
      <c r="BQ409" s="49"/>
      <c r="BR409" s="49"/>
      <c r="BS409" s="49"/>
      <c r="BT409" s="49"/>
      <c r="BU409" s="49"/>
      <c r="BV409" s="49"/>
      <c r="BW409" s="49"/>
      <c r="BX409" s="49"/>
      <c r="BY409" s="49"/>
      <c r="BZ409" s="49"/>
      <c r="CA409" s="49"/>
      <c r="CB409" s="49"/>
      <c r="CC409" s="49"/>
      <c r="CD409" s="49"/>
      <c r="CE409" s="49"/>
      <c r="CF409" s="49"/>
      <c r="CG409" s="49"/>
      <c r="CH409" s="49"/>
      <c r="CI409" s="49"/>
      <c r="CJ409" s="49"/>
      <c r="CK409" s="49"/>
      <c r="CL409" s="49"/>
      <c r="CM409" s="49"/>
      <c r="CN409" s="49"/>
      <c r="CO409" s="49"/>
      <c r="CP409" s="49"/>
      <c r="CQ409" s="49"/>
      <c r="CT409" s="54"/>
      <c r="DE409" s="34"/>
    </row>
    <row r="410" spans="1:109" ht="14.5" x14ac:dyDescent="0.35">
      <c r="A410" s="19"/>
      <c r="B410" s="1"/>
      <c r="C410"/>
      <c r="D410"/>
      <c r="E410" s="38"/>
      <c r="F410" s="38"/>
      <c r="G410" s="38"/>
      <c r="H410" s="38"/>
      <c r="I410" s="38"/>
      <c r="J410" s="33"/>
      <c r="K410" s="46"/>
      <c r="O410" s="54"/>
      <c r="P410" s="54"/>
      <c r="Q410" s="54"/>
      <c r="R410" s="54"/>
      <c r="S410" s="47"/>
      <c r="T410" s="48"/>
      <c r="U410" s="48"/>
      <c r="V410" s="48"/>
      <c r="W410" s="48"/>
      <c r="X410" s="49"/>
      <c r="Y410" s="49"/>
      <c r="Z410" s="49"/>
      <c r="AA410" s="49"/>
      <c r="AB410" s="49"/>
      <c r="AC410" s="49"/>
      <c r="AD410" s="49"/>
      <c r="AE410" s="49"/>
      <c r="AF410" s="49"/>
      <c r="AG410" s="49"/>
      <c r="AH410" s="49"/>
      <c r="AI410" s="49"/>
      <c r="AJ410" s="49"/>
      <c r="AK410" s="49"/>
      <c r="AL410" s="49"/>
      <c r="AM410" s="49"/>
      <c r="AN410" s="49"/>
      <c r="AO410" s="49"/>
      <c r="AP410" s="49"/>
      <c r="AQ410" s="49"/>
      <c r="AR410" s="49"/>
      <c r="AS410" s="49"/>
      <c r="AT410" s="49"/>
      <c r="AU410" s="49"/>
      <c r="AV410" s="49"/>
      <c r="AW410" s="49"/>
      <c r="AX410" s="49"/>
      <c r="AY410" s="49"/>
      <c r="AZ410" s="49"/>
      <c r="BA410" s="49"/>
      <c r="BB410" s="49"/>
      <c r="BC410" s="49"/>
      <c r="BD410" s="49"/>
      <c r="BE410" s="49"/>
      <c r="BF410" s="49"/>
      <c r="BG410" s="49"/>
      <c r="BH410" s="49"/>
      <c r="BI410" s="49"/>
      <c r="BJ410" s="49"/>
      <c r="BK410" s="49"/>
      <c r="BL410" s="49"/>
      <c r="BM410" s="49"/>
      <c r="BN410" s="49"/>
      <c r="BO410" s="49"/>
      <c r="BP410" s="49"/>
      <c r="BQ410" s="49"/>
      <c r="BR410" s="49"/>
      <c r="BS410" s="49"/>
      <c r="BT410" s="49"/>
      <c r="BU410" s="49"/>
      <c r="BV410" s="49"/>
      <c r="BW410" s="49"/>
      <c r="BX410" s="49"/>
      <c r="BY410" s="49"/>
      <c r="BZ410" s="49"/>
      <c r="CA410" s="49"/>
      <c r="CB410" s="49"/>
      <c r="CC410" s="49"/>
      <c r="CD410" s="49"/>
      <c r="CE410" s="49"/>
      <c r="CF410" s="49"/>
      <c r="CG410" s="49"/>
      <c r="CH410" s="49"/>
      <c r="CI410" s="49"/>
      <c r="CJ410" s="49"/>
      <c r="CK410" s="49"/>
      <c r="CL410" s="49"/>
      <c r="CM410" s="49"/>
      <c r="CN410" s="49"/>
      <c r="CO410" s="49"/>
      <c r="CP410" s="49"/>
      <c r="CQ410" s="49"/>
      <c r="CT410" s="54"/>
      <c r="DE410" s="34"/>
    </row>
    <row r="411" spans="1:109" ht="14.5" x14ac:dyDescent="0.35">
      <c r="A411" s="19"/>
      <c r="B411" s="1"/>
      <c r="C411"/>
      <c r="D411"/>
      <c r="E411" s="38"/>
      <c r="F411" s="38"/>
      <c r="G411" s="38"/>
      <c r="H411" s="38"/>
      <c r="I411" s="38"/>
      <c r="J411" s="33"/>
      <c r="K411" s="46"/>
      <c r="O411" s="54"/>
      <c r="P411" s="54"/>
      <c r="Q411" s="54"/>
      <c r="R411" s="54"/>
      <c r="S411" s="47"/>
      <c r="T411" s="48"/>
      <c r="U411" s="48"/>
      <c r="V411" s="48"/>
      <c r="W411" s="48"/>
      <c r="X411" s="49"/>
      <c r="Y411" s="49"/>
      <c r="Z411" s="49"/>
      <c r="AA411" s="49"/>
      <c r="AB411" s="49"/>
      <c r="AC411" s="49"/>
      <c r="AD411" s="49"/>
      <c r="AE411" s="49"/>
      <c r="AF411" s="49"/>
      <c r="AG411" s="49"/>
      <c r="AH411" s="49"/>
      <c r="AI411" s="49"/>
      <c r="AJ411" s="49"/>
      <c r="AK411" s="49"/>
      <c r="AL411" s="49"/>
      <c r="AM411" s="49"/>
      <c r="AN411" s="49"/>
      <c r="AO411" s="49"/>
      <c r="AP411" s="49"/>
      <c r="AQ411" s="49"/>
      <c r="AR411" s="49"/>
      <c r="AS411" s="49"/>
      <c r="AT411" s="49"/>
      <c r="AU411" s="49"/>
      <c r="AV411" s="49"/>
      <c r="AW411" s="49"/>
      <c r="AX411" s="49"/>
      <c r="AY411" s="49"/>
      <c r="AZ411" s="49"/>
      <c r="BA411" s="49"/>
      <c r="BB411" s="49"/>
      <c r="BC411" s="49"/>
      <c r="BD411" s="49"/>
      <c r="BE411" s="49"/>
      <c r="BF411" s="49"/>
      <c r="BG411" s="49"/>
      <c r="BH411" s="49"/>
      <c r="BI411" s="49"/>
      <c r="BJ411" s="49"/>
      <c r="BK411" s="49"/>
      <c r="BL411" s="49"/>
      <c r="BM411" s="49"/>
      <c r="BN411" s="49"/>
      <c r="BO411" s="49"/>
      <c r="BP411" s="49"/>
      <c r="BQ411" s="49"/>
      <c r="BR411" s="49"/>
      <c r="BS411" s="49"/>
      <c r="BT411" s="49"/>
      <c r="BU411" s="49"/>
      <c r="BV411" s="49"/>
      <c r="BW411" s="49"/>
      <c r="BX411" s="49"/>
      <c r="BY411" s="49"/>
      <c r="BZ411" s="49"/>
      <c r="CA411" s="49"/>
      <c r="CB411" s="49"/>
      <c r="CC411" s="49"/>
      <c r="CD411" s="49"/>
      <c r="CE411" s="49"/>
      <c r="CF411" s="49"/>
      <c r="CG411" s="49"/>
      <c r="CH411" s="49"/>
      <c r="CI411" s="49"/>
      <c r="CJ411" s="49"/>
      <c r="CK411" s="49"/>
      <c r="CL411" s="49"/>
      <c r="CM411" s="49"/>
      <c r="CN411" s="49"/>
      <c r="CO411" s="49"/>
      <c r="CP411" s="49"/>
      <c r="CQ411" s="49"/>
      <c r="CT411" s="54"/>
      <c r="DE411" s="34"/>
    </row>
    <row r="412" spans="1:109" ht="14.5" x14ac:dyDescent="0.35">
      <c r="A412" s="19"/>
      <c r="B412" s="1"/>
      <c r="C412"/>
      <c r="D412"/>
      <c r="E412" s="38"/>
      <c r="F412" s="38"/>
      <c r="G412" s="38"/>
      <c r="H412" s="38"/>
      <c r="I412" s="38"/>
      <c r="J412" s="33"/>
      <c r="K412" s="46"/>
      <c r="O412" s="54"/>
      <c r="P412" s="54"/>
      <c r="Q412" s="54"/>
      <c r="R412" s="54"/>
      <c r="S412" s="47"/>
      <c r="T412" s="48"/>
      <c r="U412" s="48"/>
      <c r="V412" s="48"/>
      <c r="W412" s="48"/>
      <c r="X412" s="49"/>
      <c r="Y412" s="49"/>
      <c r="Z412" s="49"/>
      <c r="AA412" s="49"/>
      <c r="AB412" s="49"/>
      <c r="AC412" s="49"/>
      <c r="AD412" s="49"/>
      <c r="AE412" s="49"/>
      <c r="AF412" s="49"/>
      <c r="AG412" s="49"/>
      <c r="AH412" s="49"/>
      <c r="AI412" s="49"/>
      <c r="AJ412" s="49"/>
      <c r="AK412" s="49"/>
      <c r="AL412" s="49"/>
      <c r="AM412" s="49"/>
      <c r="AN412" s="49"/>
      <c r="AO412" s="49"/>
      <c r="AP412" s="49"/>
      <c r="AQ412" s="49"/>
      <c r="AR412" s="49"/>
      <c r="AS412" s="49"/>
      <c r="AT412" s="49"/>
      <c r="AU412" s="49"/>
      <c r="AV412" s="49"/>
      <c r="AW412" s="49"/>
      <c r="AX412" s="49"/>
      <c r="AY412" s="49"/>
      <c r="AZ412" s="49"/>
      <c r="BA412" s="49"/>
      <c r="BB412" s="49"/>
      <c r="BC412" s="49"/>
      <c r="BD412" s="49"/>
      <c r="BE412" s="49"/>
      <c r="BF412" s="49"/>
      <c r="BG412" s="49"/>
      <c r="BH412" s="49"/>
      <c r="BI412" s="49"/>
      <c r="BJ412" s="49"/>
      <c r="BK412" s="49"/>
      <c r="BL412" s="49"/>
      <c r="BM412" s="49"/>
      <c r="BN412" s="49"/>
      <c r="BO412" s="49"/>
      <c r="BP412" s="49"/>
      <c r="BQ412" s="49"/>
      <c r="BR412" s="49"/>
      <c r="BS412" s="49"/>
      <c r="BT412" s="49"/>
      <c r="BU412" s="49"/>
      <c r="BV412" s="49"/>
      <c r="BW412" s="49"/>
      <c r="BX412" s="49"/>
      <c r="BY412" s="49"/>
      <c r="BZ412" s="49"/>
      <c r="CA412" s="49"/>
      <c r="CB412" s="49"/>
      <c r="CC412" s="49"/>
      <c r="CD412" s="49"/>
      <c r="CE412" s="49"/>
      <c r="CF412" s="49"/>
      <c r="CG412" s="49"/>
      <c r="CH412" s="49"/>
      <c r="CI412" s="49"/>
      <c r="CJ412" s="49"/>
      <c r="CK412" s="49"/>
      <c r="CL412" s="49"/>
      <c r="CM412" s="49"/>
      <c r="CN412" s="49"/>
      <c r="CO412" s="49"/>
      <c r="CP412" s="49"/>
      <c r="CQ412" s="49"/>
      <c r="CT412" s="54"/>
      <c r="DE412" s="34"/>
    </row>
    <row r="413" spans="1:109" ht="14.5" x14ac:dyDescent="0.35">
      <c r="A413" s="19"/>
      <c r="B413" s="1"/>
      <c r="C413"/>
      <c r="D413"/>
      <c r="E413" s="38"/>
      <c r="F413" s="38"/>
      <c r="G413" s="38"/>
      <c r="H413" s="38"/>
      <c r="I413" s="38"/>
      <c r="J413" s="33"/>
      <c r="K413" s="46"/>
      <c r="O413" s="54"/>
      <c r="P413" s="54"/>
      <c r="Q413" s="54"/>
      <c r="R413" s="54"/>
      <c r="S413" s="47"/>
      <c r="T413" s="48"/>
      <c r="U413" s="48"/>
      <c r="V413" s="48"/>
      <c r="W413" s="48"/>
      <c r="X413" s="49"/>
      <c r="Y413" s="49"/>
      <c r="Z413" s="49"/>
      <c r="AA413" s="49"/>
      <c r="AB413" s="49"/>
      <c r="AC413" s="49"/>
      <c r="AD413" s="49"/>
      <c r="AE413" s="49"/>
      <c r="AF413" s="49"/>
      <c r="AG413" s="49"/>
      <c r="AH413" s="49"/>
      <c r="AI413" s="49"/>
      <c r="AJ413" s="49"/>
      <c r="AK413" s="49"/>
      <c r="AL413" s="49"/>
      <c r="AM413" s="49"/>
      <c r="AN413" s="49"/>
      <c r="AO413" s="49"/>
      <c r="AP413" s="49"/>
      <c r="AQ413" s="49"/>
      <c r="AR413" s="49"/>
      <c r="AS413" s="49"/>
      <c r="AT413" s="49"/>
      <c r="AU413" s="49"/>
      <c r="AV413" s="49"/>
      <c r="AW413" s="49"/>
      <c r="AX413" s="49"/>
      <c r="AY413" s="49"/>
      <c r="AZ413" s="49"/>
      <c r="BA413" s="49"/>
      <c r="BB413" s="49"/>
      <c r="BC413" s="49"/>
      <c r="BD413" s="49"/>
      <c r="BE413" s="49"/>
      <c r="BF413" s="49"/>
      <c r="BG413" s="49"/>
      <c r="BH413" s="49"/>
      <c r="BI413" s="49"/>
      <c r="BJ413" s="49"/>
      <c r="BK413" s="49"/>
      <c r="BL413" s="49"/>
      <c r="BM413" s="49"/>
      <c r="BN413" s="49"/>
      <c r="BO413" s="49"/>
      <c r="BP413" s="49"/>
      <c r="BQ413" s="49"/>
      <c r="BR413" s="49"/>
      <c r="BS413" s="49"/>
      <c r="BT413" s="49"/>
      <c r="BU413" s="49"/>
      <c r="BV413" s="49"/>
      <c r="BW413" s="49"/>
      <c r="BX413" s="49"/>
      <c r="BY413" s="49"/>
      <c r="BZ413" s="49"/>
      <c r="CA413" s="49"/>
      <c r="CB413" s="49"/>
      <c r="CC413" s="49"/>
      <c r="CD413" s="49"/>
      <c r="CE413" s="49"/>
      <c r="CF413" s="49"/>
      <c r="CG413" s="49"/>
      <c r="CH413" s="49"/>
      <c r="CI413" s="49"/>
      <c r="CJ413" s="49"/>
      <c r="CK413" s="49"/>
      <c r="CL413" s="49"/>
      <c r="CM413" s="49"/>
      <c r="CN413" s="49"/>
      <c r="CO413" s="49"/>
      <c r="CP413" s="49"/>
      <c r="CQ413" s="49"/>
      <c r="CT413" s="54"/>
      <c r="DE413" s="34"/>
    </row>
    <row r="414" spans="1:109" ht="14.5" x14ac:dyDescent="0.35">
      <c r="A414" s="19"/>
      <c r="B414" s="1"/>
      <c r="C414"/>
      <c r="D414"/>
      <c r="E414" s="38"/>
      <c r="F414" s="38"/>
      <c r="G414" s="38"/>
      <c r="H414" s="38"/>
      <c r="I414" s="38"/>
      <c r="J414" s="33"/>
      <c r="K414" s="46"/>
      <c r="O414" s="54"/>
      <c r="P414" s="54"/>
      <c r="Q414" s="54"/>
      <c r="R414" s="54"/>
      <c r="S414" s="47"/>
      <c r="T414" s="48"/>
      <c r="U414" s="48"/>
      <c r="V414" s="48"/>
      <c r="W414" s="48"/>
      <c r="X414" s="49"/>
      <c r="Y414" s="49"/>
      <c r="Z414" s="49"/>
      <c r="AA414" s="49"/>
      <c r="AB414" s="49"/>
      <c r="AC414" s="49"/>
      <c r="AD414" s="49"/>
      <c r="AE414" s="49"/>
      <c r="AF414" s="49"/>
      <c r="AG414" s="49"/>
      <c r="AH414" s="49"/>
      <c r="AI414" s="49"/>
      <c r="AJ414" s="49"/>
      <c r="AK414" s="49"/>
      <c r="AL414" s="49"/>
      <c r="AM414" s="49"/>
      <c r="AN414" s="49"/>
      <c r="AO414" s="49"/>
      <c r="AP414" s="49"/>
      <c r="AQ414" s="49"/>
      <c r="AR414" s="49"/>
      <c r="AS414" s="49"/>
      <c r="AT414" s="49"/>
      <c r="AU414" s="49"/>
      <c r="AV414" s="49"/>
      <c r="AW414" s="49"/>
      <c r="AX414" s="49"/>
      <c r="AY414" s="49"/>
      <c r="AZ414" s="49"/>
      <c r="BA414" s="49"/>
      <c r="BB414" s="49"/>
      <c r="BC414" s="49"/>
      <c r="BD414" s="49"/>
      <c r="BE414" s="49"/>
      <c r="BF414" s="49"/>
      <c r="BG414" s="49"/>
      <c r="BH414" s="49"/>
      <c r="BI414" s="49"/>
      <c r="BJ414" s="49"/>
      <c r="BK414" s="49"/>
      <c r="BL414" s="49"/>
      <c r="BM414" s="49"/>
      <c r="BN414" s="49"/>
      <c r="BO414" s="49"/>
      <c r="BP414" s="49"/>
      <c r="BQ414" s="49"/>
      <c r="BR414" s="49"/>
      <c r="BS414" s="49"/>
      <c r="BT414" s="49"/>
      <c r="BU414" s="49"/>
      <c r="BV414" s="49"/>
      <c r="BW414" s="49"/>
      <c r="BX414" s="49"/>
      <c r="BY414" s="49"/>
      <c r="BZ414" s="49"/>
      <c r="CA414" s="49"/>
      <c r="CB414" s="49"/>
      <c r="CC414" s="49"/>
      <c r="CD414" s="49"/>
      <c r="CE414" s="49"/>
      <c r="CF414" s="49"/>
      <c r="CG414" s="49"/>
      <c r="CH414" s="49"/>
      <c r="CI414" s="49"/>
      <c r="CJ414" s="49"/>
      <c r="CK414" s="49"/>
      <c r="CL414" s="49"/>
      <c r="CM414" s="49"/>
      <c r="CN414" s="49"/>
      <c r="CO414" s="49"/>
      <c r="CP414" s="49"/>
      <c r="CQ414" s="49"/>
      <c r="CT414" s="54"/>
      <c r="DE414" s="34"/>
    </row>
    <row r="415" spans="1:109" ht="14.5" x14ac:dyDescent="0.35">
      <c r="A415" s="19"/>
      <c r="B415" s="1"/>
      <c r="C415"/>
      <c r="D415"/>
      <c r="E415" s="38"/>
      <c r="F415" s="38"/>
      <c r="G415" s="38"/>
      <c r="H415" s="38"/>
      <c r="I415" s="38"/>
      <c r="J415" s="33"/>
      <c r="K415" s="46"/>
      <c r="O415" s="54"/>
      <c r="P415" s="54"/>
      <c r="Q415" s="54"/>
      <c r="R415" s="54"/>
      <c r="S415" s="47"/>
      <c r="T415" s="48"/>
      <c r="U415" s="48"/>
      <c r="V415" s="48"/>
      <c r="W415" s="48"/>
      <c r="X415" s="49"/>
      <c r="Y415" s="49"/>
      <c r="Z415" s="49"/>
      <c r="AA415" s="49"/>
      <c r="AB415" s="49"/>
      <c r="AC415" s="49"/>
      <c r="AD415" s="49"/>
      <c r="AE415" s="49"/>
      <c r="AF415" s="49"/>
      <c r="AG415" s="49"/>
      <c r="AH415" s="49"/>
      <c r="AI415" s="49"/>
      <c r="AJ415" s="49"/>
      <c r="AK415" s="49"/>
      <c r="AL415" s="49"/>
      <c r="AM415" s="49"/>
      <c r="AN415" s="49"/>
      <c r="AO415" s="49"/>
      <c r="AP415" s="49"/>
      <c r="AQ415" s="49"/>
      <c r="AR415" s="49"/>
      <c r="AS415" s="49"/>
      <c r="AT415" s="49"/>
      <c r="AU415" s="49"/>
      <c r="AV415" s="49"/>
      <c r="AW415" s="49"/>
      <c r="AX415" s="49"/>
      <c r="AY415" s="49"/>
      <c r="AZ415" s="49"/>
      <c r="BA415" s="49"/>
      <c r="BB415" s="49"/>
      <c r="BC415" s="49"/>
      <c r="BD415" s="49"/>
      <c r="BE415" s="49"/>
      <c r="BF415" s="49"/>
      <c r="BG415" s="49"/>
      <c r="BH415" s="49"/>
      <c r="BI415" s="49"/>
      <c r="BJ415" s="49"/>
      <c r="BK415" s="49"/>
      <c r="BL415" s="49"/>
      <c r="BM415" s="49"/>
      <c r="BN415" s="49"/>
      <c r="BO415" s="49"/>
      <c r="BP415" s="49"/>
      <c r="BQ415" s="49"/>
      <c r="BR415" s="49"/>
      <c r="BS415" s="49"/>
      <c r="BT415" s="49"/>
      <c r="BU415" s="49"/>
      <c r="BV415" s="49"/>
      <c r="BW415" s="49"/>
      <c r="BX415" s="49"/>
      <c r="BY415" s="49"/>
      <c r="BZ415" s="49"/>
      <c r="CA415" s="49"/>
      <c r="CB415" s="49"/>
      <c r="CC415" s="49"/>
      <c r="CD415" s="49"/>
      <c r="CE415" s="49"/>
      <c r="CF415" s="49"/>
      <c r="CG415" s="49"/>
      <c r="CH415" s="49"/>
      <c r="CI415" s="49"/>
      <c r="CJ415" s="49"/>
      <c r="CK415" s="49"/>
      <c r="CL415" s="49"/>
      <c r="CM415" s="49"/>
      <c r="CN415" s="49"/>
      <c r="CO415" s="49"/>
      <c r="CP415" s="49"/>
      <c r="CQ415" s="49"/>
      <c r="CT415" s="54"/>
      <c r="DE415" s="34"/>
    </row>
    <row r="416" spans="1:109" ht="14.5" x14ac:dyDescent="0.35">
      <c r="A416" s="19"/>
      <c r="B416" s="1"/>
      <c r="C416"/>
      <c r="D416"/>
      <c r="E416" s="38"/>
      <c r="F416" s="38"/>
      <c r="G416" s="38"/>
      <c r="H416" s="38"/>
      <c r="I416" s="38"/>
      <c r="J416" s="33"/>
      <c r="K416" s="46"/>
      <c r="O416" s="54"/>
      <c r="P416" s="54"/>
      <c r="Q416" s="54"/>
      <c r="R416" s="54"/>
      <c r="S416" s="47"/>
      <c r="T416" s="48"/>
      <c r="U416" s="48"/>
      <c r="V416" s="48"/>
      <c r="W416" s="48"/>
      <c r="X416" s="49"/>
      <c r="Y416" s="49"/>
      <c r="Z416" s="49"/>
      <c r="AA416" s="49"/>
      <c r="AB416" s="49"/>
      <c r="AC416" s="49"/>
      <c r="AD416" s="49"/>
      <c r="AE416" s="49"/>
      <c r="AF416" s="49"/>
      <c r="AG416" s="49"/>
      <c r="AH416" s="49"/>
      <c r="AI416" s="49"/>
      <c r="AJ416" s="49"/>
      <c r="AK416" s="49"/>
      <c r="AL416" s="49"/>
      <c r="AM416" s="49"/>
      <c r="AN416" s="49"/>
      <c r="AO416" s="49"/>
      <c r="AP416" s="49"/>
      <c r="AQ416" s="49"/>
      <c r="AR416" s="49"/>
      <c r="AS416" s="49"/>
      <c r="AT416" s="49"/>
      <c r="AU416" s="49"/>
      <c r="AV416" s="49"/>
      <c r="AW416" s="49"/>
      <c r="AX416" s="49"/>
      <c r="AY416" s="49"/>
      <c r="AZ416" s="49"/>
      <c r="BA416" s="49"/>
      <c r="BB416" s="49"/>
      <c r="BC416" s="49"/>
      <c r="BD416" s="49"/>
      <c r="BE416" s="49"/>
      <c r="BF416" s="49"/>
      <c r="BG416" s="49"/>
      <c r="BH416" s="49"/>
      <c r="BI416" s="49"/>
      <c r="BJ416" s="49"/>
      <c r="BK416" s="49"/>
      <c r="BL416" s="49"/>
      <c r="BM416" s="49"/>
      <c r="BN416" s="49"/>
      <c r="BO416" s="49"/>
      <c r="BP416" s="49"/>
      <c r="BQ416" s="49"/>
      <c r="BR416" s="49"/>
      <c r="BS416" s="49"/>
      <c r="BT416" s="49"/>
      <c r="BU416" s="49"/>
      <c r="BV416" s="49"/>
      <c r="BW416" s="49"/>
      <c r="BX416" s="49"/>
      <c r="BY416" s="49"/>
      <c r="BZ416" s="49"/>
      <c r="CA416" s="49"/>
      <c r="CB416" s="49"/>
      <c r="CC416" s="49"/>
      <c r="CD416" s="49"/>
      <c r="CE416" s="49"/>
      <c r="CF416" s="49"/>
      <c r="CG416" s="49"/>
      <c r="CH416" s="49"/>
      <c r="CI416" s="49"/>
      <c r="CJ416" s="49"/>
      <c r="CK416" s="49"/>
      <c r="CL416" s="49"/>
      <c r="CM416" s="49"/>
      <c r="CN416" s="49"/>
      <c r="CO416" s="49"/>
      <c r="CP416" s="49"/>
      <c r="CQ416" s="49"/>
      <c r="CT416" s="54"/>
      <c r="DE416" s="34"/>
    </row>
    <row r="417" spans="1:109" ht="14.5" x14ac:dyDescent="0.35">
      <c r="A417" s="19"/>
      <c r="B417" s="1"/>
      <c r="C417"/>
      <c r="D417"/>
      <c r="E417" s="38"/>
      <c r="F417" s="38"/>
      <c r="G417" s="38"/>
      <c r="H417" s="38"/>
      <c r="I417" s="38"/>
      <c r="J417" s="33"/>
      <c r="K417" s="46"/>
      <c r="O417" s="54"/>
      <c r="P417" s="54"/>
      <c r="Q417" s="54"/>
      <c r="R417" s="54"/>
      <c r="S417" s="47"/>
      <c r="T417" s="48"/>
      <c r="U417" s="48"/>
      <c r="V417" s="48"/>
      <c r="W417" s="48"/>
      <c r="X417" s="49"/>
      <c r="Y417" s="49"/>
      <c r="Z417" s="49"/>
      <c r="AA417" s="49"/>
      <c r="AB417" s="49"/>
      <c r="AC417" s="49"/>
      <c r="AD417" s="49"/>
      <c r="AE417" s="49"/>
      <c r="AF417" s="49"/>
      <c r="AG417" s="49"/>
      <c r="AH417" s="49"/>
      <c r="AI417" s="49"/>
      <c r="AJ417" s="49"/>
      <c r="AK417" s="49"/>
      <c r="AL417" s="49"/>
      <c r="AM417" s="49"/>
      <c r="AN417" s="49"/>
      <c r="AO417" s="49"/>
      <c r="AP417" s="49"/>
      <c r="AQ417" s="49"/>
      <c r="AR417" s="49"/>
      <c r="AS417" s="49"/>
      <c r="AT417" s="49"/>
      <c r="AU417" s="49"/>
      <c r="AV417" s="49"/>
      <c r="AW417" s="49"/>
      <c r="AX417" s="49"/>
      <c r="AY417" s="49"/>
      <c r="AZ417" s="49"/>
      <c r="BA417" s="49"/>
      <c r="BB417" s="49"/>
      <c r="BC417" s="49"/>
      <c r="BD417" s="49"/>
      <c r="BE417" s="49"/>
      <c r="BF417" s="49"/>
      <c r="BG417" s="49"/>
      <c r="BH417" s="49"/>
      <c r="BI417" s="49"/>
      <c r="BJ417" s="49"/>
      <c r="BK417" s="49"/>
      <c r="BL417" s="49"/>
      <c r="BM417" s="49"/>
      <c r="BN417" s="49"/>
      <c r="BO417" s="49"/>
      <c r="BP417" s="49"/>
      <c r="BQ417" s="49"/>
      <c r="BR417" s="49"/>
      <c r="BS417" s="49"/>
      <c r="BT417" s="49"/>
      <c r="BU417" s="49"/>
      <c r="BV417" s="49"/>
      <c r="BW417" s="49"/>
      <c r="BX417" s="49"/>
      <c r="BY417" s="49"/>
      <c r="BZ417" s="49"/>
      <c r="CA417" s="49"/>
      <c r="CB417" s="49"/>
      <c r="CC417" s="49"/>
      <c r="CD417" s="49"/>
      <c r="CE417" s="49"/>
      <c r="CF417" s="49"/>
      <c r="CG417" s="49"/>
      <c r="CH417" s="49"/>
      <c r="CI417" s="49"/>
      <c r="CJ417" s="49"/>
      <c r="CK417" s="49"/>
      <c r="CL417" s="49"/>
      <c r="CM417" s="49"/>
      <c r="CN417" s="49"/>
      <c r="CO417" s="49"/>
      <c r="CP417" s="49"/>
      <c r="CQ417" s="49"/>
      <c r="CT417" s="54"/>
      <c r="DE417" s="34"/>
    </row>
    <row r="418" spans="1:109" ht="14.5" x14ac:dyDescent="0.35">
      <c r="A418" s="19"/>
      <c r="B418" s="1"/>
      <c r="C418"/>
      <c r="D418"/>
      <c r="E418" s="38"/>
      <c r="F418" s="38"/>
      <c r="G418" s="38"/>
      <c r="H418" s="38"/>
      <c r="I418" s="38"/>
      <c r="J418" s="33"/>
      <c r="K418" s="46"/>
      <c r="O418" s="54"/>
      <c r="P418" s="54"/>
      <c r="Q418" s="54"/>
      <c r="R418" s="54"/>
      <c r="S418" s="47"/>
      <c r="T418" s="48"/>
      <c r="U418" s="48"/>
      <c r="V418" s="48"/>
      <c r="W418" s="48"/>
      <c r="X418" s="49"/>
      <c r="Y418" s="49"/>
      <c r="Z418" s="49"/>
      <c r="AA418" s="49"/>
      <c r="AB418" s="49"/>
      <c r="AC418" s="49"/>
      <c r="AD418" s="49"/>
      <c r="AE418" s="49"/>
      <c r="AF418" s="49"/>
      <c r="AG418" s="49"/>
      <c r="AH418" s="49"/>
      <c r="AI418" s="49"/>
      <c r="AJ418" s="49"/>
      <c r="AK418" s="49"/>
      <c r="AL418" s="49"/>
      <c r="AM418" s="49"/>
      <c r="AN418" s="49"/>
      <c r="AO418" s="49"/>
      <c r="AP418" s="49"/>
      <c r="AQ418" s="49"/>
      <c r="AR418" s="49"/>
      <c r="AS418" s="49"/>
      <c r="AT418" s="49"/>
      <c r="AU418" s="49"/>
      <c r="AV418" s="49"/>
      <c r="AW418" s="49"/>
      <c r="AX418" s="49"/>
      <c r="AY418" s="49"/>
      <c r="AZ418" s="49"/>
      <c r="BA418" s="49"/>
      <c r="BB418" s="49"/>
      <c r="BC418" s="49"/>
      <c r="BD418" s="49"/>
      <c r="BE418" s="49"/>
      <c r="BF418" s="49"/>
      <c r="BG418" s="49"/>
      <c r="BH418" s="49"/>
      <c r="BI418" s="49"/>
      <c r="BJ418" s="49"/>
      <c r="BK418" s="49"/>
      <c r="BL418" s="49"/>
      <c r="BM418" s="49"/>
      <c r="BN418" s="49"/>
      <c r="BO418" s="49"/>
      <c r="BP418" s="49"/>
      <c r="BQ418" s="49"/>
      <c r="BR418" s="49"/>
      <c r="BS418" s="49"/>
      <c r="BT418" s="49"/>
      <c r="BU418" s="49"/>
      <c r="BV418" s="49"/>
      <c r="BW418" s="49"/>
      <c r="BX418" s="49"/>
      <c r="BY418" s="49"/>
      <c r="BZ418" s="49"/>
      <c r="CA418" s="49"/>
      <c r="CB418" s="49"/>
      <c r="CC418" s="49"/>
      <c r="CD418" s="49"/>
      <c r="CE418" s="49"/>
      <c r="CF418" s="49"/>
      <c r="CG418" s="49"/>
      <c r="CH418" s="49"/>
      <c r="CI418" s="49"/>
      <c r="CJ418" s="49"/>
      <c r="CK418" s="49"/>
      <c r="CL418" s="49"/>
      <c r="CM418" s="49"/>
      <c r="CN418" s="49"/>
      <c r="CO418" s="49"/>
      <c r="CP418" s="49"/>
      <c r="CQ418" s="49"/>
      <c r="CT418" s="54"/>
      <c r="DE418" s="34"/>
    </row>
    <row r="419" spans="1:109" ht="14.5" x14ac:dyDescent="0.35">
      <c r="A419" s="19"/>
      <c r="B419" s="1"/>
      <c r="C419"/>
      <c r="D419"/>
      <c r="E419" s="38"/>
      <c r="F419" s="38"/>
      <c r="G419" s="38"/>
      <c r="H419" s="38"/>
      <c r="I419" s="38"/>
      <c r="J419" s="33"/>
      <c r="K419" s="46"/>
      <c r="O419" s="54"/>
      <c r="P419" s="54"/>
      <c r="Q419" s="54"/>
      <c r="R419" s="54"/>
      <c r="S419" s="47"/>
      <c r="T419" s="48"/>
      <c r="U419" s="48"/>
      <c r="V419" s="48"/>
      <c r="W419" s="48"/>
      <c r="X419" s="49"/>
      <c r="Y419" s="49"/>
      <c r="Z419" s="49"/>
      <c r="AA419" s="49"/>
      <c r="AB419" s="49"/>
      <c r="AC419" s="49"/>
      <c r="AD419" s="49"/>
      <c r="AE419" s="49"/>
      <c r="AF419" s="49"/>
      <c r="AG419" s="49"/>
      <c r="AH419" s="49"/>
      <c r="AI419" s="49"/>
      <c r="AJ419" s="49"/>
      <c r="AK419" s="49"/>
      <c r="AL419" s="49"/>
      <c r="AM419" s="49"/>
      <c r="AN419" s="49"/>
      <c r="AO419" s="49"/>
      <c r="AP419" s="49"/>
      <c r="AQ419" s="49"/>
      <c r="AR419" s="49"/>
      <c r="AS419" s="49"/>
      <c r="AT419" s="49"/>
      <c r="AU419" s="49"/>
      <c r="AV419" s="49"/>
      <c r="AW419" s="49"/>
      <c r="AX419" s="49"/>
      <c r="AY419" s="49"/>
      <c r="AZ419" s="49"/>
      <c r="BA419" s="49"/>
      <c r="BB419" s="49"/>
      <c r="BC419" s="49"/>
      <c r="BD419" s="49"/>
      <c r="BE419" s="49"/>
      <c r="BF419" s="49"/>
      <c r="BG419" s="49"/>
      <c r="BH419" s="49"/>
      <c r="BI419" s="49"/>
      <c r="BJ419" s="49"/>
      <c r="BK419" s="49"/>
      <c r="BL419" s="49"/>
      <c r="BM419" s="49"/>
      <c r="BN419" s="49"/>
      <c r="BO419" s="49"/>
      <c r="BP419" s="49"/>
      <c r="BQ419" s="49"/>
      <c r="BR419" s="49"/>
      <c r="BS419" s="49"/>
      <c r="BT419" s="49"/>
      <c r="BU419" s="49"/>
      <c r="BV419" s="49"/>
      <c r="BW419" s="49"/>
      <c r="BX419" s="49"/>
      <c r="BY419" s="49"/>
      <c r="BZ419" s="49"/>
      <c r="CA419" s="49"/>
      <c r="CB419" s="49"/>
      <c r="CC419" s="49"/>
      <c r="CD419" s="49"/>
      <c r="CE419" s="49"/>
      <c r="CF419" s="49"/>
      <c r="CG419" s="49"/>
      <c r="CH419" s="49"/>
      <c r="CI419" s="49"/>
      <c r="CJ419" s="49"/>
      <c r="CK419" s="49"/>
      <c r="CL419" s="49"/>
      <c r="CM419" s="49"/>
      <c r="CN419" s="49"/>
      <c r="CO419" s="49"/>
      <c r="CP419" s="49"/>
      <c r="CQ419" s="49"/>
      <c r="CT419" s="54"/>
      <c r="DE419" s="34"/>
    </row>
    <row r="420" spans="1:109" ht="14.5" x14ac:dyDescent="0.35">
      <c r="A420" s="19"/>
      <c r="B420" s="1"/>
      <c r="C420"/>
      <c r="D420"/>
      <c r="E420" s="38"/>
      <c r="F420" s="38"/>
      <c r="G420" s="38"/>
      <c r="H420" s="38"/>
      <c r="I420" s="38"/>
      <c r="J420" s="33"/>
      <c r="K420" s="46"/>
      <c r="O420" s="54"/>
      <c r="P420" s="54"/>
      <c r="Q420" s="54"/>
      <c r="R420" s="54"/>
      <c r="S420" s="47"/>
      <c r="T420" s="48"/>
      <c r="U420" s="48"/>
      <c r="V420" s="48"/>
      <c r="W420" s="48"/>
      <c r="X420" s="49"/>
      <c r="Y420" s="49"/>
      <c r="Z420" s="49"/>
      <c r="AA420" s="49"/>
      <c r="AB420" s="49"/>
      <c r="AC420" s="49"/>
      <c r="AD420" s="49"/>
      <c r="AE420" s="49"/>
      <c r="AF420" s="49"/>
      <c r="AG420" s="49"/>
      <c r="AH420" s="49"/>
      <c r="AI420" s="49"/>
      <c r="AJ420" s="49"/>
      <c r="AK420" s="49"/>
      <c r="AL420" s="49"/>
      <c r="AM420" s="49"/>
      <c r="AN420" s="49"/>
      <c r="AO420" s="49"/>
      <c r="AP420" s="49"/>
      <c r="AQ420" s="49"/>
      <c r="AR420" s="49"/>
      <c r="AS420" s="49"/>
      <c r="AT420" s="49"/>
      <c r="AU420" s="49"/>
      <c r="AV420" s="49"/>
      <c r="AW420" s="49"/>
      <c r="AX420" s="49"/>
      <c r="AY420" s="49"/>
      <c r="AZ420" s="49"/>
      <c r="BA420" s="49"/>
      <c r="BB420" s="49"/>
      <c r="BC420" s="49"/>
      <c r="BD420" s="49"/>
      <c r="BE420" s="49"/>
      <c r="BF420" s="49"/>
      <c r="BG420" s="49"/>
      <c r="BH420" s="49"/>
      <c r="BI420" s="49"/>
      <c r="BJ420" s="49"/>
      <c r="BK420" s="49"/>
      <c r="BL420" s="49"/>
      <c r="BM420" s="49"/>
      <c r="BN420" s="49"/>
      <c r="BO420" s="49"/>
      <c r="BP420" s="49"/>
      <c r="BQ420" s="49"/>
      <c r="BR420" s="49"/>
      <c r="BS420" s="49"/>
      <c r="BT420" s="49"/>
      <c r="BU420" s="49"/>
      <c r="BV420" s="49"/>
      <c r="BW420" s="49"/>
      <c r="BX420" s="49"/>
      <c r="BY420" s="49"/>
      <c r="BZ420" s="49"/>
      <c r="CA420" s="49"/>
      <c r="CB420" s="49"/>
      <c r="CC420" s="49"/>
      <c r="CD420" s="49"/>
      <c r="CE420" s="49"/>
      <c r="CF420" s="49"/>
      <c r="CG420" s="49"/>
      <c r="CH420" s="49"/>
      <c r="CI420" s="49"/>
      <c r="CJ420" s="49"/>
      <c r="CK420" s="49"/>
      <c r="CL420" s="49"/>
      <c r="CM420" s="49"/>
      <c r="CN420" s="49"/>
      <c r="CO420" s="49"/>
      <c r="CP420" s="49"/>
      <c r="CQ420" s="49"/>
      <c r="CT420" s="54"/>
      <c r="DE420" s="34"/>
    </row>
    <row r="421" spans="1:109" ht="14.5" x14ac:dyDescent="0.35">
      <c r="A421" s="19"/>
      <c r="B421" s="1"/>
      <c r="C421"/>
      <c r="D421"/>
      <c r="E421" s="38"/>
      <c r="F421" s="38"/>
      <c r="G421" s="38"/>
      <c r="H421" s="38"/>
      <c r="I421" s="38"/>
      <c r="J421" s="33"/>
      <c r="K421" s="46"/>
      <c r="O421" s="54"/>
      <c r="P421" s="54"/>
      <c r="Q421" s="54"/>
      <c r="R421" s="54"/>
      <c r="S421" s="47"/>
      <c r="T421" s="48"/>
      <c r="U421" s="48"/>
      <c r="V421" s="48"/>
      <c r="W421" s="48"/>
      <c r="X421" s="49"/>
      <c r="Y421" s="49"/>
      <c r="Z421" s="49"/>
      <c r="AA421" s="49"/>
      <c r="AB421" s="49"/>
      <c r="AC421" s="49"/>
      <c r="AD421" s="49"/>
      <c r="AE421" s="49"/>
      <c r="AF421" s="49"/>
      <c r="AG421" s="49"/>
      <c r="AH421" s="49"/>
      <c r="AI421" s="49"/>
      <c r="AJ421" s="49"/>
      <c r="AK421" s="49"/>
      <c r="AL421" s="49"/>
      <c r="AM421" s="49"/>
      <c r="AN421" s="49"/>
      <c r="AO421" s="49"/>
      <c r="AP421" s="49"/>
      <c r="AQ421" s="49"/>
      <c r="AR421" s="49"/>
      <c r="AS421" s="49"/>
      <c r="AT421" s="49"/>
      <c r="AU421" s="49"/>
      <c r="AV421" s="49"/>
      <c r="AW421" s="49"/>
      <c r="AX421" s="49"/>
      <c r="AY421" s="49"/>
      <c r="AZ421" s="49"/>
      <c r="BA421" s="49"/>
      <c r="BB421" s="49"/>
      <c r="BC421" s="49"/>
      <c r="BD421" s="49"/>
      <c r="BE421" s="49"/>
      <c r="BF421" s="49"/>
      <c r="BG421" s="49"/>
      <c r="BH421" s="49"/>
      <c r="BI421" s="49"/>
      <c r="BJ421" s="49"/>
      <c r="BK421" s="49"/>
      <c r="BL421" s="49"/>
      <c r="BM421" s="49"/>
      <c r="BN421" s="49"/>
      <c r="BO421" s="49"/>
      <c r="BP421" s="49"/>
      <c r="BQ421" s="49"/>
      <c r="BR421" s="49"/>
      <c r="BS421" s="49"/>
      <c r="BT421" s="49"/>
      <c r="BU421" s="49"/>
      <c r="BV421" s="49"/>
      <c r="BW421" s="49"/>
      <c r="BX421" s="49"/>
      <c r="BY421" s="49"/>
      <c r="BZ421" s="49"/>
      <c r="CA421" s="49"/>
      <c r="CB421" s="49"/>
      <c r="CC421" s="49"/>
      <c r="CD421" s="49"/>
      <c r="CE421" s="49"/>
      <c r="CF421" s="49"/>
      <c r="CG421" s="49"/>
      <c r="CH421" s="49"/>
      <c r="CI421" s="49"/>
      <c r="CJ421" s="49"/>
      <c r="CK421" s="49"/>
      <c r="CL421" s="49"/>
      <c r="CM421" s="49"/>
      <c r="CN421" s="49"/>
      <c r="CO421" s="49"/>
      <c r="CP421" s="49"/>
      <c r="CQ421" s="49"/>
      <c r="CT421" s="54"/>
      <c r="DE421" s="34"/>
    </row>
    <row r="422" spans="1:109" ht="14.5" x14ac:dyDescent="0.35">
      <c r="A422" s="19"/>
      <c r="B422" s="1"/>
      <c r="C422"/>
      <c r="D422"/>
      <c r="E422" s="38"/>
      <c r="F422" s="38"/>
      <c r="G422" s="38"/>
      <c r="H422" s="38"/>
      <c r="I422" s="38"/>
      <c r="J422" s="33"/>
      <c r="K422" s="46"/>
      <c r="O422" s="54"/>
      <c r="P422" s="54"/>
      <c r="Q422" s="54"/>
      <c r="R422" s="54"/>
      <c r="S422" s="47"/>
      <c r="T422" s="48"/>
      <c r="U422" s="48"/>
      <c r="V422" s="48"/>
      <c r="W422" s="48"/>
      <c r="X422" s="49"/>
      <c r="Y422" s="49"/>
      <c r="Z422" s="49"/>
      <c r="AA422" s="49"/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9"/>
      <c r="AN422" s="49"/>
      <c r="AO422" s="49"/>
      <c r="AP422" s="49"/>
      <c r="AQ422" s="49"/>
      <c r="AR422" s="49"/>
      <c r="AS422" s="49"/>
      <c r="AT422" s="49"/>
      <c r="AU422" s="49"/>
      <c r="AV422" s="49"/>
      <c r="AW422" s="49"/>
      <c r="AX422" s="49"/>
      <c r="AY422" s="49"/>
      <c r="AZ422" s="49"/>
      <c r="BA422" s="49"/>
      <c r="BB422" s="49"/>
      <c r="BC422" s="49"/>
      <c r="BD422" s="49"/>
      <c r="BE422" s="49"/>
      <c r="BF422" s="49"/>
      <c r="BG422" s="49"/>
      <c r="BH422" s="49"/>
      <c r="BI422" s="49"/>
      <c r="BJ422" s="49"/>
      <c r="BK422" s="49"/>
      <c r="BL422" s="49"/>
      <c r="BM422" s="49"/>
      <c r="BN422" s="49"/>
      <c r="BO422" s="49"/>
      <c r="BP422" s="49"/>
      <c r="BQ422" s="49"/>
      <c r="BR422" s="49"/>
      <c r="BS422" s="49"/>
      <c r="BT422" s="49"/>
      <c r="BU422" s="49"/>
      <c r="BV422" s="49"/>
      <c r="BW422" s="49"/>
      <c r="BX422" s="49"/>
      <c r="BY422" s="49"/>
      <c r="BZ422" s="49"/>
      <c r="CA422" s="49"/>
      <c r="CB422" s="49"/>
      <c r="CC422" s="49"/>
      <c r="CD422" s="49"/>
      <c r="CE422" s="49"/>
      <c r="CF422" s="49"/>
      <c r="CG422" s="49"/>
      <c r="CH422" s="49"/>
      <c r="CI422" s="49"/>
      <c r="CJ422" s="49"/>
      <c r="CK422" s="49"/>
      <c r="CL422" s="49"/>
      <c r="CM422" s="49"/>
      <c r="CN422" s="49"/>
      <c r="CO422" s="49"/>
      <c r="CP422" s="49"/>
      <c r="CQ422" s="49"/>
      <c r="CT422" s="54"/>
      <c r="DE422" s="34"/>
    </row>
    <row r="423" spans="1:109" ht="14.5" x14ac:dyDescent="0.35">
      <c r="A423" s="19"/>
      <c r="B423" s="1"/>
      <c r="C423"/>
      <c r="D423"/>
      <c r="E423" s="38"/>
      <c r="F423" s="38"/>
      <c r="G423" s="38"/>
      <c r="H423" s="38"/>
      <c r="I423" s="38"/>
      <c r="J423" s="33"/>
      <c r="K423" s="46"/>
      <c r="O423" s="54"/>
      <c r="P423" s="54"/>
      <c r="Q423" s="54"/>
      <c r="R423" s="54"/>
      <c r="S423" s="47"/>
      <c r="T423" s="48"/>
      <c r="U423" s="48"/>
      <c r="V423" s="48"/>
      <c r="W423" s="48"/>
      <c r="X423" s="49"/>
      <c r="Y423" s="49"/>
      <c r="Z423" s="49"/>
      <c r="AA423" s="49"/>
      <c r="AB423" s="49"/>
      <c r="AC423" s="49"/>
      <c r="AD423" s="49"/>
      <c r="AE423" s="49"/>
      <c r="AF423" s="49"/>
      <c r="AG423" s="49"/>
      <c r="AH423" s="49"/>
      <c r="AI423" s="49"/>
      <c r="AJ423" s="49"/>
      <c r="AK423" s="49"/>
      <c r="AL423" s="49"/>
      <c r="AM423" s="49"/>
      <c r="AN423" s="49"/>
      <c r="AO423" s="49"/>
      <c r="AP423" s="49"/>
      <c r="AQ423" s="49"/>
      <c r="AR423" s="49"/>
      <c r="AS423" s="49"/>
      <c r="AT423" s="49"/>
      <c r="AU423" s="49"/>
      <c r="AV423" s="49"/>
      <c r="AW423" s="49"/>
      <c r="AX423" s="49"/>
      <c r="AY423" s="49"/>
      <c r="AZ423" s="49"/>
      <c r="BA423" s="49"/>
      <c r="BB423" s="49"/>
      <c r="BC423" s="49"/>
      <c r="BD423" s="49"/>
      <c r="BE423" s="49"/>
      <c r="BF423" s="49"/>
      <c r="BG423" s="49"/>
      <c r="BH423" s="49"/>
      <c r="BI423" s="49"/>
      <c r="BJ423" s="49"/>
      <c r="BK423" s="49"/>
      <c r="BL423" s="49"/>
      <c r="BM423" s="49"/>
      <c r="BN423" s="49"/>
      <c r="BO423" s="49"/>
      <c r="BP423" s="49"/>
      <c r="BQ423" s="49"/>
      <c r="BR423" s="49"/>
      <c r="BS423" s="49"/>
      <c r="BT423" s="49"/>
      <c r="BU423" s="49"/>
      <c r="BV423" s="49"/>
      <c r="BW423" s="49"/>
      <c r="BX423" s="49"/>
      <c r="BY423" s="49"/>
      <c r="BZ423" s="49"/>
      <c r="CA423" s="49"/>
      <c r="CB423" s="49"/>
      <c r="CC423" s="49"/>
      <c r="CD423" s="49"/>
      <c r="CE423" s="49"/>
      <c r="CF423" s="49"/>
      <c r="CG423" s="49"/>
      <c r="CH423" s="49"/>
      <c r="CI423" s="49"/>
      <c r="CJ423" s="49"/>
      <c r="CK423" s="49"/>
      <c r="CL423" s="49"/>
      <c r="CM423" s="49"/>
      <c r="CN423" s="49"/>
      <c r="CO423" s="49"/>
      <c r="CP423" s="49"/>
      <c r="CQ423" s="49"/>
      <c r="CT423" s="54"/>
      <c r="DE423" s="34"/>
    </row>
    <row r="424" spans="1:109" ht="14.5" x14ac:dyDescent="0.35">
      <c r="A424" s="19"/>
      <c r="B424" s="1"/>
      <c r="C424"/>
      <c r="D424"/>
      <c r="E424" s="38"/>
      <c r="F424" s="38"/>
      <c r="G424" s="38"/>
      <c r="H424" s="38"/>
      <c r="I424" s="38"/>
      <c r="J424" s="33"/>
      <c r="K424" s="46"/>
      <c r="O424" s="54"/>
      <c r="P424" s="54"/>
      <c r="Q424" s="54"/>
      <c r="R424" s="54"/>
      <c r="S424" s="47"/>
      <c r="T424" s="48"/>
      <c r="U424" s="48"/>
      <c r="V424" s="48"/>
      <c r="W424" s="48"/>
      <c r="X424" s="49"/>
      <c r="Y424" s="49"/>
      <c r="Z424" s="49"/>
      <c r="AA424" s="49"/>
      <c r="AB424" s="49"/>
      <c r="AC424" s="49"/>
      <c r="AD424" s="49"/>
      <c r="AE424" s="49"/>
      <c r="AF424" s="49"/>
      <c r="AG424" s="49"/>
      <c r="AH424" s="49"/>
      <c r="AI424" s="49"/>
      <c r="AJ424" s="49"/>
      <c r="AK424" s="49"/>
      <c r="AL424" s="49"/>
      <c r="AM424" s="49"/>
      <c r="AN424" s="49"/>
      <c r="AO424" s="49"/>
      <c r="AP424" s="49"/>
      <c r="AQ424" s="49"/>
      <c r="AR424" s="49"/>
      <c r="AS424" s="49"/>
      <c r="AT424" s="49"/>
      <c r="AU424" s="49"/>
      <c r="AV424" s="49"/>
      <c r="AW424" s="49"/>
      <c r="AX424" s="49"/>
      <c r="AY424" s="49"/>
      <c r="AZ424" s="49"/>
      <c r="BA424" s="49"/>
      <c r="BB424" s="49"/>
      <c r="BC424" s="49"/>
      <c r="BD424" s="49"/>
      <c r="BE424" s="49"/>
      <c r="BF424" s="49"/>
      <c r="BG424" s="49"/>
      <c r="BH424" s="49"/>
      <c r="BI424" s="49"/>
      <c r="BJ424" s="49"/>
      <c r="BK424" s="49"/>
      <c r="BL424" s="49"/>
      <c r="BM424" s="49"/>
      <c r="BN424" s="49"/>
      <c r="BO424" s="49"/>
      <c r="BP424" s="49"/>
      <c r="BQ424" s="49"/>
      <c r="BR424" s="49"/>
      <c r="BS424" s="49"/>
      <c r="BT424" s="49"/>
      <c r="BU424" s="49"/>
      <c r="BV424" s="49"/>
      <c r="BW424" s="49"/>
      <c r="BX424" s="49"/>
      <c r="BY424" s="49"/>
      <c r="BZ424" s="49"/>
      <c r="CA424" s="49"/>
      <c r="CB424" s="49"/>
      <c r="CC424" s="49"/>
      <c r="CD424" s="49"/>
      <c r="CE424" s="49"/>
      <c r="CF424" s="49"/>
      <c r="CG424" s="49"/>
      <c r="CH424" s="49"/>
      <c r="CI424" s="49"/>
      <c r="CJ424" s="49"/>
      <c r="CK424" s="49"/>
      <c r="CL424" s="49"/>
      <c r="CM424" s="49"/>
      <c r="CN424" s="49"/>
      <c r="CO424" s="49"/>
      <c r="CP424" s="49"/>
      <c r="CQ424" s="49"/>
      <c r="CT424" s="54"/>
      <c r="DE424" s="34"/>
    </row>
    <row r="425" spans="1:109" ht="14.5" x14ac:dyDescent="0.35">
      <c r="A425" s="19"/>
      <c r="B425" s="1"/>
      <c r="C425"/>
      <c r="D425"/>
      <c r="E425" s="38"/>
      <c r="F425" s="38"/>
      <c r="G425" s="38"/>
      <c r="H425" s="38"/>
      <c r="I425" s="38"/>
      <c r="J425" s="33"/>
      <c r="K425" s="46"/>
      <c r="O425" s="54"/>
      <c r="P425" s="54"/>
      <c r="Q425" s="54"/>
      <c r="R425" s="54"/>
      <c r="S425" s="47"/>
      <c r="T425" s="48"/>
      <c r="U425" s="48"/>
      <c r="V425" s="48"/>
      <c r="W425" s="48"/>
      <c r="X425" s="49"/>
      <c r="Y425" s="49"/>
      <c r="Z425" s="49"/>
      <c r="AA425" s="49"/>
      <c r="AB425" s="49"/>
      <c r="AC425" s="49"/>
      <c r="AD425" s="49"/>
      <c r="AE425" s="49"/>
      <c r="AF425" s="49"/>
      <c r="AG425" s="49"/>
      <c r="AH425" s="49"/>
      <c r="AI425" s="49"/>
      <c r="AJ425" s="49"/>
      <c r="AK425" s="49"/>
      <c r="AL425" s="49"/>
      <c r="AM425" s="49"/>
      <c r="AN425" s="49"/>
      <c r="AO425" s="49"/>
      <c r="AP425" s="49"/>
      <c r="AQ425" s="49"/>
      <c r="AR425" s="49"/>
      <c r="AS425" s="49"/>
      <c r="AT425" s="49"/>
      <c r="AU425" s="49"/>
      <c r="AV425" s="49"/>
      <c r="AW425" s="49"/>
      <c r="AX425" s="49"/>
      <c r="AY425" s="49"/>
      <c r="AZ425" s="49"/>
      <c r="BA425" s="49"/>
      <c r="BB425" s="49"/>
      <c r="BC425" s="49"/>
      <c r="BD425" s="49"/>
      <c r="BE425" s="49"/>
      <c r="BF425" s="49"/>
      <c r="BG425" s="49"/>
      <c r="BH425" s="49"/>
      <c r="BI425" s="49"/>
      <c r="BJ425" s="49"/>
      <c r="BK425" s="49"/>
      <c r="BL425" s="49"/>
      <c r="BM425" s="49"/>
      <c r="BN425" s="49"/>
      <c r="BO425" s="49"/>
      <c r="BP425" s="49"/>
      <c r="BQ425" s="49"/>
      <c r="BR425" s="49"/>
      <c r="BS425" s="49"/>
      <c r="BT425" s="49"/>
      <c r="BU425" s="49"/>
      <c r="BV425" s="49"/>
      <c r="BW425" s="49"/>
      <c r="BX425" s="49"/>
      <c r="BY425" s="49"/>
      <c r="BZ425" s="49"/>
      <c r="CA425" s="49"/>
      <c r="CB425" s="49"/>
      <c r="CC425" s="49"/>
      <c r="CD425" s="49"/>
      <c r="CE425" s="49"/>
      <c r="CF425" s="49"/>
      <c r="CG425" s="49"/>
      <c r="CH425" s="49"/>
      <c r="CI425" s="49"/>
      <c r="CJ425" s="49"/>
      <c r="CK425" s="49"/>
      <c r="CL425" s="49"/>
      <c r="CM425" s="49"/>
      <c r="CN425" s="49"/>
      <c r="CO425" s="49"/>
      <c r="CP425" s="49"/>
      <c r="CQ425" s="49"/>
      <c r="CT425" s="54"/>
      <c r="DE425" s="34"/>
    </row>
    <row r="426" spans="1:109" ht="14.5" x14ac:dyDescent="0.35">
      <c r="A426" s="19"/>
      <c r="B426" s="1"/>
      <c r="C426"/>
      <c r="D426"/>
      <c r="E426" s="38"/>
      <c r="F426" s="38"/>
      <c r="G426" s="38"/>
      <c r="H426" s="38"/>
      <c r="I426" s="38"/>
      <c r="J426" s="33"/>
      <c r="K426" s="46"/>
      <c r="O426" s="54"/>
      <c r="P426" s="54"/>
      <c r="Q426" s="54"/>
      <c r="R426" s="54"/>
      <c r="S426" s="47"/>
      <c r="T426" s="48"/>
      <c r="U426" s="48"/>
      <c r="V426" s="48"/>
      <c r="W426" s="48"/>
      <c r="X426" s="49"/>
      <c r="Y426" s="49"/>
      <c r="Z426" s="49"/>
      <c r="AA426" s="49"/>
      <c r="AB426" s="49"/>
      <c r="AC426" s="49"/>
      <c r="AD426" s="49"/>
      <c r="AE426" s="49"/>
      <c r="AF426" s="49"/>
      <c r="AG426" s="49"/>
      <c r="AH426" s="49"/>
      <c r="AI426" s="49"/>
      <c r="AJ426" s="49"/>
      <c r="AK426" s="49"/>
      <c r="AL426" s="49"/>
      <c r="AM426" s="49"/>
      <c r="AN426" s="49"/>
      <c r="AO426" s="49"/>
      <c r="AP426" s="49"/>
      <c r="AQ426" s="49"/>
      <c r="AR426" s="49"/>
      <c r="AS426" s="49"/>
      <c r="AT426" s="49"/>
      <c r="AU426" s="49"/>
      <c r="AV426" s="49"/>
      <c r="AW426" s="49"/>
      <c r="AX426" s="49"/>
      <c r="AY426" s="49"/>
      <c r="AZ426" s="49"/>
      <c r="BA426" s="49"/>
      <c r="BB426" s="49"/>
      <c r="BC426" s="49"/>
      <c r="BD426" s="49"/>
      <c r="BE426" s="49"/>
      <c r="BF426" s="49"/>
      <c r="BG426" s="49"/>
      <c r="BH426" s="49"/>
      <c r="BI426" s="49"/>
      <c r="BJ426" s="49"/>
      <c r="BK426" s="49"/>
      <c r="BL426" s="49"/>
      <c r="BM426" s="49"/>
      <c r="BN426" s="49"/>
      <c r="BO426" s="49"/>
      <c r="BP426" s="49"/>
      <c r="BQ426" s="49"/>
      <c r="BR426" s="49"/>
      <c r="BS426" s="49"/>
      <c r="BT426" s="49"/>
      <c r="BU426" s="49"/>
      <c r="BV426" s="49"/>
      <c r="BW426" s="49"/>
      <c r="BX426" s="49"/>
      <c r="BY426" s="49"/>
      <c r="BZ426" s="49"/>
      <c r="CA426" s="49"/>
      <c r="CB426" s="49"/>
      <c r="CC426" s="49"/>
      <c r="CD426" s="49"/>
      <c r="CE426" s="49"/>
      <c r="CF426" s="49"/>
      <c r="CG426" s="49"/>
      <c r="CH426" s="49"/>
      <c r="CI426" s="49"/>
      <c r="CJ426" s="49"/>
      <c r="CK426" s="49"/>
      <c r="CL426" s="49"/>
      <c r="CM426" s="49"/>
      <c r="CN426" s="49"/>
      <c r="CO426" s="49"/>
      <c r="CP426" s="49"/>
      <c r="CQ426" s="49"/>
      <c r="CT426" s="54"/>
      <c r="DE426" s="34"/>
    </row>
    <row r="427" spans="1:109" ht="14.5" x14ac:dyDescent="0.35">
      <c r="A427" s="19"/>
      <c r="B427" s="1"/>
      <c r="C427"/>
      <c r="D427"/>
      <c r="E427" s="38"/>
      <c r="F427" s="38"/>
      <c r="G427" s="38"/>
      <c r="H427" s="38"/>
      <c r="I427" s="38"/>
      <c r="J427" s="33"/>
      <c r="K427" s="46"/>
      <c r="O427" s="54"/>
      <c r="P427" s="54"/>
      <c r="Q427" s="54"/>
      <c r="R427" s="54"/>
      <c r="S427" s="47"/>
      <c r="T427" s="48"/>
      <c r="U427" s="48"/>
      <c r="V427" s="48"/>
      <c r="W427" s="48"/>
      <c r="X427" s="49"/>
      <c r="Y427" s="49"/>
      <c r="Z427" s="49"/>
      <c r="AA427" s="49"/>
      <c r="AB427" s="49"/>
      <c r="AC427" s="49"/>
      <c r="AD427" s="49"/>
      <c r="AE427" s="49"/>
      <c r="AF427" s="49"/>
      <c r="AG427" s="49"/>
      <c r="AH427" s="49"/>
      <c r="AI427" s="49"/>
      <c r="AJ427" s="49"/>
      <c r="AK427" s="49"/>
      <c r="AL427" s="49"/>
      <c r="AM427" s="49"/>
      <c r="AN427" s="49"/>
      <c r="AO427" s="49"/>
      <c r="AP427" s="49"/>
      <c r="AQ427" s="49"/>
      <c r="AR427" s="49"/>
      <c r="AS427" s="49"/>
      <c r="AT427" s="49"/>
      <c r="AU427" s="49"/>
      <c r="AV427" s="49"/>
      <c r="AW427" s="49"/>
      <c r="AX427" s="49"/>
      <c r="AY427" s="49"/>
      <c r="AZ427" s="49"/>
      <c r="BA427" s="49"/>
      <c r="BB427" s="49"/>
      <c r="BC427" s="49"/>
      <c r="BD427" s="49"/>
      <c r="BE427" s="49"/>
      <c r="BF427" s="49"/>
      <c r="BG427" s="49"/>
      <c r="BH427" s="49"/>
      <c r="BI427" s="49"/>
      <c r="BJ427" s="49"/>
      <c r="BK427" s="49"/>
      <c r="BL427" s="49"/>
      <c r="BM427" s="49"/>
      <c r="BN427" s="49"/>
      <c r="BO427" s="49"/>
      <c r="BP427" s="49"/>
      <c r="BQ427" s="49"/>
      <c r="BR427" s="49"/>
      <c r="BS427" s="49"/>
      <c r="BT427" s="49"/>
      <c r="BU427" s="49"/>
      <c r="BV427" s="49"/>
      <c r="BW427" s="49"/>
      <c r="BX427" s="49"/>
      <c r="BY427" s="49"/>
      <c r="BZ427" s="49"/>
      <c r="CA427" s="49"/>
      <c r="CB427" s="49"/>
      <c r="CC427" s="49"/>
      <c r="CD427" s="49"/>
      <c r="CE427" s="49"/>
      <c r="CF427" s="49"/>
      <c r="CG427" s="49"/>
      <c r="CH427" s="49"/>
      <c r="CI427" s="49"/>
      <c r="CJ427" s="49"/>
      <c r="CK427" s="49"/>
      <c r="CL427" s="49"/>
      <c r="CM427" s="49"/>
      <c r="CN427" s="49"/>
      <c r="CO427" s="49"/>
      <c r="CP427" s="49"/>
      <c r="CQ427" s="49"/>
      <c r="CT427" s="54"/>
      <c r="DE427" s="34"/>
    </row>
    <row r="428" spans="1:109" ht="14.5" x14ac:dyDescent="0.35">
      <c r="A428" s="19"/>
      <c r="B428" s="1"/>
      <c r="C428"/>
      <c r="D428"/>
      <c r="E428" s="38"/>
      <c r="F428" s="38"/>
      <c r="G428" s="38"/>
      <c r="H428" s="38"/>
      <c r="I428" s="38"/>
      <c r="J428" s="33"/>
      <c r="K428" s="46"/>
      <c r="O428" s="54"/>
      <c r="P428" s="54"/>
      <c r="Q428" s="54"/>
      <c r="R428" s="54"/>
      <c r="S428" s="47"/>
      <c r="T428" s="48"/>
      <c r="U428" s="48"/>
      <c r="V428" s="48"/>
      <c r="W428" s="48"/>
      <c r="X428" s="49"/>
      <c r="Y428" s="49"/>
      <c r="Z428" s="49"/>
      <c r="AA428" s="49"/>
      <c r="AB428" s="49"/>
      <c r="AC428" s="49"/>
      <c r="AD428" s="49"/>
      <c r="AE428" s="49"/>
      <c r="AF428" s="49"/>
      <c r="AG428" s="49"/>
      <c r="AH428" s="49"/>
      <c r="AI428" s="49"/>
      <c r="AJ428" s="49"/>
      <c r="AK428" s="49"/>
      <c r="AL428" s="49"/>
      <c r="AM428" s="49"/>
      <c r="AN428" s="49"/>
      <c r="AO428" s="49"/>
      <c r="AP428" s="49"/>
      <c r="AQ428" s="49"/>
      <c r="AR428" s="49"/>
      <c r="AS428" s="49"/>
      <c r="AT428" s="49"/>
      <c r="AU428" s="49"/>
      <c r="AV428" s="49"/>
      <c r="AW428" s="49"/>
      <c r="AX428" s="49"/>
      <c r="AY428" s="49"/>
      <c r="AZ428" s="49"/>
      <c r="BA428" s="49"/>
      <c r="BB428" s="49"/>
      <c r="BC428" s="49"/>
      <c r="BD428" s="49"/>
      <c r="BE428" s="49"/>
      <c r="BF428" s="49"/>
      <c r="BG428" s="49"/>
      <c r="BH428" s="49"/>
      <c r="BI428" s="49"/>
      <c r="BJ428" s="49"/>
      <c r="BK428" s="49"/>
      <c r="BL428" s="49"/>
      <c r="BM428" s="49"/>
      <c r="BN428" s="49"/>
      <c r="BO428" s="49"/>
      <c r="BP428" s="49"/>
      <c r="BQ428" s="49"/>
      <c r="BR428" s="49"/>
      <c r="BS428" s="49"/>
      <c r="BT428" s="49"/>
      <c r="BU428" s="49"/>
      <c r="BV428" s="49"/>
      <c r="BW428" s="49"/>
      <c r="BX428" s="49"/>
      <c r="BY428" s="49"/>
      <c r="BZ428" s="49"/>
      <c r="CA428" s="49"/>
      <c r="CB428" s="49"/>
      <c r="CC428" s="49"/>
      <c r="CD428" s="49"/>
      <c r="CE428" s="49"/>
      <c r="CF428" s="49"/>
      <c r="CG428" s="49"/>
      <c r="CH428" s="49"/>
      <c r="CI428" s="49"/>
      <c r="CJ428" s="49"/>
      <c r="CK428" s="49"/>
      <c r="CL428" s="49"/>
      <c r="CM428" s="49"/>
      <c r="CN428" s="49"/>
      <c r="CO428" s="49"/>
      <c r="CP428" s="49"/>
      <c r="CQ428" s="49"/>
      <c r="CT428" s="54"/>
      <c r="DE428" s="34"/>
    </row>
    <row r="429" spans="1:109" ht="14.5" x14ac:dyDescent="0.35">
      <c r="A429" s="19"/>
      <c r="B429" s="1"/>
      <c r="C429"/>
      <c r="D429"/>
      <c r="E429" s="38"/>
      <c r="F429" s="38"/>
      <c r="G429" s="38"/>
      <c r="H429" s="38"/>
      <c r="I429" s="38"/>
      <c r="J429" s="33"/>
      <c r="K429" s="46"/>
      <c r="O429" s="54"/>
      <c r="P429" s="54"/>
      <c r="Q429" s="54"/>
      <c r="R429" s="54"/>
      <c r="S429" s="47"/>
      <c r="T429" s="48"/>
      <c r="U429" s="48"/>
      <c r="V429" s="48"/>
      <c r="W429" s="48"/>
      <c r="X429" s="49"/>
      <c r="Y429" s="49"/>
      <c r="Z429" s="49"/>
      <c r="AA429" s="49"/>
      <c r="AB429" s="49"/>
      <c r="AC429" s="49"/>
      <c r="AD429" s="49"/>
      <c r="AE429" s="49"/>
      <c r="AF429" s="49"/>
      <c r="AG429" s="49"/>
      <c r="AH429" s="49"/>
      <c r="AI429" s="49"/>
      <c r="AJ429" s="49"/>
      <c r="AK429" s="49"/>
      <c r="AL429" s="49"/>
      <c r="AM429" s="49"/>
      <c r="AN429" s="49"/>
      <c r="AO429" s="49"/>
      <c r="AP429" s="49"/>
      <c r="AQ429" s="49"/>
      <c r="AR429" s="49"/>
      <c r="AS429" s="49"/>
      <c r="AT429" s="49"/>
      <c r="AU429" s="49"/>
      <c r="AV429" s="49"/>
      <c r="AW429" s="49"/>
      <c r="AX429" s="49"/>
      <c r="AY429" s="49"/>
      <c r="AZ429" s="49"/>
      <c r="BA429" s="49"/>
      <c r="BB429" s="49"/>
      <c r="BC429" s="49"/>
      <c r="BD429" s="49"/>
      <c r="BE429" s="49"/>
      <c r="BF429" s="49"/>
      <c r="BG429" s="49"/>
      <c r="BH429" s="49"/>
      <c r="BI429" s="49"/>
      <c r="BJ429" s="49"/>
      <c r="BK429" s="49"/>
      <c r="BL429" s="49"/>
      <c r="BM429" s="49"/>
      <c r="BN429" s="49"/>
      <c r="BO429" s="49"/>
      <c r="BP429" s="49"/>
      <c r="BQ429" s="49"/>
      <c r="BR429" s="49"/>
      <c r="BS429" s="49"/>
      <c r="BT429" s="49"/>
      <c r="BU429" s="49"/>
      <c r="BV429" s="49"/>
      <c r="BW429" s="49"/>
      <c r="BX429" s="49"/>
      <c r="BY429" s="49"/>
      <c r="BZ429" s="49"/>
      <c r="CA429" s="49"/>
      <c r="CB429" s="49"/>
      <c r="CC429" s="49"/>
      <c r="CD429" s="49"/>
      <c r="CE429" s="49"/>
      <c r="CF429" s="49"/>
      <c r="CG429" s="49"/>
      <c r="CH429" s="49"/>
      <c r="CI429" s="49"/>
      <c r="CJ429" s="49"/>
      <c r="CK429" s="49"/>
      <c r="CL429" s="49"/>
      <c r="CM429" s="49"/>
      <c r="CN429" s="49"/>
      <c r="CO429" s="49"/>
      <c r="CP429" s="49"/>
      <c r="CQ429" s="49"/>
      <c r="CT429" s="54"/>
      <c r="DE429" s="34"/>
    </row>
    <row r="430" spans="1:109" ht="14.5" x14ac:dyDescent="0.35">
      <c r="A430" s="1"/>
      <c r="B430" s="1"/>
      <c r="C430"/>
      <c r="D430"/>
      <c r="E430" s="38"/>
      <c r="F430" s="38"/>
      <c r="G430" s="38"/>
      <c r="H430" s="38"/>
      <c r="I430" s="38"/>
      <c r="J430" s="33"/>
      <c r="K430" s="46"/>
      <c r="O430" s="54"/>
      <c r="P430" s="54"/>
      <c r="Q430" s="54"/>
      <c r="R430" s="54"/>
      <c r="S430" s="47"/>
      <c r="T430" s="48"/>
      <c r="U430" s="48"/>
      <c r="V430" s="48"/>
      <c r="W430" s="48"/>
      <c r="X430" s="49"/>
      <c r="Y430" s="49"/>
      <c r="Z430" s="49"/>
      <c r="AA430" s="49"/>
      <c r="AB430" s="49"/>
      <c r="AC430" s="49"/>
      <c r="AD430" s="49"/>
      <c r="AE430" s="49"/>
      <c r="AF430" s="49"/>
      <c r="AG430" s="49"/>
      <c r="AH430" s="49"/>
      <c r="AI430" s="49"/>
      <c r="AJ430" s="49"/>
      <c r="AK430" s="49"/>
      <c r="AL430" s="49"/>
      <c r="AM430" s="49"/>
      <c r="AN430" s="49"/>
      <c r="AO430" s="49"/>
      <c r="AP430" s="49"/>
      <c r="AQ430" s="49"/>
      <c r="AR430" s="49"/>
      <c r="AS430" s="49"/>
      <c r="AT430" s="49"/>
      <c r="AU430" s="49"/>
      <c r="AV430" s="49"/>
      <c r="AW430" s="49"/>
      <c r="AX430" s="49"/>
      <c r="AY430" s="49"/>
      <c r="AZ430" s="49"/>
      <c r="BA430" s="49"/>
      <c r="BB430" s="49"/>
      <c r="BC430" s="49"/>
      <c r="BD430" s="49"/>
      <c r="BE430" s="49"/>
      <c r="BF430" s="49"/>
      <c r="BG430" s="49"/>
      <c r="BH430" s="49"/>
      <c r="BI430" s="49"/>
      <c r="BJ430" s="49"/>
      <c r="BK430" s="49"/>
      <c r="BL430" s="49"/>
      <c r="BM430" s="49"/>
      <c r="BN430" s="49"/>
      <c r="BO430" s="49"/>
      <c r="BP430" s="49"/>
      <c r="BQ430" s="49"/>
      <c r="BR430" s="49"/>
      <c r="BS430" s="49"/>
      <c r="BT430" s="49"/>
      <c r="BU430" s="49"/>
      <c r="BV430" s="49"/>
      <c r="BW430" s="49"/>
      <c r="BX430" s="49"/>
      <c r="BY430" s="49"/>
      <c r="BZ430" s="49"/>
      <c r="CA430" s="49"/>
      <c r="CB430" s="49"/>
      <c r="CC430" s="49"/>
      <c r="CD430" s="49"/>
      <c r="CE430" s="49"/>
      <c r="CF430" s="49"/>
      <c r="CG430" s="49"/>
      <c r="CH430" s="49"/>
      <c r="CI430" s="49"/>
      <c r="CJ430" s="49"/>
      <c r="CK430" s="49"/>
      <c r="CL430" s="49"/>
      <c r="CM430" s="49"/>
      <c r="CN430" s="49"/>
      <c r="CO430" s="49"/>
      <c r="CP430" s="49"/>
      <c r="CQ430" s="49"/>
      <c r="CT430" s="54"/>
      <c r="DE430" s="34"/>
    </row>
    <row r="431" spans="1:109" ht="14.5" x14ac:dyDescent="0.35">
      <c r="A431" s="1"/>
      <c r="B431" s="1"/>
      <c r="C431"/>
      <c r="D431"/>
      <c r="E431" s="38"/>
      <c r="F431" s="38"/>
      <c r="G431" s="38"/>
      <c r="H431" s="38"/>
      <c r="I431" s="38"/>
      <c r="J431" s="33"/>
      <c r="K431" s="46"/>
      <c r="O431" s="54"/>
      <c r="P431" s="54"/>
      <c r="Q431" s="54"/>
      <c r="R431" s="54"/>
      <c r="S431" s="47"/>
      <c r="T431" s="48"/>
      <c r="U431" s="48"/>
      <c r="V431" s="48"/>
      <c r="W431" s="48"/>
      <c r="X431" s="49"/>
      <c r="Y431" s="49"/>
      <c r="Z431" s="49"/>
      <c r="AA431" s="49"/>
      <c r="AB431" s="49"/>
      <c r="AC431" s="49"/>
      <c r="AD431" s="49"/>
      <c r="AE431" s="49"/>
      <c r="AF431" s="49"/>
      <c r="AG431" s="49"/>
      <c r="AH431" s="49"/>
      <c r="AI431" s="49"/>
      <c r="AJ431" s="49"/>
      <c r="AK431" s="49"/>
      <c r="AL431" s="49"/>
      <c r="AM431" s="49"/>
      <c r="AN431" s="49"/>
      <c r="AO431" s="49"/>
      <c r="AP431" s="49"/>
      <c r="AQ431" s="49"/>
      <c r="AR431" s="49"/>
      <c r="AS431" s="49"/>
      <c r="AT431" s="49"/>
      <c r="AU431" s="49"/>
      <c r="AV431" s="49"/>
      <c r="AW431" s="49"/>
      <c r="AX431" s="49"/>
      <c r="AY431" s="49"/>
      <c r="AZ431" s="49"/>
      <c r="BA431" s="49"/>
      <c r="BB431" s="49"/>
      <c r="BC431" s="49"/>
      <c r="BD431" s="49"/>
      <c r="BE431" s="49"/>
      <c r="BF431" s="49"/>
      <c r="BG431" s="49"/>
      <c r="BH431" s="49"/>
      <c r="BI431" s="49"/>
      <c r="BJ431" s="49"/>
      <c r="BK431" s="49"/>
      <c r="BL431" s="49"/>
      <c r="BM431" s="49"/>
      <c r="BN431" s="49"/>
      <c r="BO431" s="49"/>
      <c r="BP431" s="49"/>
      <c r="BQ431" s="49"/>
      <c r="BR431" s="49"/>
      <c r="BS431" s="49"/>
      <c r="BT431" s="49"/>
      <c r="BU431" s="49"/>
      <c r="BV431" s="49"/>
      <c r="BW431" s="49"/>
      <c r="BX431" s="49"/>
      <c r="BY431" s="49"/>
      <c r="BZ431" s="49"/>
      <c r="CA431" s="49"/>
      <c r="CB431" s="49"/>
      <c r="CC431" s="49"/>
      <c r="CD431" s="49"/>
      <c r="CE431" s="49"/>
      <c r="CF431" s="49"/>
      <c r="CG431" s="49"/>
      <c r="CH431" s="49"/>
      <c r="CI431" s="49"/>
      <c r="CJ431" s="49"/>
      <c r="CK431" s="49"/>
      <c r="CL431" s="49"/>
      <c r="CM431" s="49"/>
      <c r="CN431" s="49"/>
      <c r="CO431" s="49"/>
      <c r="CP431" s="49"/>
      <c r="CQ431" s="49"/>
      <c r="CT431" s="54"/>
      <c r="DE431" s="34"/>
    </row>
    <row r="432" spans="1:109" ht="14.5" x14ac:dyDescent="0.35">
      <c r="A432" s="1"/>
      <c r="B432" s="1"/>
      <c r="C432"/>
      <c r="D432"/>
      <c r="E432" s="38"/>
      <c r="F432" s="38"/>
      <c r="G432" s="38"/>
      <c r="H432" s="38"/>
      <c r="I432" s="38"/>
      <c r="J432" s="33"/>
      <c r="K432" s="46"/>
      <c r="O432" s="54"/>
      <c r="P432" s="54"/>
      <c r="Q432" s="54"/>
      <c r="R432" s="54"/>
      <c r="S432" s="47"/>
      <c r="T432" s="48"/>
      <c r="U432" s="48"/>
      <c r="V432" s="48"/>
      <c r="W432" s="48"/>
      <c r="X432" s="49"/>
      <c r="Y432" s="49"/>
      <c r="Z432" s="49"/>
      <c r="AA432" s="49"/>
      <c r="AB432" s="49"/>
      <c r="AC432" s="49"/>
      <c r="AD432" s="49"/>
      <c r="AE432" s="49"/>
      <c r="AF432" s="49"/>
      <c r="AG432" s="49"/>
      <c r="AH432" s="49"/>
      <c r="AI432" s="49"/>
      <c r="AJ432" s="49"/>
      <c r="AK432" s="49"/>
      <c r="AL432" s="49"/>
      <c r="AM432" s="49"/>
      <c r="AN432" s="49"/>
      <c r="AO432" s="49"/>
      <c r="AP432" s="49"/>
      <c r="AQ432" s="49"/>
      <c r="AR432" s="49"/>
      <c r="AS432" s="49"/>
      <c r="AT432" s="49"/>
      <c r="AU432" s="49"/>
      <c r="AV432" s="49"/>
      <c r="AW432" s="49"/>
      <c r="AX432" s="49"/>
      <c r="AY432" s="49"/>
      <c r="AZ432" s="49"/>
      <c r="BA432" s="49"/>
      <c r="BB432" s="49"/>
      <c r="BC432" s="49"/>
      <c r="BD432" s="49"/>
      <c r="BE432" s="49"/>
      <c r="BF432" s="49"/>
      <c r="BG432" s="49"/>
      <c r="BH432" s="49"/>
      <c r="BI432" s="49"/>
      <c r="BJ432" s="49"/>
      <c r="BK432" s="49"/>
      <c r="BL432" s="49"/>
      <c r="BM432" s="49"/>
      <c r="BN432" s="49"/>
      <c r="BO432" s="49"/>
      <c r="BP432" s="49"/>
      <c r="BQ432" s="49"/>
      <c r="BR432" s="49"/>
      <c r="BS432" s="49"/>
      <c r="BT432" s="49"/>
      <c r="BU432" s="49"/>
      <c r="BV432" s="49"/>
      <c r="BW432" s="49"/>
      <c r="BX432" s="49"/>
      <c r="BY432" s="49"/>
      <c r="BZ432" s="49"/>
      <c r="CA432" s="49"/>
      <c r="CB432" s="49"/>
      <c r="CC432" s="49"/>
      <c r="CD432" s="49"/>
      <c r="CE432" s="49"/>
      <c r="CF432" s="49"/>
      <c r="CG432" s="49"/>
      <c r="CH432" s="49"/>
      <c r="CI432" s="49"/>
      <c r="CJ432" s="49"/>
      <c r="CK432" s="49"/>
      <c r="CL432" s="49"/>
      <c r="CM432" s="49"/>
      <c r="CN432" s="49"/>
      <c r="CO432" s="49"/>
      <c r="CP432" s="49"/>
      <c r="CQ432" s="49"/>
      <c r="CT432" s="54"/>
      <c r="DE432" s="34"/>
    </row>
    <row r="433" spans="1:109" ht="14.5" x14ac:dyDescent="0.35">
      <c r="A433" s="1"/>
      <c r="B433" s="1"/>
      <c r="C433"/>
      <c r="D433"/>
      <c r="E433" s="38"/>
      <c r="F433" s="38"/>
      <c r="G433" s="38"/>
      <c r="H433" s="38"/>
      <c r="I433" s="38"/>
      <c r="J433" s="33"/>
      <c r="K433" s="46"/>
      <c r="O433" s="54"/>
      <c r="P433" s="54"/>
      <c r="Q433" s="54"/>
      <c r="R433" s="54"/>
      <c r="S433" s="47"/>
      <c r="T433" s="48"/>
      <c r="U433" s="48"/>
      <c r="V433" s="48"/>
      <c r="W433" s="48"/>
      <c r="X433" s="49"/>
      <c r="Y433" s="49"/>
      <c r="Z433" s="49"/>
      <c r="AA433" s="49"/>
      <c r="AB433" s="49"/>
      <c r="AC433" s="49"/>
      <c r="AD433" s="49"/>
      <c r="AE433" s="49"/>
      <c r="AF433" s="49"/>
      <c r="AG433" s="49"/>
      <c r="AH433" s="49"/>
      <c r="AI433" s="49"/>
      <c r="AJ433" s="49"/>
      <c r="AK433" s="49"/>
      <c r="AL433" s="49"/>
      <c r="AM433" s="49"/>
      <c r="AN433" s="49"/>
      <c r="AO433" s="49"/>
      <c r="AP433" s="49"/>
      <c r="AQ433" s="49"/>
      <c r="AR433" s="49"/>
      <c r="AS433" s="49"/>
      <c r="AT433" s="49"/>
      <c r="AU433" s="49"/>
      <c r="AV433" s="49"/>
      <c r="AW433" s="49"/>
      <c r="AX433" s="49"/>
      <c r="AY433" s="49"/>
      <c r="AZ433" s="49"/>
      <c r="BA433" s="49"/>
      <c r="BB433" s="49"/>
      <c r="BC433" s="49"/>
      <c r="BD433" s="49"/>
      <c r="BE433" s="49"/>
      <c r="BF433" s="49"/>
      <c r="BG433" s="49"/>
      <c r="BH433" s="49"/>
      <c r="BI433" s="49"/>
      <c r="BJ433" s="49"/>
      <c r="BK433" s="49"/>
      <c r="BL433" s="49"/>
      <c r="BM433" s="49"/>
      <c r="BN433" s="49"/>
      <c r="BO433" s="49"/>
      <c r="BP433" s="49"/>
      <c r="BQ433" s="49"/>
      <c r="BR433" s="49"/>
      <c r="BS433" s="49"/>
      <c r="BT433" s="49"/>
      <c r="BU433" s="49"/>
      <c r="BV433" s="49"/>
      <c r="BW433" s="49"/>
      <c r="BX433" s="49"/>
      <c r="BY433" s="49"/>
      <c r="BZ433" s="49"/>
      <c r="CA433" s="49"/>
      <c r="CB433" s="49"/>
      <c r="CC433" s="49"/>
      <c r="CD433" s="49"/>
      <c r="CE433" s="49"/>
      <c r="CF433" s="49"/>
      <c r="CG433" s="49"/>
      <c r="CH433" s="49"/>
      <c r="CI433" s="49"/>
      <c r="CJ433" s="49"/>
      <c r="CK433" s="49"/>
      <c r="CL433" s="49"/>
      <c r="CM433" s="49"/>
      <c r="CN433" s="49"/>
      <c r="CO433" s="49"/>
      <c r="CP433" s="49"/>
      <c r="CQ433" s="49"/>
      <c r="CT433" s="54"/>
      <c r="DE433" s="34"/>
    </row>
    <row r="434" spans="1:109" ht="14.5" x14ac:dyDescent="0.35">
      <c r="A434" s="1"/>
      <c r="B434" s="1"/>
      <c r="C434"/>
      <c r="D434"/>
      <c r="E434" s="38"/>
      <c r="F434" s="38"/>
      <c r="G434" s="38"/>
      <c r="H434" s="38"/>
      <c r="I434" s="38"/>
      <c r="J434" s="33"/>
      <c r="K434" s="46"/>
      <c r="O434" s="54"/>
      <c r="P434" s="54"/>
      <c r="Q434" s="54"/>
      <c r="R434" s="54"/>
      <c r="S434" s="47"/>
      <c r="T434" s="48"/>
      <c r="U434" s="48"/>
      <c r="V434" s="48"/>
      <c r="W434" s="48"/>
      <c r="X434" s="49"/>
      <c r="Y434" s="49"/>
      <c r="Z434" s="49"/>
      <c r="AA434" s="49"/>
      <c r="AB434" s="49"/>
      <c r="AC434" s="49"/>
      <c r="AD434" s="49"/>
      <c r="AE434" s="49"/>
      <c r="AF434" s="49"/>
      <c r="AG434" s="49"/>
      <c r="AH434" s="49"/>
      <c r="AI434" s="49"/>
      <c r="AJ434" s="49"/>
      <c r="AK434" s="49"/>
      <c r="AL434" s="49"/>
      <c r="AM434" s="49"/>
      <c r="AN434" s="49"/>
      <c r="AO434" s="49"/>
      <c r="AP434" s="49"/>
      <c r="AQ434" s="49"/>
      <c r="AR434" s="49"/>
      <c r="AS434" s="49"/>
      <c r="AT434" s="49"/>
      <c r="AU434" s="49"/>
      <c r="AV434" s="49"/>
      <c r="AW434" s="49"/>
      <c r="AX434" s="49"/>
      <c r="AY434" s="49"/>
      <c r="AZ434" s="49"/>
      <c r="BA434" s="49"/>
      <c r="BB434" s="49"/>
      <c r="BC434" s="49"/>
      <c r="BD434" s="49"/>
      <c r="BE434" s="49"/>
      <c r="BF434" s="49"/>
      <c r="BG434" s="49"/>
      <c r="BH434" s="49"/>
      <c r="BI434" s="49"/>
      <c r="BJ434" s="49"/>
      <c r="BK434" s="49"/>
      <c r="BL434" s="49"/>
      <c r="BM434" s="49"/>
      <c r="BN434" s="49"/>
      <c r="BO434" s="49"/>
      <c r="BP434" s="49"/>
      <c r="BQ434" s="49"/>
      <c r="BR434" s="49"/>
      <c r="BS434" s="49"/>
      <c r="BT434" s="49"/>
      <c r="BU434" s="49"/>
      <c r="BV434" s="49"/>
      <c r="BW434" s="49"/>
      <c r="BX434" s="49"/>
      <c r="BY434" s="49"/>
      <c r="BZ434" s="49"/>
      <c r="CA434" s="49"/>
      <c r="CB434" s="49"/>
      <c r="CC434" s="49"/>
      <c r="CD434" s="49"/>
      <c r="CE434" s="49"/>
      <c r="CF434" s="49"/>
      <c r="CG434" s="49"/>
      <c r="CH434" s="49"/>
      <c r="CI434" s="49"/>
      <c r="CJ434" s="49"/>
      <c r="CK434" s="49"/>
      <c r="CL434" s="49"/>
      <c r="CM434" s="49"/>
      <c r="CN434" s="49"/>
      <c r="CO434" s="49"/>
      <c r="CP434" s="49"/>
      <c r="CQ434" s="49"/>
      <c r="CT434" s="54"/>
      <c r="DE434" s="34"/>
    </row>
    <row r="435" spans="1:109" ht="14.5" x14ac:dyDescent="0.35">
      <c r="A435" s="1"/>
      <c r="B435" s="1"/>
      <c r="C435"/>
      <c r="D435"/>
      <c r="E435" s="38"/>
      <c r="F435" s="38"/>
      <c r="G435" s="38"/>
      <c r="H435" s="38"/>
      <c r="I435" s="38"/>
      <c r="J435" s="33"/>
      <c r="K435" s="46"/>
      <c r="O435" s="54"/>
      <c r="P435" s="54"/>
      <c r="Q435" s="54"/>
      <c r="R435" s="54"/>
      <c r="S435" s="47"/>
      <c r="T435" s="48"/>
      <c r="U435" s="48"/>
      <c r="V435" s="48"/>
      <c r="W435" s="48"/>
      <c r="X435" s="49"/>
      <c r="Y435" s="49"/>
      <c r="Z435" s="49"/>
      <c r="AA435" s="49"/>
      <c r="AB435" s="49"/>
      <c r="AC435" s="49"/>
      <c r="AD435" s="49"/>
      <c r="AE435" s="49"/>
      <c r="AF435" s="49"/>
      <c r="AG435" s="49"/>
      <c r="AH435" s="49"/>
      <c r="AI435" s="49"/>
      <c r="AJ435" s="49"/>
      <c r="AK435" s="49"/>
      <c r="AL435" s="49"/>
      <c r="AM435" s="49"/>
      <c r="AN435" s="49"/>
      <c r="AO435" s="49"/>
      <c r="AP435" s="49"/>
      <c r="AQ435" s="49"/>
      <c r="AR435" s="49"/>
      <c r="AS435" s="49"/>
      <c r="AT435" s="49"/>
      <c r="AU435" s="49"/>
      <c r="AV435" s="49"/>
      <c r="AW435" s="49"/>
      <c r="AX435" s="49"/>
      <c r="AY435" s="49"/>
      <c r="AZ435" s="49"/>
      <c r="BA435" s="49"/>
      <c r="BB435" s="49"/>
      <c r="BC435" s="49"/>
      <c r="BD435" s="49"/>
      <c r="BE435" s="49"/>
      <c r="BF435" s="49"/>
      <c r="BG435" s="49"/>
      <c r="BH435" s="49"/>
      <c r="BI435" s="49"/>
      <c r="BJ435" s="49"/>
      <c r="BK435" s="49"/>
      <c r="BL435" s="49"/>
      <c r="BM435" s="49"/>
      <c r="BN435" s="49"/>
      <c r="BO435" s="49"/>
      <c r="BP435" s="49"/>
      <c r="BQ435" s="49"/>
      <c r="BR435" s="49"/>
      <c r="BS435" s="49"/>
      <c r="BT435" s="49"/>
      <c r="BU435" s="49"/>
      <c r="BV435" s="49"/>
      <c r="BW435" s="49"/>
      <c r="BX435" s="49"/>
      <c r="BY435" s="49"/>
      <c r="BZ435" s="49"/>
      <c r="CA435" s="49"/>
      <c r="CB435" s="49"/>
      <c r="CC435" s="49"/>
      <c r="CD435" s="49"/>
      <c r="CE435" s="49"/>
      <c r="CF435" s="49"/>
      <c r="CG435" s="49"/>
      <c r="CH435" s="49"/>
      <c r="CI435" s="49"/>
      <c r="CJ435" s="49"/>
      <c r="CK435" s="49"/>
      <c r="CL435" s="49"/>
      <c r="CM435" s="49"/>
      <c r="CN435" s="49"/>
      <c r="CO435" s="49"/>
      <c r="CP435" s="49"/>
      <c r="CQ435" s="49"/>
      <c r="CT435" s="54"/>
      <c r="DE435" s="34"/>
    </row>
    <row r="436" spans="1:109" ht="14.5" x14ac:dyDescent="0.35">
      <c r="A436" s="1"/>
      <c r="B436" s="1"/>
      <c r="C436"/>
      <c r="D436"/>
      <c r="E436" s="38"/>
      <c r="F436" s="38"/>
      <c r="G436" s="38"/>
      <c r="H436" s="38"/>
      <c r="I436" s="38"/>
      <c r="J436" s="33"/>
      <c r="K436" s="46"/>
      <c r="O436" s="54"/>
      <c r="P436" s="54"/>
      <c r="Q436" s="54"/>
      <c r="R436" s="54"/>
      <c r="S436" s="47"/>
      <c r="T436" s="48"/>
      <c r="U436" s="48"/>
      <c r="V436" s="48"/>
      <c r="W436" s="48"/>
      <c r="X436" s="49"/>
      <c r="Y436" s="49"/>
      <c r="Z436" s="49"/>
      <c r="AA436" s="49"/>
      <c r="AB436" s="49"/>
      <c r="AC436" s="49"/>
      <c r="AD436" s="49"/>
      <c r="AE436" s="49"/>
      <c r="AF436" s="49"/>
      <c r="AG436" s="49"/>
      <c r="AH436" s="49"/>
      <c r="AI436" s="49"/>
      <c r="AJ436" s="49"/>
      <c r="AK436" s="49"/>
      <c r="AL436" s="49"/>
      <c r="AM436" s="49"/>
      <c r="AN436" s="49"/>
      <c r="AO436" s="49"/>
      <c r="AP436" s="49"/>
      <c r="AQ436" s="49"/>
      <c r="AR436" s="49"/>
      <c r="AS436" s="49"/>
      <c r="AT436" s="49"/>
      <c r="AU436" s="49"/>
      <c r="AV436" s="49"/>
      <c r="AW436" s="49"/>
      <c r="AX436" s="49"/>
      <c r="AY436" s="49"/>
      <c r="AZ436" s="49"/>
      <c r="BA436" s="49"/>
      <c r="BB436" s="49"/>
      <c r="BC436" s="49"/>
      <c r="BD436" s="49"/>
      <c r="BE436" s="49"/>
      <c r="BF436" s="49"/>
      <c r="BG436" s="49"/>
      <c r="BH436" s="49"/>
      <c r="BI436" s="49"/>
      <c r="BJ436" s="49"/>
      <c r="BK436" s="49"/>
      <c r="BL436" s="49"/>
      <c r="BM436" s="49"/>
      <c r="BN436" s="49"/>
      <c r="BO436" s="49"/>
      <c r="BP436" s="49"/>
      <c r="BQ436" s="49"/>
      <c r="BR436" s="49"/>
      <c r="BS436" s="49"/>
      <c r="BT436" s="49"/>
      <c r="BU436" s="49"/>
      <c r="BV436" s="49"/>
      <c r="BW436" s="49"/>
      <c r="BX436" s="49"/>
      <c r="BY436" s="49"/>
      <c r="BZ436" s="49"/>
      <c r="CA436" s="49"/>
      <c r="CB436" s="49"/>
      <c r="CC436" s="49"/>
      <c r="CD436" s="49"/>
      <c r="CE436" s="49"/>
      <c r="CF436" s="49"/>
      <c r="CG436" s="49"/>
      <c r="CH436" s="49"/>
      <c r="CI436" s="49"/>
      <c r="CJ436" s="49"/>
      <c r="CK436" s="49"/>
      <c r="CL436" s="49"/>
      <c r="CM436" s="49"/>
      <c r="CN436" s="49"/>
      <c r="CO436" s="49"/>
      <c r="CP436" s="49"/>
      <c r="CQ436" s="49"/>
      <c r="CT436" s="54"/>
      <c r="DE436" s="34"/>
    </row>
    <row r="437" spans="1:109" ht="14.5" x14ac:dyDescent="0.35">
      <c r="A437" s="1"/>
      <c r="B437" s="1"/>
      <c r="C437"/>
      <c r="D437"/>
      <c r="E437" s="38"/>
      <c r="F437" s="38"/>
      <c r="G437" s="38"/>
      <c r="H437" s="38"/>
      <c r="I437" s="38"/>
      <c r="J437" s="33"/>
      <c r="K437" s="46"/>
      <c r="O437" s="54"/>
      <c r="P437" s="54"/>
      <c r="Q437" s="54"/>
      <c r="R437" s="54"/>
      <c r="S437" s="47"/>
      <c r="T437" s="48"/>
      <c r="U437" s="48"/>
      <c r="V437" s="48"/>
      <c r="W437" s="48"/>
      <c r="X437" s="49"/>
      <c r="Y437" s="49"/>
      <c r="Z437" s="49"/>
      <c r="AA437" s="49"/>
      <c r="AB437" s="49"/>
      <c r="AC437" s="49"/>
      <c r="AD437" s="49"/>
      <c r="AE437" s="49"/>
      <c r="AF437" s="49"/>
      <c r="AG437" s="49"/>
      <c r="AH437" s="49"/>
      <c r="AI437" s="49"/>
      <c r="AJ437" s="49"/>
      <c r="AK437" s="49"/>
      <c r="AL437" s="49"/>
      <c r="AM437" s="49"/>
      <c r="AN437" s="49"/>
      <c r="AO437" s="49"/>
      <c r="AP437" s="49"/>
      <c r="AQ437" s="49"/>
      <c r="AR437" s="49"/>
      <c r="AS437" s="49"/>
      <c r="AT437" s="49"/>
      <c r="AU437" s="49"/>
      <c r="AV437" s="49"/>
      <c r="AW437" s="49"/>
      <c r="AX437" s="49"/>
      <c r="AY437" s="49"/>
      <c r="AZ437" s="49"/>
      <c r="BA437" s="49"/>
      <c r="BB437" s="49"/>
      <c r="BC437" s="49"/>
      <c r="BD437" s="49"/>
      <c r="BE437" s="49"/>
      <c r="BF437" s="49"/>
      <c r="BG437" s="49"/>
      <c r="BH437" s="49"/>
      <c r="BI437" s="49"/>
      <c r="BJ437" s="49"/>
      <c r="BK437" s="49"/>
      <c r="BL437" s="49"/>
      <c r="BM437" s="49"/>
      <c r="BN437" s="49"/>
      <c r="BO437" s="49"/>
      <c r="BP437" s="49"/>
      <c r="BQ437" s="49"/>
      <c r="BR437" s="49"/>
      <c r="BS437" s="49"/>
      <c r="BT437" s="49"/>
      <c r="BU437" s="49"/>
      <c r="BV437" s="49"/>
      <c r="BW437" s="49"/>
      <c r="BX437" s="49"/>
      <c r="BY437" s="49"/>
      <c r="BZ437" s="49"/>
      <c r="CA437" s="49"/>
      <c r="CB437" s="49"/>
      <c r="CC437" s="49"/>
      <c r="CD437" s="49"/>
      <c r="CE437" s="49"/>
      <c r="CF437" s="49"/>
      <c r="CG437" s="49"/>
      <c r="CH437" s="49"/>
      <c r="CI437" s="49"/>
      <c r="CJ437" s="49"/>
      <c r="CK437" s="49"/>
      <c r="CL437" s="49"/>
      <c r="CM437" s="49"/>
      <c r="CN437" s="49"/>
      <c r="CO437" s="49"/>
      <c r="CP437" s="49"/>
      <c r="CQ437" s="49"/>
      <c r="CT437" s="54"/>
      <c r="DE437" s="34"/>
    </row>
    <row r="438" spans="1:109" ht="14.5" x14ac:dyDescent="0.35">
      <c r="A438" s="1"/>
      <c r="B438" s="1"/>
      <c r="C438"/>
      <c r="D438"/>
      <c r="E438" s="38"/>
      <c r="F438" s="38"/>
      <c r="G438" s="38"/>
      <c r="H438" s="38"/>
      <c r="I438" s="38"/>
      <c r="J438" s="33"/>
      <c r="K438" s="46"/>
      <c r="O438" s="54"/>
      <c r="P438" s="54"/>
      <c r="Q438" s="54"/>
      <c r="R438" s="54"/>
      <c r="S438" s="47"/>
      <c r="T438" s="48"/>
      <c r="U438" s="48"/>
      <c r="V438" s="48"/>
      <c r="W438" s="48"/>
      <c r="X438" s="49"/>
      <c r="Y438" s="49"/>
      <c r="Z438" s="49"/>
      <c r="AA438" s="49"/>
      <c r="AB438" s="49"/>
      <c r="AC438" s="49"/>
      <c r="AD438" s="49"/>
      <c r="AE438" s="49"/>
      <c r="AF438" s="49"/>
      <c r="AG438" s="49"/>
      <c r="AH438" s="49"/>
      <c r="AI438" s="49"/>
      <c r="AJ438" s="49"/>
      <c r="AK438" s="49"/>
      <c r="AL438" s="49"/>
      <c r="AM438" s="49"/>
      <c r="AN438" s="49"/>
      <c r="AO438" s="49"/>
      <c r="AP438" s="49"/>
      <c r="AQ438" s="49"/>
      <c r="AR438" s="49"/>
      <c r="AS438" s="49"/>
      <c r="AT438" s="49"/>
      <c r="AU438" s="49"/>
      <c r="AV438" s="49"/>
      <c r="AW438" s="49"/>
      <c r="AX438" s="49"/>
      <c r="AY438" s="49"/>
      <c r="AZ438" s="49"/>
      <c r="BA438" s="49"/>
      <c r="BB438" s="49"/>
      <c r="BC438" s="49"/>
      <c r="BD438" s="49"/>
      <c r="BE438" s="49"/>
      <c r="BF438" s="49"/>
      <c r="BG438" s="49"/>
      <c r="BH438" s="49"/>
      <c r="BI438" s="49"/>
      <c r="BJ438" s="49"/>
      <c r="BK438" s="49"/>
      <c r="BL438" s="49"/>
      <c r="BM438" s="49"/>
      <c r="BN438" s="49"/>
      <c r="BO438" s="49"/>
      <c r="BP438" s="49"/>
      <c r="BQ438" s="49"/>
      <c r="BR438" s="49"/>
      <c r="BS438" s="49"/>
      <c r="BT438" s="49"/>
      <c r="BU438" s="49"/>
      <c r="BV438" s="49"/>
      <c r="BW438" s="49"/>
      <c r="BX438" s="49"/>
      <c r="BY438" s="49"/>
      <c r="BZ438" s="49"/>
      <c r="CA438" s="49"/>
      <c r="CB438" s="49"/>
      <c r="CC438" s="49"/>
      <c r="CD438" s="49"/>
      <c r="CE438" s="49"/>
      <c r="CF438" s="49"/>
      <c r="CG438" s="49"/>
      <c r="CH438" s="49"/>
      <c r="CI438" s="49"/>
      <c r="CJ438" s="49"/>
      <c r="CK438" s="49"/>
      <c r="CL438" s="49"/>
      <c r="CM438" s="49"/>
      <c r="CN438" s="49"/>
      <c r="CO438" s="49"/>
      <c r="CP438" s="49"/>
      <c r="CQ438" s="49"/>
      <c r="CT438" s="54"/>
      <c r="DE438" s="34"/>
    </row>
    <row r="439" spans="1:109" ht="14.5" x14ac:dyDescent="0.35">
      <c r="A439" s="1"/>
      <c r="B439" s="1"/>
      <c r="C439"/>
      <c r="D439"/>
      <c r="E439" s="38"/>
      <c r="F439" s="38"/>
      <c r="G439" s="38"/>
      <c r="H439" s="38"/>
      <c r="I439" s="38"/>
      <c r="J439" s="33"/>
      <c r="K439" s="46"/>
      <c r="O439" s="54"/>
      <c r="P439" s="54"/>
      <c r="Q439" s="54"/>
      <c r="R439" s="54"/>
      <c r="S439" s="47"/>
      <c r="T439" s="48"/>
      <c r="U439" s="48"/>
      <c r="V439" s="48"/>
      <c r="W439" s="48"/>
      <c r="X439" s="49"/>
      <c r="Y439" s="49"/>
      <c r="Z439" s="49"/>
      <c r="AA439" s="49"/>
      <c r="AB439" s="49"/>
      <c r="AC439" s="49"/>
      <c r="AD439" s="49"/>
      <c r="AE439" s="49"/>
      <c r="AF439" s="49"/>
      <c r="AG439" s="49"/>
      <c r="AH439" s="49"/>
      <c r="AI439" s="49"/>
      <c r="AJ439" s="49"/>
      <c r="AK439" s="49"/>
      <c r="AL439" s="49"/>
      <c r="AM439" s="49"/>
      <c r="AN439" s="49"/>
      <c r="AO439" s="49"/>
      <c r="AP439" s="49"/>
      <c r="AQ439" s="49"/>
      <c r="AR439" s="49"/>
      <c r="AS439" s="49"/>
      <c r="AT439" s="49"/>
      <c r="AU439" s="49"/>
      <c r="AV439" s="49"/>
      <c r="AW439" s="49"/>
      <c r="AX439" s="49"/>
      <c r="AY439" s="49"/>
      <c r="AZ439" s="49"/>
      <c r="BA439" s="49"/>
      <c r="BB439" s="49"/>
      <c r="BC439" s="49"/>
      <c r="BD439" s="49"/>
      <c r="BE439" s="49"/>
      <c r="BF439" s="49"/>
      <c r="BG439" s="49"/>
      <c r="BH439" s="49"/>
      <c r="BI439" s="49"/>
      <c r="BJ439" s="49"/>
      <c r="BK439" s="49"/>
      <c r="BL439" s="49"/>
      <c r="BM439" s="49"/>
      <c r="BN439" s="49"/>
      <c r="BO439" s="49"/>
      <c r="BP439" s="49"/>
      <c r="BQ439" s="49"/>
      <c r="BR439" s="49"/>
      <c r="BS439" s="49"/>
      <c r="BT439" s="49"/>
      <c r="BU439" s="49"/>
      <c r="BV439" s="49"/>
      <c r="BW439" s="49"/>
      <c r="BX439" s="49"/>
      <c r="BY439" s="49"/>
      <c r="BZ439" s="49"/>
      <c r="CA439" s="49"/>
      <c r="CB439" s="49"/>
      <c r="CC439" s="49"/>
      <c r="CD439" s="49"/>
      <c r="CE439" s="49"/>
      <c r="CF439" s="49"/>
      <c r="CG439" s="49"/>
      <c r="CH439" s="49"/>
      <c r="CI439" s="49"/>
      <c r="CJ439" s="49"/>
      <c r="CK439" s="49"/>
      <c r="CL439" s="49"/>
      <c r="CM439" s="49"/>
      <c r="CN439" s="49"/>
      <c r="CO439" s="49"/>
      <c r="CP439" s="49"/>
      <c r="CQ439" s="49"/>
      <c r="CT439" s="54"/>
      <c r="DE439" s="34"/>
    </row>
    <row r="440" spans="1:109" ht="14.5" x14ac:dyDescent="0.35">
      <c r="A440" s="1"/>
      <c r="B440" s="1"/>
      <c r="C440"/>
      <c r="D440"/>
      <c r="E440" s="38"/>
      <c r="F440" s="38"/>
      <c r="G440" s="38"/>
      <c r="H440" s="38"/>
      <c r="I440" s="38"/>
      <c r="J440" s="33"/>
      <c r="K440" s="46"/>
      <c r="O440" s="54"/>
      <c r="P440" s="54"/>
      <c r="Q440" s="54"/>
      <c r="R440" s="54"/>
      <c r="S440" s="47"/>
      <c r="T440" s="48"/>
      <c r="U440" s="48"/>
      <c r="V440" s="48"/>
      <c r="W440" s="48"/>
      <c r="X440" s="49"/>
      <c r="Y440" s="49"/>
      <c r="Z440" s="49"/>
      <c r="AA440" s="49"/>
      <c r="AB440" s="49"/>
      <c r="AC440" s="49"/>
      <c r="AD440" s="49"/>
      <c r="AE440" s="49"/>
      <c r="AF440" s="49"/>
      <c r="AG440" s="49"/>
      <c r="AH440" s="49"/>
      <c r="AI440" s="49"/>
      <c r="AJ440" s="49"/>
      <c r="AK440" s="49"/>
      <c r="AL440" s="49"/>
      <c r="AM440" s="49"/>
      <c r="AN440" s="49"/>
      <c r="AO440" s="49"/>
      <c r="AP440" s="49"/>
      <c r="AQ440" s="49"/>
      <c r="AR440" s="49"/>
      <c r="AS440" s="49"/>
      <c r="AT440" s="49"/>
      <c r="AU440" s="49"/>
      <c r="AV440" s="49"/>
      <c r="AW440" s="49"/>
      <c r="AX440" s="49"/>
      <c r="AY440" s="49"/>
      <c r="AZ440" s="49"/>
      <c r="BA440" s="49"/>
      <c r="BB440" s="49"/>
      <c r="BC440" s="49"/>
      <c r="BD440" s="49"/>
      <c r="BE440" s="49"/>
      <c r="BF440" s="49"/>
      <c r="BG440" s="49"/>
      <c r="BH440" s="49"/>
      <c r="BI440" s="49"/>
      <c r="BJ440" s="49"/>
      <c r="BK440" s="49"/>
      <c r="BL440" s="49"/>
      <c r="BM440" s="49"/>
      <c r="BN440" s="49"/>
      <c r="BO440" s="49"/>
      <c r="BP440" s="49"/>
      <c r="BQ440" s="49"/>
      <c r="BR440" s="49"/>
      <c r="BS440" s="49"/>
      <c r="BT440" s="49"/>
      <c r="BU440" s="49"/>
      <c r="BV440" s="49"/>
      <c r="BW440" s="49"/>
      <c r="BX440" s="49"/>
      <c r="BY440" s="49"/>
      <c r="BZ440" s="49"/>
      <c r="CA440" s="49"/>
      <c r="CB440" s="49"/>
      <c r="CC440" s="49"/>
      <c r="CD440" s="49"/>
      <c r="CE440" s="49"/>
      <c r="CF440" s="49"/>
      <c r="CG440" s="49"/>
      <c r="CH440" s="49"/>
      <c r="CI440" s="49"/>
      <c r="CJ440" s="49"/>
      <c r="CK440" s="49"/>
      <c r="CL440" s="49"/>
      <c r="CM440" s="49"/>
      <c r="CN440" s="49"/>
      <c r="CO440" s="49"/>
      <c r="CP440" s="49"/>
      <c r="CQ440" s="49"/>
      <c r="CT440" s="54"/>
      <c r="DE440" s="34"/>
    </row>
    <row r="441" spans="1:109" ht="14.5" x14ac:dyDescent="0.35">
      <c r="A441" s="1"/>
      <c r="B441" s="1"/>
      <c r="C441"/>
      <c r="D441"/>
      <c r="E441" s="38"/>
      <c r="F441" s="38"/>
      <c r="G441" s="38"/>
      <c r="H441" s="38"/>
      <c r="I441" s="38"/>
      <c r="J441" s="33"/>
      <c r="K441" s="46"/>
      <c r="O441" s="54"/>
      <c r="P441" s="54"/>
      <c r="Q441" s="54"/>
      <c r="R441" s="54"/>
      <c r="S441" s="47"/>
      <c r="T441" s="48"/>
      <c r="U441" s="48"/>
      <c r="V441" s="48"/>
      <c r="W441" s="48"/>
      <c r="X441" s="49"/>
      <c r="Y441" s="49"/>
      <c r="Z441" s="49"/>
      <c r="AA441" s="49"/>
      <c r="AB441" s="49"/>
      <c r="AC441" s="49"/>
      <c r="AD441" s="49"/>
      <c r="AE441" s="49"/>
      <c r="AF441" s="49"/>
      <c r="AG441" s="49"/>
      <c r="AH441" s="49"/>
      <c r="AI441" s="49"/>
      <c r="AJ441" s="49"/>
      <c r="AK441" s="49"/>
      <c r="AL441" s="49"/>
      <c r="AM441" s="49"/>
      <c r="AN441" s="49"/>
      <c r="AO441" s="49"/>
      <c r="AP441" s="49"/>
      <c r="AQ441" s="49"/>
      <c r="AR441" s="49"/>
      <c r="AS441" s="49"/>
      <c r="AT441" s="49"/>
      <c r="AU441" s="49"/>
      <c r="AV441" s="49"/>
      <c r="AW441" s="49"/>
      <c r="AX441" s="49"/>
      <c r="AY441" s="49"/>
      <c r="AZ441" s="49"/>
      <c r="BA441" s="49"/>
      <c r="BB441" s="49"/>
      <c r="BC441" s="49"/>
      <c r="BD441" s="49"/>
      <c r="BE441" s="49"/>
      <c r="BF441" s="49"/>
      <c r="BG441" s="49"/>
      <c r="BH441" s="49"/>
      <c r="BI441" s="49"/>
      <c r="BJ441" s="49"/>
      <c r="BK441" s="49"/>
      <c r="BL441" s="49"/>
      <c r="BM441" s="49"/>
      <c r="BN441" s="49"/>
      <c r="BO441" s="49"/>
      <c r="BP441" s="49"/>
      <c r="BQ441" s="49"/>
      <c r="BR441" s="49"/>
      <c r="BS441" s="49"/>
      <c r="BT441" s="49"/>
      <c r="BU441" s="49"/>
      <c r="BV441" s="49"/>
      <c r="BW441" s="49"/>
      <c r="BX441" s="49"/>
      <c r="BY441" s="49"/>
      <c r="BZ441" s="49"/>
      <c r="CA441" s="49"/>
      <c r="CB441" s="49"/>
      <c r="CC441" s="49"/>
      <c r="CD441" s="49"/>
      <c r="CE441" s="49"/>
      <c r="CF441" s="49"/>
      <c r="CG441" s="49"/>
      <c r="CH441" s="49"/>
      <c r="CI441" s="49"/>
      <c r="CJ441" s="49"/>
      <c r="CK441" s="49"/>
      <c r="CL441" s="49"/>
      <c r="CM441" s="49"/>
      <c r="CN441" s="49"/>
      <c r="CO441" s="49"/>
      <c r="CP441" s="49"/>
      <c r="CQ441" s="49"/>
      <c r="CT441" s="54"/>
      <c r="DE441" s="34"/>
    </row>
    <row r="442" spans="1:109" ht="14.5" x14ac:dyDescent="0.35">
      <c r="A442" s="1"/>
      <c r="B442" s="1"/>
      <c r="C442"/>
      <c r="D442"/>
      <c r="E442" s="38"/>
      <c r="F442" s="38"/>
      <c r="G442" s="38"/>
      <c r="H442" s="38"/>
      <c r="I442" s="38"/>
      <c r="J442" s="33"/>
      <c r="K442" s="46"/>
      <c r="O442" s="54"/>
      <c r="P442" s="54"/>
      <c r="Q442" s="54"/>
      <c r="R442" s="54"/>
      <c r="S442" s="47"/>
      <c r="T442" s="48"/>
      <c r="U442" s="48"/>
      <c r="V442" s="48"/>
      <c r="W442" s="48"/>
      <c r="X442" s="49"/>
      <c r="Y442" s="49"/>
      <c r="Z442" s="49"/>
      <c r="AA442" s="49"/>
      <c r="AB442" s="49"/>
      <c r="AC442" s="49"/>
      <c r="AD442" s="49"/>
      <c r="AE442" s="49"/>
      <c r="AF442" s="49"/>
      <c r="AG442" s="49"/>
      <c r="AH442" s="49"/>
      <c r="AI442" s="49"/>
      <c r="AJ442" s="49"/>
      <c r="AK442" s="49"/>
      <c r="AL442" s="49"/>
      <c r="AM442" s="49"/>
      <c r="AN442" s="49"/>
      <c r="AO442" s="49"/>
      <c r="AP442" s="49"/>
      <c r="AQ442" s="49"/>
      <c r="AR442" s="49"/>
      <c r="AS442" s="49"/>
      <c r="AT442" s="49"/>
      <c r="AU442" s="49"/>
      <c r="AV442" s="49"/>
      <c r="AW442" s="49"/>
      <c r="AX442" s="49"/>
      <c r="AY442" s="49"/>
      <c r="AZ442" s="49"/>
      <c r="BA442" s="49"/>
      <c r="BB442" s="49"/>
      <c r="BC442" s="49"/>
      <c r="BD442" s="49"/>
      <c r="BE442" s="49"/>
      <c r="BF442" s="49"/>
      <c r="BG442" s="49"/>
      <c r="BH442" s="49"/>
      <c r="BI442" s="49"/>
      <c r="BJ442" s="49"/>
      <c r="BK442" s="49"/>
      <c r="BL442" s="49"/>
      <c r="BM442" s="49"/>
      <c r="BN442" s="49"/>
      <c r="BO442" s="49"/>
      <c r="BP442" s="49"/>
      <c r="BQ442" s="49"/>
      <c r="BR442" s="49"/>
      <c r="BS442" s="49"/>
      <c r="BT442" s="49"/>
      <c r="BU442" s="49"/>
      <c r="BV442" s="49"/>
      <c r="BW442" s="49"/>
      <c r="BX442" s="49"/>
      <c r="BY442" s="49"/>
      <c r="BZ442" s="49"/>
      <c r="CA442" s="49"/>
      <c r="CB442" s="49"/>
      <c r="CC442" s="49"/>
      <c r="CD442" s="49"/>
      <c r="CE442" s="49"/>
      <c r="CF442" s="49"/>
      <c r="CG442" s="49"/>
      <c r="CH442" s="49"/>
      <c r="CI442" s="49"/>
      <c r="CJ442" s="49"/>
      <c r="CK442" s="49"/>
      <c r="CL442" s="49"/>
      <c r="CM442" s="49"/>
      <c r="CN442" s="49"/>
      <c r="CO442" s="49"/>
      <c r="CP442" s="49"/>
      <c r="CQ442" s="49"/>
      <c r="CT442" s="54"/>
      <c r="DE442" s="34"/>
    </row>
    <row r="443" spans="1:109" ht="14.5" x14ac:dyDescent="0.35">
      <c r="A443" s="1"/>
      <c r="B443" s="1"/>
      <c r="C443"/>
      <c r="D443"/>
      <c r="E443" s="38"/>
      <c r="F443" s="38"/>
      <c r="G443" s="38"/>
      <c r="H443" s="38"/>
      <c r="I443" s="38"/>
      <c r="J443" s="33"/>
      <c r="K443" s="46"/>
      <c r="O443" s="54"/>
      <c r="P443" s="54"/>
      <c r="Q443" s="54"/>
      <c r="R443" s="54"/>
      <c r="S443" s="47"/>
      <c r="T443" s="48"/>
      <c r="U443" s="48"/>
      <c r="V443" s="48"/>
      <c r="W443" s="48"/>
      <c r="X443" s="49"/>
      <c r="Y443" s="49"/>
      <c r="Z443" s="49"/>
      <c r="AA443" s="49"/>
      <c r="AB443" s="49"/>
      <c r="AC443" s="49"/>
      <c r="AD443" s="49"/>
      <c r="AE443" s="49"/>
      <c r="AF443" s="49"/>
      <c r="AG443" s="49"/>
      <c r="AH443" s="49"/>
      <c r="AI443" s="49"/>
      <c r="AJ443" s="49"/>
      <c r="AK443" s="49"/>
      <c r="AL443" s="49"/>
      <c r="AM443" s="49"/>
      <c r="AN443" s="49"/>
      <c r="AO443" s="49"/>
      <c r="AP443" s="49"/>
      <c r="AQ443" s="49"/>
      <c r="AR443" s="49"/>
      <c r="AS443" s="49"/>
      <c r="AT443" s="49"/>
      <c r="AU443" s="49"/>
      <c r="AV443" s="49"/>
      <c r="AW443" s="49"/>
      <c r="AX443" s="49"/>
      <c r="AY443" s="49"/>
      <c r="AZ443" s="49"/>
      <c r="BA443" s="49"/>
      <c r="BB443" s="49"/>
      <c r="BC443" s="49"/>
      <c r="BD443" s="49"/>
      <c r="BE443" s="49"/>
      <c r="BF443" s="49"/>
      <c r="BG443" s="49"/>
      <c r="BH443" s="49"/>
      <c r="BI443" s="49"/>
      <c r="BJ443" s="49"/>
      <c r="BK443" s="49"/>
      <c r="BL443" s="49"/>
      <c r="BM443" s="49"/>
      <c r="BN443" s="49"/>
      <c r="BO443" s="49"/>
      <c r="BP443" s="49"/>
      <c r="BQ443" s="49"/>
      <c r="BR443" s="49"/>
      <c r="BS443" s="49"/>
      <c r="BT443" s="49"/>
      <c r="BU443" s="49"/>
      <c r="BV443" s="49"/>
      <c r="BW443" s="49"/>
      <c r="BX443" s="49"/>
      <c r="BY443" s="49"/>
      <c r="BZ443" s="49"/>
      <c r="CA443" s="49"/>
      <c r="CB443" s="49"/>
      <c r="CC443" s="49"/>
      <c r="CD443" s="49"/>
      <c r="CE443" s="49"/>
      <c r="CF443" s="49"/>
      <c r="CG443" s="49"/>
      <c r="CH443" s="49"/>
      <c r="CI443" s="49"/>
      <c r="CJ443" s="49"/>
      <c r="CK443" s="49"/>
      <c r="CL443" s="49"/>
      <c r="CM443" s="49"/>
      <c r="CN443" s="49"/>
      <c r="CO443" s="49"/>
      <c r="CP443" s="49"/>
      <c r="CQ443" s="49"/>
      <c r="CT443" s="54"/>
      <c r="DE443" s="34"/>
    </row>
    <row r="444" spans="1:109" ht="14.5" x14ac:dyDescent="0.35">
      <c r="A444" s="1"/>
      <c r="B444" s="1"/>
      <c r="C444"/>
      <c r="D444"/>
      <c r="E444" s="38"/>
      <c r="F444" s="38"/>
      <c r="G444" s="38"/>
      <c r="H444" s="38"/>
      <c r="I444" s="38"/>
      <c r="J444" s="33"/>
      <c r="K444" s="46"/>
      <c r="O444" s="54"/>
      <c r="P444" s="54"/>
      <c r="Q444" s="54"/>
      <c r="R444" s="54"/>
      <c r="S444" s="47"/>
      <c r="T444" s="48"/>
      <c r="U444" s="48"/>
      <c r="V444" s="48"/>
      <c r="W444" s="48"/>
      <c r="X444" s="49"/>
      <c r="Y444" s="49"/>
      <c r="Z444" s="49"/>
      <c r="AA444" s="49"/>
      <c r="AB444" s="49"/>
      <c r="AC444" s="49"/>
      <c r="AD444" s="49"/>
      <c r="AE444" s="49"/>
      <c r="AF444" s="49"/>
      <c r="AG444" s="49"/>
      <c r="AH444" s="49"/>
      <c r="AI444" s="49"/>
      <c r="AJ444" s="49"/>
      <c r="AK444" s="49"/>
      <c r="AL444" s="49"/>
      <c r="AM444" s="49"/>
      <c r="AN444" s="49"/>
      <c r="AO444" s="49"/>
      <c r="AP444" s="49"/>
      <c r="AQ444" s="49"/>
      <c r="AR444" s="49"/>
      <c r="AS444" s="49"/>
      <c r="AT444" s="49"/>
      <c r="AU444" s="49"/>
      <c r="AV444" s="49"/>
      <c r="AW444" s="49"/>
      <c r="AX444" s="49"/>
      <c r="AY444" s="49"/>
      <c r="AZ444" s="49"/>
      <c r="BA444" s="49"/>
      <c r="BB444" s="49"/>
      <c r="BC444" s="49"/>
      <c r="BD444" s="49"/>
      <c r="BE444" s="49"/>
      <c r="BF444" s="49"/>
      <c r="BG444" s="49"/>
      <c r="BH444" s="49"/>
      <c r="BI444" s="49"/>
      <c r="BJ444" s="49"/>
      <c r="BK444" s="49"/>
      <c r="BL444" s="49"/>
      <c r="BM444" s="49"/>
      <c r="BN444" s="49"/>
      <c r="BO444" s="49"/>
      <c r="BP444" s="49"/>
      <c r="BQ444" s="49"/>
      <c r="BR444" s="49"/>
      <c r="BS444" s="49"/>
      <c r="BT444" s="49"/>
      <c r="BU444" s="49"/>
      <c r="BV444" s="49"/>
      <c r="BW444" s="49"/>
      <c r="BX444" s="49"/>
      <c r="BY444" s="49"/>
      <c r="BZ444" s="49"/>
      <c r="CA444" s="49"/>
      <c r="CB444" s="49"/>
      <c r="CC444" s="49"/>
      <c r="CD444" s="49"/>
      <c r="CE444" s="49"/>
      <c r="CF444" s="49"/>
      <c r="CG444" s="49"/>
      <c r="CH444" s="49"/>
      <c r="CI444" s="49"/>
      <c r="CJ444" s="49"/>
      <c r="CK444" s="49"/>
      <c r="CL444" s="49"/>
      <c r="CM444" s="49"/>
      <c r="CN444" s="49"/>
      <c r="CO444" s="49"/>
      <c r="CP444" s="49"/>
      <c r="CQ444" s="49"/>
      <c r="CT444" s="54"/>
      <c r="DE444" s="34"/>
    </row>
    <row r="445" spans="1:109" ht="14.5" x14ac:dyDescent="0.35">
      <c r="A445" s="1"/>
      <c r="B445" s="1"/>
      <c r="C445"/>
      <c r="D445"/>
      <c r="E445" s="38"/>
      <c r="F445" s="38"/>
      <c r="G445" s="38"/>
      <c r="H445" s="38"/>
      <c r="I445" s="38"/>
      <c r="J445" s="33"/>
      <c r="K445" s="46"/>
      <c r="O445" s="54"/>
      <c r="P445" s="54"/>
      <c r="Q445" s="54"/>
      <c r="R445" s="54"/>
      <c r="S445" s="47"/>
      <c r="T445" s="48"/>
      <c r="U445" s="48"/>
      <c r="V445" s="48"/>
      <c r="W445" s="48"/>
      <c r="X445" s="49"/>
      <c r="Y445" s="49"/>
      <c r="Z445" s="49"/>
      <c r="AA445" s="49"/>
      <c r="AB445" s="49"/>
      <c r="AC445" s="49"/>
      <c r="AD445" s="49"/>
      <c r="AE445" s="49"/>
      <c r="AF445" s="49"/>
      <c r="AG445" s="49"/>
      <c r="AH445" s="49"/>
      <c r="AI445" s="49"/>
      <c r="AJ445" s="49"/>
      <c r="AK445" s="49"/>
      <c r="AL445" s="49"/>
      <c r="AM445" s="49"/>
      <c r="AN445" s="49"/>
      <c r="AO445" s="49"/>
      <c r="AP445" s="49"/>
      <c r="AQ445" s="49"/>
      <c r="AR445" s="49"/>
      <c r="AS445" s="49"/>
      <c r="AT445" s="49"/>
      <c r="AU445" s="49"/>
      <c r="AV445" s="49"/>
      <c r="AW445" s="49"/>
      <c r="AX445" s="49"/>
      <c r="AY445" s="49"/>
      <c r="AZ445" s="49"/>
      <c r="BA445" s="49"/>
      <c r="BB445" s="49"/>
      <c r="BC445" s="49"/>
      <c r="BD445" s="49"/>
      <c r="BE445" s="49"/>
      <c r="BF445" s="49"/>
      <c r="BG445" s="49"/>
      <c r="BH445" s="49"/>
      <c r="BI445" s="49"/>
      <c r="BJ445" s="49"/>
      <c r="BK445" s="49"/>
      <c r="BL445" s="49"/>
      <c r="BM445" s="49"/>
      <c r="BN445" s="49"/>
      <c r="BO445" s="49"/>
      <c r="BP445" s="49"/>
      <c r="BQ445" s="49"/>
      <c r="BR445" s="49"/>
      <c r="BS445" s="49"/>
      <c r="BT445" s="49"/>
      <c r="BU445" s="49"/>
      <c r="BV445" s="49"/>
      <c r="BW445" s="49"/>
      <c r="BX445" s="49"/>
      <c r="BY445" s="49"/>
      <c r="BZ445" s="49"/>
      <c r="CA445" s="49"/>
      <c r="CB445" s="49"/>
      <c r="CC445" s="49"/>
      <c r="CD445" s="49"/>
      <c r="CE445" s="49"/>
      <c r="CF445" s="49"/>
      <c r="CG445" s="49"/>
      <c r="CH445" s="49"/>
      <c r="CI445" s="49"/>
      <c r="CJ445" s="49"/>
      <c r="CK445" s="49"/>
      <c r="CL445" s="49"/>
      <c r="CM445" s="49"/>
      <c r="CN445" s="49"/>
      <c r="CO445" s="49"/>
      <c r="CP445" s="49"/>
      <c r="CQ445" s="49"/>
      <c r="CT445" s="54"/>
      <c r="DE445" s="34"/>
    </row>
    <row r="446" spans="1:109" ht="14.5" x14ac:dyDescent="0.35">
      <c r="A446" s="1"/>
      <c r="B446" s="1"/>
      <c r="C446"/>
      <c r="D446"/>
      <c r="E446" s="38"/>
      <c r="F446" s="38"/>
      <c r="G446" s="38"/>
      <c r="H446" s="38"/>
      <c r="I446" s="38"/>
      <c r="J446" s="33"/>
      <c r="K446" s="46"/>
      <c r="O446" s="54"/>
      <c r="P446" s="54"/>
      <c r="Q446" s="54"/>
      <c r="R446" s="54"/>
      <c r="S446" s="47"/>
      <c r="T446" s="48"/>
      <c r="U446" s="48"/>
      <c r="V446" s="48"/>
      <c r="W446" s="48"/>
      <c r="X446" s="49"/>
      <c r="Y446" s="49"/>
      <c r="Z446" s="49"/>
      <c r="AA446" s="49"/>
      <c r="AB446" s="49"/>
      <c r="AC446" s="49"/>
      <c r="AD446" s="49"/>
      <c r="AE446" s="49"/>
      <c r="AF446" s="49"/>
      <c r="AG446" s="49"/>
      <c r="AH446" s="49"/>
      <c r="AI446" s="49"/>
      <c r="AJ446" s="49"/>
      <c r="AK446" s="49"/>
      <c r="AL446" s="49"/>
      <c r="AM446" s="49"/>
      <c r="AN446" s="49"/>
      <c r="AO446" s="49"/>
      <c r="AP446" s="49"/>
      <c r="AQ446" s="49"/>
      <c r="AR446" s="49"/>
      <c r="AS446" s="49"/>
      <c r="AT446" s="49"/>
      <c r="AU446" s="49"/>
      <c r="AV446" s="49"/>
      <c r="AW446" s="49"/>
      <c r="AX446" s="49"/>
      <c r="AY446" s="49"/>
      <c r="AZ446" s="49"/>
      <c r="BA446" s="49"/>
      <c r="BB446" s="49"/>
      <c r="BC446" s="49"/>
      <c r="BD446" s="49"/>
      <c r="BE446" s="49"/>
      <c r="BF446" s="49"/>
      <c r="BG446" s="49"/>
      <c r="BH446" s="49"/>
      <c r="BI446" s="49"/>
      <c r="BJ446" s="49"/>
      <c r="BK446" s="49"/>
      <c r="BL446" s="49"/>
      <c r="BM446" s="49"/>
      <c r="BN446" s="49"/>
      <c r="BO446" s="49"/>
      <c r="BP446" s="49"/>
      <c r="BQ446" s="49"/>
      <c r="BR446" s="49"/>
      <c r="BS446" s="49"/>
      <c r="BT446" s="49"/>
      <c r="BU446" s="49"/>
      <c r="BV446" s="49"/>
      <c r="BW446" s="49"/>
      <c r="BX446" s="49"/>
      <c r="BY446" s="49"/>
      <c r="BZ446" s="49"/>
      <c r="CA446" s="49"/>
      <c r="CB446" s="49"/>
      <c r="CC446" s="49"/>
      <c r="CD446" s="49"/>
      <c r="CE446" s="49"/>
      <c r="CF446" s="49"/>
      <c r="CG446" s="49"/>
      <c r="CH446" s="49"/>
      <c r="CI446" s="49"/>
      <c r="CJ446" s="49"/>
      <c r="CK446" s="49"/>
      <c r="CL446" s="49"/>
      <c r="CM446" s="49"/>
      <c r="CN446" s="49"/>
      <c r="CO446" s="49"/>
      <c r="CP446" s="49"/>
      <c r="CQ446" s="49"/>
      <c r="CT446" s="54"/>
      <c r="DE446" s="34"/>
    </row>
    <row r="447" spans="1:109" ht="14.5" x14ac:dyDescent="0.35">
      <c r="A447" s="1"/>
      <c r="B447" s="1"/>
      <c r="C447"/>
      <c r="D447"/>
      <c r="E447" s="38"/>
      <c r="F447" s="38"/>
      <c r="G447" s="38"/>
      <c r="H447" s="38"/>
      <c r="I447" s="38"/>
      <c r="J447" s="33"/>
      <c r="K447" s="46"/>
      <c r="O447" s="54"/>
      <c r="P447" s="54"/>
      <c r="Q447" s="54"/>
      <c r="R447" s="54"/>
      <c r="S447" s="47"/>
      <c r="T447" s="48"/>
      <c r="U447" s="48"/>
      <c r="V447" s="48"/>
      <c r="W447" s="48"/>
      <c r="X447" s="49"/>
      <c r="Y447" s="49"/>
      <c r="Z447" s="49"/>
      <c r="AA447" s="49"/>
      <c r="AB447" s="49"/>
      <c r="AC447" s="49"/>
      <c r="AD447" s="49"/>
      <c r="AE447" s="49"/>
      <c r="AF447" s="49"/>
      <c r="AG447" s="49"/>
      <c r="AH447" s="49"/>
      <c r="AI447" s="49"/>
      <c r="AJ447" s="49"/>
      <c r="AK447" s="49"/>
      <c r="AL447" s="49"/>
      <c r="AM447" s="49"/>
      <c r="AN447" s="49"/>
      <c r="AO447" s="49"/>
      <c r="AP447" s="49"/>
      <c r="AQ447" s="49"/>
      <c r="AR447" s="49"/>
      <c r="AS447" s="49"/>
      <c r="AT447" s="49"/>
      <c r="AU447" s="49"/>
      <c r="AV447" s="49"/>
      <c r="AW447" s="49"/>
      <c r="AX447" s="49"/>
      <c r="AY447" s="49"/>
      <c r="AZ447" s="49"/>
      <c r="BA447" s="49"/>
      <c r="BB447" s="49"/>
      <c r="BC447" s="49"/>
      <c r="BD447" s="49"/>
      <c r="BE447" s="49"/>
      <c r="BF447" s="49"/>
      <c r="BG447" s="49"/>
      <c r="BH447" s="49"/>
      <c r="BI447" s="49"/>
      <c r="BJ447" s="49"/>
      <c r="BK447" s="49"/>
      <c r="BL447" s="49"/>
      <c r="BM447" s="49"/>
      <c r="BN447" s="49"/>
      <c r="BO447" s="49"/>
      <c r="BP447" s="49"/>
      <c r="BQ447" s="49"/>
      <c r="BR447" s="49"/>
      <c r="BS447" s="49"/>
      <c r="BT447" s="49"/>
      <c r="BU447" s="49"/>
      <c r="BV447" s="49"/>
      <c r="BW447" s="49"/>
      <c r="BX447" s="49"/>
      <c r="BY447" s="49"/>
      <c r="BZ447" s="49"/>
      <c r="CA447" s="49"/>
      <c r="CB447" s="49"/>
      <c r="CC447" s="49"/>
      <c r="CD447" s="49"/>
      <c r="CE447" s="49"/>
      <c r="CF447" s="49"/>
      <c r="CG447" s="49"/>
      <c r="CH447" s="49"/>
      <c r="CI447" s="49"/>
      <c r="CJ447" s="49"/>
      <c r="CK447" s="49"/>
      <c r="CL447" s="49"/>
      <c r="CM447" s="49"/>
      <c r="CN447" s="49"/>
      <c r="CO447" s="49"/>
      <c r="CP447" s="49"/>
      <c r="CQ447" s="49"/>
      <c r="CT447" s="54"/>
      <c r="DE447" s="34"/>
    </row>
    <row r="448" spans="1:109" ht="14.5" x14ac:dyDescent="0.35">
      <c r="A448" s="1"/>
      <c r="B448" s="1"/>
      <c r="C448"/>
      <c r="D448"/>
      <c r="E448" s="38"/>
      <c r="F448" s="38"/>
      <c r="G448" s="38"/>
      <c r="H448" s="38"/>
      <c r="I448" s="38"/>
      <c r="J448" s="33"/>
      <c r="K448" s="46"/>
      <c r="O448" s="54"/>
      <c r="P448" s="54"/>
      <c r="Q448" s="54"/>
      <c r="R448" s="54"/>
      <c r="S448" s="47"/>
      <c r="T448" s="48"/>
      <c r="U448" s="48"/>
      <c r="V448" s="48"/>
      <c r="W448" s="48"/>
      <c r="X448" s="49"/>
      <c r="Y448" s="49"/>
      <c r="Z448" s="49"/>
      <c r="AA448" s="49"/>
      <c r="AB448" s="49"/>
      <c r="AC448" s="49"/>
      <c r="AD448" s="49"/>
      <c r="AE448" s="49"/>
      <c r="AF448" s="49"/>
      <c r="AG448" s="49"/>
      <c r="AH448" s="49"/>
      <c r="AI448" s="49"/>
      <c r="AJ448" s="49"/>
      <c r="AK448" s="49"/>
      <c r="AL448" s="49"/>
      <c r="AM448" s="49"/>
      <c r="AN448" s="49"/>
      <c r="AO448" s="49"/>
      <c r="AP448" s="49"/>
      <c r="AQ448" s="49"/>
      <c r="AR448" s="49"/>
      <c r="AS448" s="49"/>
      <c r="AT448" s="49"/>
      <c r="AU448" s="49"/>
      <c r="AV448" s="49"/>
      <c r="AW448" s="49"/>
      <c r="AX448" s="49"/>
      <c r="AY448" s="49"/>
      <c r="AZ448" s="49"/>
      <c r="BA448" s="49"/>
      <c r="BB448" s="49"/>
      <c r="BC448" s="49"/>
      <c r="BD448" s="49"/>
      <c r="BE448" s="49"/>
      <c r="BF448" s="49"/>
      <c r="BG448" s="49"/>
      <c r="BH448" s="49"/>
      <c r="BI448" s="49"/>
      <c r="BJ448" s="49"/>
      <c r="BK448" s="49"/>
      <c r="BL448" s="49"/>
      <c r="BM448" s="49"/>
      <c r="BN448" s="49"/>
      <c r="BO448" s="49"/>
      <c r="BP448" s="49"/>
      <c r="BQ448" s="49"/>
      <c r="BR448" s="49"/>
      <c r="BS448" s="49"/>
      <c r="BT448" s="49"/>
      <c r="BU448" s="49"/>
      <c r="BV448" s="49"/>
      <c r="BW448" s="49"/>
      <c r="BX448" s="49"/>
      <c r="BY448" s="49"/>
      <c r="BZ448" s="49"/>
      <c r="CA448" s="49"/>
      <c r="CB448" s="49"/>
      <c r="CC448" s="49"/>
      <c r="CD448" s="49"/>
      <c r="CE448" s="49"/>
      <c r="CF448" s="49"/>
      <c r="CG448" s="49"/>
      <c r="CH448" s="49"/>
      <c r="CI448" s="49"/>
      <c r="CJ448" s="49"/>
      <c r="CK448" s="49"/>
      <c r="CL448" s="49"/>
      <c r="CM448" s="49"/>
      <c r="CN448" s="49"/>
      <c r="CO448" s="49"/>
      <c r="CP448" s="49"/>
      <c r="CQ448" s="49"/>
      <c r="CT448" s="54"/>
      <c r="DE448" s="34"/>
    </row>
    <row r="449" spans="1:109" ht="14.5" x14ac:dyDescent="0.35">
      <c r="A449" s="1"/>
      <c r="B449" s="1"/>
      <c r="C449"/>
      <c r="D449"/>
      <c r="E449" s="38"/>
      <c r="F449" s="38"/>
      <c r="G449" s="38"/>
      <c r="H449" s="38"/>
      <c r="I449" s="38"/>
      <c r="J449" s="33"/>
      <c r="K449" s="46"/>
      <c r="O449" s="54"/>
      <c r="P449" s="54"/>
      <c r="Q449" s="54"/>
      <c r="R449" s="54"/>
      <c r="S449" s="47"/>
      <c r="T449" s="48"/>
      <c r="U449" s="48"/>
      <c r="V449" s="48"/>
      <c r="W449" s="48"/>
      <c r="X449" s="49"/>
      <c r="Y449" s="49"/>
      <c r="Z449" s="49"/>
      <c r="AA449" s="49"/>
      <c r="AB449" s="49"/>
      <c r="AC449" s="49"/>
      <c r="AD449" s="49"/>
      <c r="AE449" s="49"/>
      <c r="AF449" s="49"/>
      <c r="AG449" s="49"/>
      <c r="AH449" s="49"/>
      <c r="AI449" s="49"/>
      <c r="AJ449" s="49"/>
      <c r="AK449" s="49"/>
      <c r="AL449" s="49"/>
      <c r="AM449" s="49"/>
      <c r="AN449" s="49"/>
      <c r="AO449" s="49"/>
      <c r="AP449" s="49"/>
      <c r="AQ449" s="49"/>
      <c r="AR449" s="49"/>
      <c r="AS449" s="49"/>
      <c r="AT449" s="49"/>
      <c r="AU449" s="49"/>
      <c r="AV449" s="49"/>
      <c r="AW449" s="49"/>
      <c r="AX449" s="49"/>
      <c r="AY449" s="49"/>
      <c r="AZ449" s="49"/>
      <c r="BA449" s="49"/>
      <c r="BB449" s="49"/>
      <c r="BC449" s="49"/>
      <c r="BD449" s="49"/>
      <c r="BE449" s="49"/>
      <c r="BF449" s="49"/>
      <c r="BG449" s="49"/>
      <c r="BH449" s="49"/>
      <c r="BI449" s="49"/>
      <c r="BJ449" s="49"/>
      <c r="BK449" s="49"/>
      <c r="BL449" s="49"/>
      <c r="BM449" s="49"/>
      <c r="BN449" s="49"/>
      <c r="BO449" s="49"/>
      <c r="BP449" s="49"/>
      <c r="BQ449" s="49"/>
      <c r="BR449" s="49"/>
      <c r="BS449" s="49"/>
      <c r="BT449" s="49"/>
      <c r="BU449" s="49"/>
      <c r="BV449" s="49"/>
      <c r="BW449" s="49"/>
      <c r="BX449" s="49"/>
      <c r="BY449" s="49"/>
      <c r="BZ449" s="49"/>
      <c r="CA449" s="49"/>
      <c r="CB449" s="49"/>
      <c r="CC449" s="49"/>
      <c r="CD449" s="49"/>
      <c r="CE449" s="49"/>
      <c r="CF449" s="49"/>
      <c r="CG449" s="49"/>
      <c r="CH449" s="49"/>
      <c r="CI449" s="49"/>
      <c r="CJ449" s="49"/>
      <c r="CK449" s="49"/>
      <c r="CL449" s="49"/>
      <c r="CM449" s="49"/>
      <c r="CN449" s="49"/>
      <c r="CO449" s="49"/>
      <c r="CP449" s="49"/>
      <c r="CQ449" s="49"/>
      <c r="CT449" s="54"/>
      <c r="DE449" s="34"/>
    </row>
    <row r="450" spans="1:109" ht="14.5" x14ac:dyDescent="0.35">
      <c r="A450" s="1"/>
      <c r="B450" s="1"/>
      <c r="C450"/>
      <c r="D450"/>
      <c r="E450" s="38"/>
      <c r="F450" s="38"/>
      <c r="G450" s="38"/>
      <c r="H450" s="38"/>
      <c r="I450" s="38"/>
      <c r="J450" s="33"/>
      <c r="K450" s="46"/>
      <c r="O450" s="54"/>
      <c r="P450" s="54"/>
      <c r="Q450" s="54"/>
      <c r="R450" s="54"/>
      <c r="S450" s="47"/>
      <c r="T450" s="48"/>
      <c r="U450" s="48"/>
      <c r="V450" s="48"/>
      <c r="W450" s="48"/>
      <c r="X450" s="49"/>
      <c r="Y450" s="49"/>
      <c r="Z450" s="49"/>
      <c r="AA450" s="49"/>
      <c r="AB450" s="49"/>
      <c r="AC450" s="49"/>
      <c r="AD450" s="49"/>
      <c r="AE450" s="49"/>
      <c r="AF450" s="49"/>
      <c r="AG450" s="49"/>
      <c r="AH450" s="49"/>
      <c r="AI450" s="49"/>
      <c r="AJ450" s="49"/>
      <c r="AK450" s="49"/>
      <c r="AL450" s="49"/>
      <c r="AM450" s="49"/>
      <c r="AN450" s="49"/>
      <c r="AO450" s="49"/>
      <c r="AP450" s="49"/>
      <c r="AQ450" s="49"/>
      <c r="AR450" s="49"/>
      <c r="AS450" s="49"/>
      <c r="AT450" s="49"/>
      <c r="AU450" s="49"/>
      <c r="AV450" s="49"/>
      <c r="AW450" s="49"/>
      <c r="AX450" s="49"/>
      <c r="AY450" s="49"/>
      <c r="AZ450" s="49"/>
      <c r="BA450" s="49"/>
      <c r="BB450" s="49"/>
      <c r="BC450" s="49"/>
      <c r="BD450" s="49"/>
      <c r="BE450" s="49"/>
      <c r="BF450" s="49"/>
      <c r="BG450" s="49"/>
      <c r="BH450" s="49"/>
      <c r="BI450" s="49"/>
      <c r="BJ450" s="49"/>
      <c r="BK450" s="49"/>
      <c r="BL450" s="49"/>
      <c r="BM450" s="49"/>
      <c r="BN450" s="49"/>
      <c r="BO450" s="49"/>
      <c r="BP450" s="49"/>
      <c r="BQ450" s="49"/>
      <c r="BR450" s="49"/>
      <c r="BS450" s="49"/>
      <c r="BT450" s="49"/>
      <c r="BU450" s="49"/>
      <c r="BV450" s="49"/>
      <c r="BW450" s="49"/>
      <c r="BX450" s="49"/>
      <c r="BY450" s="49"/>
      <c r="BZ450" s="49"/>
      <c r="CA450" s="49"/>
      <c r="CB450" s="49"/>
      <c r="CC450" s="49"/>
      <c r="CD450" s="49"/>
      <c r="CE450" s="49"/>
      <c r="CF450" s="49"/>
      <c r="CG450" s="49"/>
      <c r="CH450" s="49"/>
      <c r="CI450" s="49"/>
      <c r="CJ450" s="49"/>
      <c r="CK450" s="49"/>
      <c r="CL450" s="49"/>
      <c r="CM450" s="49"/>
      <c r="CN450" s="49"/>
      <c r="CO450" s="49"/>
      <c r="CP450" s="49"/>
      <c r="CQ450" s="49"/>
      <c r="CT450" s="54"/>
      <c r="DE450" s="34"/>
    </row>
    <row r="451" spans="1:109" ht="14.5" x14ac:dyDescent="0.35">
      <c r="A451" s="1"/>
      <c r="B451" s="1"/>
      <c r="C451"/>
      <c r="D451"/>
      <c r="E451" s="38"/>
      <c r="F451" s="38"/>
      <c r="G451" s="38"/>
      <c r="H451" s="38"/>
      <c r="I451" s="38"/>
      <c r="J451" s="33"/>
      <c r="K451" s="46"/>
      <c r="O451" s="54"/>
      <c r="P451" s="54"/>
      <c r="Q451" s="54"/>
      <c r="R451" s="54"/>
      <c r="S451" s="47"/>
      <c r="T451" s="48"/>
      <c r="U451" s="48"/>
      <c r="V451" s="48"/>
      <c r="W451" s="48"/>
      <c r="X451" s="49"/>
      <c r="Y451" s="49"/>
      <c r="Z451" s="49"/>
      <c r="AA451" s="49"/>
      <c r="AB451" s="49"/>
      <c r="AC451" s="49"/>
      <c r="AD451" s="49"/>
      <c r="AE451" s="49"/>
      <c r="AF451" s="49"/>
      <c r="AG451" s="49"/>
      <c r="AH451" s="49"/>
      <c r="AI451" s="49"/>
      <c r="AJ451" s="49"/>
      <c r="AK451" s="49"/>
      <c r="AL451" s="49"/>
      <c r="AM451" s="49"/>
      <c r="AN451" s="49"/>
      <c r="AO451" s="49"/>
      <c r="AP451" s="49"/>
      <c r="AQ451" s="49"/>
      <c r="AR451" s="49"/>
      <c r="AS451" s="49"/>
      <c r="AT451" s="49"/>
      <c r="AU451" s="49"/>
      <c r="AV451" s="49"/>
      <c r="AW451" s="49"/>
      <c r="AX451" s="49"/>
      <c r="AY451" s="49"/>
      <c r="AZ451" s="49"/>
      <c r="BA451" s="49"/>
      <c r="BB451" s="49"/>
      <c r="BC451" s="49"/>
      <c r="BD451" s="49"/>
      <c r="BE451" s="49"/>
      <c r="BF451" s="49"/>
      <c r="BG451" s="49"/>
      <c r="BH451" s="49"/>
      <c r="BI451" s="49"/>
      <c r="BJ451" s="49"/>
      <c r="BK451" s="49"/>
      <c r="BL451" s="49"/>
      <c r="BM451" s="49"/>
      <c r="BN451" s="49"/>
      <c r="BO451" s="49"/>
      <c r="BP451" s="49"/>
      <c r="BQ451" s="49"/>
      <c r="BR451" s="49"/>
      <c r="BS451" s="49"/>
      <c r="BT451" s="49"/>
      <c r="BU451" s="49"/>
      <c r="BV451" s="49"/>
      <c r="BW451" s="49"/>
      <c r="BX451" s="49"/>
      <c r="BY451" s="49"/>
      <c r="BZ451" s="49"/>
      <c r="CA451" s="49"/>
      <c r="CB451" s="49"/>
      <c r="CC451" s="49"/>
      <c r="CD451" s="49"/>
      <c r="CE451" s="49"/>
      <c r="CF451" s="49"/>
      <c r="CG451" s="49"/>
      <c r="CH451" s="49"/>
      <c r="CI451" s="49"/>
      <c r="CJ451" s="49"/>
      <c r="CK451" s="49"/>
      <c r="CL451" s="49"/>
      <c r="CM451" s="49"/>
      <c r="CN451" s="49"/>
      <c r="CO451" s="49"/>
      <c r="CP451" s="49"/>
      <c r="CQ451" s="49"/>
      <c r="CT451" s="54"/>
      <c r="DE451" s="34"/>
    </row>
    <row r="452" spans="1:109" ht="14.5" x14ac:dyDescent="0.35">
      <c r="A452" s="1"/>
      <c r="B452" s="1"/>
      <c r="C452"/>
      <c r="D452"/>
      <c r="E452" s="38"/>
      <c r="F452" s="38"/>
      <c r="G452" s="38"/>
      <c r="H452" s="38"/>
      <c r="I452" s="38"/>
      <c r="J452" s="33"/>
      <c r="K452" s="46"/>
      <c r="O452" s="54"/>
      <c r="P452" s="54"/>
      <c r="Q452" s="54"/>
      <c r="R452" s="54"/>
      <c r="S452" s="47"/>
      <c r="T452" s="48"/>
      <c r="U452" s="48"/>
      <c r="V452" s="48"/>
      <c r="W452" s="48"/>
      <c r="X452" s="49"/>
      <c r="Y452" s="49"/>
      <c r="Z452" s="49"/>
      <c r="AA452" s="49"/>
      <c r="AB452" s="49"/>
      <c r="AC452" s="49"/>
      <c r="AD452" s="49"/>
      <c r="AE452" s="49"/>
      <c r="AF452" s="49"/>
      <c r="AG452" s="49"/>
      <c r="AH452" s="49"/>
      <c r="AI452" s="49"/>
      <c r="AJ452" s="49"/>
      <c r="AK452" s="49"/>
      <c r="AL452" s="49"/>
      <c r="AM452" s="49"/>
      <c r="AN452" s="49"/>
      <c r="AO452" s="49"/>
      <c r="AP452" s="49"/>
      <c r="AQ452" s="49"/>
      <c r="AR452" s="49"/>
      <c r="AS452" s="49"/>
      <c r="AT452" s="49"/>
      <c r="AU452" s="49"/>
      <c r="AV452" s="49"/>
      <c r="AW452" s="49"/>
      <c r="AX452" s="49"/>
      <c r="AY452" s="49"/>
      <c r="AZ452" s="49"/>
      <c r="BA452" s="49"/>
      <c r="BB452" s="49"/>
      <c r="BC452" s="49"/>
      <c r="BD452" s="49"/>
      <c r="BE452" s="49"/>
      <c r="BF452" s="49"/>
      <c r="BG452" s="49"/>
      <c r="BH452" s="49"/>
      <c r="BI452" s="49"/>
      <c r="BJ452" s="49"/>
      <c r="BK452" s="49"/>
      <c r="BL452" s="49"/>
      <c r="BM452" s="49"/>
      <c r="BN452" s="49"/>
      <c r="BO452" s="49"/>
      <c r="BP452" s="49"/>
      <c r="BQ452" s="49"/>
      <c r="BR452" s="49"/>
      <c r="BS452" s="49"/>
      <c r="BT452" s="49"/>
      <c r="BU452" s="49"/>
      <c r="BV452" s="49"/>
      <c r="BW452" s="49"/>
      <c r="BX452" s="49"/>
      <c r="BY452" s="49"/>
      <c r="BZ452" s="49"/>
      <c r="CA452" s="49"/>
      <c r="CB452" s="49"/>
      <c r="CC452" s="49"/>
      <c r="CD452" s="49"/>
      <c r="CE452" s="49"/>
      <c r="CF452" s="49"/>
      <c r="CG452" s="49"/>
      <c r="CH452" s="49"/>
      <c r="CI452" s="49"/>
      <c r="CJ452" s="49"/>
      <c r="CK452" s="49"/>
      <c r="CL452" s="49"/>
      <c r="CM452" s="49"/>
      <c r="CN452" s="49"/>
      <c r="CO452" s="49"/>
      <c r="CP452" s="49"/>
      <c r="CQ452" s="49"/>
      <c r="CT452" s="54"/>
      <c r="DE452" s="34"/>
    </row>
    <row r="453" spans="1:109" ht="14.5" x14ac:dyDescent="0.35">
      <c r="A453" s="1"/>
      <c r="B453" s="1"/>
      <c r="C453"/>
      <c r="D453"/>
      <c r="E453" s="38"/>
      <c r="F453" s="38"/>
      <c r="G453" s="38"/>
      <c r="H453" s="38"/>
      <c r="I453" s="38"/>
      <c r="J453" s="33"/>
      <c r="K453" s="46"/>
      <c r="O453" s="54"/>
      <c r="P453" s="54"/>
      <c r="Q453" s="54"/>
      <c r="R453" s="54"/>
      <c r="S453" s="47"/>
      <c r="T453" s="48"/>
      <c r="U453" s="48"/>
      <c r="V453" s="48"/>
      <c r="W453" s="48"/>
      <c r="X453" s="49"/>
      <c r="Y453" s="49"/>
      <c r="Z453" s="49"/>
      <c r="AA453" s="49"/>
      <c r="AB453" s="49"/>
      <c r="AC453" s="49"/>
      <c r="AD453" s="49"/>
      <c r="AE453" s="49"/>
      <c r="AF453" s="49"/>
      <c r="AG453" s="49"/>
      <c r="AH453" s="49"/>
      <c r="AI453" s="49"/>
      <c r="AJ453" s="49"/>
      <c r="AK453" s="49"/>
      <c r="AL453" s="49"/>
      <c r="AM453" s="49"/>
      <c r="AN453" s="49"/>
      <c r="AO453" s="49"/>
      <c r="AP453" s="49"/>
      <c r="AQ453" s="49"/>
      <c r="AR453" s="49"/>
      <c r="AS453" s="49"/>
      <c r="AT453" s="49"/>
      <c r="AU453" s="49"/>
      <c r="AV453" s="49"/>
      <c r="AW453" s="49"/>
      <c r="AX453" s="49"/>
      <c r="AY453" s="49"/>
      <c r="AZ453" s="49"/>
      <c r="BA453" s="49"/>
      <c r="BB453" s="49"/>
      <c r="BC453" s="49"/>
      <c r="BD453" s="49"/>
      <c r="BE453" s="49"/>
      <c r="BF453" s="49"/>
      <c r="BG453" s="49"/>
      <c r="BH453" s="49"/>
      <c r="BI453" s="49"/>
      <c r="BJ453" s="49"/>
      <c r="BK453" s="49"/>
      <c r="BL453" s="49"/>
      <c r="BM453" s="49"/>
      <c r="BN453" s="49"/>
      <c r="BO453" s="49"/>
      <c r="BP453" s="49"/>
      <c r="BQ453" s="49"/>
      <c r="BR453" s="49"/>
      <c r="BS453" s="49"/>
      <c r="BT453" s="49"/>
      <c r="BU453" s="49"/>
      <c r="BV453" s="49"/>
      <c r="BW453" s="49"/>
      <c r="BX453" s="49"/>
      <c r="BY453" s="49"/>
      <c r="BZ453" s="49"/>
      <c r="CA453" s="49"/>
      <c r="CB453" s="49"/>
      <c r="CC453" s="49"/>
      <c r="CD453" s="49"/>
      <c r="CE453" s="49"/>
      <c r="CF453" s="49"/>
      <c r="CG453" s="49"/>
      <c r="CH453" s="49"/>
      <c r="CI453" s="49"/>
      <c r="CJ453" s="49"/>
      <c r="CK453" s="49"/>
      <c r="CL453" s="49"/>
      <c r="CM453" s="49"/>
      <c r="CN453" s="49"/>
      <c r="CO453" s="49"/>
      <c r="CP453" s="49"/>
      <c r="CQ453" s="49"/>
      <c r="CT453" s="54"/>
      <c r="DE453" s="34"/>
    </row>
    <row r="454" spans="1:109" ht="14.5" x14ac:dyDescent="0.35">
      <c r="A454" s="1"/>
      <c r="B454" s="1"/>
      <c r="C454"/>
      <c r="D454"/>
      <c r="E454" s="38"/>
      <c r="F454" s="38"/>
      <c r="G454" s="38"/>
      <c r="H454" s="38"/>
      <c r="I454" s="38"/>
      <c r="J454" s="33"/>
      <c r="K454" s="46"/>
      <c r="O454" s="54"/>
      <c r="P454" s="54"/>
      <c r="Q454" s="54"/>
      <c r="R454" s="54"/>
      <c r="S454" s="47"/>
      <c r="T454" s="48"/>
      <c r="U454" s="48"/>
      <c r="V454" s="48"/>
      <c r="W454" s="48"/>
      <c r="X454" s="49"/>
      <c r="Y454" s="49"/>
      <c r="Z454" s="49"/>
      <c r="AA454" s="49"/>
      <c r="AB454" s="49"/>
      <c r="AC454" s="49"/>
      <c r="AD454" s="49"/>
      <c r="AE454" s="49"/>
      <c r="AF454" s="49"/>
      <c r="AG454" s="49"/>
      <c r="AH454" s="49"/>
      <c r="AI454" s="49"/>
      <c r="AJ454" s="49"/>
      <c r="AK454" s="49"/>
      <c r="AL454" s="49"/>
      <c r="AM454" s="49"/>
      <c r="AN454" s="49"/>
      <c r="AO454" s="49"/>
      <c r="AP454" s="49"/>
      <c r="AQ454" s="49"/>
      <c r="AR454" s="49"/>
      <c r="AS454" s="49"/>
      <c r="AT454" s="49"/>
      <c r="AU454" s="49"/>
      <c r="AV454" s="49"/>
      <c r="AW454" s="49"/>
      <c r="AX454" s="49"/>
      <c r="AY454" s="49"/>
      <c r="AZ454" s="49"/>
      <c r="BA454" s="49"/>
      <c r="BB454" s="49"/>
      <c r="BC454" s="49"/>
      <c r="BD454" s="49"/>
      <c r="BE454" s="49"/>
      <c r="BF454" s="49"/>
      <c r="BG454" s="49"/>
      <c r="BH454" s="49"/>
      <c r="BI454" s="49"/>
      <c r="BJ454" s="49"/>
      <c r="BK454" s="49"/>
      <c r="BL454" s="49"/>
      <c r="BM454" s="49"/>
      <c r="BN454" s="49"/>
      <c r="BO454" s="49"/>
      <c r="BP454" s="49"/>
      <c r="BQ454" s="49"/>
      <c r="BR454" s="49"/>
      <c r="BS454" s="49"/>
      <c r="BT454" s="49"/>
      <c r="BU454" s="49"/>
      <c r="BV454" s="49"/>
      <c r="BW454" s="49"/>
      <c r="BX454" s="49"/>
      <c r="BY454" s="49"/>
      <c r="BZ454" s="49"/>
      <c r="CA454" s="49"/>
      <c r="CB454" s="49"/>
      <c r="CC454" s="49"/>
      <c r="CD454" s="49"/>
      <c r="CE454" s="49"/>
      <c r="CF454" s="49"/>
      <c r="CG454" s="49"/>
      <c r="CH454" s="49"/>
      <c r="CI454" s="49"/>
      <c r="CJ454" s="49"/>
      <c r="CK454" s="49"/>
      <c r="CL454" s="49"/>
      <c r="CM454" s="49"/>
      <c r="CN454" s="49"/>
      <c r="CO454" s="49"/>
      <c r="CP454" s="49"/>
      <c r="CQ454" s="49"/>
      <c r="CT454" s="54"/>
      <c r="DE454" s="34"/>
    </row>
    <row r="455" spans="1:109" ht="14.5" x14ac:dyDescent="0.35">
      <c r="A455" s="1"/>
      <c r="B455" s="1"/>
      <c r="C455"/>
      <c r="D455"/>
      <c r="E455" s="38"/>
      <c r="F455" s="38"/>
      <c r="G455" s="38"/>
      <c r="H455" s="38"/>
      <c r="I455" s="38"/>
      <c r="J455" s="33"/>
      <c r="K455" s="46"/>
      <c r="O455" s="54"/>
      <c r="P455" s="54"/>
      <c r="Q455" s="54"/>
      <c r="R455" s="54"/>
      <c r="S455" s="47"/>
      <c r="T455" s="48"/>
      <c r="U455" s="48"/>
      <c r="V455" s="48"/>
      <c r="W455" s="48"/>
      <c r="X455" s="49"/>
      <c r="Y455" s="49"/>
      <c r="Z455" s="49"/>
      <c r="AA455" s="49"/>
      <c r="AB455" s="49"/>
      <c r="AC455" s="49"/>
      <c r="AD455" s="49"/>
      <c r="AE455" s="49"/>
      <c r="AF455" s="49"/>
      <c r="AG455" s="49"/>
      <c r="AH455" s="49"/>
      <c r="AI455" s="49"/>
      <c r="AJ455" s="49"/>
      <c r="AK455" s="49"/>
      <c r="AL455" s="49"/>
      <c r="AM455" s="49"/>
      <c r="AN455" s="49"/>
      <c r="AO455" s="49"/>
      <c r="AP455" s="49"/>
      <c r="AQ455" s="49"/>
      <c r="AR455" s="49"/>
      <c r="AS455" s="49"/>
      <c r="AT455" s="49"/>
      <c r="AU455" s="49"/>
      <c r="AV455" s="49"/>
      <c r="AW455" s="49"/>
      <c r="AX455" s="49"/>
      <c r="AY455" s="49"/>
      <c r="AZ455" s="49"/>
      <c r="BA455" s="49"/>
      <c r="BB455" s="49"/>
      <c r="BC455" s="49"/>
      <c r="BD455" s="49"/>
      <c r="BE455" s="49"/>
      <c r="BF455" s="49"/>
      <c r="BG455" s="49"/>
      <c r="BH455" s="49"/>
      <c r="BI455" s="49"/>
      <c r="BJ455" s="49"/>
      <c r="BK455" s="49"/>
      <c r="BL455" s="49"/>
      <c r="BM455" s="49"/>
      <c r="BN455" s="49"/>
      <c r="BO455" s="49"/>
      <c r="BP455" s="49"/>
      <c r="BQ455" s="49"/>
      <c r="BR455" s="49"/>
      <c r="BS455" s="49"/>
      <c r="BT455" s="49"/>
      <c r="BU455" s="49"/>
      <c r="BV455" s="49"/>
      <c r="BW455" s="49"/>
      <c r="BX455" s="49"/>
      <c r="BY455" s="49"/>
      <c r="BZ455" s="49"/>
      <c r="CA455" s="49"/>
      <c r="CB455" s="49"/>
      <c r="CC455" s="49"/>
      <c r="CD455" s="49"/>
      <c r="CE455" s="49"/>
      <c r="CF455" s="49"/>
      <c r="CG455" s="49"/>
      <c r="CH455" s="49"/>
      <c r="CI455" s="49"/>
      <c r="CJ455" s="49"/>
      <c r="CK455" s="49"/>
      <c r="CL455" s="49"/>
      <c r="CM455" s="49"/>
      <c r="CN455" s="49"/>
      <c r="CO455" s="49"/>
      <c r="CP455" s="49"/>
      <c r="CQ455" s="49"/>
      <c r="CT455" s="54"/>
      <c r="DE455" s="34"/>
    </row>
    <row r="456" spans="1:109" ht="14.5" x14ac:dyDescent="0.35">
      <c r="A456" s="1"/>
      <c r="B456" s="1"/>
      <c r="C456"/>
      <c r="D456"/>
      <c r="E456" s="38"/>
      <c r="F456" s="38"/>
      <c r="G456" s="38"/>
      <c r="H456" s="38"/>
      <c r="I456" s="38"/>
      <c r="J456" s="33"/>
      <c r="K456" s="46"/>
      <c r="O456" s="54"/>
      <c r="P456" s="54"/>
      <c r="Q456" s="54"/>
      <c r="R456" s="54"/>
      <c r="S456" s="47"/>
      <c r="T456" s="48"/>
      <c r="U456" s="48"/>
      <c r="V456" s="48"/>
      <c r="W456" s="48"/>
      <c r="X456" s="49"/>
      <c r="Y456" s="49"/>
      <c r="Z456" s="49"/>
      <c r="AA456" s="49"/>
      <c r="AB456" s="49"/>
      <c r="AC456" s="49"/>
      <c r="AD456" s="49"/>
      <c r="AE456" s="49"/>
      <c r="AF456" s="49"/>
      <c r="AG456" s="49"/>
      <c r="AH456" s="49"/>
      <c r="AI456" s="49"/>
      <c r="AJ456" s="49"/>
      <c r="AK456" s="49"/>
      <c r="AL456" s="49"/>
      <c r="AM456" s="49"/>
      <c r="AN456" s="49"/>
      <c r="AO456" s="49"/>
      <c r="AP456" s="49"/>
      <c r="AQ456" s="49"/>
      <c r="AR456" s="49"/>
      <c r="AS456" s="49"/>
      <c r="AT456" s="49"/>
      <c r="AU456" s="49"/>
      <c r="AV456" s="49"/>
      <c r="AW456" s="49"/>
      <c r="AX456" s="49"/>
      <c r="AY456" s="49"/>
      <c r="AZ456" s="49"/>
      <c r="BA456" s="49"/>
      <c r="BB456" s="49"/>
      <c r="BC456" s="49"/>
      <c r="BD456" s="49"/>
      <c r="BE456" s="49"/>
      <c r="BF456" s="49"/>
      <c r="BG456" s="49"/>
      <c r="BH456" s="49"/>
      <c r="BI456" s="49"/>
      <c r="BJ456" s="49"/>
      <c r="BK456" s="49"/>
      <c r="BL456" s="49"/>
      <c r="BM456" s="49"/>
      <c r="BN456" s="49"/>
      <c r="BO456" s="49"/>
      <c r="BP456" s="49"/>
      <c r="BQ456" s="49"/>
      <c r="BR456" s="49"/>
      <c r="BS456" s="49"/>
      <c r="BT456" s="49"/>
      <c r="BU456" s="49"/>
      <c r="BV456" s="49"/>
      <c r="BW456" s="49"/>
      <c r="BX456" s="49"/>
      <c r="BY456" s="49"/>
      <c r="BZ456" s="49"/>
      <c r="CA456" s="49"/>
      <c r="CB456" s="49"/>
      <c r="CC456" s="49"/>
      <c r="CD456" s="49"/>
      <c r="CE456" s="49"/>
      <c r="CF456" s="49"/>
      <c r="CG456" s="49"/>
      <c r="CH456" s="49"/>
      <c r="CI456" s="49"/>
      <c r="CJ456" s="49"/>
      <c r="CK456" s="49"/>
      <c r="CL456" s="49"/>
      <c r="CM456" s="49"/>
      <c r="CN456" s="49"/>
      <c r="CO456" s="49"/>
      <c r="CP456" s="49"/>
      <c r="CQ456" s="49"/>
      <c r="CT456" s="54"/>
      <c r="DE456" s="34"/>
    </row>
    <row r="457" spans="1:109" ht="14.5" x14ac:dyDescent="0.35">
      <c r="A457" s="1"/>
      <c r="B457" s="1"/>
      <c r="C457"/>
      <c r="D457"/>
      <c r="E457" s="38"/>
      <c r="F457" s="38"/>
      <c r="G457" s="38"/>
      <c r="H457" s="38"/>
      <c r="I457" s="38"/>
      <c r="J457" s="33"/>
      <c r="K457" s="46"/>
      <c r="O457" s="54"/>
      <c r="P457" s="54"/>
      <c r="Q457" s="54"/>
      <c r="R457" s="54"/>
      <c r="S457" s="47"/>
      <c r="T457" s="48"/>
      <c r="U457" s="48"/>
      <c r="V457" s="48"/>
      <c r="W457" s="48"/>
      <c r="X457" s="49"/>
      <c r="Y457" s="49"/>
      <c r="Z457" s="49"/>
      <c r="AA457" s="49"/>
      <c r="AB457" s="49"/>
      <c r="AC457" s="49"/>
      <c r="AD457" s="49"/>
      <c r="AE457" s="49"/>
      <c r="AF457" s="49"/>
      <c r="AG457" s="49"/>
      <c r="AH457" s="49"/>
      <c r="AI457" s="49"/>
      <c r="AJ457" s="49"/>
      <c r="AK457" s="49"/>
      <c r="AL457" s="49"/>
      <c r="AM457" s="49"/>
      <c r="AN457" s="49"/>
      <c r="AO457" s="49"/>
      <c r="AP457" s="49"/>
      <c r="AQ457" s="49"/>
      <c r="AR457" s="49"/>
      <c r="AS457" s="49"/>
      <c r="AT457" s="49"/>
      <c r="AU457" s="49"/>
      <c r="AV457" s="49"/>
      <c r="AW457" s="49"/>
      <c r="AX457" s="49"/>
      <c r="AY457" s="49"/>
      <c r="AZ457" s="49"/>
      <c r="BA457" s="49"/>
      <c r="BB457" s="49"/>
      <c r="BC457" s="49"/>
      <c r="BD457" s="49"/>
      <c r="BE457" s="49"/>
      <c r="BF457" s="49"/>
      <c r="BG457" s="49"/>
      <c r="BH457" s="49"/>
      <c r="BI457" s="49"/>
      <c r="BJ457" s="49"/>
      <c r="BK457" s="49"/>
      <c r="BL457" s="49"/>
      <c r="BM457" s="49"/>
      <c r="BN457" s="49"/>
      <c r="BO457" s="49"/>
      <c r="BP457" s="49"/>
      <c r="BQ457" s="49"/>
      <c r="BR457" s="49"/>
      <c r="BS457" s="49"/>
      <c r="BT457" s="49"/>
      <c r="BU457" s="49"/>
      <c r="BV457" s="49"/>
      <c r="BW457" s="49"/>
      <c r="BX457" s="49"/>
      <c r="BY457" s="49"/>
      <c r="BZ457" s="49"/>
      <c r="CA457" s="49"/>
      <c r="CB457" s="49"/>
      <c r="CC457" s="49"/>
      <c r="CD457" s="49"/>
      <c r="CE457" s="49"/>
      <c r="CF457" s="49"/>
      <c r="CG457" s="49"/>
      <c r="CH457" s="49"/>
      <c r="CI457" s="49"/>
      <c r="CJ457" s="49"/>
      <c r="CK457" s="49"/>
      <c r="CL457" s="49"/>
      <c r="CM457" s="49"/>
      <c r="CN457" s="49"/>
      <c r="CO457" s="49"/>
      <c r="CP457" s="49"/>
      <c r="CQ457" s="49"/>
      <c r="CT457" s="54"/>
      <c r="DE457" s="34"/>
    </row>
    <row r="458" spans="1:109" ht="14.5" x14ac:dyDescent="0.35">
      <c r="A458" s="1"/>
      <c r="B458" s="1"/>
      <c r="C458"/>
      <c r="D458"/>
      <c r="E458" s="38"/>
      <c r="F458" s="38"/>
      <c r="G458" s="38"/>
      <c r="H458" s="38"/>
      <c r="I458" s="38"/>
      <c r="J458" s="33"/>
      <c r="K458" s="46"/>
      <c r="O458" s="54"/>
      <c r="P458" s="54"/>
      <c r="Q458" s="54"/>
      <c r="R458" s="54"/>
      <c r="S458" s="47"/>
      <c r="T458" s="48"/>
      <c r="U458" s="48"/>
      <c r="V458" s="48"/>
      <c r="W458" s="48"/>
      <c r="X458" s="49"/>
      <c r="Y458" s="49"/>
      <c r="Z458" s="49"/>
      <c r="AA458" s="49"/>
      <c r="AB458" s="49"/>
      <c r="AC458" s="49"/>
      <c r="AD458" s="49"/>
      <c r="AE458" s="49"/>
      <c r="AF458" s="49"/>
      <c r="AG458" s="49"/>
      <c r="AH458" s="49"/>
      <c r="AI458" s="49"/>
      <c r="AJ458" s="49"/>
      <c r="AK458" s="49"/>
      <c r="AL458" s="49"/>
      <c r="AM458" s="49"/>
      <c r="AN458" s="49"/>
      <c r="AO458" s="49"/>
      <c r="AP458" s="49"/>
      <c r="AQ458" s="49"/>
      <c r="AR458" s="49"/>
      <c r="AS458" s="49"/>
      <c r="AT458" s="49"/>
      <c r="AU458" s="49"/>
      <c r="AV458" s="49"/>
      <c r="AW458" s="49"/>
      <c r="AX458" s="49"/>
      <c r="AY458" s="49"/>
      <c r="AZ458" s="49"/>
      <c r="BA458" s="49"/>
      <c r="BB458" s="49"/>
      <c r="BC458" s="49"/>
      <c r="BD458" s="49"/>
      <c r="BE458" s="49"/>
      <c r="BF458" s="49"/>
      <c r="BG458" s="49"/>
      <c r="BH458" s="49"/>
      <c r="BI458" s="49"/>
      <c r="BJ458" s="49"/>
      <c r="BK458" s="49"/>
      <c r="BL458" s="49"/>
      <c r="BM458" s="49"/>
      <c r="BN458" s="49"/>
      <c r="BO458" s="49"/>
      <c r="BP458" s="49"/>
      <c r="BQ458" s="49"/>
      <c r="BR458" s="49"/>
      <c r="BS458" s="49"/>
      <c r="BT458" s="49"/>
      <c r="BU458" s="49"/>
      <c r="BV458" s="49"/>
      <c r="BW458" s="49"/>
      <c r="BX458" s="49"/>
      <c r="BY458" s="49"/>
      <c r="BZ458" s="49"/>
      <c r="CA458" s="49"/>
      <c r="CB458" s="49"/>
      <c r="CC458" s="49"/>
      <c r="CD458" s="49"/>
      <c r="CE458" s="49"/>
      <c r="CF458" s="49"/>
      <c r="CG458" s="49"/>
      <c r="CH458" s="49"/>
      <c r="CI458" s="49"/>
      <c r="CJ458" s="49"/>
      <c r="CK458" s="49"/>
      <c r="CL458" s="49"/>
      <c r="CM458" s="49"/>
      <c r="CN458" s="49"/>
      <c r="CO458" s="49"/>
      <c r="CP458" s="49"/>
      <c r="CQ458" s="49"/>
      <c r="CT458" s="54"/>
      <c r="DE458" s="34"/>
    </row>
    <row r="459" spans="1:109" ht="14.5" x14ac:dyDescent="0.35">
      <c r="A459" s="1"/>
      <c r="B459" s="1"/>
      <c r="C459"/>
      <c r="D459"/>
      <c r="E459" s="38"/>
      <c r="F459" s="38"/>
      <c r="G459" s="38"/>
      <c r="H459" s="38"/>
      <c r="I459" s="38"/>
      <c r="J459" s="33"/>
      <c r="K459" s="46"/>
      <c r="O459" s="54"/>
      <c r="P459" s="54"/>
      <c r="Q459" s="54"/>
      <c r="R459" s="54"/>
      <c r="S459" s="47"/>
      <c r="T459" s="48"/>
      <c r="U459" s="48"/>
      <c r="V459" s="48"/>
      <c r="W459" s="48"/>
      <c r="X459" s="49"/>
      <c r="Y459" s="49"/>
      <c r="Z459" s="49"/>
      <c r="AA459" s="49"/>
      <c r="AB459" s="49"/>
      <c r="AC459" s="49"/>
      <c r="AD459" s="49"/>
      <c r="AE459" s="49"/>
      <c r="AF459" s="49"/>
      <c r="AG459" s="49"/>
      <c r="AH459" s="49"/>
      <c r="AI459" s="49"/>
      <c r="AJ459" s="49"/>
      <c r="AK459" s="49"/>
      <c r="AL459" s="49"/>
      <c r="AM459" s="49"/>
      <c r="AN459" s="49"/>
      <c r="AO459" s="49"/>
      <c r="AP459" s="49"/>
      <c r="AQ459" s="49"/>
      <c r="AR459" s="49"/>
      <c r="AS459" s="49"/>
      <c r="AT459" s="49"/>
      <c r="AU459" s="49"/>
      <c r="AV459" s="49"/>
      <c r="AW459" s="49"/>
      <c r="AX459" s="49"/>
      <c r="AY459" s="49"/>
      <c r="AZ459" s="49"/>
      <c r="BA459" s="49"/>
      <c r="BB459" s="49"/>
      <c r="BC459" s="49"/>
      <c r="BD459" s="49"/>
      <c r="BE459" s="49"/>
      <c r="BF459" s="49"/>
      <c r="BG459" s="49"/>
      <c r="BH459" s="49"/>
      <c r="BI459" s="49"/>
      <c r="BJ459" s="49"/>
      <c r="BK459" s="49"/>
      <c r="BL459" s="49"/>
      <c r="BM459" s="49"/>
      <c r="BN459" s="49"/>
      <c r="BO459" s="49"/>
      <c r="BP459" s="49"/>
      <c r="BQ459" s="49"/>
      <c r="BR459" s="49"/>
      <c r="BS459" s="49"/>
      <c r="BT459" s="49"/>
      <c r="BU459" s="49"/>
      <c r="BV459" s="49"/>
      <c r="BW459" s="49"/>
      <c r="BX459" s="49"/>
      <c r="BY459" s="49"/>
      <c r="BZ459" s="49"/>
      <c r="CA459" s="49"/>
      <c r="CB459" s="49"/>
      <c r="CC459" s="49"/>
      <c r="CD459" s="49"/>
      <c r="CE459" s="49"/>
      <c r="CF459" s="49"/>
      <c r="CG459" s="49"/>
      <c r="CH459" s="49"/>
      <c r="CI459" s="49"/>
      <c r="CJ459" s="49"/>
      <c r="CK459" s="49"/>
      <c r="CL459" s="49"/>
      <c r="CM459" s="49"/>
      <c r="CN459" s="49"/>
      <c r="CO459" s="49"/>
      <c r="CP459" s="49"/>
      <c r="CQ459" s="49"/>
      <c r="CT459" s="54"/>
      <c r="DE459" s="34"/>
    </row>
    <row r="460" spans="1:109" ht="14.5" x14ac:dyDescent="0.35">
      <c r="A460" s="1"/>
      <c r="B460" s="1"/>
      <c r="C460"/>
      <c r="D460"/>
      <c r="E460" s="38"/>
      <c r="F460" s="38"/>
      <c r="G460" s="38"/>
      <c r="H460" s="38"/>
      <c r="I460" s="38"/>
      <c r="J460" s="33"/>
      <c r="K460" s="46"/>
      <c r="O460" s="54"/>
      <c r="P460" s="54"/>
      <c r="Q460" s="54"/>
      <c r="R460" s="54"/>
      <c r="S460" s="47"/>
      <c r="T460" s="48"/>
      <c r="U460" s="48"/>
      <c r="V460" s="48"/>
      <c r="W460" s="48"/>
      <c r="X460" s="49"/>
      <c r="Y460" s="49"/>
      <c r="Z460" s="49"/>
      <c r="AA460" s="49"/>
      <c r="AB460" s="49"/>
      <c r="AC460" s="49"/>
      <c r="AD460" s="49"/>
      <c r="AE460" s="49"/>
      <c r="AF460" s="49"/>
      <c r="AG460" s="49"/>
      <c r="AH460" s="49"/>
      <c r="AI460" s="49"/>
      <c r="AJ460" s="49"/>
      <c r="AK460" s="49"/>
      <c r="AL460" s="49"/>
      <c r="AM460" s="49"/>
      <c r="AN460" s="49"/>
      <c r="AO460" s="49"/>
      <c r="AP460" s="49"/>
      <c r="AQ460" s="49"/>
      <c r="AR460" s="49"/>
      <c r="AS460" s="49"/>
      <c r="AT460" s="49"/>
      <c r="AU460" s="49"/>
      <c r="AV460" s="49"/>
      <c r="AW460" s="49"/>
      <c r="AX460" s="49"/>
      <c r="AY460" s="49"/>
      <c r="AZ460" s="49"/>
      <c r="BA460" s="49"/>
      <c r="BB460" s="49"/>
      <c r="BC460" s="49"/>
      <c r="BD460" s="49"/>
      <c r="BE460" s="49"/>
      <c r="BF460" s="49"/>
      <c r="BG460" s="49"/>
      <c r="BH460" s="49"/>
      <c r="BI460" s="49"/>
      <c r="BJ460" s="49"/>
      <c r="BK460" s="49"/>
      <c r="BL460" s="49"/>
      <c r="BM460" s="49"/>
      <c r="BN460" s="49"/>
      <c r="BO460" s="49"/>
      <c r="BP460" s="49"/>
      <c r="BQ460" s="49"/>
      <c r="BR460" s="49"/>
      <c r="BS460" s="49"/>
      <c r="BT460" s="49"/>
      <c r="BU460" s="49"/>
      <c r="BV460" s="49"/>
      <c r="BW460" s="49"/>
      <c r="BX460" s="49"/>
      <c r="BY460" s="49"/>
      <c r="BZ460" s="49"/>
      <c r="CA460" s="49"/>
      <c r="CB460" s="49"/>
      <c r="CC460" s="49"/>
      <c r="CD460" s="49"/>
      <c r="CE460" s="49"/>
      <c r="CF460" s="49"/>
      <c r="CG460" s="49"/>
      <c r="CH460" s="49"/>
      <c r="CI460" s="49"/>
      <c r="CJ460" s="49"/>
      <c r="CK460" s="49"/>
      <c r="CL460" s="49"/>
      <c r="CM460" s="49"/>
      <c r="CN460" s="49"/>
      <c r="CO460" s="49"/>
      <c r="CP460" s="49"/>
      <c r="CQ460" s="49"/>
      <c r="CT460" s="54"/>
      <c r="DE460" s="34"/>
    </row>
    <row r="461" spans="1:109" ht="14.5" x14ac:dyDescent="0.35">
      <c r="A461" s="1"/>
      <c r="B461" s="1"/>
      <c r="C461"/>
      <c r="D461"/>
      <c r="E461" s="38"/>
      <c r="F461" s="38"/>
      <c r="G461" s="38"/>
      <c r="H461" s="38"/>
      <c r="I461" s="38"/>
      <c r="J461" s="33"/>
      <c r="K461" s="46"/>
      <c r="O461" s="54"/>
      <c r="P461" s="54"/>
      <c r="Q461" s="54"/>
      <c r="R461" s="54"/>
      <c r="S461" s="47"/>
      <c r="T461" s="48"/>
      <c r="U461" s="48"/>
      <c r="V461" s="48"/>
      <c r="W461" s="48"/>
      <c r="X461" s="49"/>
      <c r="Y461" s="49"/>
      <c r="Z461" s="49"/>
      <c r="AA461" s="49"/>
      <c r="AB461" s="49"/>
      <c r="AC461" s="49"/>
      <c r="AD461" s="49"/>
      <c r="AE461" s="49"/>
      <c r="AF461" s="49"/>
      <c r="AG461" s="49"/>
      <c r="AH461" s="49"/>
      <c r="AI461" s="49"/>
      <c r="AJ461" s="49"/>
      <c r="AK461" s="49"/>
      <c r="AL461" s="49"/>
      <c r="AM461" s="49"/>
      <c r="AN461" s="49"/>
      <c r="AO461" s="49"/>
      <c r="AP461" s="49"/>
      <c r="AQ461" s="49"/>
      <c r="AR461" s="49"/>
      <c r="AS461" s="49"/>
      <c r="AT461" s="49"/>
      <c r="AU461" s="49"/>
      <c r="AV461" s="49"/>
      <c r="AW461" s="49"/>
      <c r="AX461" s="49"/>
      <c r="AY461" s="49"/>
      <c r="AZ461" s="49"/>
      <c r="BA461" s="49"/>
      <c r="BB461" s="49"/>
      <c r="BC461" s="49"/>
      <c r="BD461" s="49"/>
      <c r="BE461" s="49"/>
      <c r="BF461" s="49"/>
      <c r="BG461" s="49"/>
      <c r="BH461" s="49"/>
      <c r="BI461" s="49"/>
      <c r="BJ461" s="49"/>
      <c r="BK461" s="49"/>
      <c r="BL461" s="49"/>
      <c r="BM461" s="49"/>
      <c r="BN461" s="49"/>
      <c r="BO461" s="49"/>
      <c r="BP461" s="49"/>
      <c r="BQ461" s="49"/>
      <c r="BR461" s="49"/>
      <c r="BS461" s="49"/>
      <c r="BT461" s="49"/>
      <c r="BU461" s="49"/>
      <c r="BV461" s="49"/>
      <c r="BW461" s="49"/>
      <c r="BX461" s="49"/>
      <c r="BY461" s="49"/>
      <c r="BZ461" s="49"/>
      <c r="CA461" s="49"/>
      <c r="CB461" s="49"/>
      <c r="CC461" s="49"/>
      <c r="CD461" s="49"/>
      <c r="CE461" s="49"/>
      <c r="CF461" s="49"/>
      <c r="CG461" s="49"/>
      <c r="CH461" s="49"/>
      <c r="CI461" s="49"/>
      <c r="CJ461" s="49"/>
      <c r="CK461" s="49"/>
      <c r="CL461" s="49"/>
      <c r="CM461" s="49"/>
      <c r="CN461" s="49"/>
      <c r="CO461" s="49"/>
      <c r="CP461" s="49"/>
      <c r="CQ461" s="49"/>
      <c r="CT461" s="54"/>
      <c r="DE461" s="34"/>
    </row>
    <row r="462" spans="1:109" ht="14.5" x14ac:dyDescent="0.35">
      <c r="A462" s="1"/>
      <c r="B462" s="1"/>
      <c r="C462"/>
      <c r="D462"/>
      <c r="E462" s="38"/>
      <c r="F462" s="38"/>
      <c r="G462" s="38"/>
      <c r="H462" s="38"/>
      <c r="I462" s="38"/>
      <c r="J462" s="33"/>
      <c r="K462" s="46"/>
      <c r="O462" s="54"/>
      <c r="P462" s="54"/>
      <c r="Q462" s="54"/>
      <c r="R462" s="54"/>
      <c r="S462" s="47"/>
      <c r="T462" s="48"/>
      <c r="U462" s="48"/>
      <c r="V462" s="48"/>
      <c r="W462" s="48"/>
      <c r="X462" s="49"/>
      <c r="Y462" s="49"/>
      <c r="Z462" s="49"/>
      <c r="AA462" s="49"/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9"/>
      <c r="AN462" s="49"/>
      <c r="AO462" s="49"/>
      <c r="AP462" s="49"/>
      <c r="AQ462" s="49"/>
      <c r="AR462" s="49"/>
      <c r="AS462" s="49"/>
      <c r="AT462" s="49"/>
      <c r="AU462" s="49"/>
      <c r="AV462" s="49"/>
      <c r="AW462" s="49"/>
      <c r="AX462" s="49"/>
      <c r="AY462" s="49"/>
      <c r="AZ462" s="49"/>
      <c r="BA462" s="49"/>
      <c r="BB462" s="49"/>
      <c r="BC462" s="49"/>
      <c r="BD462" s="49"/>
      <c r="BE462" s="49"/>
      <c r="BF462" s="49"/>
      <c r="BG462" s="49"/>
      <c r="BH462" s="49"/>
      <c r="BI462" s="49"/>
      <c r="BJ462" s="49"/>
      <c r="BK462" s="49"/>
      <c r="BL462" s="49"/>
      <c r="BM462" s="49"/>
      <c r="BN462" s="49"/>
      <c r="BO462" s="49"/>
      <c r="BP462" s="49"/>
      <c r="BQ462" s="49"/>
      <c r="BR462" s="49"/>
      <c r="BS462" s="49"/>
      <c r="BT462" s="49"/>
      <c r="BU462" s="49"/>
      <c r="BV462" s="49"/>
      <c r="BW462" s="49"/>
      <c r="BX462" s="49"/>
      <c r="BY462" s="49"/>
      <c r="BZ462" s="49"/>
      <c r="CA462" s="49"/>
      <c r="CB462" s="49"/>
      <c r="CC462" s="49"/>
      <c r="CD462" s="49"/>
      <c r="CE462" s="49"/>
      <c r="CF462" s="49"/>
      <c r="CG462" s="49"/>
      <c r="CH462" s="49"/>
      <c r="CI462" s="49"/>
      <c r="CJ462" s="49"/>
      <c r="CK462" s="49"/>
      <c r="CL462" s="49"/>
      <c r="CM462" s="49"/>
      <c r="CN462" s="49"/>
      <c r="CO462" s="49"/>
      <c r="CP462" s="49"/>
      <c r="CQ462" s="49"/>
      <c r="CT462" s="54"/>
      <c r="DE462" s="34"/>
    </row>
    <row r="463" spans="1:109" ht="14.5" x14ac:dyDescent="0.35">
      <c r="A463" s="1"/>
      <c r="B463" s="1"/>
      <c r="C463"/>
      <c r="D463"/>
      <c r="E463" s="38"/>
      <c r="F463" s="38"/>
      <c r="G463" s="38"/>
      <c r="H463" s="38"/>
      <c r="I463" s="38"/>
      <c r="J463" s="33"/>
      <c r="K463" s="46"/>
      <c r="O463" s="54"/>
      <c r="P463" s="54"/>
      <c r="Q463" s="54"/>
      <c r="R463" s="54"/>
      <c r="S463" s="47"/>
      <c r="T463" s="48"/>
      <c r="U463" s="48"/>
      <c r="V463" s="48"/>
      <c r="W463" s="48"/>
      <c r="X463" s="49"/>
      <c r="Y463" s="49"/>
      <c r="Z463" s="49"/>
      <c r="AA463" s="49"/>
      <c r="AB463" s="49"/>
      <c r="AC463" s="49"/>
      <c r="AD463" s="49"/>
      <c r="AE463" s="49"/>
      <c r="AF463" s="49"/>
      <c r="AG463" s="49"/>
      <c r="AH463" s="49"/>
      <c r="AI463" s="49"/>
      <c r="AJ463" s="49"/>
      <c r="AK463" s="49"/>
      <c r="AL463" s="49"/>
      <c r="AM463" s="49"/>
      <c r="AN463" s="49"/>
      <c r="AO463" s="49"/>
      <c r="AP463" s="49"/>
      <c r="AQ463" s="49"/>
      <c r="AR463" s="49"/>
      <c r="AS463" s="49"/>
      <c r="AT463" s="49"/>
      <c r="AU463" s="49"/>
      <c r="AV463" s="49"/>
      <c r="AW463" s="49"/>
      <c r="AX463" s="49"/>
      <c r="AY463" s="49"/>
      <c r="AZ463" s="49"/>
      <c r="BA463" s="49"/>
      <c r="BB463" s="49"/>
      <c r="BC463" s="49"/>
      <c r="BD463" s="49"/>
      <c r="BE463" s="49"/>
      <c r="BF463" s="49"/>
      <c r="BG463" s="49"/>
      <c r="BH463" s="49"/>
      <c r="BI463" s="49"/>
      <c r="BJ463" s="49"/>
      <c r="BK463" s="49"/>
      <c r="BL463" s="49"/>
      <c r="BM463" s="49"/>
      <c r="BN463" s="49"/>
      <c r="BO463" s="49"/>
      <c r="BP463" s="49"/>
      <c r="BQ463" s="49"/>
      <c r="BR463" s="49"/>
      <c r="BS463" s="49"/>
      <c r="BT463" s="49"/>
      <c r="BU463" s="49"/>
      <c r="BV463" s="49"/>
      <c r="BW463" s="49"/>
      <c r="BX463" s="49"/>
      <c r="BY463" s="49"/>
      <c r="BZ463" s="49"/>
      <c r="CA463" s="49"/>
      <c r="CB463" s="49"/>
      <c r="CC463" s="49"/>
      <c r="CD463" s="49"/>
      <c r="CE463" s="49"/>
      <c r="CF463" s="49"/>
      <c r="CG463" s="49"/>
      <c r="CH463" s="49"/>
      <c r="CI463" s="49"/>
      <c r="CJ463" s="49"/>
      <c r="CK463" s="49"/>
      <c r="CL463" s="49"/>
      <c r="CM463" s="49"/>
      <c r="CN463" s="49"/>
      <c r="CO463" s="49"/>
      <c r="CP463" s="49"/>
      <c r="CQ463" s="49"/>
      <c r="CT463" s="54"/>
      <c r="DE463" s="34"/>
    </row>
    <row r="464" spans="1:109" ht="14.5" x14ac:dyDescent="0.35">
      <c r="A464" s="1"/>
      <c r="B464" s="1"/>
      <c r="C464"/>
      <c r="D464"/>
      <c r="E464" s="38"/>
      <c r="F464" s="38"/>
      <c r="G464" s="38"/>
      <c r="H464" s="38"/>
      <c r="I464" s="38"/>
      <c r="J464" s="33"/>
      <c r="K464" s="46"/>
      <c r="O464" s="54"/>
      <c r="P464" s="54"/>
      <c r="Q464" s="54"/>
      <c r="R464" s="54"/>
      <c r="S464" s="47"/>
      <c r="T464" s="48"/>
      <c r="U464" s="48"/>
      <c r="V464" s="48"/>
      <c r="W464" s="48"/>
      <c r="X464" s="49"/>
      <c r="Y464" s="49"/>
      <c r="Z464" s="49"/>
      <c r="AA464" s="49"/>
      <c r="AB464" s="49"/>
      <c r="AC464" s="49"/>
      <c r="AD464" s="49"/>
      <c r="AE464" s="49"/>
      <c r="AF464" s="49"/>
      <c r="AG464" s="49"/>
      <c r="AH464" s="49"/>
      <c r="AI464" s="49"/>
      <c r="AJ464" s="49"/>
      <c r="AK464" s="49"/>
      <c r="AL464" s="49"/>
      <c r="AM464" s="49"/>
      <c r="AN464" s="49"/>
      <c r="AO464" s="49"/>
      <c r="AP464" s="49"/>
      <c r="AQ464" s="49"/>
      <c r="AR464" s="49"/>
      <c r="AS464" s="49"/>
      <c r="AT464" s="49"/>
      <c r="AU464" s="49"/>
      <c r="AV464" s="49"/>
      <c r="AW464" s="49"/>
      <c r="AX464" s="49"/>
      <c r="AY464" s="49"/>
      <c r="AZ464" s="49"/>
      <c r="BA464" s="49"/>
      <c r="BB464" s="49"/>
      <c r="BC464" s="49"/>
      <c r="BD464" s="49"/>
      <c r="BE464" s="49"/>
      <c r="BF464" s="49"/>
      <c r="BG464" s="49"/>
      <c r="BH464" s="49"/>
      <c r="BI464" s="49"/>
      <c r="BJ464" s="49"/>
      <c r="BK464" s="49"/>
      <c r="BL464" s="49"/>
      <c r="BM464" s="49"/>
      <c r="BN464" s="49"/>
      <c r="BO464" s="49"/>
      <c r="BP464" s="49"/>
      <c r="BQ464" s="49"/>
      <c r="BR464" s="49"/>
      <c r="BS464" s="49"/>
      <c r="BT464" s="49"/>
      <c r="BU464" s="49"/>
      <c r="BV464" s="49"/>
      <c r="BW464" s="49"/>
      <c r="BX464" s="49"/>
      <c r="BY464" s="49"/>
      <c r="BZ464" s="49"/>
      <c r="CA464" s="49"/>
      <c r="CB464" s="49"/>
      <c r="CC464" s="49"/>
      <c r="CD464" s="49"/>
      <c r="CE464" s="49"/>
      <c r="CF464" s="49"/>
      <c r="CG464" s="49"/>
      <c r="CH464" s="49"/>
      <c r="CI464" s="49"/>
      <c r="CJ464" s="49"/>
      <c r="CK464" s="49"/>
      <c r="CL464" s="49"/>
      <c r="CM464" s="49"/>
      <c r="CN464" s="49"/>
      <c r="CO464" s="49"/>
      <c r="CP464" s="49"/>
      <c r="CQ464" s="49"/>
      <c r="CT464" s="54"/>
      <c r="DE464" s="34"/>
    </row>
    <row r="465" spans="1:109" ht="14.5" x14ac:dyDescent="0.35">
      <c r="A465" s="1"/>
      <c r="B465" s="1"/>
      <c r="C465"/>
      <c r="D465"/>
      <c r="E465" s="38"/>
      <c r="F465" s="38"/>
      <c r="G465" s="38"/>
      <c r="H465" s="38"/>
      <c r="I465" s="38"/>
      <c r="J465" s="33"/>
      <c r="K465" s="46"/>
      <c r="O465" s="54"/>
      <c r="P465" s="54"/>
      <c r="Q465" s="54"/>
      <c r="R465" s="54"/>
      <c r="S465" s="47"/>
      <c r="T465" s="48"/>
      <c r="U465" s="48"/>
      <c r="V465" s="48"/>
      <c r="W465" s="48"/>
      <c r="X465" s="49"/>
      <c r="Y465" s="49"/>
      <c r="Z465" s="49"/>
      <c r="AA465" s="49"/>
      <c r="AB465" s="49"/>
      <c r="AC465" s="49"/>
      <c r="AD465" s="49"/>
      <c r="AE465" s="49"/>
      <c r="AF465" s="49"/>
      <c r="AG465" s="49"/>
      <c r="AH465" s="49"/>
      <c r="AI465" s="49"/>
      <c r="AJ465" s="49"/>
      <c r="AK465" s="49"/>
      <c r="AL465" s="49"/>
      <c r="AM465" s="49"/>
      <c r="AN465" s="49"/>
      <c r="AO465" s="49"/>
      <c r="AP465" s="49"/>
      <c r="AQ465" s="49"/>
      <c r="AR465" s="49"/>
      <c r="AS465" s="49"/>
      <c r="AT465" s="49"/>
      <c r="AU465" s="49"/>
      <c r="AV465" s="49"/>
      <c r="AW465" s="49"/>
      <c r="AX465" s="49"/>
      <c r="AY465" s="49"/>
      <c r="AZ465" s="49"/>
      <c r="BA465" s="49"/>
      <c r="BB465" s="49"/>
      <c r="BC465" s="49"/>
      <c r="BD465" s="49"/>
      <c r="BE465" s="49"/>
      <c r="BF465" s="49"/>
      <c r="BG465" s="49"/>
      <c r="BH465" s="49"/>
      <c r="BI465" s="49"/>
      <c r="BJ465" s="49"/>
      <c r="BK465" s="49"/>
      <c r="BL465" s="49"/>
      <c r="BM465" s="49"/>
      <c r="BN465" s="49"/>
      <c r="BO465" s="49"/>
      <c r="BP465" s="49"/>
      <c r="BQ465" s="49"/>
      <c r="BR465" s="49"/>
      <c r="BS465" s="49"/>
      <c r="BT465" s="49"/>
      <c r="BU465" s="49"/>
      <c r="BV465" s="49"/>
      <c r="BW465" s="49"/>
      <c r="BX465" s="49"/>
      <c r="BY465" s="49"/>
      <c r="BZ465" s="49"/>
      <c r="CA465" s="49"/>
      <c r="CB465" s="49"/>
      <c r="CC465" s="49"/>
      <c r="CD465" s="49"/>
      <c r="CE465" s="49"/>
      <c r="CF465" s="49"/>
      <c r="CG465" s="49"/>
      <c r="CH465" s="49"/>
      <c r="CI465" s="49"/>
      <c r="CJ465" s="49"/>
      <c r="CK465" s="49"/>
      <c r="CL465" s="49"/>
      <c r="CM465" s="49"/>
      <c r="CN465" s="49"/>
      <c r="CO465" s="49"/>
      <c r="CP465" s="49"/>
      <c r="CQ465" s="49"/>
      <c r="CT465" s="54"/>
      <c r="DE465" s="34"/>
    </row>
    <row r="466" spans="1:109" ht="14.5" x14ac:dyDescent="0.35">
      <c r="G466" s="38"/>
      <c r="J466" s="33"/>
      <c r="K466" s="46"/>
      <c r="O466" s="54"/>
      <c r="P466" s="54"/>
      <c r="Q466" s="54"/>
      <c r="R466" s="54"/>
      <c r="S466" s="47"/>
      <c r="T466" s="48"/>
      <c r="U466" s="48"/>
      <c r="V466" s="48"/>
      <c r="W466" s="48"/>
      <c r="X466" s="49"/>
      <c r="Y466" s="49"/>
      <c r="Z466" s="49"/>
      <c r="AA466" s="49"/>
      <c r="AB466" s="49"/>
      <c r="AC466" s="49"/>
      <c r="AD466" s="49"/>
      <c r="AE466" s="49"/>
      <c r="AF466" s="49"/>
      <c r="AG466" s="49"/>
      <c r="AH466" s="49"/>
      <c r="AI466" s="49"/>
      <c r="AJ466" s="49"/>
      <c r="AK466" s="49"/>
      <c r="AL466" s="49"/>
      <c r="AM466" s="49"/>
      <c r="AN466" s="49"/>
      <c r="AO466" s="49"/>
      <c r="AP466" s="49"/>
      <c r="AQ466" s="49"/>
      <c r="AR466" s="49"/>
      <c r="AS466" s="49"/>
      <c r="AT466" s="49"/>
      <c r="AU466" s="49"/>
      <c r="AV466" s="49"/>
      <c r="AW466" s="49"/>
      <c r="AX466" s="49"/>
      <c r="AY466" s="49"/>
      <c r="AZ466" s="49"/>
      <c r="BA466" s="49"/>
      <c r="BB466" s="49"/>
      <c r="BC466" s="49"/>
      <c r="BD466" s="49"/>
      <c r="BE466" s="49"/>
      <c r="BF466" s="49"/>
      <c r="BG466" s="49"/>
      <c r="BH466" s="49"/>
      <c r="BI466" s="49"/>
      <c r="BJ466" s="49"/>
      <c r="BK466" s="49"/>
      <c r="BL466" s="49"/>
      <c r="BM466" s="49"/>
      <c r="BN466" s="49"/>
      <c r="BO466" s="49"/>
      <c r="BP466" s="49"/>
      <c r="BQ466" s="49"/>
      <c r="BR466" s="49"/>
      <c r="BS466" s="49"/>
      <c r="BT466" s="49"/>
      <c r="BU466" s="49"/>
      <c r="BV466" s="49"/>
      <c r="BW466" s="49"/>
      <c r="BX466" s="49"/>
      <c r="BY466" s="49"/>
      <c r="BZ466" s="49"/>
      <c r="CA466" s="49"/>
      <c r="CB466" s="49"/>
      <c r="CC466" s="49"/>
      <c r="CD466" s="49"/>
      <c r="CE466" s="49"/>
      <c r="CF466" s="49"/>
      <c r="CG466" s="49"/>
      <c r="CH466" s="49"/>
      <c r="CI466" s="49"/>
      <c r="CJ466" s="49"/>
      <c r="CK466" s="49"/>
      <c r="CL466" s="49"/>
      <c r="CM466" s="49"/>
      <c r="CN466" s="49"/>
      <c r="CO466" s="49"/>
      <c r="CP466" s="49"/>
      <c r="CQ466" s="49"/>
      <c r="CT466" s="54"/>
      <c r="DE466" s="34"/>
    </row>
    <row r="467" spans="1:109" ht="14.5" x14ac:dyDescent="0.35">
      <c r="G467" s="38"/>
      <c r="J467" s="33"/>
      <c r="K467" s="46"/>
      <c r="O467" s="54"/>
      <c r="P467" s="54"/>
      <c r="Q467" s="54"/>
      <c r="R467" s="54"/>
      <c r="S467" s="47"/>
      <c r="T467" s="48"/>
      <c r="U467" s="48"/>
      <c r="V467" s="48"/>
      <c r="W467" s="48"/>
      <c r="X467" s="49"/>
      <c r="Y467" s="49"/>
      <c r="Z467" s="49"/>
      <c r="AA467" s="49"/>
      <c r="AB467" s="49"/>
      <c r="AC467" s="49"/>
      <c r="AD467" s="49"/>
      <c r="AE467" s="49"/>
      <c r="AF467" s="49"/>
      <c r="AG467" s="49"/>
      <c r="AH467" s="49"/>
      <c r="AI467" s="49"/>
      <c r="AJ467" s="49"/>
      <c r="AK467" s="49"/>
      <c r="AL467" s="49"/>
      <c r="AM467" s="49"/>
      <c r="AN467" s="49"/>
      <c r="AO467" s="49"/>
      <c r="AP467" s="49"/>
      <c r="AQ467" s="49"/>
      <c r="AR467" s="49"/>
      <c r="AS467" s="49"/>
      <c r="AT467" s="49"/>
      <c r="AU467" s="49"/>
      <c r="AV467" s="49"/>
      <c r="AW467" s="49"/>
      <c r="AX467" s="49"/>
      <c r="AY467" s="49"/>
      <c r="AZ467" s="49"/>
      <c r="BA467" s="49"/>
      <c r="BB467" s="49"/>
      <c r="BC467" s="49"/>
      <c r="BD467" s="49"/>
      <c r="BE467" s="49"/>
      <c r="BF467" s="49"/>
      <c r="BG467" s="49"/>
      <c r="BH467" s="49"/>
      <c r="BI467" s="49"/>
      <c r="BJ467" s="49"/>
      <c r="BK467" s="49"/>
      <c r="BL467" s="49"/>
      <c r="BM467" s="49"/>
      <c r="BN467" s="49"/>
      <c r="BO467" s="49"/>
      <c r="BP467" s="49"/>
      <c r="BQ467" s="49"/>
      <c r="BR467" s="49"/>
      <c r="BS467" s="49"/>
      <c r="BT467" s="49"/>
      <c r="BU467" s="49"/>
      <c r="BV467" s="49"/>
      <c r="BW467" s="49"/>
      <c r="BX467" s="49"/>
      <c r="BY467" s="49"/>
      <c r="BZ467" s="49"/>
      <c r="CA467" s="49"/>
      <c r="CB467" s="49"/>
      <c r="CC467" s="49"/>
      <c r="CD467" s="49"/>
      <c r="CE467" s="49"/>
      <c r="CF467" s="49"/>
      <c r="CG467" s="49"/>
      <c r="CH467" s="49"/>
      <c r="CI467" s="49"/>
      <c r="CJ467" s="49"/>
      <c r="CK467" s="49"/>
      <c r="CL467" s="49"/>
      <c r="CM467" s="49"/>
      <c r="CN467" s="49"/>
      <c r="CO467" s="49"/>
      <c r="CP467" s="49"/>
      <c r="CQ467" s="49"/>
      <c r="CT467" s="54"/>
      <c r="DE467" s="34"/>
    </row>
    <row r="468" spans="1:109" ht="14.5" x14ac:dyDescent="0.35">
      <c r="G468" s="38"/>
      <c r="J468" s="33"/>
      <c r="K468" s="46"/>
      <c r="O468" s="54"/>
      <c r="P468" s="54"/>
      <c r="Q468" s="54"/>
      <c r="R468" s="54"/>
      <c r="S468" s="47"/>
      <c r="T468" s="48"/>
      <c r="U468" s="48"/>
      <c r="V468" s="48"/>
      <c r="W468" s="48"/>
      <c r="X468" s="49"/>
      <c r="Y468" s="49"/>
      <c r="Z468" s="49"/>
      <c r="AA468" s="49"/>
      <c r="AB468" s="49"/>
      <c r="AC468" s="49"/>
      <c r="AD468" s="49"/>
      <c r="AE468" s="49"/>
      <c r="AF468" s="49"/>
      <c r="AG468" s="49"/>
      <c r="AH468" s="49"/>
      <c r="AI468" s="49"/>
      <c r="AJ468" s="49"/>
      <c r="AK468" s="49"/>
      <c r="AL468" s="49"/>
      <c r="AM468" s="49"/>
      <c r="AN468" s="49"/>
      <c r="AO468" s="49"/>
      <c r="AP468" s="49"/>
      <c r="AQ468" s="49"/>
      <c r="AR468" s="49"/>
      <c r="AS468" s="49"/>
      <c r="AT468" s="49"/>
      <c r="AU468" s="49"/>
      <c r="AV468" s="49"/>
      <c r="AW468" s="49"/>
      <c r="AX468" s="49"/>
      <c r="AY468" s="49"/>
      <c r="AZ468" s="49"/>
      <c r="BA468" s="49"/>
      <c r="BB468" s="49"/>
      <c r="BC468" s="49"/>
      <c r="BD468" s="49"/>
      <c r="BE468" s="49"/>
      <c r="BF468" s="49"/>
      <c r="BG468" s="49"/>
      <c r="BH468" s="49"/>
      <c r="BI468" s="49"/>
      <c r="BJ468" s="49"/>
      <c r="BK468" s="49"/>
      <c r="BL468" s="49"/>
      <c r="BM468" s="49"/>
      <c r="BN468" s="49"/>
      <c r="BO468" s="49"/>
      <c r="BP468" s="49"/>
      <c r="BQ468" s="49"/>
      <c r="BR468" s="49"/>
      <c r="BS468" s="49"/>
      <c r="BT468" s="49"/>
      <c r="BU468" s="49"/>
      <c r="BV468" s="49"/>
      <c r="BW468" s="49"/>
      <c r="BX468" s="49"/>
      <c r="BY468" s="49"/>
      <c r="BZ468" s="49"/>
      <c r="CA468" s="49"/>
      <c r="CB468" s="49"/>
      <c r="CC468" s="49"/>
      <c r="CD468" s="49"/>
      <c r="CE468" s="49"/>
      <c r="CF468" s="49"/>
      <c r="CG468" s="49"/>
      <c r="CH468" s="49"/>
      <c r="CI468" s="49"/>
      <c r="CJ468" s="49"/>
      <c r="CK468" s="49"/>
      <c r="CL468" s="49"/>
      <c r="CM468" s="49"/>
      <c r="CN468" s="49"/>
      <c r="CO468" s="49"/>
      <c r="CP468" s="49"/>
      <c r="CQ468" s="49"/>
      <c r="CT468" s="54"/>
      <c r="DE468" s="34"/>
    </row>
    <row r="469" spans="1:109" ht="14.5" x14ac:dyDescent="0.35">
      <c r="G469" s="38"/>
      <c r="J469" s="33"/>
      <c r="K469" s="46"/>
      <c r="O469" s="54"/>
      <c r="P469" s="54"/>
      <c r="Q469" s="54"/>
      <c r="R469" s="54"/>
      <c r="S469" s="47"/>
      <c r="T469" s="48"/>
      <c r="U469" s="48"/>
      <c r="V469" s="48"/>
      <c r="W469" s="48"/>
      <c r="X469" s="49"/>
      <c r="Y469" s="49"/>
      <c r="Z469" s="49"/>
      <c r="AA469" s="49"/>
      <c r="AB469" s="49"/>
      <c r="AC469" s="49"/>
      <c r="AD469" s="49"/>
      <c r="AE469" s="49"/>
      <c r="AF469" s="49"/>
      <c r="AG469" s="49"/>
      <c r="AH469" s="49"/>
      <c r="AI469" s="49"/>
      <c r="AJ469" s="49"/>
      <c r="AK469" s="49"/>
      <c r="AL469" s="49"/>
      <c r="AM469" s="49"/>
      <c r="AN469" s="49"/>
      <c r="AO469" s="49"/>
      <c r="AP469" s="49"/>
      <c r="AQ469" s="49"/>
      <c r="AR469" s="49"/>
      <c r="AS469" s="49"/>
      <c r="AT469" s="49"/>
      <c r="AU469" s="49"/>
      <c r="AV469" s="49"/>
      <c r="AW469" s="49"/>
      <c r="AX469" s="49"/>
      <c r="AY469" s="49"/>
      <c r="AZ469" s="49"/>
      <c r="BA469" s="49"/>
      <c r="BB469" s="49"/>
      <c r="BC469" s="49"/>
      <c r="BD469" s="49"/>
      <c r="BE469" s="49"/>
      <c r="BF469" s="49"/>
      <c r="BG469" s="49"/>
      <c r="BH469" s="49"/>
      <c r="BI469" s="49"/>
      <c r="BJ469" s="49"/>
      <c r="BK469" s="49"/>
      <c r="BL469" s="49"/>
      <c r="BM469" s="49"/>
      <c r="BN469" s="49"/>
      <c r="BO469" s="49"/>
      <c r="BP469" s="49"/>
      <c r="BQ469" s="49"/>
      <c r="BR469" s="49"/>
      <c r="BS469" s="49"/>
      <c r="BT469" s="49"/>
      <c r="BU469" s="49"/>
      <c r="BV469" s="49"/>
      <c r="BW469" s="49"/>
      <c r="BX469" s="49"/>
      <c r="BY469" s="49"/>
      <c r="BZ469" s="49"/>
      <c r="CA469" s="49"/>
      <c r="CB469" s="49"/>
      <c r="CC469" s="49"/>
      <c r="CD469" s="49"/>
      <c r="CE469" s="49"/>
      <c r="CF469" s="49"/>
      <c r="CG469" s="49"/>
      <c r="CH469" s="49"/>
      <c r="CI469" s="49"/>
      <c r="CJ469" s="49"/>
      <c r="CK469" s="49"/>
      <c r="CL469" s="49"/>
      <c r="CM469" s="49"/>
      <c r="CN469" s="49"/>
      <c r="CO469" s="49"/>
      <c r="CP469" s="49"/>
      <c r="CQ469" s="49"/>
      <c r="CT469" s="54"/>
      <c r="DE469" s="34"/>
    </row>
    <row r="470" spans="1:109" ht="14.5" x14ac:dyDescent="0.35">
      <c r="G470" s="38"/>
      <c r="J470" s="33"/>
      <c r="K470" s="46"/>
      <c r="O470" s="54"/>
      <c r="P470" s="54"/>
      <c r="Q470" s="54"/>
      <c r="R470" s="54"/>
      <c r="S470" s="47"/>
      <c r="T470" s="48"/>
      <c r="U470" s="48"/>
      <c r="V470" s="48"/>
      <c r="W470" s="48"/>
      <c r="X470" s="49"/>
      <c r="Y470" s="49"/>
      <c r="Z470" s="49"/>
      <c r="AA470" s="49"/>
      <c r="AB470" s="49"/>
      <c r="AC470" s="49"/>
      <c r="AD470" s="49"/>
      <c r="AE470" s="49"/>
      <c r="AF470" s="49"/>
      <c r="AG470" s="49"/>
      <c r="AH470" s="49"/>
      <c r="AI470" s="49"/>
      <c r="AJ470" s="49"/>
      <c r="AK470" s="49"/>
      <c r="AL470" s="49"/>
      <c r="AM470" s="49"/>
      <c r="AN470" s="49"/>
      <c r="AO470" s="49"/>
      <c r="AP470" s="49"/>
      <c r="AQ470" s="49"/>
      <c r="AR470" s="49"/>
      <c r="AS470" s="49"/>
      <c r="AT470" s="49"/>
      <c r="AU470" s="49"/>
      <c r="AV470" s="49"/>
      <c r="AW470" s="49"/>
      <c r="AX470" s="49"/>
      <c r="AY470" s="49"/>
      <c r="AZ470" s="49"/>
      <c r="BA470" s="49"/>
      <c r="BB470" s="49"/>
      <c r="BC470" s="49"/>
      <c r="BD470" s="49"/>
      <c r="BE470" s="49"/>
      <c r="BF470" s="49"/>
      <c r="BG470" s="49"/>
      <c r="BH470" s="49"/>
      <c r="BI470" s="49"/>
      <c r="BJ470" s="49"/>
      <c r="BK470" s="49"/>
      <c r="BL470" s="49"/>
      <c r="BM470" s="49"/>
      <c r="BN470" s="49"/>
      <c r="BO470" s="49"/>
      <c r="BP470" s="49"/>
      <c r="BQ470" s="49"/>
      <c r="BR470" s="49"/>
      <c r="BS470" s="49"/>
      <c r="BT470" s="49"/>
      <c r="BU470" s="49"/>
      <c r="BV470" s="49"/>
      <c r="BW470" s="49"/>
      <c r="BX470" s="49"/>
      <c r="BY470" s="49"/>
      <c r="BZ470" s="49"/>
      <c r="CA470" s="49"/>
      <c r="CB470" s="49"/>
      <c r="CC470" s="49"/>
      <c r="CD470" s="49"/>
      <c r="CE470" s="49"/>
      <c r="CF470" s="49"/>
      <c r="CG470" s="49"/>
      <c r="CH470" s="49"/>
      <c r="CI470" s="49"/>
      <c r="CJ470" s="49"/>
      <c r="CK470" s="49"/>
      <c r="CL470" s="49"/>
      <c r="CM470" s="49"/>
      <c r="CN470" s="49"/>
      <c r="CO470" s="49"/>
      <c r="CP470" s="49"/>
      <c r="CQ470" s="49"/>
      <c r="CT470" s="54"/>
      <c r="DE470" s="34"/>
    </row>
    <row r="471" spans="1:109" ht="14.5" x14ac:dyDescent="0.35">
      <c r="G471" s="38"/>
      <c r="J471" s="33"/>
      <c r="K471" s="46"/>
      <c r="O471" s="54"/>
      <c r="P471" s="54"/>
      <c r="Q471" s="54"/>
      <c r="R471" s="54"/>
      <c r="S471" s="47"/>
      <c r="T471" s="48"/>
      <c r="U471" s="48"/>
      <c r="V471" s="48"/>
      <c r="W471" s="48"/>
      <c r="X471" s="49"/>
      <c r="Y471" s="49"/>
      <c r="Z471" s="49"/>
      <c r="AA471" s="49"/>
      <c r="AB471" s="49"/>
      <c r="AC471" s="49"/>
      <c r="AD471" s="49"/>
      <c r="AE471" s="49"/>
      <c r="AF471" s="49"/>
      <c r="AG471" s="49"/>
      <c r="AH471" s="49"/>
      <c r="AI471" s="49"/>
      <c r="AJ471" s="49"/>
      <c r="AK471" s="49"/>
      <c r="AL471" s="49"/>
      <c r="AM471" s="49"/>
      <c r="AN471" s="49"/>
      <c r="AO471" s="49"/>
      <c r="AP471" s="49"/>
      <c r="AQ471" s="49"/>
      <c r="AR471" s="49"/>
      <c r="AS471" s="49"/>
      <c r="AT471" s="49"/>
      <c r="AU471" s="49"/>
      <c r="AV471" s="49"/>
      <c r="AW471" s="49"/>
      <c r="AX471" s="49"/>
      <c r="AY471" s="49"/>
      <c r="AZ471" s="49"/>
      <c r="BA471" s="49"/>
      <c r="BB471" s="49"/>
      <c r="BC471" s="49"/>
      <c r="BD471" s="49"/>
      <c r="BE471" s="49"/>
      <c r="BF471" s="49"/>
      <c r="BG471" s="49"/>
      <c r="BH471" s="49"/>
      <c r="BI471" s="49"/>
      <c r="BJ471" s="49"/>
      <c r="BK471" s="49"/>
      <c r="BL471" s="49"/>
      <c r="BM471" s="49"/>
      <c r="BN471" s="49"/>
      <c r="BO471" s="49"/>
      <c r="BP471" s="49"/>
      <c r="BQ471" s="49"/>
      <c r="BR471" s="49"/>
      <c r="BS471" s="49"/>
      <c r="BT471" s="49"/>
      <c r="BU471" s="49"/>
      <c r="BV471" s="49"/>
      <c r="BW471" s="49"/>
      <c r="BX471" s="49"/>
      <c r="BY471" s="49"/>
      <c r="BZ471" s="49"/>
      <c r="CA471" s="49"/>
      <c r="CB471" s="49"/>
      <c r="CC471" s="49"/>
      <c r="CD471" s="49"/>
      <c r="CE471" s="49"/>
      <c r="CF471" s="49"/>
      <c r="CG471" s="49"/>
      <c r="CH471" s="49"/>
      <c r="CI471" s="49"/>
      <c r="CJ471" s="49"/>
      <c r="CK471" s="49"/>
      <c r="CL471" s="49"/>
      <c r="CM471" s="49"/>
      <c r="CN471" s="49"/>
      <c r="CO471" s="49"/>
      <c r="CP471" s="49"/>
      <c r="CQ471" s="49"/>
      <c r="CT471" s="54"/>
      <c r="DE471" s="34"/>
    </row>
    <row r="472" spans="1:109" ht="14.5" x14ac:dyDescent="0.35">
      <c r="G472" s="38"/>
      <c r="J472" s="33"/>
      <c r="K472" s="46"/>
      <c r="O472" s="54"/>
      <c r="P472" s="54"/>
      <c r="Q472" s="54"/>
      <c r="R472" s="54"/>
      <c r="S472" s="47"/>
      <c r="T472" s="48"/>
      <c r="U472" s="48"/>
      <c r="V472" s="48"/>
      <c r="W472" s="48"/>
      <c r="X472" s="49"/>
      <c r="Y472" s="49"/>
      <c r="Z472" s="49"/>
      <c r="AA472" s="49"/>
      <c r="AB472" s="49"/>
      <c r="AC472" s="49"/>
      <c r="AD472" s="49"/>
      <c r="AE472" s="49"/>
      <c r="AF472" s="49"/>
      <c r="AG472" s="49"/>
      <c r="AH472" s="49"/>
      <c r="AI472" s="49"/>
      <c r="AJ472" s="49"/>
      <c r="AK472" s="49"/>
      <c r="AL472" s="49"/>
      <c r="AM472" s="49"/>
      <c r="AN472" s="49"/>
      <c r="AO472" s="49"/>
      <c r="AP472" s="49"/>
      <c r="AQ472" s="49"/>
      <c r="AR472" s="49"/>
      <c r="AS472" s="49"/>
      <c r="AT472" s="49"/>
      <c r="AU472" s="49"/>
      <c r="AV472" s="49"/>
      <c r="AW472" s="49"/>
      <c r="AX472" s="49"/>
      <c r="AY472" s="49"/>
      <c r="AZ472" s="49"/>
      <c r="BA472" s="49"/>
      <c r="BB472" s="49"/>
      <c r="BC472" s="49"/>
      <c r="BD472" s="49"/>
      <c r="BE472" s="49"/>
      <c r="BF472" s="49"/>
      <c r="BG472" s="49"/>
      <c r="BH472" s="49"/>
      <c r="BI472" s="49"/>
      <c r="BJ472" s="49"/>
      <c r="BK472" s="49"/>
      <c r="BL472" s="49"/>
      <c r="BM472" s="49"/>
      <c r="BN472" s="49"/>
      <c r="BO472" s="49"/>
      <c r="BP472" s="49"/>
      <c r="BQ472" s="49"/>
      <c r="BR472" s="49"/>
      <c r="BS472" s="49"/>
      <c r="BT472" s="49"/>
      <c r="BU472" s="49"/>
      <c r="BV472" s="49"/>
      <c r="BW472" s="49"/>
      <c r="BX472" s="49"/>
      <c r="BY472" s="49"/>
      <c r="BZ472" s="49"/>
      <c r="CA472" s="49"/>
      <c r="CB472" s="49"/>
      <c r="CC472" s="49"/>
      <c r="CD472" s="49"/>
      <c r="CE472" s="49"/>
      <c r="CF472" s="49"/>
      <c r="CG472" s="49"/>
      <c r="CH472" s="49"/>
      <c r="CI472" s="49"/>
      <c r="CJ472" s="49"/>
      <c r="CK472" s="49"/>
      <c r="CL472" s="49"/>
      <c r="CM472" s="49"/>
      <c r="CN472" s="49"/>
      <c r="CO472" s="49"/>
      <c r="CP472" s="49"/>
      <c r="CQ472" s="49"/>
      <c r="CT472" s="54"/>
      <c r="DE472" s="34"/>
    </row>
    <row r="473" spans="1:109" ht="14.5" x14ac:dyDescent="0.35">
      <c r="G473" s="38"/>
      <c r="J473" s="33"/>
      <c r="K473" s="46"/>
      <c r="O473" s="54"/>
      <c r="P473" s="54"/>
      <c r="Q473" s="54"/>
      <c r="R473" s="54"/>
      <c r="S473" s="47"/>
      <c r="T473" s="48"/>
      <c r="U473" s="48"/>
      <c r="V473" s="48"/>
      <c r="W473" s="48"/>
      <c r="X473" s="49"/>
      <c r="Y473" s="49"/>
      <c r="Z473" s="49"/>
      <c r="AA473" s="49"/>
      <c r="AB473" s="49"/>
      <c r="AC473" s="49"/>
      <c r="AD473" s="49"/>
      <c r="AE473" s="49"/>
      <c r="AF473" s="49"/>
      <c r="AG473" s="49"/>
      <c r="AH473" s="49"/>
      <c r="AI473" s="49"/>
      <c r="AJ473" s="49"/>
      <c r="AK473" s="49"/>
      <c r="AL473" s="49"/>
      <c r="AM473" s="49"/>
      <c r="AN473" s="49"/>
      <c r="AO473" s="49"/>
      <c r="AP473" s="49"/>
      <c r="AQ473" s="49"/>
      <c r="AR473" s="49"/>
      <c r="AS473" s="49"/>
      <c r="AT473" s="49"/>
      <c r="AU473" s="49"/>
      <c r="AV473" s="49"/>
      <c r="AW473" s="49"/>
      <c r="AX473" s="49"/>
      <c r="AY473" s="49"/>
      <c r="AZ473" s="49"/>
      <c r="BA473" s="49"/>
      <c r="BB473" s="49"/>
      <c r="BC473" s="49"/>
      <c r="BD473" s="49"/>
      <c r="BE473" s="49"/>
      <c r="BF473" s="49"/>
      <c r="BG473" s="49"/>
      <c r="BH473" s="49"/>
      <c r="BI473" s="49"/>
      <c r="BJ473" s="49"/>
      <c r="BK473" s="49"/>
      <c r="BL473" s="49"/>
      <c r="BM473" s="49"/>
      <c r="BN473" s="49"/>
      <c r="BO473" s="49"/>
      <c r="BP473" s="49"/>
      <c r="BQ473" s="49"/>
      <c r="BR473" s="49"/>
      <c r="BS473" s="49"/>
      <c r="BT473" s="49"/>
      <c r="BU473" s="49"/>
      <c r="BV473" s="49"/>
      <c r="BW473" s="49"/>
      <c r="BX473" s="49"/>
      <c r="BY473" s="49"/>
      <c r="BZ473" s="49"/>
      <c r="CA473" s="49"/>
      <c r="CB473" s="49"/>
      <c r="CC473" s="49"/>
      <c r="CD473" s="49"/>
      <c r="CE473" s="49"/>
      <c r="CF473" s="49"/>
      <c r="CG473" s="49"/>
      <c r="CH473" s="49"/>
      <c r="CI473" s="49"/>
      <c r="CJ473" s="49"/>
      <c r="CK473" s="49"/>
      <c r="CL473" s="49"/>
      <c r="CM473" s="49"/>
      <c r="CN473" s="49"/>
      <c r="CO473" s="49"/>
      <c r="CP473" s="49"/>
      <c r="CQ473" s="49"/>
      <c r="CT473" s="54"/>
      <c r="DE473" s="34"/>
    </row>
    <row r="474" spans="1:109" ht="14.5" x14ac:dyDescent="0.35">
      <c r="G474" s="38"/>
      <c r="J474" s="33"/>
      <c r="K474" s="46"/>
      <c r="O474" s="54"/>
      <c r="P474" s="54"/>
      <c r="Q474" s="54"/>
      <c r="R474" s="54"/>
      <c r="S474" s="47"/>
      <c r="T474" s="48"/>
      <c r="U474" s="48"/>
      <c r="V474" s="48"/>
      <c r="W474" s="48"/>
      <c r="X474" s="49"/>
      <c r="Y474" s="49"/>
      <c r="Z474" s="49"/>
      <c r="AA474" s="49"/>
      <c r="AB474" s="49"/>
      <c r="AC474" s="49"/>
      <c r="AD474" s="49"/>
      <c r="AE474" s="49"/>
      <c r="AF474" s="49"/>
      <c r="AG474" s="49"/>
      <c r="AH474" s="49"/>
      <c r="AI474" s="49"/>
      <c r="AJ474" s="49"/>
      <c r="AK474" s="49"/>
      <c r="AL474" s="49"/>
      <c r="AM474" s="49"/>
      <c r="AN474" s="49"/>
      <c r="AO474" s="49"/>
      <c r="AP474" s="49"/>
      <c r="AQ474" s="49"/>
      <c r="AR474" s="49"/>
      <c r="AS474" s="49"/>
      <c r="AT474" s="49"/>
      <c r="AU474" s="49"/>
      <c r="AV474" s="49"/>
      <c r="AW474" s="49"/>
      <c r="AX474" s="49"/>
      <c r="AY474" s="49"/>
      <c r="AZ474" s="49"/>
      <c r="BA474" s="49"/>
      <c r="BB474" s="49"/>
      <c r="BC474" s="49"/>
      <c r="BD474" s="49"/>
      <c r="BE474" s="49"/>
      <c r="BF474" s="49"/>
      <c r="BG474" s="49"/>
      <c r="BH474" s="49"/>
      <c r="BI474" s="49"/>
      <c r="BJ474" s="49"/>
      <c r="BK474" s="49"/>
      <c r="BL474" s="49"/>
      <c r="BM474" s="49"/>
      <c r="BN474" s="49"/>
      <c r="BO474" s="49"/>
      <c r="BP474" s="49"/>
      <c r="BQ474" s="49"/>
      <c r="BR474" s="49"/>
      <c r="BS474" s="49"/>
      <c r="BT474" s="49"/>
      <c r="BU474" s="49"/>
      <c r="BV474" s="49"/>
      <c r="BW474" s="49"/>
      <c r="BX474" s="49"/>
      <c r="BY474" s="49"/>
      <c r="BZ474" s="49"/>
      <c r="CA474" s="49"/>
      <c r="CB474" s="49"/>
      <c r="CC474" s="49"/>
      <c r="CD474" s="49"/>
      <c r="CE474" s="49"/>
      <c r="CF474" s="49"/>
      <c r="CG474" s="49"/>
      <c r="CH474" s="49"/>
      <c r="CI474" s="49"/>
      <c r="CJ474" s="49"/>
      <c r="CK474" s="49"/>
      <c r="CL474" s="49"/>
      <c r="CM474" s="49"/>
      <c r="CN474" s="49"/>
      <c r="CO474" s="49"/>
      <c r="CP474" s="49"/>
      <c r="CQ474" s="49"/>
      <c r="CT474" s="54"/>
      <c r="DE474" s="34"/>
    </row>
    <row r="475" spans="1:109" ht="14.5" x14ac:dyDescent="0.35">
      <c r="G475" s="38"/>
      <c r="J475" s="33"/>
      <c r="K475" s="46"/>
      <c r="O475" s="54"/>
      <c r="P475" s="54"/>
      <c r="Q475" s="54"/>
      <c r="R475" s="54"/>
      <c r="S475" s="47"/>
      <c r="T475" s="48"/>
      <c r="U475" s="48"/>
      <c r="V475" s="48"/>
      <c r="W475" s="48"/>
      <c r="X475" s="49"/>
      <c r="Y475" s="49"/>
      <c r="Z475" s="49"/>
      <c r="AA475" s="49"/>
      <c r="AB475" s="49"/>
      <c r="AC475" s="49"/>
      <c r="AD475" s="49"/>
      <c r="AE475" s="49"/>
      <c r="AF475" s="49"/>
      <c r="AG475" s="49"/>
      <c r="AH475" s="49"/>
      <c r="AI475" s="49"/>
      <c r="AJ475" s="49"/>
      <c r="AK475" s="49"/>
      <c r="AL475" s="49"/>
      <c r="AM475" s="49"/>
      <c r="AN475" s="49"/>
      <c r="AO475" s="49"/>
      <c r="AP475" s="49"/>
      <c r="AQ475" s="49"/>
      <c r="AR475" s="49"/>
      <c r="AS475" s="49"/>
      <c r="AT475" s="49"/>
      <c r="AU475" s="49"/>
      <c r="AV475" s="49"/>
      <c r="AW475" s="49"/>
      <c r="AX475" s="49"/>
      <c r="AY475" s="49"/>
      <c r="AZ475" s="49"/>
      <c r="BA475" s="49"/>
      <c r="BB475" s="49"/>
      <c r="BC475" s="49"/>
      <c r="BD475" s="49"/>
      <c r="BE475" s="49"/>
      <c r="BF475" s="49"/>
      <c r="BG475" s="49"/>
      <c r="BH475" s="49"/>
      <c r="BI475" s="49"/>
      <c r="BJ475" s="49"/>
      <c r="BK475" s="49"/>
      <c r="BL475" s="49"/>
      <c r="BM475" s="49"/>
      <c r="BN475" s="49"/>
      <c r="BO475" s="49"/>
      <c r="BP475" s="49"/>
      <c r="BQ475" s="49"/>
      <c r="BR475" s="49"/>
      <c r="BS475" s="49"/>
      <c r="BT475" s="49"/>
      <c r="BU475" s="49"/>
      <c r="BV475" s="49"/>
      <c r="BW475" s="49"/>
      <c r="BX475" s="49"/>
      <c r="BY475" s="49"/>
      <c r="BZ475" s="49"/>
      <c r="CA475" s="49"/>
      <c r="CB475" s="49"/>
      <c r="CC475" s="49"/>
      <c r="CD475" s="49"/>
      <c r="CE475" s="49"/>
      <c r="CF475" s="49"/>
      <c r="CG475" s="49"/>
      <c r="CH475" s="49"/>
      <c r="CI475" s="49"/>
      <c r="CJ475" s="49"/>
      <c r="CK475" s="49"/>
      <c r="CL475" s="49"/>
      <c r="CM475" s="49"/>
      <c r="CN475" s="49"/>
      <c r="CO475" s="49"/>
      <c r="CP475" s="49"/>
      <c r="CQ475" s="49"/>
      <c r="CT475" s="54"/>
      <c r="DE475" s="34"/>
    </row>
    <row r="476" spans="1:109" ht="14.5" x14ac:dyDescent="0.35">
      <c r="G476" s="38"/>
      <c r="J476" s="33"/>
      <c r="K476" s="46"/>
      <c r="O476" s="54"/>
      <c r="P476" s="54"/>
      <c r="Q476" s="54"/>
      <c r="R476" s="54"/>
      <c r="S476" s="47"/>
      <c r="T476" s="48"/>
      <c r="U476" s="48"/>
      <c r="V476" s="48"/>
      <c r="W476" s="48"/>
      <c r="X476" s="49"/>
      <c r="Y476" s="49"/>
      <c r="Z476" s="49"/>
      <c r="AA476" s="49"/>
      <c r="AB476" s="49"/>
      <c r="AC476" s="49"/>
      <c r="AD476" s="49"/>
      <c r="AE476" s="49"/>
      <c r="AF476" s="49"/>
      <c r="AG476" s="49"/>
      <c r="AH476" s="49"/>
      <c r="AI476" s="49"/>
      <c r="AJ476" s="49"/>
      <c r="AK476" s="49"/>
      <c r="AL476" s="49"/>
      <c r="AM476" s="49"/>
      <c r="AN476" s="49"/>
      <c r="AO476" s="49"/>
      <c r="AP476" s="49"/>
      <c r="AQ476" s="49"/>
      <c r="AR476" s="49"/>
      <c r="AS476" s="49"/>
      <c r="AT476" s="49"/>
      <c r="AU476" s="49"/>
      <c r="AV476" s="49"/>
      <c r="AW476" s="49"/>
      <c r="AX476" s="49"/>
      <c r="AY476" s="49"/>
      <c r="AZ476" s="49"/>
      <c r="BA476" s="49"/>
      <c r="BB476" s="49"/>
      <c r="BC476" s="49"/>
      <c r="BD476" s="49"/>
      <c r="BE476" s="49"/>
      <c r="BF476" s="49"/>
      <c r="BG476" s="49"/>
      <c r="BH476" s="49"/>
      <c r="BI476" s="49"/>
      <c r="BJ476" s="49"/>
      <c r="BK476" s="49"/>
      <c r="BL476" s="49"/>
      <c r="BM476" s="49"/>
      <c r="BN476" s="49"/>
      <c r="BO476" s="49"/>
      <c r="BP476" s="49"/>
      <c r="BQ476" s="49"/>
      <c r="BR476" s="49"/>
      <c r="BS476" s="49"/>
      <c r="BT476" s="49"/>
      <c r="BU476" s="49"/>
      <c r="BV476" s="49"/>
      <c r="BW476" s="49"/>
      <c r="BX476" s="49"/>
      <c r="BY476" s="49"/>
      <c r="BZ476" s="49"/>
      <c r="CA476" s="49"/>
      <c r="CB476" s="49"/>
      <c r="CC476" s="49"/>
      <c r="CD476" s="49"/>
      <c r="CE476" s="49"/>
      <c r="CF476" s="49"/>
      <c r="CG476" s="49"/>
      <c r="CH476" s="49"/>
      <c r="CI476" s="49"/>
      <c r="CJ476" s="49"/>
      <c r="CK476" s="49"/>
      <c r="CL476" s="49"/>
      <c r="CM476" s="49"/>
      <c r="CN476" s="49"/>
      <c r="CO476" s="49"/>
      <c r="CP476" s="49"/>
      <c r="CQ476" s="49"/>
      <c r="CT476" s="54"/>
      <c r="DE476" s="34"/>
    </row>
    <row r="477" spans="1:109" ht="14.5" x14ac:dyDescent="0.35">
      <c r="G477" s="38"/>
      <c r="J477" s="33"/>
      <c r="K477" s="46"/>
      <c r="O477" s="54"/>
      <c r="P477" s="54"/>
      <c r="Q477" s="54"/>
      <c r="R477" s="54"/>
      <c r="S477" s="47"/>
      <c r="T477" s="48"/>
      <c r="U477" s="48"/>
      <c r="V477" s="48"/>
      <c r="W477" s="48"/>
      <c r="X477" s="49"/>
      <c r="Y477" s="49"/>
      <c r="Z477" s="49"/>
      <c r="AA477" s="49"/>
      <c r="AB477" s="49"/>
      <c r="AC477" s="49"/>
      <c r="AD477" s="49"/>
      <c r="AE477" s="49"/>
      <c r="AF477" s="49"/>
      <c r="AG477" s="49"/>
      <c r="AH477" s="49"/>
      <c r="AI477" s="49"/>
      <c r="AJ477" s="49"/>
      <c r="AK477" s="49"/>
      <c r="AL477" s="49"/>
      <c r="AM477" s="49"/>
      <c r="AN477" s="49"/>
      <c r="AO477" s="49"/>
      <c r="AP477" s="49"/>
      <c r="AQ477" s="49"/>
      <c r="AR477" s="49"/>
      <c r="AS477" s="49"/>
      <c r="AT477" s="49"/>
      <c r="AU477" s="49"/>
      <c r="AV477" s="49"/>
      <c r="AW477" s="49"/>
      <c r="AX477" s="49"/>
      <c r="AY477" s="49"/>
      <c r="AZ477" s="49"/>
      <c r="BA477" s="49"/>
      <c r="BB477" s="49"/>
      <c r="BC477" s="49"/>
      <c r="BD477" s="49"/>
      <c r="BE477" s="49"/>
      <c r="BF477" s="49"/>
      <c r="BG477" s="49"/>
      <c r="BH477" s="49"/>
      <c r="BI477" s="49"/>
      <c r="BJ477" s="49"/>
      <c r="BK477" s="49"/>
      <c r="BL477" s="49"/>
      <c r="BM477" s="49"/>
      <c r="BN477" s="49"/>
      <c r="BO477" s="49"/>
      <c r="BP477" s="49"/>
      <c r="BQ477" s="49"/>
      <c r="BR477" s="49"/>
      <c r="BS477" s="49"/>
      <c r="BT477" s="49"/>
      <c r="BU477" s="49"/>
      <c r="BV477" s="49"/>
      <c r="BW477" s="49"/>
      <c r="BX477" s="49"/>
      <c r="BY477" s="49"/>
      <c r="BZ477" s="49"/>
      <c r="CA477" s="49"/>
      <c r="CB477" s="49"/>
      <c r="CC477" s="49"/>
      <c r="CD477" s="49"/>
      <c r="CE477" s="49"/>
      <c r="CF477" s="49"/>
      <c r="CG477" s="49"/>
      <c r="CH477" s="49"/>
      <c r="CI477" s="49"/>
      <c r="CJ477" s="49"/>
      <c r="CK477" s="49"/>
      <c r="CL477" s="49"/>
      <c r="CM477" s="49"/>
      <c r="CN477" s="49"/>
      <c r="CO477" s="49"/>
      <c r="CP477" s="49"/>
      <c r="CQ477" s="49"/>
      <c r="CT477" s="54"/>
      <c r="DE477" s="34"/>
    </row>
    <row r="478" spans="1:109" ht="14.5" x14ac:dyDescent="0.35">
      <c r="G478" s="38"/>
      <c r="J478" s="33"/>
      <c r="K478" s="46"/>
      <c r="O478" s="54"/>
      <c r="P478" s="54"/>
      <c r="Q478" s="54"/>
      <c r="R478" s="54"/>
      <c r="S478" s="47"/>
      <c r="T478" s="48"/>
      <c r="U478" s="48"/>
      <c r="V478" s="48"/>
      <c r="W478" s="48"/>
      <c r="X478" s="49"/>
      <c r="Y478" s="49"/>
      <c r="Z478" s="49"/>
      <c r="AA478" s="49"/>
      <c r="AB478" s="49"/>
      <c r="AC478" s="49"/>
      <c r="AD478" s="49"/>
      <c r="AE478" s="49"/>
      <c r="AF478" s="49"/>
      <c r="AG478" s="49"/>
      <c r="AH478" s="49"/>
      <c r="AI478" s="49"/>
      <c r="AJ478" s="49"/>
      <c r="AK478" s="49"/>
      <c r="AL478" s="49"/>
      <c r="AM478" s="49"/>
      <c r="AN478" s="49"/>
      <c r="AO478" s="49"/>
      <c r="AP478" s="49"/>
      <c r="AQ478" s="49"/>
      <c r="AR478" s="49"/>
      <c r="AS478" s="49"/>
      <c r="AT478" s="49"/>
      <c r="AU478" s="49"/>
      <c r="AV478" s="49"/>
      <c r="AW478" s="49"/>
      <c r="AX478" s="49"/>
      <c r="AY478" s="49"/>
      <c r="AZ478" s="49"/>
      <c r="BA478" s="49"/>
      <c r="BB478" s="49"/>
      <c r="BC478" s="49"/>
      <c r="BD478" s="49"/>
      <c r="BE478" s="49"/>
      <c r="BF478" s="49"/>
      <c r="BG478" s="49"/>
      <c r="BH478" s="49"/>
      <c r="BI478" s="49"/>
      <c r="BJ478" s="49"/>
      <c r="BK478" s="49"/>
      <c r="BL478" s="49"/>
      <c r="BM478" s="49"/>
      <c r="BN478" s="49"/>
      <c r="BO478" s="49"/>
      <c r="BP478" s="49"/>
      <c r="BQ478" s="49"/>
      <c r="BR478" s="49"/>
      <c r="BS478" s="49"/>
      <c r="BT478" s="49"/>
      <c r="BU478" s="49"/>
      <c r="BV478" s="49"/>
      <c r="BW478" s="49"/>
      <c r="BX478" s="49"/>
      <c r="BY478" s="49"/>
      <c r="BZ478" s="49"/>
      <c r="CA478" s="49"/>
      <c r="CB478" s="49"/>
      <c r="CC478" s="49"/>
      <c r="CD478" s="49"/>
      <c r="CE478" s="49"/>
      <c r="CF478" s="49"/>
      <c r="CG478" s="49"/>
      <c r="CH478" s="49"/>
      <c r="CI478" s="49"/>
      <c r="CJ478" s="49"/>
      <c r="CK478" s="49"/>
      <c r="CL478" s="49"/>
      <c r="CM478" s="49"/>
      <c r="CN478" s="49"/>
      <c r="CO478" s="49"/>
      <c r="CP478" s="49"/>
      <c r="CQ478" s="49"/>
      <c r="CT478" s="54"/>
      <c r="DE478" s="34"/>
    </row>
    <row r="479" spans="1:109" ht="14.5" x14ac:dyDescent="0.35">
      <c r="G479" s="38"/>
      <c r="J479" s="33"/>
      <c r="K479" s="46"/>
      <c r="O479" s="54"/>
      <c r="P479" s="54"/>
      <c r="Q479" s="54"/>
      <c r="R479" s="54"/>
      <c r="S479" s="47"/>
      <c r="T479" s="48"/>
      <c r="U479" s="48"/>
      <c r="V479" s="48"/>
      <c r="W479" s="48"/>
      <c r="X479" s="49"/>
      <c r="Y479" s="49"/>
      <c r="Z479" s="49"/>
      <c r="AA479" s="49"/>
      <c r="AB479" s="49"/>
      <c r="AC479" s="49"/>
      <c r="AD479" s="49"/>
      <c r="AE479" s="49"/>
      <c r="AF479" s="49"/>
      <c r="AG479" s="49"/>
      <c r="AH479" s="49"/>
      <c r="AI479" s="49"/>
      <c r="AJ479" s="49"/>
      <c r="AK479" s="49"/>
      <c r="AL479" s="49"/>
      <c r="AM479" s="49"/>
      <c r="AN479" s="49"/>
      <c r="AO479" s="49"/>
      <c r="AP479" s="49"/>
      <c r="AQ479" s="49"/>
      <c r="AR479" s="49"/>
      <c r="AS479" s="49"/>
      <c r="AT479" s="49"/>
      <c r="AU479" s="49"/>
      <c r="AV479" s="49"/>
      <c r="AW479" s="49"/>
      <c r="AX479" s="49"/>
      <c r="AY479" s="49"/>
      <c r="AZ479" s="49"/>
      <c r="BA479" s="49"/>
      <c r="BB479" s="49"/>
      <c r="BC479" s="49"/>
      <c r="BD479" s="49"/>
      <c r="BE479" s="49"/>
      <c r="BF479" s="49"/>
      <c r="BG479" s="49"/>
      <c r="BH479" s="49"/>
      <c r="BI479" s="49"/>
      <c r="BJ479" s="49"/>
      <c r="BK479" s="49"/>
      <c r="BL479" s="49"/>
      <c r="BM479" s="49"/>
      <c r="BN479" s="49"/>
      <c r="BO479" s="49"/>
      <c r="BP479" s="49"/>
      <c r="BQ479" s="49"/>
      <c r="BR479" s="49"/>
      <c r="BS479" s="49"/>
      <c r="BT479" s="49"/>
      <c r="BU479" s="49"/>
      <c r="BV479" s="49"/>
      <c r="BW479" s="49"/>
      <c r="BX479" s="49"/>
      <c r="BY479" s="49"/>
      <c r="BZ479" s="49"/>
      <c r="CA479" s="49"/>
      <c r="CB479" s="49"/>
      <c r="CC479" s="49"/>
      <c r="CD479" s="49"/>
      <c r="CE479" s="49"/>
      <c r="CF479" s="49"/>
      <c r="CG479" s="49"/>
      <c r="CH479" s="49"/>
      <c r="CI479" s="49"/>
      <c r="CJ479" s="49"/>
      <c r="CK479" s="49"/>
      <c r="CL479" s="49"/>
      <c r="CM479" s="49"/>
      <c r="CN479" s="49"/>
      <c r="CO479" s="49"/>
      <c r="CP479" s="49"/>
      <c r="CQ479" s="49"/>
      <c r="CT479" s="54"/>
      <c r="DE479" s="34"/>
    </row>
    <row r="480" spans="1:109" ht="14.5" x14ac:dyDescent="0.35">
      <c r="G480" s="38"/>
      <c r="J480" s="33"/>
      <c r="K480" s="46"/>
      <c r="O480" s="54"/>
      <c r="P480" s="54"/>
      <c r="Q480" s="54"/>
      <c r="R480" s="54"/>
      <c r="S480" s="47"/>
      <c r="T480" s="48"/>
      <c r="U480" s="48"/>
      <c r="V480" s="48"/>
      <c r="W480" s="48"/>
      <c r="X480" s="49"/>
      <c r="Y480" s="49"/>
      <c r="Z480" s="49"/>
      <c r="AA480" s="49"/>
      <c r="AB480" s="49"/>
      <c r="AC480" s="49"/>
      <c r="AD480" s="49"/>
      <c r="AE480" s="49"/>
      <c r="AF480" s="49"/>
      <c r="AG480" s="49"/>
      <c r="AH480" s="49"/>
      <c r="AI480" s="49"/>
      <c r="AJ480" s="49"/>
      <c r="AK480" s="49"/>
      <c r="AL480" s="49"/>
      <c r="AM480" s="49"/>
      <c r="AN480" s="49"/>
      <c r="AO480" s="49"/>
      <c r="AP480" s="49"/>
      <c r="AQ480" s="49"/>
      <c r="AR480" s="49"/>
      <c r="AS480" s="49"/>
      <c r="AT480" s="49"/>
      <c r="AU480" s="49"/>
      <c r="AV480" s="49"/>
      <c r="AW480" s="49"/>
      <c r="AX480" s="49"/>
      <c r="AY480" s="49"/>
      <c r="AZ480" s="49"/>
      <c r="BA480" s="49"/>
      <c r="BB480" s="49"/>
      <c r="BC480" s="49"/>
      <c r="BD480" s="49"/>
      <c r="BE480" s="49"/>
      <c r="BF480" s="49"/>
      <c r="BG480" s="49"/>
      <c r="BH480" s="49"/>
      <c r="BI480" s="49"/>
      <c r="BJ480" s="49"/>
      <c r="BK480" s="49"/>
      <c r="BL480" s="49"/>
      <c r="BM480" s="49"/>
      <c r="BN480" s="49"/>
      <c r="BO480" s="49"/>
      <c r="BP480" s="49"/>
      <c r="BQ480" s="49"/>
      <c r="BR480" s="49"/>
      <c r="BS480" s="49"/>
      <c r="BT480" s="49"/>
      <c r="BU480" s="49"/>
      <c r="BV480" s="49"/>
      <c r="BW480" s="49"/>
      <c r="BX480" s="49"/>
      <c r="BY480" s="49"/>
      <c r="BZ480" s="49"/>
      <c r="CA480" s="49"/>
      <c r="CB480" s="49"/>
      <c r="CC480" s="49"/>
      <c r="CD480" s="49"/>
      <c r="CE480" s="49"/>
      <c r="CF480" s="49"/>
      <c r="CG480" s="49"/>
      <c r="CH480" s="49"/>
      <c r="CI480" s="49"/>
      <c r="CJ480" s="49"/>
      <c r="CK480" s="49"/>
      <c r="CL480" s="49"/>
      <c r="CM480" s="49"/>
      <c r="CN480" s="49"/>
      <c r="CO480" s="49"/>
      <c r="CP480" s="49"/>
      <c r="CQ480" s="49"/>
      <c r="CT480" s="54"/>
      <c r="DE480" s="34"/>
    </row>
    <row r="481" spans="7:109" ht="14.5" x14ac:dyDescent="0.35">
      <c r="G481" s="38"/>
      <c r="J481" s="33"/>
      <c r="K481" s="46"/>
      <c r="O481" s="54"/>
      <c r="P481" s="54"/>
      <c r="Q481" s="54"/>
      <c r="R481" s="54"/>
      <c r="S481" s="47"/>
      <c r="T481" s="48"/>
      <c r="U481" s="48"/>
      <c r="V481" s="48"/>
      <c r="W481" s="48"/>
      <c r="X481" s="49"/>
      <c r="Y481" s="49"/>
      <c r="Z481" s="49"/>
      <c r="AA481" s="49"/>
      <c r="AB481" s="49"/>
      <c r="AC481" s="49"/>
      <c r="AD481" s="49"/>
      <c r="AE481" s="49"/>
      <c r="AF481" s="49"/>
      <c r="AG481" s="49"/>
      <c r="AH481" s="49"/>
      <c r="AI481" s="49"/>
      <c r="AJ481" s="49"/>
      <c r="AK481" s="49"/>
      <c r="AL481" s="49"/>
      <c r="AM481" s="49"/>
      <c r="AN481" s="49"/>
      <c r="AO481" s="49"/>
      <c r="AP481" s="49"/>
      <c r="AQ481" s="49"/>
      <c r="AR481" s="49"/>
      <c r="AS481" s="49"/>
      <c r="AT481" s="49"/>
      <c r="AU481" s="49"/>
      <c r="AV481" s="49"/>
      <c r="AW481" s="49"/>
      <c r="AX481" s="49"/>
      <c r="AY481" s="49"/>
      <c r="AZ481" s="49"/>
      <c r="BA481" s="49"/>
      <c r="BB481" s="49"/>
      <c r="BC481" s="49"/>
      <c r="BD481" s="49"/>
      <c r="BE481" s="49"/>
      <c r="BF481" s="49"/>
      <c r="BG481" s="49"/>
      <c r="BH481" s="49"/>
      <c r="BI481" s="49"/>
      <c r="BJ481" s="49"/>
      <c r="BK481" s="49"/>
      <c r="BL481" s="49"/>
      <c r="BM481" s="49"/>
      <c r="BN481" s="49"/>
      <c r="BO481" s="49"/>
      <c r="BP481" s="49"/>
      <c r="BQ481" s="49"/>
      <c r="BR481" s="49"/>
      <c r="BS481" s="49"/>
      <c r="BT481" s="49"/>
      <c r="BU481" s="49"/>
      <c r="BV481" s="49"/>
      <c r="BW481" s="49"/>
      <c r="BX481" s="49"/>
      <c r="BY481" s="49"/>
      <c r="BZ481" s="49"/>
      <c r="CA481" s="49"/>
      <c r="CB481" s="49"/>
      <c r="CC481" s="49"/>
      <c r="CD481" s="49"/>
      <c r="CE481" s="49"/>
      <c r="CF481" s="49"/>
      <c r="CG481" s="49"/>
      <c r="CH481" s="49"/>
      <c r="CI481" s="49"/>
      <c r="CJ481" s="49"/>
      <c r="CK481" s="49"/>
      <c r="CL481" s="49"/>
      <c r="CM481" s="49"/>
      <c r="CN481" s="49"/>
      <c r="CO481" s="49"/>
      <c r="CP481" s="49"/>
      <c r="CQ481" s="49"/>
      <c r="CT481" s="54"/>
      <c r="DE481" s="34"/>
    </row>
    <row r="482" spans="7:109" ht="14.5" x14ac:dyDescent="0.35">
      <c r="G482" s="38"/>
      <c r="J482" s="33"/>
      <c r="K482" s="46"/>
      <c r="O482" s="54"/>
      <c r="P482" s="54"/>
      <c r="Q482" s="54"/>
      <c r="R482" s="54"/>
      <c r="S482" s="47"/>
      <c r="T482" s="48"/>
      <c r="U482" s="48"/>
      <c r="V482" s="48"/>
      <c r="W482" s="48"/>
      <c r="X482" s="49"/>
      <c r="Y482" s="49"/>
      <c r="Z482" s="49"/>
      <c r="AA482" s="49"/>
      <c r="AB482" s="49"/>
      <c r="AC482" s="49"/>
      <c r="AD482" s="49"/>
      <c r="AE482" s="49"/>
      <c r="AF482" s="49"/>
      <c r="AG482" s="49"/>
      <c r="AH482" s="49"/>
      <c r="AI482" s="49"/>
      <c r="AJ482" s="49"/>
      <c r="AK482" s="49"/>
      <c r="AL482" s="49"/>
      <c r="AM482" s="49"/>
      <c r="AN482" s="49"/>
      <c r="AO482" s="49"/>
      <c r="AP482" s="49"/>
      <c r="AQ482" s="49"/>
      <c r="AR482" s="49"/>
      <c r="AS482" s="49"/>
      <c r="AT482" s="49"/>
      <c r="AU482" s="49"/>
      <c r="AV482" s="49"/>
      <c r="AW482" s="49"/>
      <c r="AX482" s="49"/>
      <c r="AY482" s="49"/>
      <c r="AZ482" s="49"/>
      <c r="BA482" s="49"/>
      <c r="BB482" s="49"/>
      <c r="BC482" s="49"/>
      <c r="BD482" s="49"/>
      <c r="BE482" s="49"/>
      <c r="BF482" s="49"/>
      <c r="BG482" s="49"/>
      <c r="BH482" s="49"/>
      <c r="BI482" s="49"/>
      <c r="BJ482" s="49"/>
      <c r="BK482" s="49"/>
      <c r="BL482" s="49"/>
      <c r="BM482" s="49"/>
      <c r="BN482" s="49"/>
      <c r="BO482" s="49"/>
      <c r="BP482" s="49"/>
      <c r="BQ482" s="49"/>
      <c r="BR482" s="49"/>
      <c r="BS482" s="49"/>
      <c r="BT482" s="49"/>
      <c r="BU482" s="49"/>
      <c r="BV482" s="49"/>
      <c r="BW482" s="49"/>
      <c r="BX482" s="49"/>
      <c r="BY482" s="49"/>
      <c r="BZ482" s="49"/>
      <c r="CA482" s="49"/>
      <c r="CB482" s="49"/>
      <c r="CC482" s="49"/>
      <c r="CD482" s="49"/>
      <c r="CE482" s="49"/>
      <c r="CF482" s="49"/>
      <c r="CG482" s="49"/>
      <c r="CH482" s="49"/>
      <c r="CI482" s="49"/>
      <c r="CJ482" s="49"/>
      <c r="CK482" s="49"/>
      <c r="CL482" s="49"/>
      <c r="CM482" s="49"/>
      <c r="CN482" s="49"/>
      <c r="CO482" s="49"/>
      <c r="CP482" s="49"/>
      <c r="CQ482" s="49"/>
      <c r="CT482" s="54"/>
      <c r="DE482" s="34"/>
    </row>
    <row r="483" spans="7:109" ht="14.5" x14ac:dyDescent="0.35">
      <c r="G483" s="38"/>
      <c r="J483" s="33"/>
      <c r="K483" s="46"/>
      <c r="O483" s="54"/>
      <c r="P483" s="54"/>
      <c r="Q483" s="54"/>
      <c r="R483" s="54"/>
      <c r="S483" s="47"/>
      <c r="T483" s="48"/>
      <c r="U483" s="48"/>
      <c r="V483" s="48"/>
      <c r="W483" s="48"/>
      <c r="X483" s="49"/>
      <c r="Y483" s="49"/>
      <c r="Z483" s="49"/>
      <c r="AA483" s="49"/>
      <c r="AB483" s="49"/>
      <c r="AC483" s="49"/>
      <c r="AD483" s="49"/>
      <c r="AE483" s="49"/>
      <c r="AF483" s="49"/>
      <c r="AG483" s="49"/>
      <c r="AH483" s="49"/>
      <c r="AI483" s="49"/>
      <c r="AJ483" s="49"/>
      <c r="AK483" s="49"/>
      <c r="AL483" s="49"/>
      <c r="AM483" s="49"/>
      <c r="AN483" s="49"/>
      <c r="AO483" s="49"/>
      <c r="AP483" s="49"/>
      <c r="AQ483" s="49"/>
      <c r="AR483" s="49"/>
      <c r="AS483" s="49"/>
      <c r="AT483" s="49"/>
      <c r="AU483" s="49"/>
      <c r="AV483" s="49"/>
      <c r="AW483" s="49"/>
      <c r="AX483" s="49"/>
      <c r="AY483" s="49"/>
      <c r="AZ483" s="49"/>
      <c r="BA483" s="49"/>
      <c r="BB483" s="49"/>
      <c r="BC483" s="49"/>
      <c r="BD483" s="49"/>
      <c r="BE483" s="49"/>
      <c r="BF483" s="49"/>
      <c r="BG483" s="49"/>
      <c r="BH483" s="49"/>
      <c r="BI483" s="49"/>
      <c r="BJ483" s="49"/>
      <c r="BK483" s="49"/>
      <c r="BL483" s="49"/>
      <c r="BM483" s="49"/>
      <c r="BN483" s="49"/>
      <c r="BO483" s="49"/>
      <c r="BP483" s="49"/>
      <c r="BQ483" s="49"/>
      <c r="BR483" s="49"/>
      <c r="BS483" s="49"/>
      <c r="BT483" s="49"/>
      <c r="BU483" s="49"/>
      <c r="BV483" s="49"/>
      <c r="BW483" s="49"/>
      <c r="BX483" s="49"/>
      <c r="BY483" s="49"/>
      <c r="BZ483" s="49"/>
      <c r="CA483" s="49"/>
      <c r="CB483" s="49"/>
      <c r="CC483" s="49"/>
      <c r="CD483" s="49"/>
      <c r="CE483" s="49"/>
      <c r="CF483" s="49"/>
      <c r="CG483" s="49"/>
      <c r="CH483" s="49"/>
      <c r="CI483" s="49"/>
      <c r="CJ483" s="49"/>
      <c r="CK483" s="49"/>
      <c r="CL483" s="49"/>
      <c r="CM483" s="49"/>
      <c r="CN483" s="49"/>
      <c r="CO483" s="49"/>
      <c r="CP483" s="49"/>
      <c r="CQ483" s="49"/>
      <c r="CT483" s="54"/>
      <c r="DE483" s="34"/>
    </row>
    <row r="484" spans="7:109" ht="14.5" x14ac:dyDescent="0.35">
      <c r="G484" s="38"/>
      <c r="J484" s="33"/>
      <c r="K484" s="46"/>
      <c r="O484" s="54"/>
      <c r="P484" s="54"/>
      <c r="Q484" s="54"/>
      <c r="R484" s="54"/>
      <c r="S484" s="47"/>
      <c r="T484" s="48"/>
      <c r="U484" s="48"/>
      <c r="V484" s="48"/>
      <c r="W484" s="48"/>
      <c r="X484" s="49"/>
      <c r="Y484" s="49"/>
      <c r="Z484" s="49"/>
      <c r="AA484" s="49"/>
      <c r="AB484" s="49"/>
      <c r="AC484" s="49"/>
      <c r="AD484" s="49"/>
      <c r="AE484" s="49"/>
      <c r="AF484" s="49"/>
      <c r="AG484" s="49"/>
      <c r="AH484" s="49"/>
      <c r="AI484" s="49"/>
      <c r="AJ484" s="49"/>
      <c r="AK484" s="49"/>
      <c r="AL484" s="49"/>
      <c r="AM484" s="49"/>
      <c r="AN484" s="49"/>
      <c r="AO484" s="49"/>
      <c r="AP484" s="49"/>
      <c r="AQ484" s="49"/>
      <c r="AR484" s="49"/>
      <c r="AS484" s="49"/>
      <c r="AT484" s="49"/>
      <c r="AU484" s="49"/>
      <c r="AV484" s="49"/>
      <c r="AW484" s="49"/>
      <c r="AX484" s="49"/>
      <c r="AY484" s="49"/>
      <c r="AZ484" s="49"/>
      <c r="BA484" s="49"/>
      <c r="BB484" s="49"/>
      <c r="BC484" s="49"/>
      <c r="BD484" s="49"/>
      <c r="BE484" s="49"/>
      <c r="BF484" s="49"/>
      <c r="BG484" s="49"/>
      <c r="BH484" s="49"/>
      <c r="BI484" s="49"/>
      <c r="BJ484" s="49"/>
      <c r="BK484" s="49"/>
      <c r="BL484" s="49"/>
      <c r="BM484" s="49"/>
      <c r="BN484" s="49"/>
      <c r="BO484" s="49"/>
      <c r="BP484" s="49"/>
      <c r="BQ484" s="49"/>
      <c r="BR484" s="49"/>
      <c r="BS484" s="49"/>
      <c r="BT484" s="49"/>
      <c r="BU484" s="49"/>
      <c r="BV484" s="49"/>
      <c r="BW484" s="49"/>
      <c r="BX484" s="49"/>
      <c r="BY484" s="49"/>
      <c r="BZ484" s="49"/>
      <c r="CA484" s="49"/>
      <c r="CB484" s="49"/>
      <c r="CC484" s="49"/>
      <c r="CD484" s="49"/>
      <c r="CE484" s="49"/>
      <c r="CF484" s="49"/>
      <c r="CG484" s="49"/>
      <c r="CH484" s="49"/>
      <c r="CI484" s="49"/>
      <c r="CJ484" s="49"/>
      <c r="CK484" s="49"/>
      <c r="CL484" s="49"/>
      <c r="CM484" s="49"/>
      <c r="CN484" s="49"/>
      <c r="CO484" s="49"/>
      <c r="CP484" s="49"/>
      <c r="CQ484" s="49"/>
      <c r="CT484" s="54"/>
      <c r="DE484" s="34"/>
    </row>
    <row r="485" spans="7:109" ht="14.5" x14ac:dyDescent="0.35">
      <c r="G485" s="38"/>
      <c r="J485" s="33"/>
      <c r="K485" s="46"/>
      <c r="O485" s="54"/>
      <c r="P485" s="54"/>
      <c r="Q485" s="54"/>
      <c r="R485" s="54"/>
      <c r="S485" s="47"/>
      <c r="T485" s="48"/>
      <c r="U485" s="48"/>
      <c r="V485" s="48"/>
      <c r="W485" s="48"/>
      <c r="X485" s="49"/>
      <c r="Y485" s="49"/>
      <c r="Z485" s="49"/>
      <c r="AA485" s="49"/>
      <c r="AB485" s="49"/>
      <c r="AC485" s="49"/>
      <c r="AD485" s="49"/>
      <c r="AE485" s="49"/>
      <c r="AF485" s="49"/>
      <c r="AG485" s="49"/>
      <c r="AH485" s="49"/>
      <c r="AI485" s="49"/>
      <c r="AJ485" s="49"/>
      <c r="AK485" s="49"/>
      <c r="AL485" s="49"/>
      <c r="AM485" s="49"/>
      <c r="AN485" s="49"/>
      <c r="AO485" s="49"/>
      <c r="AP485" s="49"/>
      <c r="AQ485" s="49"/>
      <c r="AR485" s="49"/>
      <c r="AS485" s="49"/>
      <c r="AT485" s="49"/>
      <c r="AU485" s="49"/>
      <c r="AV485" s="49"/>
      <c r="AW485" s="49"/>
      <c r="AX485" s="49"/>
      <c r="AY485" s="49"/>
      <c r="AZ485" s="49"/>
      <c r="BA485" s="49"/>
      <c r="BB485" s="49"/>
      <c r="BC485" s="49"/>
      <c r="BD485" s="49"/>
      <c r="BE485" s="49"/>
      <c r="BF485" s="49"/>
      <c r="BG485" s="49"/>
      <c r="BH485" s="49"/>
      <c r="BI485" s="49"/>
      <c r="BJ485" s="49"/>
      <c r="BK485" s="49"/>
      <c r="BL485" s="49"/>
      <c r="BM485" s="49"/>
      <c r="BN485" s="49"/>
      <c r="BO485" s="49"/>
      <c r="BP485" s="49"/>
      <c r="BQ485" s="49"/>
      <c r="BR485" s="49"/>
      <c r="BS485" s="49"/>
      <c r="BT485" s="49"/>
      <c r="BU485" s="49"/>
      <c r="BV485" s="49"/>
      <c r="BW485" s="49"/>
      <c r="BX485" s="49"/>
      <c r="BY485" s="49"/>
      <c r="BZ485" s="49"/>
      <c r="CA485" s="49"/>
      <c r="CB485" s="49"/>
      <c r="CC485" s="49"/>
      <c r="CD485" s="49"/>
      <c r="CE485" s="49"/>
      <c r="CF485" s="49"/>
      <c r="CG485" s="49"/>
      <c r="CH485" s="49"/>
      <c r="CI485" s="49"/>
      <c r="CJ485" s="49"/>
      <c r="CK485" s="49"/>
      <c r="CL485" s="49"/>
      <c r="CM485" s="49"/>
      <c r="CN485" s="49"/>
      <c r="CO485" s="49"/>
      <c r="CP485" s="49"/>
      <c r="CQ485" s="49"/>
      <c r="CT485" s="54"/>
      <c r="DE485" s="34"/>
    </row>
    <row r="486" spans="7:109" ht="14.5" x14ac:dyDescent="0.35">
      <c r="G486" s="38"/>
      <c r="J486" s="33"/>
      <c r="K486" s="46"/>
      <c r="O486" s="54"/>
      <c r="P486" s="54"/>
      <c r="Q486" s="54"/>
      <c r="R486" s="54"/>
      <c r="S486" s="47"/>
      <c r="T486" s="48"/>
      <c r="U486" s="48"/>
      <c r="V486" s="48"/>
      <c r="W486" s="48"/>
      <c r="X486" s="49"/>
      <c r="Y486" s="49"/>
      <c r="Z486" s="49"/>
      <c r="AA486" s="49"/>
      <c r="AB486" s="49"/>
      <c r="AC486" s="49"/>
      <c r="AD486" s="49"/>
      <c r="AE486" s="49"/>
      <c r="AF486" s="49"/>
      <c r="AG486" s="49"/>
      <c r="AH486" s="49"/>
      <c r="AI486" s="49"/>
      <c r="AJ486" s="49"/>
      <c r="AK486" s="49"/>
      <c r="AL486" s="49"/>
      <c r="AM486" s="49"/>
      <c r="AN486" s="49"/>
      <c r="AO486" s="49"/>
      <c r="AP486" s="49"/>
      <c r="AQ486" s="49"/>
      <c r="AR486" s="49"/>
      <c r="AS486" s="49"/>
      <c r="AT486" s="49"/>
      <c r="AU486" s="49"/>
      <c r="AV486" s="49"/>
      <c r="AW486" s="49"/>
      <c r="AX486" s="49"/>
      <c r="AY486" s="49"/>
      <c r="AZ486" s="49"/>
      <c r="BA486" s="49"/>
      <c r="BB486" s="49"/>
      <c r="BC486" s="49"/>
      <c r="BD486" s="49"/>
      <c r="BE486" s="49"/>
      <c r="BF486" s="49"/>
      <c r="BG486" s="49"/>
      <c r="BH486" s="49"/>
      <c r="BI486" s="49"/>
      <c r="BJ486" s="49"/>
      <c r="BK486" s="49"/>
      <c r="BL486" s="49"/>
      <c r="BM486" s="49"/>
      <c r="BN486" s="49"/>
      <c r="BO486" s="49"/>
      <c r="BP486" s="49"/>
      <c r="BQ486" s="49"/>
      <c r="BR486" s="49"/>
      <c r="BS486" s="49"/>
      <c r="BT486" s="49"/>
      <c r="BU486" s="49"/>
      <c r="BV486" s="49"/>
      <c r="BW486" s="49"/>
      <c r="BX486" s="49"/>
      <c r="BY486" s="49"/>
      <c r="BZ486" s="49"/>
      <c r="CA486" s="49"/>
      <c r="CB486" s="49"/>
      <c r="CC486" s="49"/>
      <c r="CD486" s="49"/>
      <c r="CE486" s="49"/>
      <c r="CF486" s="49"/>
      <c r="CG486" s="49"/>
      <c r="CH486" s="49"/>
      <c r="CI486" s="49"/>
      <c r="CJ486" s="49"/>
      <c r="CK486" s="49"/>
      <c r="CL486" s="49"/>
      <c r="CM486" s="49"/>
      <c r="CN486" s="49"/>
      <c r="CO486" s="49"/>
      <c r="CP486" s="49"/>
      <c r="CQ486" s="49"/>
      <c r="CT486" s="54"/>
      <c r="DE486" s="34"/>
    </row>
    <row r="487" spans="7:109" ht="14.5" x14ac:dyDescent="0.35">
      <c r="G487" s="38"/>
      <c r="J487" s="33"/>
      <c r="K487" s="46"/>
      <c r="O487" s="54"/>
      <c r="P487" s="54"/>
      <c r="Q487" s="54"/>
      <c r="R487" s="54"/>
      <c r="S487" s="47"/>
      <c r="T487" s="48"/>
      <c r="U487" s="48"/>
      <c r="V487" s="48"/>
      <c r="W487" s="48"/>
      <c r="X487" s="49"/>
      <c r="Y487" s="49"/>
      <c r="Z487" s="49"/>
      <c r="AA487" s="49"/>
      <c r="AB487" s="49"/>
      <c r="AC487" s="49"/>
      <c r="AD487" s="49"/>
      <c r="AE487" s="49"/>
      <c r="AF487" s="49"/>
      <c r="AG487" s="49"/>
      <c r="AH487" s="49"/>
      <c r="AI487" s="49"/>
      <c r="AJ487" s="49"/>
      <c r="AK487" s="49"/>
      <c r="AL487" s="49"/>
      <c r="AM487" s="49"/>
      <c r="AN487" s="49"/>
      <c r="AO487" s="49"/>
      <c r="AP487" s="49"/>
      <c r="AQ487" s="49"/>
      <c r="AR487" s="49"/>
      <c r="AS487" s="49"/>
      <c r="AT487" s="49"/>
      <c r="AU487" s="49"/>
      <c r="AV487" s="49"/>
      <c r="AW487" s="49"/>
      <c r="AX487" s="49"/>
      <c r="AY487" s="49"/>
      <c r="AZ487" s="49"/>
      <c r="BA487" s="49"/>
      <c r="BB487" s="49"/>
      <c r="BC487" s="49"/>
      <c r="BD487" s="49"/>
      <c r="BE487" s="49"/>
      <c r="BF487" s="49"/>
      <c r="BG487" s="49"/>
      <c r="BH487" s="49"/>
      <c r="BI487" s="49"/>
      <c r="BJ487" s="49"/>
      <c r="BK487" s="49"/>
      <c r="BL487" s="49"/>
      <c r="BM487" s="49"/>
      <c r="BN487" s="49"/>
      <c r="BO487" s="49"/>
      <c r="BP487" s="49"/>
      <c r="BQ487" s="49"/>
      <c r="BR487" s="49"/>
      <c r="BS487" s="49"/>
      <c r="BT487" s="49"/>
      <c r="BU487" s="49"/>
      <c r="BV487" s="49"/>
      <c r="BW487" s="49"/>
      <c r="BX487" s="49"/>
      <c r="BY487" s="49"/>
      <c r="BZ487" s="49"/>
      <c r="CA487" s="49"/>
      <c r="CB487" s="49"/>
      <c r="CC487" s="49"/>
      <c r="CD487" s="49"/>
      <c r="CE487" s="49"/>
      <c r="CF487" s="49"/>
      <c r="CG487" s="49"/>
      <c r="CH487" s="49"/>
      <c r="CI487" s="49"/>
      <c r="CJ487" s="49"/>
      <c r="CK487" s="49"/>
      <c r="CL487" s="49"/>
      <c r="CM487" s="49"/>
      <c r="CN487" s="49"/>
      <c r="CO487" s="49"/>
      <c r="CP487" s="49"/>
      <c r="CQ487" s="49"/>
      <c r="CT487" s="54"/>
      <c r="DE487" s="34"/>
    </row>
    <row r="488" spans="7:109" ht="14.5" x14ac:dyDescent="0.35">
      <c r="G488" s="38"/>
      <c r="J488" s="33"/>
      <c r="K488" s="46"/>
      <c r="O488" s="54"/>
      <c r="P488" s="54"/>
      <c r="Q488" s="54"/>
      <c r="R488" s="54"/>
      <c r="S488" s="47"/>
      <c r="T488" s="48"/>
      <c r="U488" s="48"/>
      <c r="V488" s="48"/>
      <c r="W488" s="48"/>
      <c r="X488" s="49"/>
      <c r="Y488" s="49"/>
      <c r="Z488" s="49"/>
      <c r="AA488" s="49"/>
      <c r="AB488" s="49"/>
      <c r="AC488" s="49"/>
      <c r="AD488" s="49"/>
      <c r="AE488" s="49"/>
      <c r="AF488" s="49"/>
      <c r="AG488" s="49"/>
      <c r="AH488" s="49"/>
      <c r="AI488" s="49"/>
      <c r="AJ488" s="49"/>
      <c r="AK488" s="49"/>
      <c r="AL488" s="49"/>
      <c r="AM488" s="49"/>
      <c r="AN488" s="49"/>
      <c r="AO488" s="49"/>
      <c r="AP488" s="49"/>
      <c r="AQ488" s="49"/>
      <c r="AR488" s="49"/>
      <c r="AS488" s="49"/>
      <c r="AT488" s="49"/>
      <c r="AU488" s="49"/>
      <c r="AV488" s="49"/>
      <c r="AW488" s="49"/>
      <c r="AX488" s="49"/>
      <c r="AY488" s="49"/>
      <c r="AZ488" s="49"/>
      <c r="BA488" s="49"/>
      <c r="BB488" s="49"/>
      <c r="BC488" s="49"/>
      <c r="BD488" s="49"/>
      <c r="BE488" s="49"/>
      <c r="BF488" s="49"/>
      <c r="BG488" s="49"/>
      <c r="BH488" s="49"/>
      <c r="BI488" s="49"/>
      <c r="BJ488" s="49"/>
      <c r="BK488" s="49"/>
      <c r="BL488" s="49"/>
      <c r="BM488" s="49"/>
      <c r="BN488" s="49"/>
      <c r="BO488" s="49"/>
      <c r="BP488" s="49"/>
      <c r="BQ488" s="49"/>
      <c r="BR488" s="49"/>
      <c r="BS488" s="49"/>
      <c r="BT488" s="49"/>
      <c r="BU488" s="49"/>
      <c r="BV488" s="49"/>
      <c r="BW488" s="49"/>
      <c r="BX488" s="49"/>
      <c r="BY488" s="49"/>
      <c r="BZ488" s="49"/>
      <c r="CA488" s="49"/>
      <c r="CB488" s="49"/>
      <c r="CC488" s="49"/>
      <c r="CD488" s="49"/>
      <c r="CE488" s="49"/>
      <c r="CF488" s="49"/>
      <c r="CG488" s="49"/>
      <c r="CH488" s="49"/>
      <c r="CI488" s="49"/>
      <c r="CJ488" s="49"/>
      <c r="CK488" s="49"/>
      <c r="CL488" s="49"/>
      <c r="CM488" s="49"/>
      <c r="CN488" s="49"/>
      <c r="CO488" s="49"/>
      <c r="CP488" s="49"/>
      <c r="CQ488" s="49"/>
      <c r="CT488" s="54"/>
      <c r="DE488" s="34"/>
    </row>
    <row r="489" spans="7:109" ht="14.5" x14ac:dyDescent="0.35">
      <c r="G489" s="38"/>
      <c r="J489" s="33"/>
      <c r="K489" s="46"/>
      <c r="O489" s="54"/>
      <c r="P489" s="54"/>
      <c r="Q489" s="54"/>
      <c r="R489" s="54"/>
      <c r="S489" s="47"/>
      <c r="T489" s="48"/>
      <c r="U489" s="48"/>
      <c r="V489" s="48"/>
      <c r="W489" s="48"/>
      <c r="X489" s="49"/>
      <c r="Y489" s="49"/>
      <c r="Z489" s="49"/>
      <c r="AA489" s="49"/>
      <c r="AB489" s="49"/>
      <c r="AC489" s="49"/>
      <c r="AD489" s="49"/>
      <c r="AE489" s="49"/>
      <c r="AF489" s="49"/>
      <c r="AG489" s="49"/>
      <c r="AH489" s="49"/>
      <c r="AI489" s="49"/>
      <c r="AJ489" s="49"/>
      <c r="AK489" s="49"/>
      <c r="AL489" s="49"/>
      <c r="AM489" s="49"/>
      <c r="AN489" s="49"/>
      <c r="AO489" s="49"/>
      <c r="AP489" s="49"/>
      <c r="AQ489" s="49"/>
      <c r="AR489" s="49"/>
      <c r="AS489" s="49"/>
      <c r="AT489" s="49"/>
      <c r="AU489" s="49"/>
      <c r="AV489" s="49"/>
      <c r="AW489" s="49"/>
      <c r="AX489" s="49"/>
      <c r="AY489" s="49"/>
      <c r="AZ489" s="49"/>
      <c r="BA489" s="49"/>
      <c r="BB489" s="49"/>
      <c r="BC489" s="49"/>
      <c r="BD489" s="49"/>
      <c r="BE489" s="49"/>
      <c r="BF489" s="49"/>
      <c r="BG489" s="49"/>
      <c r="BH489" s="49"/>
      <c r="BI489" s="49"/>
      <c r="BJ489" s="49"/>
      <c r="BK489" s="49"/>
      <c r="BL489" s="49"/>
      <c r="BM489" s="49"/>
      <c r="BN489" s="49"/>
      <c r="BO489" s="49"/>
      <c r="BP489" s="49"/>
      <c r="BQ489" s="49"/>
      <c r="BR489" s="49"/>
      <c r="BS489" s="49"/>
      <c r="BT489" s="49"/>
      <c r="BU489" s="49"/>
      <c r="BV489" s="49"/>
      <c r="BW489" s="49"/>
      <c r="BX489" s="49"/>
      <c r="BY489" s="49"/>
      <c r="BZ489" s="49"/>
      <c r="CA489" s="49"/>
      <c r="CB489" s="49"/>
      <c r="CC489" s="49"/>
      <c r="CD489" s="49"/>
      <c r="CE489" s="49"/>
      <c r="CF489" s="49"/>
      <c r="CG489" s="49"/>
      <c r="CH489" s="49"/>
      <c r="CI489" s="49"/>
      <c r="CJ489" s="49"/>
      <c r="CK489" s="49"/>
      <c r="CL489" s="49"/>
      <c r="CM489" s="49"/>
      <c r="CN489" s="49"/>
      <c r="CO489" s="49"/>
      <c r="CP489" s="49"/>
      <c r="CQ489" s="49"/>
      <c r="CT489" s="54"/>
      <c r="DE489" s="34"/>
    </row>
    <row r="491" spans="7:109" ht="14.5" x14ac:dyDescent="0.35">
      <c r="K491" s="59"/>
      <c r="CR491" s="82"/>
      <c r="CS491" s="58"/>
    </row>
  </sheetData>
  <autoFilter ref="A6:DJ6" xr:uid="{00000000-0001-0000-0000-000000000000}"/>
  <sortState xmlns:xlrd2="http://schemas.microsoft.com/office/spreadsheetml/2017/richdata2" ref="A7:DD491">
    <sortCondition ref="B7:B491"/>
  </sortState>
  <mergeCells count="19">
    <mergeCell ref="K1:K4"/>
    <mergeCell ref="CS1:CS4"/>
    <mergeCell ref="A5:D5"/>
    <mergeCell ref="E5:H5"/>
    <mergeCell ref="L5:P5"/>
    <mergeCell ref="S5:X5"/>
    <mergeCell ref="Y5:AD5"/>
    <mergeCell ref="BI5:BN5"/>
    <mergeCell ref="BO5:BT5"/>
    <mergeCell ref="BU5:BZ5"/>
    <mergeCell ref="DF5:DG5"/>
    <mergeCell ref="AE5:AJ5"/>
    <mergeCell ref="CM5:CR5"/>
    <mergeCell ref="AQ5:AV5"/>
    <mergeCell ref="AW5:BB5"/>
    <mergeCell ref="CA5:CF5"/>
    <mergeCell ref="CG5:CL5"/>
    <mergeCell ref="AK5:AP5"/>
    <mergeCell ref="BC5:BH5"/>
  </mergeCells>
  <printOptions gridLine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9"/>
  </sheetPr>
  <dimension ref="A1:I2475"/>
  <sheetViews>
    <sheetView topLeftCell="A171" zoomScale="70" zoomScaleNormal="70" workbookViewId="0">
      <selection activeCell="G199" sqref="G199"/>
    </sheetView>
  </sheetViews>
  <sheetFormatPr defaultColWidth="8.90625" defaultRowHeight="14.5" x14ac:dyDescent="0.35"/>
  <cols>
    <col min="1" max="1" width="33.453125" bestFit="1" customWidth="1"/>
    <col min="2" max="2" width="17.81640625" bestFit="1" customWidth="1"/>
    <col min="3" max="3" width="15.54296875" bestFit="1" customWidth="1"/>
    <col min="4" max="4" width="18.1796875" bestFit="1" customWidth="1"/>
    <col min="5" max="8" width="14.81640625" style="8" bestFit="1" customWidth="1"/>
    <col min="9" max="9" width="15.36328125" style="8" bestFit="1" customWidth="1"/>
    <col min="10" max="10" width="17" bestFit="1" customWidth="1"/>
  </cols>
  <sheetData>
    <row r="1" spans="1:9" x14ac:dyDescent="0.35">
      <c r="A1" s="18" t="s">
        <v>9</v>
      </c>
      <c r="B1" t="s">
        <v>65</v>
      </c>
    </row>
    <row r="3" spans="1:9" x14ac:dyDescent="0.35">
      <c r="A3" s="18" t="s">
        <v>231</v>
      </c>
      <c r="E3" s="18" t="s">
        <v>8</v>
      </c>
      <c r="F3"/>
      <c r="G3"/>
      <c r="H3"/>
      <c r="I3"/>
    </row>
    <row r="4" spans="1:9" x14ac:dyDescent="0.35">
      <c r="A4" s="18" t="s">
        <v>6</v>
      </c>
      <c r="B4" s="18" t="s">
        <v>4</v>
      </c>
      <c r="C4" s="18" t="s">
        <v>3</v>
      </c>
      <c r="D4" s="18" t="s">
        <v>26</v>
      </c>
      <c r="E4" s="37" t="s">
        <v>260</v>
      </c>
      <c r="F4" s="37" t="s">
        <v>482</v>
      </c>
      <c r="G4" s="37" t="s">
        <v>1368</v>
      </c>
      <c r="H4"/>
      <c r="I4"/>
    </row>
    <row r="5" spans="1:9" x14ac:dyDescent="0.35">
      <c r="A5" t="s">
        <v>1366</v>
      </c>
      <c r="B5" t="s">
        <v>582</v>
      </c>
      <c r="C5">
        <v>309496901</v>
      </c>
      <c r="D5" t="s">
        <v>93</v>
      </c>
      <c r="E5" s="38">
        <v>-31.88</v>
      </c>
      <c r="F5" s="38"/>
      <c r="G5" s="38">
        <v>-31.88</v>
      </c>
      <c r="H5"/>
      <c r="I5"/>
    </row>
    <row r="6" spans="1:9" x14ac:dyDescent="0.35">
      <c r="B6" t="s">
        <v>684</v>
      </c>
      <c r="C6">
        <v>322257401</v>
      </c>
      <c r="D6" t="s">
        <v>93</v>
      </c>
      <c r="E6" s="38">
        <v>-5266.59</v>
      </c>
      <c r="F6" s="38"/>
      <c r="G6" s="38">
        <v>-5266.59</v>
      </c>
      <c r="H6"/>
      <c r="I6"/>
    </row>
    <row r="7" spans="1:9" x14ac:dyDescent="0.35">
      <c r="B7" t="s">
        <v>1026</v>
      </c>
      <c r="C7">
        <v>323787901</v>
      </c>
      <c r="D7" t="s">
        <v>93</v>
      </c>
      <c r="E7" s="38">
        <v>-4389.96</v>
      </c>
      <c r="F7" s="38"/>
      <c r="G7" s="38">
        <v>-4389.96</v>
      </c>
      <c r="H7"/>
      <c r="I7"/>
    </row>
    <row r="8" spans="1:9" x14ac:dyDescent="0.35">
      <c r="B8" t="s">
        <v>1125</v>
      </c>
      <c r="C8">
        <v>324901601</v>
      </c>
      <c r="D8" t="s">
        <v>93</v>
      </c>
      <c r="E8" s="38">
        <v>-2160.9299999999998</v>
      </c>
      <c r="F8" s="38"/>
      <c r="G8" s="38">
        <v>-2160.9299999999998</v>
      </c>
      <c r="H8"/>
      <c r="I8"/>
    </row>
    <row r="9" spans="1:9" x14ac:dyDescent="0.35">
      <c r="B9" t="s">
        <v>1112</v>
      </c>
      <c r="C9">
        <v>324878901</v>
      </c>
      <c r="D9" t="s">
        <v>93</v>
      </c>
      <c r="E9" s="38">
        <v>-4290.3599999999997</v>
      </c>
      <c r="F9" s="38"/>
      <c r="G9" s="38">
        <v>-4290.3599999999997</v>
      </c>
      <c r="H9"/>
      <c r="I9"/>
    </row>
    <row r="10" spans="1:9" x14ac:dyDescent="0.35">
      <c r="B10" t="s">
        <v>1054</v>
      </c>
      <c r="C10">
        <v>323870401</v>
      </c>
      <c r="D10" t="s">
        <v>93</v>
      </c>
      <c r="E10" s="38">
        <v>-4216.1899999999996</v>
      </c>
      <c r="F10" s="38"/>
      <c r="G10" s="38">
        <v>-4216.1899999999996</v>
      </c>
      <c r="H10"/>
      <c r="I10"/>
    </row>
    <row r="11" spans="1:9" x14ac:dyDescent="0.35">
      <c r="B11" t="s">
        <v>1057</v>
      </c>
      <c r="C11">
        <v>323893901</v>
      </c>
      <c r="D11" t="s">
        <v>93</v>
      </c>
      <c r="E11" s="38">
        <v>-2572.21</v>
      </c>
      <c r="F11" s="38"/>
      <c r="G11" s="38">
        <v>-2572.21</v>
      </c>
      <c r="H11"/>
      <c r="I11"/>
    </row>
    <row r="12" spans="1:9" x14ac:dyDescent="0.35">
      <c r="A12">
        <v>41001099</v>
      </c>
      <c r="B12" t="s">
        <v>1150</v>
      </c>
      <c r="C12">
        <v>325197801</v>
      </c>
      <c r="D12" t="s">
        <v>93</v>
      </c>
      <c r="E12" s="38">
        <v>343.25</v>
      </c>
      <c r="F12" s="38"/>
      <c r="G12" s="38">
        <v>343.25</v>
      </c>
      <c r="H12"/>
      <c r="I12"/>
    </row>
    <row r="13" spans="1:9" x14ac:dyDescent="0.35">
      <c r="A13">
        <v>40996821</v>
      </c>
      <c r="B13" t="s">
        <v>704</v>
      </c>
      <c r="C13">
        <v>323167301</v>
      </c>
      <c r="D13" t="s">
        <v>93</v>
      </c>
      <c r="E13" s="38">
        <v>148429.29999999999</v>
      </c>
      <c r="F13" s="38"/>
      <c r="G13" s="38">
        <v>148429.29999999999</v>
      </c>
      <c r="H13"/>
      <c r="I13"/>
    </row>
    <row r="14" spans="1:9" x14ac:dyDescent="0.35">
      <c r="A14">
        <v>40990410</v>
      </c>
      <c r="B14" t="s">
        <v>1164</v>
      </c>
      <c r="C14">
        <v>325268601</v>
      </c>
      <c r="D14" t="s">
        <v>93</v>
      </c>
      <c r="E14" s="38">
        <v>1065199.8799999999</v>
      </c>
      <c r="F14" s="38"/>
      <c r="G14" s="38">
        <v>1065199.8799999999</v>
      </c>
      <c r="H14"/>
      <c r="I14"/>
    </row>
    <row r="15" spans="1:9" x14ac:dyDescent="0.35">
      <c r="A15">
        <v>40989253</v>
      </c>
      <c r="B15" t="s">
        <v>1030</v>
      </c>
      <c r="C15">
        <v>323817302</v>
      </c>
      <c r="D15" t="s">
        <v>93</v>
      </c>
      <c r="E15" s="38"/>
      <c r="F15" s="38">
        <v>1259410</v>
      </c>
      <c r="G15" s="38">
        <v>1259410</v>
      </c>
      <c r="H15"/>
      <c r="I15"/>
    </row>
    <row r="16" spans="1:9" x14ac:dyDescent="0.35">
      <c r="A16">
        <v>40989141</v>
      </c>
      <c r="B16" t="s">
        <v>1030</v>
      </c>
      <c r="C16">
        <v>323817301</v>
      </c>
      <c r="D16" t="s">
        <v>93</v>
      </c>
      <c r="E16" s="38"/>
      <c r="F16" s="38">
        <v>3625356</v>
      </c>
      <c r="G16" s="38">
        <v>3625356</v>
      </c>
      <c r="H16"/>
      <c r="I16"/>
    </row>
    <row r="17" spans="1:9" x14ac:dyDescent="0.35">
      <c r="A17">
        <v>40985054</v>
      </c>
      <c r="B17" t="s">
        <v>711</v>
      </c>
      <c r="C17">
        <v>323565201</v>
      </c>
      <c r="D17" t="s">
        <v>93</v>
      </c>
      <c r="E17" s="38">
        <v>291081.57</v>
      </c>
      <c r="F17" s="38"/>
      <c r="G17" s="38">
        <v>291081.57</v>
      </c>
      <c r="H17"/>
      <c r="I17"/>
    </row>
    <row r="18" spans="1:9" x14ac:dyDescent="0.35">
      <c r="A18">
        <v>40985047</v>
      </c>
      <c r="B18" t="s">
        <v>1158</v>
      </c>
      <c r="C18">
        <v>325250001</v>
      </c>
      <c r="D18" t="s">
        <v>93</v>
      </c>
      <c r="E18" s="38">
        <v>540391.47</v>
      </c>
      <c r="F18" s="38"/>
      <c r="G18" s="38">
        <v>540391.47</v>
      </c>
      <c r="H18"/>
      <c r="I18"/>
    </row>
    <row r="19" spans="1:9" x14ac:dyDescent="0.35">
      <c r="A19">
        <v>40983659</v>
      </c>
      <c r="B19" t="s">
        <v>932</v>
      </c>
      <c r="C19">
        <v>321854805</v>
      </c>
      <c r="D19" t="s">
        <v>93</v>
      </c>
      <c r="E19" s="38">
        <v>241926.19</v>
      </c>
      <c r="F19" s="38"/>
      <c r="G19" s="38">
        <v>241926.19</v>
      </c>
      <c r="H19"/>
      <c r="I19"/>
    </row>
    <row r="20" spans="1:9" x14ac:dyDescent="0.35">
      <c r="A20">
        <v>40983556</v>
      </c>
      <c r="B20" t="s">
        <v>686</v>
      </c>
      <c r="C20">
        <v>322258201</v>
      </c>
      <c r="D20" t="s">
        <v>93</v>
      </c>
      <c r="E20" s="38">
        <v>1454731.14</v>
      </c>
      <c r="F20" s="38"/>
      <c r="G20" s="38">
        <v>1454731.14</v>
      </c>
      <c r="H20"/>
      <c r="I20"/>
    </row>
    <row r="21" spans="1:9" x14ac:dyDescent="0.35">
      <c r="A21">
        <v>40983515</v>
      </c>
      <c r="B21" t="s">
        <v>686</v>
      </c>
      <c r="C21">
        <v>322258201</v>
      </c>
      <c r="D21" t="s">
        <v>93</v>
      </c>
      <c r="E21" s="38">
        <v>2905324.81</v>
      </c>
      <c r="F21" s="38"/>
      <c r="G21" s="38">
        <v>2905324.81</v>
      </c>
      <c r="H21"/>
      <c r="I21"/>
    </row>
    <row r="22" spans="1:9" x14ac:dyDescent="0.35">
      <c r="A22">
        <v>40980211</v>
      </c>
      <c r="B22" t="s">
        <v>903</v>
      </c>
      <c r="C22">
        <v>320750202</v>
      </c>
      <c r="D22" t="s">
        <v>93</v>
      </c>
      <c r="E22" s="38">
        <v>534603.53</v>
      </c>
      <c r="F22" s="38"/>
      <c r="G22" s="38">
        <v>534603.53</v>
      </c>
      <c r="H22"/>
      <c r="I22"/>
    </row>
    <row r="23" spans="1:9" x14ac:dyDescent="0.35">
      <c r="A23">
        <v>40980003</v>
      </c>
      <c r="B23" t="s">
        <v>903</v>
      </c>
      <c r="C23">
        <v>320750202</v>
      </c>
      <c r="D23" t="s">
        <v>93</v>
      </c>
      <c r="E23" s="38">
        <v>658331.65</v>
      </c>
      <c r="F23" s="38"/>
      <c r="G23" s="38">
        <v>658331.65</v>
      </c>
      <c r="H23"/>
      <c r="I23"/>
    </row>
    <row r="24" spans="1:9" x14ac:dyDescent="0.35">
      <c r="A24">
        <v>40979602</v>
      </c>
      <c r="B24" t="s">
        <v>692</v>
      </c>
      <c r="C24">
        <v>322531401</v>
      </c>
      <c r="D24" t="s">
        <v>93</v>
      </c>
      <c r="E24" s="38">
        <v>192683.22</v>
      </c>
      <c r="F24" s="38"/>
      <c r="G24" s="38">
        <v>192683.22</v>
      </c>
      <c r="H24"/>
      <c r="I24"/>
    </row>
    <row r="25" spans="1:9" x14ac:dyDescent="0.35">
      <c r="A25">
        <v>40979598</v>
      </c>
      <c r="B25" t="s">
        <v>692</v>
      </c>
      <c r="C25">
        <v>322531401</v>
      </c>
      <c r="D25" t="s">
        <v>93</v>
      </c>
      <c r="E25" s="38">
        <v>100000</v>
      </c>
      <c r="F25" s="38"/>
      <c r="G25" s="38">
        <v>100000</v>
      </c>
      <c r="H25"/>
      <c r="I25"/>
    </row>
    <row r="26" spans="1:9" x14ac:dyDescent="0.35">
      <c r="A26">
        <v>40979142</v>
      </c>
      <c r="B26" t="s">
        <v>1153</v>
      </c>
      <c r="C26">
        <v>325225601</v>
      </c>
      <c r="D26" t="s">
        <v>93</v>
      </c>
      <c r="E26" s="38">
        <v>1585096.5</v>
      </c>
      <c r="F26" s="38"/>
      <c r="G26" s="38">
        <v>1585096.5</v>
      </c>
      <c r="H26"/>
      <c r="I26"/>
    </row>
    <row r="27" spans="1:9" x14ac:dyDescent="0.35">
      <c r="A27">
        <v>40969658</v>
      </c>
      <c r="B27" t="s">
        <v>704</v>
      </c>
      <c r="C27">
        <v>323167301</v>
      </c>
      <c r="D27" t="s">
        <v>93</v>
      </c>
      <c r="E27" s="38">
        <v>249999.87</v>
      </c>
      <c r="F27" s="38"/>
      <c r="G27" s="38">
        <v>249999.87</v>
      </c>
      <c r="H27"/>
      <c r="I27"/>
    </row>
    <row r="28" spans="1:9" x14ac:dyDescent="0.35">
      <c r="A28">
        <v>40969650</v>
      </c>
      <c r="B28" t="s">
        <v>704</v>
      </c>
      <c r="C28">
        <v>323167301</v>
      </c>
      <c r="D28" t="s">
        <v>93</v>
      </c>
      <c r="E28" s="38">
        <v>95.44</v>
      </c>
      <c r="F28" s="38"/>
      <c r="G28" s="38">
        <v>95.44</v>
      </c>
      <c r="H28"/>
      <c r="I28"/>
    </row>
    <row r="29" spans="1:9" x14ac:dyDescent="0.35">
      <c r="A29">
        <v>40968223</v>
      </c>
      <c r="B29" t="s">
        <v>1145</v>
      </c>
      <c r="C29">
        <v>324952701</v>
      </c>
      <c r="D29" t="s">
        <v>93</v>
      </c>
      <c r="E29" s="38">
        <v>298515.78999999998</v>
      </c>
      <c r="F29" s="38"/>
      <c r="G29" s="38">
        <v>298515.78999999998</v>
      </c>
      <c r="H29"/>
      <c r="I29"/>
    </row>
    <row r="30" spans="1:9" x14ac:dyDescent="0.35">
      <c r="A30">
        <v>40968095</v>
      </c>
      <c r="B30" t="s">
        <v>870</v>
      </c>
      <c r="C30">
        <v>318427901</v>
      </c>
      <c r="D30" t="s">
        <v>93</v>
      </c>
      <c r="E30" s="38">
        <v>1206718.48</v>
      </c>
      <c r="F30" s="38"/>
      <c r="G30" s="38">
        <v>1206718.48</v>
      </c>
      <c r="H30"/>
      <c r="I30"/>
    </row>
    <row r="31" spans="1:9" x14ac:dyDescent="0.35">
      <c r="A31">
        <v>40964316</v>
      </c>
      <c r="B31" t="s">
        <v>1044</v>
      </c>
      <c r="C31">
        <v>323866901</v>
      </c>
      <c r="D31" t="s">
        <v>93</v>
      </c>
      <c r="E31" s="38"/>
      <c r="F31" s="38">
        <v>1133469</v>
      </c>
      <c r="G31" s="38">
        <v>1133469</v>
      </c>
      <c r="H31"/>
      <c r="I31"/>
    </row>
    <row r="32" spans="1:9" x14ac:dyDescent="0.35">
      <c r="A32">
        <v>40964293</v>
      </c>
      <c r="B32" t="s">
        <v>1044</v>
      </c>
      <c r="C32">
        <v>323866902</v>
      </c>
      <c r="D32" t="s">
        <v>93</v>
      </c>
      <c r="E32" s="38"/>
      <c r="F32" s="38">
        <v>3262820.4</v>
      </c>
      <c r="G32" s="38">
        <v>3262820.4</v>
      </c>
      <c r="H32"/>
      <c r="I32"/>
    </row>
    <row r="33" spans="1:9" x14ac:dyDescent="0.35">
      <c r="A33">
        <v>40958584</v>
      </c>
      <c r="B33" t="s">
        <v>1133</v>
      </c>
      <c r="C33">
        <v>324904401</v>
      </c>
      <c r="D33" t="s">
        <v>93</v>
      </c>
      <c r="E33" s="38">
        <v>9224933.0199999996</v>
      </c>
      <c r="F33" s="38"/>
      <c r="G33" s="38">
        <v>9224933.0199999996</v>
      </c>
      <c r="H33"/>
      <c r="I33"/>
    </row>
    <row r="34" spans="1:9" x14ac:dyDescent="0.35">
      <c r="A34">
        <v>40958412</v>
      </c>
      <c r="B34" t="s">
        <v>692</v>
      </c>
      <c r="C34">
        <v>322531401</v>
      </c>
      <c r="D34" t="s">
        <v>93</v>
      </c>
      <c r="E34" s="38">
        <v>150314.38</v>
      </c>
      <c r="F34" s="38"/>
      <c r="G34" s="38">
        <v>150314.38</v>
      </c>
      <c r="H34"/>
      <c r="I34"/>
    </row>
    <row r="35" spans="1:9" x14ac:dyDescent="0.35">
      <c r="A35">
        <v>40958403</v>
      </c>
      <c r="B35" t="s">
        <v>692</v>
      </c>
      <c r="C35">
        <v>322531401</v>
      </c>
      <c r="D35" t="s">
        <v>93</v>
      </c>
      <c r="E35" s="38">
        <v>47860.88</v>
      </c>
      <c r="F35" s="38"/>
      <c r="G35" s="38">
        <v>47860.88</v>
      </c>
      <c r="H35"/>
      <c r="I35"/>
    </row>
    <row r="36" spans="1:9" x14ac:dyDescent="0.35">
      <c r="A36">
        <v>40957334</v>
      </c>
      <c r="B36" t="s">
        <v>711</v>
      </c>
      <c r="C36">
        <v>323565201</v>
      </c>
      <c r="D36" t="s">
        <v>93</v>
      </c>
      <c r="E36" s="38">
        <v>390125.88</v>
      </c>
      <c r="F36" s="38"/>
      <c r="G36" s="38">
        <v>390125.88</v>
      </c>
      <c r="H36"/>
      <c r="I36"/>
    </row>
    <row r="37" spans="1:9" x14ac:dyDescent="0.35">
      <c r="A37">
        <v>40947124</v>
      </c>
      <c r="B37" t="s">
        <v>692</v>
      </c>
      <c r="C37">
        <v>322531401</v>
      </c>
      <c r="D37" t="s">
        <v>93</v>
      </c>
      <c r="E37" s="38">
        <v>150841.07</v>
      </c>
      <c r="F37" s="38"/>
      <c r="G37" s="38">
        <v>150841.07</v>
      </c>
      <c r="H37"/>
      <c r="I37"/>
    </row>
    <row r="38" spans="1:9" x14ac:dyDescent="0.35">
      <c r="A38">
        <v>40938204</v>
      </c>
      <c r="B38" t="s">
        <v>1139</v>
      </c>
      <c r="C38">
        <v>324930701</v>
      </c>
      <c r="D38" t="s">
        <v>93</v>
      </c>
      <c r="E38" s="38">
        <v>232244.91999999998</v>
      </c>
      <c r="F38" s="38"/>
      <c r="G38" s="38">
        <v>232244.91999999998</v>
      </c>
      <c r="H38"/>
      <c r="I38"/>
    </row>
    <row r="39" spans="1:9" x14ac:dyDescent="0.35">
      <c r="A39">
        <v>40937826</v>
      </c>
      <c r="B39" t="s">
        <v>1116</v>
      </c>
      <c r="C39">
        <v>324900001</v>
      </c>
      <c r="D39" t="s">
        <v>93</v>
      </c>
      <c r="E39" s="38">
        <v>16709.939999999999</v>
      </c>
      <c r="F39" s="38"/>
      <c r="G39" s="38">
        <v>16709.939999999999</v>
      </c>
      <c r="H39"/>
      <c r="I39"/>
    </row>
    <row r="40" spans="1:9" x14ac:dyDescent="0.35">
      <c r="A40">
        <v>40937141</v>
      </c>
      <c r="B40" t="s">
        <v>1106</v>
      </c>
      <c r="C40">
        <v>324878401</v>
      </c>
      <c r="D40" t="s">
        <v>93</v>
      </c>
      <c r="E40" s="38">
        <v>1499044.18</v>
      </c>
      <c r="F40" s="38"/>
      <c r="G40" s="38">
        <v>1499044.18</v>
      </c>
      <c r="H40"/>
      <c r="I40"/>
    </row>
    <row r="41" spans="1:9" x14ac:dyDescent="0.35">
      <c r="A41">
        <v>40936991</v>
      </c>
      <c r="B41" t="s">
        <v>1125</v>
      </c>
      <c r="C41">
        <v>324901601</v>
      </c>
      <c r="D41" t="s">
        <v>93</v>
      </c>
      <c r="E41" s="38">
        <v>2302160.9299999997</v>
      </c>
      <c r="F41" s="38"/>
      <c r="G41" s="38">
        <v>2302160.9299999997</v>
      </c>
      <c r="H41"/>
      <c r="I41"/>
    </row>
    <row r="42" spans="1:9" x14ac:dyDescent="0.35">
      <c r="A42">
        <v>40936703</v>
      </c>
      <c r="B42" t="s">
        <v>1116</v>
      </c>
      <c r="C42">
        <v>324900003</v>
      </c>
      <c r="D42" t="s">
        <v>93</v>
      </c>
      <c r="E42" s="38"/>
      <c r="F42" s="38">
        <v>1259410</v>
      </c>
      <c r="G42" s="38">
        <v>1259410</v>
      </c>
      <c r="H42"/>
      <c r="I42"/>
    </row>
    <row r="43" spans="1:9" x14ac:dyDescent="0.35">
      <c r="A43">
        <v>40936677</v>
      </c>
      <c r="B43" t="s">
        <v>1116</v>
      </c>
      <c r="C43">
        <v>324900002</v>
      </c>
      <c r="D43" t="s">
        <v>93</v>
      </c>
      <c r="E43" s="38"/>
      <c r="F43" s="38">
        <v>3625356</v>
      </c>
      <c r="G43" s="38">
        <v>3625356</v>
      </c>
      <c r="H43"/>
      <c r="I43"/>
    </row>
    <row r="44" spans="1:9" x14ac:dyDescent="0.35">
      <c r="A44">
        <v>40931778</v>
      </c>
      <c r="B44" t="s">
        <v>1096</v>
      </c>
      <c r="C44">
        <v>324618501</v>
      </c>
      <c r="D44" t="s">
        <v>93</v>
      </c>
      <c r="E44" s="38"/>
      <c r="F44" s="38">
        <v>3625356</v>
      </c>
      <c r="G44" s="38">
        <v>3625356</v>
      </c>
      <c r="H44"/>
      <c r="I44"/>
    </row>
    <row r="45" spans="1:9" x14ac:dyDescent="0.35">
      <c r="A45">
        <v>40931695</v>
      </c>
      <c r="B45" t="s">
        <v>692</v>
      </c>
      <c r="C45">
        <v>322531401</v>
      </c>
      <c r="D45" t="s">
        <v>93</v>
      </c>
      <c r="E45" s="38">
        <v>300000</v>
      </c>
      <c r="F45" s="38"/>
      <c r="G45" s="38">
        <v>300000</v>
      </c>
      <c r="H45"/>
      <c r="I45"/>
    </row>
    <row r="46" spans="1:9" x14ac:dyDescent="0.35">
      <c r="A46">
        <v>40931692</v>
      </c>
      <c r="B46" t="s">
        <v>562</v>
      </c>
      <c r="C46">
        <v>275149001</v>
      </c>
      <c r="D46" t="s">
        <v>93</v>
      </c>
      <c r="E46" s="38">
        <v>900539.44000000006</v>
      </c>
      <c r="F46" s="38"/>
      <c r="G46" s="38">
        <v>900539.44000000006</v>
      </c>
      <c r="H46"/>
      <c r="I46"/>
    </row>
    <row r="47" spans="1:9" x14ac:dyDescent="0.35">
      <c r="A47">
        <v>40931622</v>
      </c>
      <c r="B47" t="s">
        <v>1112</v>
      </c>
      <c r="C47">
        <v>324878901</v>
      </c>
      <c r="D47" t="s">
        <v>93</v>
      </c>
      <c r="E47" s="38">
        <v>2688693.47</v>
      </c>
      <c r="F47" s="38"/>
      <c r="G47" s="38">
        <v>2688693.47</v>
      </c>
      <c r="H47"/>
      <c r="I47"/>
    </row>
    <row r="48" spans="1:9" x14ac:dyDescent="0.35">
      <c r="A48">
        <v>40931585</v>
      </c>
      <c r="B48" t="s">
        <v>1112</v>
      </c>
      <c r="C48">
        <v>324878901</v>
      </c>
      <c r="D48" t="s">
        <v>93</v>
      </c>
      <c r="E48" s="38">
        <v>3511586.88</v>
      </c>
      <c r="F48" s="38"/>
      <c r="G48" s="38">
        <v>3511586.88</v>
      </c>
      <c r="H48"/>
      <c r="I48"/>
    </row>
    <row r="49" spans="1:9" x14ac:dyDescent="0.35">
      <c r="A49">
        <v>40930745</v>
      </c>
      <c r="B49" t="s">
        <v>711</v>
      </c>
      <c r="C49">
        <v>323565201</v>
      </c>
      <c r="D49" t="s">
        <v>93</v>
      </c>
      <c r="E49" s="38">
        <v>388489.58</v>
      </c>
      <c r="F49" s="38"/>
      <c r="G49" s="38">
        <v>388489.58</v>
      </c>
      <c r="H49"/>
      <c r="I49"/>
    </row>
    <row r="50" spans="1:9" x14ac:dyDescent="0.35">
      <c r="A50">
        <v>40930400</v>
      </c>
      <c r="B50" t="s">
        <v>1102</v>
      </c>
      <c r="C50">
        <v>324874901</v>
      </c>
      <c r="D50" t="s">
        <v>93</v>
      </c>
      <c r="E50" s="38">
        <v>999321.21</v>
      </c>
      <c r="F50" s="38"/>
      <c r="G50" s="38">
        <v>999321.21</v>
      </c>
      <c r="H50"/>
      <c r="I50"/>
    </row>
    <row r="51" spans="1:9" x14ac:dyDescent="0.35">
      <c r="A51">
        <v>40930203</v>
      </c>
      <c r="B51" t="s">
        <v>653</v>
      </c>
      <c r="C51">
        <v>288709901</v>
      </c>
      <c r="D51" t="s">
        <v>93</v>
      </c>
      <c r="E51" s="38">
        <v>180916.13</v>
      </c>
      <c r="F51" s="38"/>
      <c r="G51" s="38">
        <v>180916.13</v>
      </c>
      <c r="H51"/>
      <c r="I51"/>
    </row>
    <row r="52" spans="1:9" x14ac:dyDescent="0.35">
      <c r="A52">
        <v>40930200</v>
      </c>
      <c r="B52" t="s">
        <v>653</v>
      </c>
      <c r="C52">
        <v>288709901</v>
      </c>
      <c r="D52" t="s">
        <v>93</v>
      </c>
      <c r="E52" s="38">
        <v>163897.81</v>
      </c>
      <c r="F52" s="38"/>
      <c r="G52" s="38">
        <v>163897.81</v>
      </c>
      <c r="H52"/>
      <c r="I52"/>
    </row>
    <row r="53" spans="1:9" x14ac:dyDescent="0.35">
      <c r="A53">
        <v>40930072</v>
      </c>
      <c r="B53" t="s">
        <v>582</v>
      </c>
      <c r="C53">
        <v>309496901</v>
      </c>
      <c r="D53" t="s">
        <v>93</v>
      </c>
      <c r="E53" s="38">
        <v>298461.32</v>
      </c>
      <c r="F53" s="38"/>
      <c r="G53" s="38">
        <v>298461.32</v>
      </c>
      <c r="H53"/>
      <c r="I53"/>
    </row>
    <row r="54" spans="1:9" x14ac:dyDescent="0.35">
      <c r="A54">
        <v>40929999</v>
      </c>
      <c r="B54" t="s">
        <v>1106</v>
      </c>
      <c r="C54">
        <v>324878401</v>
      </c>
      <c r="D54" t="s">
        <v>93</v>
      </c>
      <c r="E54" s="38">
        <v>1000786.99</v>
      </c>
      <c r="F54" s="38"/>
      <c r="G54" s="38">
        <v>1000786.99</v>
      </c>
      <c r="H54"/>
      <c r="I54"/>
    </row>
    <row r="55" spans="1:9" x14ac:dyDescent="0.35">
      <c r="A55">
        <v>40926151</v>
      </c>
      <c r="B55" t="s">
        <v>885</v>
      </c>
      <c r="C55">
        <v>320312002</v>
      </c>
      <c r="D55" t="s">
        <v>93</v>
      </c>
      <c r="E55" s="38">
        <v>643873.17000000004</v>
      </c>
      <c r="F55" s="38"/>
      <c r="G55" s="38">
        <v>643873.17000000004</v>
      </c>
      <c r="H55"/>
      <c r="I55"/>
    </row>
    <row r="56" spans="1:9" x14ac:dyDescent="0.35">
      <c r="A56">
        <v>40925799</v>
      </c>
      <c r="B56" t="s">
        <v>692</v>
      </c>
      <c r="C56">
        <v>322531401</v>
      </c>
      <c r="D56" t="s">
        <v>93</v>
      </c>
      <c r="E56" s="38">
        <v>251537.01</v>
      </c>
      <c r="F56" s="38"/>
      <c r="G56" s="38">
        <v>251537.01</v>
      </c>
      <c r="H56"/>
      <c r="I56"/>
    </row>
    <row r="57" spans="1:9" x14ac:dyDescent="0.35">
      <c r="A57">
        <v>40925790</v>
      </c>
      <c r="B57" t="s">
        <v>692</v>
      </c>
      <c r="C57">
        <v>322531401</v>
      </c>
      <c r="D57" t="s">
        <v>93</v>
      </c>
      <c r="E57" s="38">
        <v>100066.79</v>
      </c>
      <c r="F57" s="38"/>
      <c r="G57" s="38">
        <v>100066.79</v>
      </c>
      <c r="H57"/>
      <c r="I57"/>
    </row>
    <row r="58" spans="1:9" x14ac:dyDescent="0.35">
      <c r="A58">
        <v>40925772</v>
      </c>
      <c r="B58" t="s">
        <v>692</v>
      </c>
      <c r="C58">
        <v>322531401</v>
      </c>
      <c r="D58" t="s">
        <v>93</v>
      </c>
      <c r="E58" s="38">
        <v>593326.93999999994</v>
      </c>
      <c r="F58" s="38"/>
      <c r="G58" s="38">
        <v>593326.93999999994</v>
      </c>
      <c r="H58"/>
      <c r="I58"/>
    </row>
    <row r="59" spans="1:9" x14ac:dyDescent="0.35">
      <c r="A59">
        <v>40925756</v>
      </c>
      <c r="B59" t="s">
        <v>692</v>
      </c>
      <c r="C59">
        <v>322531401</v>
      </c>
      <c r="D59" t="s">
        <v>93</v>
      </c>
      <c r="E59" s="38">
        <v>401091.17</v>
      </c>
      <c r="F59" s="38"/>
      <c r="G59" s="38">
        <v>401091.17</v>
      </c>
      <c r="H59"/>
      <c r="I59"/>
    </row>
    <row r="60" spans="1:9" x14ac:dyDescent="0.35">
      <c r="A60">
        <v>40925728</v>
      </c>
      <c r="B60" t="s">
        <v>1098</v>
      </c>
      <c r="C60">
        <v>324621001</v>
      </c>
      <c r="D60" t="s">
        <v>93</v>
      </c>
      <c r="E60" s="38">
        <v>2113734.34</v>
      </c>
      <c r="F60" s="38"/>
      <c r="G60" s="38">
        <v>2113734.34</v>
      </c>
      <c r="H60"/>
      <c r="I60"/>
    </row>
    <row r="61" spans="1:9" x14ac:dyDescent="0.35">
      <c r="A61">
        <v>40921631</v>
      </c>
      <c r="B61" t="s">
        <v>1060</v>
      </c>
      <c r="C61">
        <v>324252501</v>
      </c>
      <c r="D61" t="s">
        <v>93</v>
      </c>
      <c r="E61" s="38">
        <v>997649.16</v>
      </c>
      <c r="F61" s="38"/>
      <c r="G61" s="38">
        <v>997649.16</v>
      </c>
      <c r="H61"/>
      <c r="I61"/>
    </row>
    <row r="62" spans="1:9" x14ac:dyDescent="0.35">
      <c r="A62">
        <v>40921512</v>
      </c>
      <c r="B62" t="s">
        <v>1089</v>
      </c>
      <c r="C62">
        <v>324617401</v>
      </c>
      <c r="D62" t="s">
        <v>93</v>
      </c>
      <c r="E62" s="38">
        <v>22444.51</v>
      </c>
      <c r="F62" s="38"/>
      <c r="G62" s="38">
        <v>22444.51</v>
      </c>
      <c r="H62"/>
      <c r="I62"/>
    </row>
    <row r="63" spans="1:9" x14ac:dyDescent="0.35">
      <c r="A63">
        <v>40921482</v>
      </c>
      <c r="B63" t="s">
        <v>854</v>
      </c>
      <c r="C63">
        <v>316315701</v>
      </c>
      <c r="D63" t="s">
        <v>93</v>
      </c>
      <c r="E63" s="38"/>
      <c r="F63" s="38">
        <v>801900</v>
      </c>
      <c r="G63" s="38">
        <v>801900</v>
      </c>
      <c r="H63"/>
      <c r="I63"/>
    </row>
    <row r="64" spans="1:9" x14ac:dyDescent="0.35">
      <c r="A64">
        <v>40921478</v>
      </c>
      <c r="B64" t="s">
        <v>854</v>
      </c>
      <c r="C64">
        <v>316315702</v>
      </c>
      <c r="D64" t="s">
        <v>93</v>
      </c>
      <c r="E64" s="38"/>
      <c r="F64" s="38">
        <v>2308500</v>
      </c>
      <c r="G64" s="38">
        <v>2308500</v>
      </c>
      <c r="H64"/>
      <c r="I64"/>
    </row>
    <row r="65" spans="1:9" x14ac:dyDescent="0.35">
      <c r="A65">
        <v>40921344</v>
      </c>
      <c r="B65" t="s">
        <v>885</v>
      </c>
      <c r="C65">
        <v>320312001</v>
      </c>
      <c r="D65" t="s">
        <v>93</v>
      </c>
      <c r="E65" s="38"/>
      <c r="F65" s="38">
        <v>1755000</v>
      </c>
      <c r="G65" s="38">
        <v>1755000</v>
      </c>
      <c r="H65"/>
      <c r="I65"/>
    </row>
    <row r="66" spans="1:9" x14ac:dyDescent="0.35">
      <c r="A66">
        <v>40920286</v>
      </c>
      <c r="B66" t="s">
        <v>1070</v>
      </c>
      <c r="C66">
        <v>324261501</v>
      </c>
      <c r="D66" t="s">
        <v>93</v>
      </c>
      <c r="E66" s="38">
        <v>370590.42</v>
      </c>
      <c r="F66" s="38"/>
      <c r="G66" s="38">
        <v>370590.42</v>
      </c>
      <c r="H66"/>
      <c r="I66"/>
    </row>
    <row r="67" spans="1:9" x14ac:dyDescent="0.35">
      <c r="A67">
        <v>40920272</v>
      </c>
      <c r="B67" t="s">
        <v>1070</v>
      </c>
      <c r="C67">
        <v>324261501</v>
      </c>
      <c r="D67" t="s">
        <v>93</v>
      </c>
      <c r="E67" s="38">
        <v>379349.07</v>
      </c>
      <c r="F67" s="38"/>
      <c r="G67" s="38">
        <v>379349.07</v>
      </c>
      <c r="H67"/>
      <c r="I67"/>
    </row>
    <row r="68" spans="1:9" x14ac:dyDescent="0.35">
      <c r="A68">
        <v>40920262</v>
      </c>
      <c r="B68" t="s">
        <v>1070</v>
      </c>
      <c r="C68">
        <v>324261501</v>
      </c>
      <c r="D68" t="s">
        <v>93</v>
      </c>
      <c r="E68" s="38">
        <v>89400.47</v>
      </c>
      <c r="F68" s="38"/>
      <c r="G68" s="38">
        <v>89400.47</v>
      </c>
      <c r="H68"/>
      <c r="I68"/>
    </row>
    <row r="69" spans="1:9" x14ac:dyDescent="0.35">
      <c r="A69">
        <v>40916260</v>
      </c>
      <c r="B69" t="s">
        <v>692</v>
      </c>
      <c r="C69">
        <v>322531401</v>
      </c>
      <c r="D69" t="s">
        <v>93</v>
      </c>
      <c r="E69" s="38">
        <v>400092.13</v>
      </c>
      <c r="F69" s="38"/>
      <c r="G69" s="38">
        <v>400092.13</v>
      </c>
      <c r="H69"/>
      <c r="I69"/>
    </row>
    <row r="70" spans="1:9" x14ac:dyDescent="0.35">
      <c r="A70">
        <v>40916250</v>
      </c>
      <c r="B70" t="s">
        <v>692</v>
      </c>
      <c r="C70">
        <v>322531401</v>
      </c>
      <c r="D70" t="s">
        <v>93</v>
      </c>
      <c r="E70" s="38">
        <v>200075.18</v>
      </c>
      <c r="F70" s="38"/>
      <c r="G70" s="38">
        <v>200075.18</v>
      </c>
      <c r="H70"/>
      <c r="I70"/>
    </row>
    <row r="71" spans="1:9" x14ac:dyDescent="0.35">
      <c r="A71">
        <v>40916163</v>
      </c>
      <c r="B71" t="s">
        <v>1083</v>
      </c>
      <c r="C71">
        <v>324585701</v>
      </c>
      <c r="D71" t="s">
        <v>93</v>
      </c>
      <c r="E71" s="38">
        <v>4558905.76</v>
      </c>
      <c r="F71" s="38"/>
      <c r="G71" s="38">
        <v>4558905.76</v>
      </c>
      <c r="H71"/>
      <c r="I71"/>
    </row>
    <row r="72" spans="1:9" x14ac:dyDescent="0.35">
      <c r="A72">
        <v>40915859</v>
      </c>
      <c r="B72" t="s">
        <v>1079</v>
      </c>
      <c r="C72">
        <v>324284201</v>
      </c>
      <c r="D72" t="s">
        <v>93</v>
      </c>
      <c r="E72" s="38">
        <v>2327584.0699999998</v>
      </c>
      <c r="F72" s="38"/>
      <c r="G72" s="38">
        <v>2327584.0699999998</v>
      </c>
      <c r="H72"/>
      <c r="I72"/>
    </row>
    <row r="73" spans="1:9" x14ac:dyDescent="0.35">
      <c r="A73">
        <v>40915757</v>
      </c>
      <c r="B73" t="s">
        <v>1076</v>
      </c>
      <c r="C73">
        <v>324284001</v>
      </c>
      <c r="D73" t="s">
        <v>93</v>
      </c>
      <c r="E73" s="38">
        <v>2906163.1</v>
      </c>
      <c r="F73" s="38"/>
      <c r="G73" s="38">
        <v>2906163.1</v>
      </c>
      <c r="H73"/>
      <c r="I73"/>
    </row>
    <row r="74" spans="1:9" x14ac:dyDescent="0.35">
      <c r="A74">
        <v>40915378</v>
      </c>
      <c r="B74" t="s">
        <v>704</v>
      </c>
      <c r="C74">
        <v>323167301</v>
      </c>
      <c r="D74" t="s">
        <v>93</v>
      </c>
      <c r="E74" s="38">
        <v>250000</v>
      </c>
      <c r="F74" s="38"/>
      <c r="G74" s="38">
        <v>250000</v>
      </c>
      <c r="H74"/>
      <c r="I74"/>
    </row>
    <row r="75" spans="1:9" x14ac:dyDescent="0.35">
      <c r="A75">
        <v>40915315</v>
      </c>
      <c r="B75" t="s">
        <v>604</v>
      </c>
      <c r="C75">
        <v>299384801</v>
      </c>
      <c r="D75" t="s">
        <v>93</v>
      </c>
      <c r="E75" s="38">
        <v>15000</v>
      </c>
      <c r="F75" s="38"/>
      <c r="G75" s="38">
        <v>15000</v>
      </c>
      <c r="H75"/>
      <c r="I75"/>
    </row>
    <row r="76" spans="1:9" x14ac:dyDescent="0.35">
      <c r="A76">
        <v>40915021</v>
      </c>
      <c r="B76" t="s">
        <v>604</v>
      </c>
      <c r="C76">
        <v>299384801</v>
      </c>
      <c r="D76" t="s">
        <v>93</v>
      </c>
      <c r="E76" s="38">
        <v>350.57</v>
      </c>
      <c r="F76" s="38"/>
      <c r="G76" s="38">
        <v>350.57</v>
      </c>
      <c r="H76"/>
      <c r="I76"/>
    </row>
    <row r="77" spans="1:9" x14ac:dyDescent="0.35">
      <c r="A77">
        <v>40911892</v>
      </c>
      <c r="B77" t="s">
        <v>1174</v>
      </c>
      <c r="C77">
        <v>323787201</v>
      </c>
      <c r="D77" t="s">
        <v>70</v>
      </c>
      <c r="E77" s="38">
        <v>8.35</v>
      </c>
      <c r="F77" s="38"/>
      <c r="G77" s="38">
        <v>8.35</v>
      </c>
      <c r="H77"/>
      <c r="I77"/>
    </row>
    <row r="78" spans="1:9" x14ac:dyDescent="0.35">
      <c r="A78">
        <v>40905285</v>
      </c>
      <c r="B78" t="s">
        <v>711</v>
      </c>
      <c r="C78">
        <v>323565201</v>
      </c>
      <c r="D78" t="s">
        <v>93</v>
      </c>
      <c r="E78" s="38">
        <v>350000</v>
      </c>
      <c r="F78" s="38"/>
      <c r="G78" s="38">
        <v>350000</v>
      </c>
      <c r="H78"/>
      <c r="I78"/>
    </row>
    <row r="79" spans="1:9" x14ac:dyDescent="0.35">
      <c r="A79">
        <v>40899682</v>
      </c>
      <c r="B79" t="s">
        <v>1064</v>
      </c>
      <c r="C79">
        <v>324257301</v>
      </c>
      <c r="D79" t="s">
        <v>93</v>
      </c>
      <c r="E79" s="38">
        <v>7445541.0300000003</v>
      </c>
      <c r="F79" s="38"/>
      <c r="G79" s="38">
        <v>7445541.0300000003</v>
      </c>
      <c r="H79"/>
      <c r="I79"/>
    </row>
    <row r="80" spans="1:9" x14ac:dyDescent="0.35">
      <c r="A80">
        <v>40898726</v>
      </c>
      <c r="B80" t="s">
        <v>1072</v>
      </c>
      <c r="C80">
        <v>324279201</v>
      </c>
      <c r="D80" t="s">
        <v>93</v>
      </c>
      <c r="E80" s="38">
        <v>1890354.52</v>
      </c>
      <c r="F80" s="38"/>
      <c r="G80" s="38">
        <v>1890354.52</v>
      </c>
      <c r="H80"/>
      <c r="I80"/>
    </row>
    <row r="81" spans="1:9" x14ac:dyDescent="0.35">
      <c r="A81">
        <v>40898059</v>
      </c>
      <c r="B81" t="s">
        <v>1021</v>
      </c>
      <c r="C81">
        <v>323565701</v>
      </c>
      <c r="D81" t="s">
        <v>93</v>
      </c>
      <c r="E81" s="38"/>
      <c r="F81" s="38">
        <v>801900</v>
      </c>
      <c r="G81" s="38">
        <v>801900</v>
      </c>
      <c r="H81"/>
      <c r="I81"/>
    </row>
    <row r="82" spans="1:9" x14ac:dyDescent="0.35">
      <c r="A82">
        <v>40898056</v>
      </c>
      <c r="B82" t="s">
        <v>1021</v>
      </c>
      <c r="C82">
        <v>323565702</v>
      </c>
      <c r="D82" t="s">
        <v>93</v>
      </c>
      <c r="E82" s="38"/>
      <c r="F82" s="38">
        <v>2308500</v>
      </c>
      <c r="G82" s="38">
        <v>2308500</v>
      </c>
      <c r="H82"/>
      <c r="I82"/>
    </row>
    <row r="83" spans="1:9" x14ac:dyDescent="0.35">
      <c r="A83">
        <v>40894117</v>
      </c>
      <c r="B83" t="s">
        <v>1072</v>
      </c>
      <c r="C83">
        <v>324279201</v>
      </c>
      <c r="D83" t="s">
        <v>93</v>
      </c>
      <c r="E83" s="38">
        <v>1000053.62</v>
      </c>
      <c r="F83" s="38"/>
      <c r="G83" s="38">
        <v>1000053.62</v>
      </c>
      <c r="H83"/>
      <c r="I83"/>
    </row>
    <row r="84" spans="1:9" x14ac:dyDescent="0.35">
      <c r="A84">
        <v>40893044</v>
      </c>
      <c r="B84" t="s">
        <v>1054</v>
      </c>
      <c r="C84">
        <v>323870401</v>
      </c>
      <c r="D84" t="s">
        <v>93</v>
      </c>
      <c r="E84" s="38">
        <v>1002600.9</v>
      </c>
      <c r="F84" s="38"/>
      <c r="G84" s="38">
        <v>1002600.9</v>
      </c>
      <c r="H84"/>
      <c r="I84"/>
    </row>
    <row r="85" spans="1:9" x14ac:dyDescent="0.35">
      <c r="A85">
        <v>40892698</v>
      </c>
      <c r="B85" t="s">
        <v>1054</v>
      </c>
      <c r="C85">
        <v>323870401</v>
      </c>
      <c r="D85" t="s">
        <v>93</v>
      </c>
      <c r="E85" s="38">
        <v>1001615.29</v>
      </c>
      <c r="F85" s="38"/>
      <c r="G85" s="38">
        <v>1001615.29</v>
      </c>
      <c r="H85"/>
      <c r="I85"/>
    </row>
    <row r="86" spans="1:9" x14ac:dyDescent="0.35">
      <c r="A86">
        <v>40889259</v>
      </c>
      <c r="B86" t="s">
        <v>978</v>
      </c>
      <c r="C86">
        <v>322353601</v>
      </c>
      <c r="D86" t="s">
        <v>93</v>
      </c>
      <c r="E86" s="38"/>
      <c r="F86" s="38">
        <v>757350</v>
      </c>
      <c r="G86" s="38">
        <v>757350</v>
      </c>
      <c r="H86"/>
      <c r="I86"/>
    </row>
    <row r="87" spans="1:9" x14ac:dyDescent="0.35">
      <c r="A87">
        <v>40888664</v>
      </c>
      <c r="B87" t="s">
        <v>562</v>
      </c>
      <c r="C87">
        <v>275149001</v>
      </c>
      <c r="D87" t="s">
        <v>93</v>
      </c>
      <c r="E87" s="38">
        <v>162996.65000000002</v>
      </c>
      <c r="F87" s="38"/>
      <c r="G87" s="38">
        <v>162996.65000000002</v>
      </c>
      <c r="H87"/>
      <c r="I87"/>
    </row>
    <row r="88" spans="1:9" x14ac:dyDescent="0.35">
      <c r="A88">
        <v>40888662</v>
      </c>
      <c r="B88" t="s">
        <v>562</v>
      </c>
      <c r="C88">
        <v>275149001</v>
      </c>
      <c r="D88" t="s">
        <v>93</v>
      </c>
      <c r="E88" s="38">
        <v>102565.52</v>
      </c>
      <c r="F88" s="38"/>
      <c r="G88" s="38">
        <v>102565.52</v>
      </c>
      <c r="H88"/>
      <c r="I88"/>
    </row>
    <row r="89" spans="1:9" x14ac:dyDescent="0.35">
      <c r="A89">
        <v>40888605</v>
      </c>
      <c r="B89" t="s">
        <v>562</v>
      </c>
      <c r="C89">
        <v>275149001</v>
      </c>
      <c r="D89" t="s">
        <v>93</v>
      </c>
      <c r="E89" s="38">
        <v>413581.86</v>
      </c>
      <c r="F89" s="38"/>
      <c r="G89" s="38">
        <v>413581.86</v>
      </c>
      <c r="H89"/>
      <c r="I89"/>
    </row>
    <row r="90" spans="1:9" x14ac:dyDescent="0.35">
      <c r="A90">
        <v>40888510</v>
      </c>
      <c r="B90" t="s">
        <v>915</v>
      </c>
      <c r="C90">
        <v>321793002</v>
      </c>
      <c r="D90" t="s">
        <v>93</v>
      </c>
      <c r="E90" s="38"/>
      <c r="F90" s="38">
        <v>891000</v>
      </c>
      <c r="G90" s="38">
        <v>891000</v>
      </c>
      <c r="H90"/>
      <c r="I90"/>
    </row>
    <row r="91" spans="1:9" x14ac:dyDescent="0.35">
      <c r="A91">
        <v>40888507</v>
      </c>
      <c r="B91" t="s">
        <v>915</v>
      </c>
      <c r="C91">
        <v>321793003</v>
      </c>
      <c r="D91" t="s">
        <v>93</v>
      </c>
      <c r="E91" s="38"/>
      <c r="F91" s="38">
        <v>2565000</v>
      </c>
      <c r="G91" s="38">
        <v>2565000</v>
      </c>
      <c r="H91"/>
      <c r="I91"/>
    </row>
    <row r="92" spans="1:9" x14ac:dyDescent="0.35">
      <c r="A92">
        <v>40888463</v>
      </c>
      <c r="B92" t="s">
        <v>915</v>
      </c>
      <c r="C92">
        <v>321793004</v>
      </c>
      <c r="D92" t="s">
        <v>93</v>
      </c>
      <c r="E92" s="38"/>
      <c r="F92" s="38">
        <v>891000</v>
      </c>
      <c r="G92" s="38">
        <v>891000</v>
      </c>
      <c r="H92"/>
      <c r="I92"/>
    </row>
    <row r="93" spans="1:9" x14ac:dyDescent="0.35">
      <c r="A93">
        <v>40887941</v>
      </c>
      <c r="B93" t="s">
        <v>915</v>
      </c>
      <c r="C93">
        <v>321793001</v>
      </c>
      <c r="D93" t="s">
        <v>93</v>
      </c>
      <c r="E93" s="38"/>
      <c r="F93" s="38">
        <v>2565000</v>
      </c>
      <c r="G93" s="38">
        <v>2565000</v>
      </c>
      <c r="H93"/>
      <c r="I93"/>
    </row>
    <row r="94" spans="1:9" x14ac:dyDescent="0.35">
      <c r="A94">
        <v>40887371</v>
      </c>
      <c r="B94" t="s">
        <v>676</v>
      </c>
      <c r="C94">
        <v>322158401</v>
      </c>
      <c r="D94" t="s">
        <v>93</v>
      </c>
      <c r="E94" s="38">
        <v>218706.63</v>
      </c>
      <c r="F94" s="38"/>
      <c r="G94" s="38">
        <v>218706.63</v>
      </c>
      <c r="H94"/>
      <c r="I94"/>
    </row>
    <row r="95" spans="1:9" x14ac:dyDescent="0.35">
      <c r="A95">
        <v>40887248</v>
      </c>
      <c r="B95" t="s">
        <v>676</v>
      </c>
      <c r="C95">
        <v>322158401</v>
      </c>
      <c r="D95" t="s">
        <v>93</v>
      </c>
      <c r="E95" s="38">
        <v>960776.9</v>
      </c>
      <c r="F95" s="38"/>
      <c r="G95" s="38">
        <v>960776.9</v>
      </c>
      <c r="H95"/>
      <c r="I95"/>
    </row>
    <row r="96" spans="1:9" x14ac:dyDescent="0.35">
      <c r="A96">
        <v>40886727</v>
      </c>
      <c r="B96" t="s">
        <v>604</v>
      </c>
      <c r="C96">
        <v>299384801</v>
      </c>
      <c r="D96" t="s">
        <v>93</v>
      </c>
      <c r="E96" s="38">
        <v>66576.42</v>
      </c>
      <c r="F96" s="38"/>
      <c r="G96" s="38">
        <v>66576.42</v>
      </c>
      <c r="H96"/>
      <c r="I96"/>
    </row>
    <row r="97" spans="1:9" x14ac:dyDescent="0.35">
      <c r="A97">
        <v>40884286</v>
      </c>
      <c r="B97" t="s">
        <v>658</v>
      </c>
      <c r="C97">
        <v>316314309</v>
      </c>
      <c r="D97" t="s">
        <v>93</v>
      </c>
      <c r="E97" s="38"/>
      <c r="F97" s="38">
        <v>801900</v>
      </c>
      <c r="G97" s="38">
        <v>801900</v>
      </c>
      <c r="H97"/>
      <c r="I97"/>
    </row>
    <row r="98" spans="1:9" x14ac:dyDescent="0.35">
      <c r="A98">
        <v>40884277</v>
      </c>
      <c r="B98" t="s">
        <v>658</v>
      </c>
      <c r="C98">
        <v>3163143010</v>
      </c>
      <c r="D98" t="s">
        <v>93</v>
      </c>
      <c r="E98" s="38"/>
      <c r="F98" s="38">
        <v>2308500</v>
      </c>
      <c r="G98" s="38">
        <v>2308500</v>
      </c>
      <c r="H98"/>
      <c r="I98"/>
    </row>
    <row r="99" spans="1:9" x14ac:dyDescent="0.35">
      <c r="A99">
        <v>40881967</v>
      </c>
      <c r="B99" t="s">
        <v>673</v>
      </c>
      <c r="C99">
        <v>322158001</v>
      </c>
      <c r="D99" t="s">
        <v>93</v>
      </c>
      <c r="E99" s="38">
        <v>1185638.18</v>
      </c>
      <c r="F99" s="38"/>
      <c r="G99" s="38">
        <v>1185638.18</v>
      </c>
      <c r="H99"/>
      <c r="I99"/>
    </row>
    <row r="100" spans="1:9" x14ac:dyDescent="0.35">
      <c r="A100">
        <v>40881965</v>
      </c>
      <c r="B100" t="s">
        <v>679</v>
      </c>
      <c r="C100">
        <v>322203301</v>
      </c>
      <c r="D100" t="s">
        <v>93</v>
      </c>
      <c r="E100" s="38">
        <v>1372869.67</v>
      </c>
      <c r="F100" s="38"/>
      <c r="G100" s="38">
        <v>1372869.67</v>
      </c>
      <c r="H100"/>
      <c r="I100"/>
    </row>
    <row r="101" spans="1:9" x14ac:dyDescent="0.35">
      <c r="A101">
        <v>40881724</v>
      </c>
      <c r="B101" t="s">
        <v>1057</v>
      </c>
      <c r="C101">
        <v>323893901</v>
      </c>
      <c r="D101" t="s">
        <v>93</v>
      </c>
      <c r="E101" s="38">
        <v>4002572.21</v>
      </c>
      <c r="F101" s="38"/>
      <c r="G101" s="38">
        <v>4002572.21</v>
      </c>
      <c r="H101"/>
      <c r="I101"/>
    </row>
    <row r="102" spans="1:9" x14ac:dyDescent="0.35">
      <c r="A102">
        <v>40881389</v>
      </c>
      <c r="B102" t="s">
        <v>692</v>
      </c>
      <c r="C102">
        <v>322531401</v>
      </c>
      <c r="D102" t="s">
        <v>93</v>
      </c>
      <c r="E102" s="38">
        <v>300038.82</v>
      </c>
      <c r="F102" s="38"/>
      <c r="G102" s="38">
        <v>300038.82</v>
      </c>
      <c r="H102"/>
      <c r="I102"/>
    </row>
    <row r="103" spans="1:9" x14ac:dyDescent="0.35">
      <c r="A103">
        <v>40881381</v>
      </c>
      <c r="B103" t="s">
        <v>692</v>
      </c>
      <c r="C103">
        <v>322531401</v>
      </c>
      <c r="D103" t="s">
        <v>93</v>
      </c>
      <c r="E103" s="38">
        <v>150110.82</v>
      </c>
      <c r="F103" s="38"/>
      <c r="G103" s="38">
        <v>150110.82</v>
      </c>
      <c r="H103"/>
      <c r="I103"/>
    </row>
    <row r="104" spans="1:9" x14ac:dyDescent="0.35">
      <c r="A104">
        <v>40881365</v>
      </c>
      <c r="B104" t="s">
        <v>692</v>
      </c>
      <c r="C104">
        <v>322531401</v>
      </c>
      <c r="D104" t="s">
        <v>93</v>
      </c>
      <c r="E104" s="38">
        <v>300909.22000000003</v>
      </c>
      <c r="F104" s="38"/>
      <c r="G104" s="38">
        <v>300909.22000000003</v>
      </c>
      <c r="H104"/>
      <c r="I104"/>
    </row>
    <row r="105" spans="1:9" x14ac:dyDescent="0.35">
      <c r="A105">
        <v>40881358</v>
      </c>
      <c r="B105" t="s">
        <v>692</v>
      </c>
      <c r="C105">
        <v>322531401</v>
      </c>
      <c r="D105" t="s">
        <v>93</v>
      </c>
      <c r="E105" s="38">
        <v>150101.47</v>
      </c>
      <c r="F105" s="38"/>
      <c r="G105" s="38">
        <v>150101.47</v>
      </c>
      <c r="H105"/>
      <c r="I105"/>
    </row>
    <row r="106" spans="1:9" x14ac:dyDescent="0.35">
      <c r="A106">
        <v>40881348</v>
      </c>
      <c r="B106" t="s">
        <v>692</v>
      </c>
      <c r="C106">
        <v>322531401</v>
      </c>
      <c r="D106" t="s">
        <v>93</v>
      </c>
      <c r="E106" s="38">
        <v>600259.75</v>
      </c>
      <c r="F106" s="38"/>
      <c r="G106" s="38">
        <v>600259.75</v>
      </c>
      <c r="H106"/>
      <c r="I106"/>
    </row>
    <row r="107" spans="1:9" x14ac:dyDescent="0.35">
      <c r="A107">
        <v>40881340</v>
      </c>
      <c r="B107" t="s">
        <v>692</v>
      </c>
      <c r="C107">
        <v>322531401</v>
      </c>
      <c r="D107" t="s">
        <v>93</v>
      </c>
      <c r="E107" s="38">
        <v>400118.71</v>
      </c>
      <c r="F107" s="38"/>
      <c r="G107" s="38">
        <v>400118.71</v>
      </c>
      <c r="H107"/>
      <c r="I107"/>
    </row>
    <row r="108" spans="1:9" x14ac:dyDescent="0.35">
      <c r="A108">
        <v>40881330</v>
      </c>
      <c r="B108" t="s">
        <v>692</v>
      </c>
      <c r="C108">
        <v>322531401</v>
      </c>
      <c r="D108" t="s">
        <v>93</v>
      </c>
      <c r="E108" s="38">
        <v>300543.3</v>
      </c>
      <c r="F108" s="38"/>
      <c r="G108" s="38">
        <v>300543.3</v>
      </c>
      <c r="H108"/>
      <c r="I108"/>
    </row>
    <row r="109" spans="1:9" x14ac:dyDescent="0.35">
      <c r="A109">
        <v>40881321</v>
      </c>
      <c r="B109" t="s">
        <v>692</v>
      </c>
      <c r="C109">
        <v>322531401</v>
      </c>
      <c r="D109" t="s">
        <v>93</v>
      </c>
      <c r="E109" s="38">
        <v>803187.57</v>
      </c>
      <c r="F109" s="38"/>
      <c r="G109" s="38">
        <v>803187.57</v>
      </c>
      <c r="H109"/>
      <c r="I109"/>
    </row>
    <row r="110" spans="1:9" x14ac:dyDescent="0.35">
      <c r="A110">
        <v>40881312</v>
      </c>
      <c r="B110" t="s">
        <v>692</v>
      </c>
      <c r="C110">
        <v>322531401</v>
      </c>
      <c r="D110" t="s">
        <v>93</v>
      </c>
      <c r="E110" s="38">
        <v>600181.04</v>
      </c>
      <c r="F110" s="38"/>
      <c r="G110" s="38">
        <v>600181.04</v>
      </c>
      <c r="H110"/>
      <c r="I110"/>
    </row>
    <row r="111" spans="1:9" x14ac:dyDescent="0.35">
      <c r="A111">
        <v>40881305</v>
      </c>
      <c r="B111" t="s">
        <v>692</v>
      </c>
      <c r="C111">
        <v>322531401</v>
      </c>
      <c r="D111" t="s">
        <v>93</v>
      </c>
      <c r="E111" s="38">
        <v>300274.63</v>
      </c>
      <c r="F111" s="38"/>
      <c r="G111" s="38">
        <v>300274.63</v>
      </c>
      <c r="H111"/>
      <c r="I111"/>
    </row>
    <row r="112" spans="1:9" x14ac:dyDescent="0.35">
      <c r="A112">
        <v>40881295</v>
      </c>
      <c r="B112" t="s">
        <v>692</v>
      </c>
      <c r="C112">
        <v>322531401</v>
      </c>
      <c r="D112" t="s">
        <v>93</v>
      </c>
      <c r="E112" s="38">
        <v>150054.58000000002</v>
      </c>
      <c r="F112" s="38"/>
      <c r="G112" s="38">
        <v>150054.58000000002</v>
      </c>
      <c r="H112"/>
      <c r="I112"/>
    </row>
    <row r="113" spans="1:9" x14ac:dyDescent="0.35">
      <c r="A113">
        <v>40881249</v>
      </c>
      <c r="B113" t="s">
        <v>1026</v>
      </c>
      <c r="C113">
        <v>323787901</v>
      </c>
      <c r="D113" t="s">
        <v>93</v>
      </c>
      <c r="E113" s="38">
        <v>3090147.74</v>
      </c>
      <c r="F113" s="38"/>
      <c r="G113" s="38">
        <v>3090147.74</v>
      </c>
      <c r="H113"/>
      <c r="I113"/>
    </row>
    <row r="114" spans="1:9" x14ac:dyDescent="0.35">
      <c r="A114">
        <v>40881231</v>
      </c>
      <c r="B114" t="s">
        <v>1026</v>
      </c>
      <c r="C114">
        <v>323787901</v>
      </c>
      <c r="D114" t="s">
        <v>93</v>
      </c>
      <c r="E114" s="38">
        <v>1914242.22</v>
      </c>
      <c r="F114" s="38"/>
      <c r="G114" s="38">
        <v>1914242.22</v>
      </c>
      <c r="H114"/>
      <c r="I114"/>
    </row>
    <row r="115" spans="1:9" x14ac:dyDescent="0.35">
      <c r="A115">
        <v>40881229</v>
      </c>
      <c r="B115" t="s">
        <v>692</v>
      </c>
      <c r="C115">
        <v>322531401</v>
      </c>
      <c r="D115" t="s">
        <v>93</v>
      </c>
      <c r="E115" s="38">
        <v>347311.14</v>
      </c>
      <c r="F115" s="38"/>
      <c r="G115" s="38">
        <v>347311.14</v>
      </c>
      <c r="H115"/>
      <c r="I115"/>
    </row>
    <row r="116" spans="1:9" x14ac:dyDescent="0.35">
      <c r="A116">
        <v>40881218</v>
      </c>
      <c r="B116" t="s">
        <v>692</v>
      </c>
      <c r="C116">
        <v>322531401</v>
      </c>
      <c r="D116" t="s">
        <v>93</v>
      </c>
      <c r="E116" s="38">
        <v>200310.12</v>
      </c>
      <c r="F116" s="38"/>
      <c r="G116" s="38">
        <v>200310.12</v>
      </c>
      <c r="H116"/>
      <c r="I116"/>
    </row>
    <row r="117" spans="1:9" x14ac:dyDescent="0.35">
      <c r="A117">
        <v>40881181</v>
      </c>
      <c r="B117" t="s">
        <v>692</v>
      </c>
      <c r="C117">
        <v>322531401</v>
      </c>
      <c r="D117" t="s">
        <v>93</v>
      </c>
      <c r="E117" s="38">
        <v>100078.08</v>
      </c>
      <c r="F117" s="38"/>
      <c r="G117" s="38">
        <v>100078.08</v>
      </c>
      <c r="H117"/>
      <c r="I117"/>
    </row>
    <row r="118" spans="1:9" x14ac:dyDescent="0.35">
      <c r="A118">
        <v>40881172</v>
      </c>
      <c r="B118" t="s">
        <v>692</v>
      </c>
      <c r="C118">
        <v>322531401</v>
      </c>
      <c r="D118" t="s">
        <v>93</v>
      </c>
      <c r="E118" s="38">
        <v>99993.63</v>
      </c>
      <c r="F118" s="38"/>
      <c r="G118" s="38">
        <v>99993.63</v>
      </c>
      <c r="H118"/>
      <c r="I118"/>
    </row>
    <row r="119" spans="1:9" x14ac:dyDescent="0.35">
      <c r="A119">
        <v>40881162</v>
      </c>
      <c r="B119" t="s">
        <v>692</v>
      </c>
      <c r="C119">
        <v>322531401</v>
      </c>
      <c r="D119" t="s">
        <v>93</v>
      </c>
      <c r="E119" s="38">
        <v>150082.68000000002</v>
      </c>
      <c r="F119" s="38"/>
      <c r="G119" s="38">
        <v>150082.68000000002</v>
      </c>
      <c r="H119"/>
      <c r="I119"/>
    </row>
    <row r="120" spans="1:9" x14ac:dyDescent="0.35">
      <c r="A120">
        <v>40881149</v>
      </c>
      <c r="B120" t="s">
        <v>692</v>
      </c>
      <c r="C120">
        <v>322531401</v>
      </c>
      <c r="D120" t="s">
        <v>93</v>
      </c>
      <c r="E120" s="38">
        <v>150057.48000000001</v>
      </c>
      <c r="F120" s="38"/>
      <c r="G120" s="38">
        <v>150057.48000000001</v>
      </c>
      <c r="H120"/>
      <c r="I120"/>
    </row>
    <row r="121" spans="1:9" x14ac:dyDescent="0.35">
      <c r="A121">
        <v>40872593</v>
      </c>
      <c r="B121" t="s">
        <v>885</v>
      </c>
      <c r="C121">
        <v>320312002</v>
      </c>
      <c r="D121" t="s">
        <v>93</v>
      </c>
      <c r="E121" s="38">
        <v>770437.75</v>
      </c>
      <c r="F121" s="38"/>
      <c r="G121" s="38">
        <v>770437.75</v>
      </c>
      <c r="H121"/>
      <c r="I121"/>
    </row>
    <row r="122" spans="1:9" x14ac:dyDescent="0.35">
      <c r="A122">
        <v>40872434</v>
      </c>
      <c r="B122" t="s">
        <v>885</v>
      </c>
      <c r="C122">
        <v>320312002</v>
      </c>
      <c r="D122" t="s">
        <v>93</v>
      </c>
      <c r="E122" s="38">
        <v>1285324.1299999999</v>
      </c>
      <c r="F122" s="38"/>
      <c r="G122" s="38">
        <v>1285324.1299999999</v>
      </c>
      <c r="H122"/>
      <c r="I122"/>
    </row>
    <row r="123" spans="1:9" x14ac:dyDescent="0.35">
      <c r="A123">
        <v>40872160</v>
      </c>
      <c r="B123" t="s">
        <v>704</v>
      </c>
      <c r="C123">
        <v>323167301</v>
      </c>
      <c r="D123" t="s">
        <v>93</v>
      </c>
      <c r="E123" s="38">
        <v>150000</v>
      </c>
      <c r="F123" s="38"/>
      <c r="G123" s="38">
        <v>150000</v>
      </c>
      <c r="H123"/>
      <c r="I123"/>
    </row>
    <row r="124" spans="1:9" x14ac:dyDescent="0.35">
      <c r="A124">
        <v>40872144</v>
      </c>
      <c r="B124" t="s">
        <v>1037</v>
      </c>
      <c r="C124">
        <v>323836301</v>
      </c>
      <c r="D124" t="s">
        <v>93</v>
      </c>
      <c r="E124" s="38">
        <v>12365642.550000001</v>
      </c>
      <c r="F124" s="38"/>
      <c r="G124" s="38">
        <v>12365642.550000001</v>
      </c>
      <c r="H124"/>
      <c r="I124"/>
    </row>
    <row r="125" spans="1:9" x14ac:dyDescent="0.35">
      <c r="A125">
        <v>40871129</v>
      </c>
      <c r="B125" t="s">
        <v>1041</v>
      </c>
      <c r="C125">
        <v>323839401</v>
      </c>
      <c r="D125" t="s">
        <v>93</v>
      </c>
      <c r="E125" s="38">
        <v>2489548.4</v>
      </c>
      <c r="F125" s="38"/>
      <c r="G125" s="38">
        <v>2489548.4</v>
      </c>
      <c r="H125"/>
      <c r="I125"/>
    </row>
    <row r="126" spans="1:9" x14ac:dyDescent="0.35">
      <c r="A126">
        <v>40866465</v>
      </c>
      <c r="B126" t="s">
        <v>663</v>
      </c>
      <c r="C126">
        <v>321036001</v>
      </c>
      <c r="D126" t="s">
        <v>93</v>
      </c>
      <c r="E126" s="38">
        <v>4134155.88</v>
      </c>
      <c r="F126" s="38"/>
      <c r="G126" s="38">
        <v>4134155.88</v>
      </c>
      <c r="H126"/>
      <c r="I126"/>
    </row>
    <row r="127" spans="1:9" x14ac:dyDescent="0.35">
      <c r="A127">
        <v>40866152</v>
      </c>
      <c r="B127" t="s">
        <v>999</v>
      </c>
      <c r="C127">
        <v>322569101</v>
      </c>
      <c r="D127" t="s">
        <v>93</v>
      </c>
      <c r="E127" s="38">
        <v>4701458.79</v>
      </c>
      <c r="F127" s="38"/>
      <c r="G127" s="38">
        <v>4701458.79</v>
      </c>
      <c r="H127"/>
      <c r="I127"/>
    </row>
    <row r="128" spans="1:9" x14ac:dyDescent="0.35">
      <c r="A128">
        <v>40860429</v>
      </c>
      <c r="B128" t="s">
        <v>511</v>
      </c>
      <c r="C128">
        <v>283446001</v>
      </c>
      <c r="D128" t="s">
        <v>93</v>
      </c>
      <c r="E128" s="38">
        <v>1208044.6299999999</v>
      </c>
      <c r="F128" s="38"/>
      <c r="G128" s="38">
        <v>1208044.6299999999</v>
      </c>
      <c r="H128"/>
      <c r="I128"/>
    </row>
    <row r="129" spans="1:9" x14ac:dyDescent="0.35">
      <c r="A129">
        <v>40859691</v>
      </c>
      <c r="B129" t="s">
        <v>715</v>
      </c>
      <c r="C129">
        <v>323787401</v>
      </c>
      <c r="D129" t="s">
        <v>70</v>
      </c>
      <c r="E129" s="38">
        <v>1722</v>
      </c>
      <c r="F129" s="38"/>
      <c r="G129" s="38">
        <v>1722</v>
      </c>
      <c r="H129"/>
      <c r="I129"/>
    </row>
    <row r="130" spans="1:9" x14ac:dyDescent="0.35">
      <c r="A130">
        <v>40859495</v>
      </c>
      <c r="B130" t="s">
        <v>653</v>
      </c>
      <c r="C130">
        <v>288709901</v>
      </c>
      <c r="D130" t="s">
        <v>93</v>
      </c>
      <c r="E130" s="38">
        <v>246829.11</v>
      </c>
      <c r="F130" s="38"/>
      <c r="G130" s="38">
        <v>246829.11</v>
      </c>
      <c r="H130"/>
      <c r="I130"/>
    </row>
    <row r="131" spans="1:9" x14ac:dyDescent="0.35">
      <c r="A131">
        <v>40859476</v>
      </c>
      <c r="B131" t="s">
        <v>653</v>
      </c>
      <c r="C131">
        <v>288709901</v>
      </c>
      <c r="D131" t="s">
        <v>93</v>
      </c>
      <c r="E131" s="38">
        <v>463887.16</v>
      </c>
      <c r="F131" s="38"/>
      <c r="G131" s="38">
        <v>463887.16</v>
      </c>
      <c r="H131"/>
      <c r="I131"/>
    </row>
    <row r="132" spans="1:9" x14ac:dyDescent="0.35">
      <c r="A132">
        <v>40855406</v>
      </c>
      <c r="B132" t="s">
        <v>562</v>
      </c>
      <c r="C132">
        <v>275149001</v>
      </c>
      <c r="D132" t="s">
        <v>93</v>
      </c>
      <c r="E132" s="38">
        <v>1389582.6500000001</v>
      </c>
      <c r="F132" s="38"/>
      <c r="G132" s="38">
        <v>1389582.6500000001</v>
      </c>
      <c r="H132"/>
      <c r="I132"/>
    </row>
    <row r="133" spans="1:9" x14ac:dyDescent="0.35">
      <c r="A133">
        <v>40855359</v>
      </c>
      <c r="B133" t="s">
        <v>978</v>
      </c>
      <c r="C133">
        <v>322353602</v>
      </c>
      <c r="D133" t="s">
        <v>93</v>
      </c>
      <c r="E133" s="38"/>
      <c r="F133" s="38">
        <v>2180250</v>
      </c>
      <c r="G133" s="38">
        <v>2180250</v>
      </c>
      <c r="H133"/>
      <c r="I133"/>
    </row>
    <row r="134" spans="1:9" x14ac:dyDescent="0.35">
      <c r="A134">
        <v>40855286</v>
      </c>
      <c r="B134" t="s">
        <v>859</v>
      </c>
      <c r="C134">
        <v>316316103</v>
      </c>
      <c r="D134" t="s">
        <v>93</v>
      </c>
      <c r="E134" s="38"/>
      <c r="F134" s="38">
        <v>1710000</v>
      </c>
      <c r="G134" s="38">
        <v>1710000</v>
      </c>
      <c r="H134"/>
      <c r="I134"/>
    </row>
    <row r="135" spans="1:9" x14ac:dyDescent="0.35">
      <c r="A135">
        <v>40850980</v>
      </c>
      <c r="B135" t="s">
        <v>859</v>
      </c>
      <c r="C135">
        <v>316316102</v>
      </c>
      <c r="D135" t="s">
        <v>93</v>
      </c>
      <c r="E135" s="38"/>
      <c r="F135" s="38">
        <v>594000</v>
      </c>
      <c r="G135" s="38">
        <v>594000</v>
      </c>
      <c r="H135"/>
      <c r="I135"/>
    </row>
    <row r="136" spans="1:9" x14ac:dyDescent="0.35">
      <c r="A136">
        <v>40838875</v>
      </c>
      <c r="B136" t="s">
        <v>557</v>
      </c>
      <c r="C136">
        <v>302594801</v>
      </c>
      <c r="D136" t="s">
        <v>93</v>
      </c>
      <c r="E136" s="38">
        <v>4570398.05</v>
      </c>
      <c r="F136" s="38"/>
      <c r="G136" s="38">
        <v>4570398.05</v>
      </c>
      <c r="H136"/>
      <c r="I136"/>
    </row>
    <row r="137" spans="1:9" x14ac:dyDescent="0.35">
      <c r="A137">
        <v>40832864</v>
      </c>
      <c r="B137" t="s">
        <v>705</v>
      </c>
      <c r="C137">
        <v>323378801</v>
      </c>
      <c r="D137" t="s">
        <v>93</v>
      </c>
      <c r="E137" s="38">
        <v>2028302.04</v>
      </c>
      <c r="F137" s="38"/>
      <c r="G137" s="38">
        <v>2028302.04</v>
      </c>
      <c r="H137"/>
      <c r="I137"/>
    </row>
    <row r="138" spans="1:9" x14ac:dyDescent="0.35">
      <c r="A138">
        <v>40832387</v>
      </c>
      <c r="B138" t="s">
        <v>699</v>
      </c>
      <c r="C138">
        <v>323150202</v>
      </c>
      <c r="D138" t="s">
        <v>93</v>
      </c>
      <c r="E138" s="38">
        <v>92012.77</v>
      </c>
      <c r="F138" s="38"/>
      <c r="G138" s="38">
        <v>92012.77</v>
      </c>
      <c r="H138"/>
      <c r="I138"/>
    </row>
    <row r="139" spans="1:9" x14ac:dyDescent="0.35">
      <c r="A139">
        <v>40823097</v>
      </c>
      <c r="B139" t="s">
        <v>694</v>
      </c>
      <c r="C139">
        <v>322534501</v>
      </c>
      <c r="D139" t="s">
        <v>93</v>
      </c>
      <c r="E139" s="38">
        <v>8088113.9100000001</v>
      </c>
      <c r="F139" s="38"/>
      <c r="G139" s="38">
        <v>8088113.9100000001</v>
      </c>
      <c r="H139"/>
      <c r="I139"/>
    </row>
    <row r="140" spans="1:9" x14ac:dyDescent="0.35">
      <c r="A140">
        <v>40822591</v>
      </c>
      <c r="B140" t="s">
        <v>703</v>
      </c>
      <c r="C140">
        <v>323164701</v>
      </c>
      <c r="D140" t="s">
        <v>93</v>
      </c>
      <c r="E140" s="38">
        <v>4109964.98</v>
      </c>
      <c r="F140" s="38"/>
      <c r="G140" s="38">
        <v>4109964.98</v>
      </c>
      <c r="H140"/>
      <c r="I140"/>
    </row>
    <row r="141" spans="1:9" x14ac:dyDescent="0.35">
      <c r="A141">
        <v>40817363</v>
      </c>
      <c r="B141" t="s">
        <v>540</v>
      </c>
      <c r="C141">
        <v>298538101</v>
      </c>
      <c r="D141" t="s">
        <v>93</v>
      </c>
      <c r="E141" s="38">
        <v>626344.60000000009</v>
      </c>
      <c r="F141" s="38"/>
      <c r="G141" s="38">
        <v>626344.60000000009</v>
      </c>
      <c r="H141"/>
      <c r="I141"/>
    </row>
    <row r="142" spans="1:9" x14ac:dyDescent="0.35">
      <c r="A142">
        <v>40816303</v>
      </c>
      <c r="B142" t="s">
        <v>684</v>
      </c>
      <c r="C142">
        <v>322257401</v>
      </c>
      <c r="D142" t="s">
        <v>93</v>
      </c>
      <c r="E142" s="38">
        <v>4387094.46</v>
      </c>
      <c r="F142" s="38"/>
      <c r="G142" s="38">
        <v>4387094.46</v>
      </c>
      <c r="H142"/>
      <c r="I142"/>
    </row>
    <row r="143" spans="1:9" x14ac:dyDescent="0.35">
      <c r="A143">
        <v>40816115</v>
      </c>
      <c r="B143" t="s">
        <v>696</v>
      </c>
      <c r="C143">
        <v>322727401</v>
      </c>
      <c r="D143" t="s">
        <v>93</v>
      </c>
      <c r="E143" s="38">
        <v>1745729.16</v>
      </c>
      <c r="F143" s="38"/>
      <c r="G143" s="38">
        <v>1745729.16</v>
      </c>
      <c r="H143"/>
      <c r="I143"/>
    </row>
    <row r="144" spans="1:9" x14ac:dyDescent="0.35">
      <c r="A144">
        <v>40805838</v>
      </c>
      <c r="B144" t="s">
        <v>688</v>
      </c>
      <c r="C144">
        <v>322467801</v>
      </c>
      <c r="D144" t="s">
        <v>93</v>
      </c>
      <c r="E144" s="38">
        <v>756717.76</v>
      </c>
      <c r="F144" s="38"/>
      <c r="G144" s="38">
        <v>756717.76</v>
      </c>
      <c r="H144"/>
      <c r="I144"/>
    </row>
    <row r="145" spans="1:9" x14ac:dyDescent="0.35">
      <c r="A145">
        <v>40805823</v>
      </c>
      <c r="B145" t="s">
        <v>688</v>
      </c>
      <c r="C145">
        <v>322467801</v>
      </c>
      <c r="D145" t="s">
        <v>93</v>
      </c>
      <c r="E145" s="38">
        <v>894356.52</v>
      </c>
      <c r="F145" s="38"/>
      <c r="G145" s="38">
        <v>894356.52</v>
      </c>
      <c r="H145"/>
      <c r="I145"/>
    </row>
    <row r="146" spans="1:9" x14ac:dyDescent="0.35">
      <c r="A146">
        <v>40800175</v>
      </c>
      <c r="B146" t="s">
        <v>690</v>
      </c>
      <c r="C146">
        <v>322476101</v>
      </c>
      <c r="D146" t="s">
        <v>93</v>
      </c>
      <c r="E146" s="38">
        <v>2504630.25</v>
      </c>
      <c r="F146" s="38"/>
      <c r="G146" s="38">
        <v>2504630.25</v>
      </c>
      <c r="H146"/>
      <c r="I146"/>
    </row>
    <row r="147" spans="1:9" x14ac:dyDescent="0.35">
      <c r="A147">
        <v>40800132</v>
      </c>
      <c r="B147" t="s">
        <v>690</v>
      </c>
      <c r="C147">
        <v>322476101</v>
      </c>
      <c r="D147" t="s">
        <v>93</v>
      </c>
      <c r="E147" s="38">
        <v>2237064.12</v>
      </c>
      <c r="F147" s="38"/>
      <c r="G147" s="38">
        <v>2237064.12</v>
      </c>
      <c r="H147"/>
      <c r="I147"/>
    </row>
    <row r="148" spans="1:9" x14ac:dyDescent="0.35">
      <c r="A148">
        <v>40800029</v>
      </c>
      <c r="B148" t="s">
        <v>690</v>
      </c>
      <c r="C148">
        <v>322476101</v>
      </c>
      <c r="D148" t="s">
        <v>93</v>
      </c>
      <c r="E148" s="38">
        <v>2772458.76</v>
      </c>
      <c r="F148" s="38"/>
      <c r="G148" s="38">
        <v>2772458.76</v>
      </c>
      <c r="H148"/>
      <c r="I148"/>
    </row>
    <row r="149" spans="1:9" x14ac:dyDescent="0.35">
      <c r="A149">
        <v>40794271</v>
      </c>
      <c r="B149" t="s">
        <v>686</v>
      </c>
      <c r="C149">
        <v>322258201</v>
      </c>
      <c r="D149" t="s">
        <v>93</v>
      </c>
      <c r="E149" s="38">
        <v>352906.47</v>
      </c>
      <c r="F149" s="38"/>
      <c r="G149" s="38">
        <v>352906.47</v>
      </c>
      <c r="H149"/>
      <c r="I149"/>
    </row>
    <row r="150" spans="1:9" x14ac:dyDescent="0.35">
      <c r="A150">
        <v>40790186</v>
      </c>
      <c r="B150" t="s">
        <v>662</v>
      </c>
      <c r="C150">
        <v>320381103</v>
      </c>
      <c r="D150" t="s">
        <v>93</v>
      </c>
      <c r="E150" s="38"/>
      <c r="F150" s="38">
        <v>594000</v>
      </c>
      <c r="G150" s="38">
        <v>594000</v>
      </c>
      <c r="H150"/>
      <c r="I150"/>
    </row>
    <row r="151" spans="1:9" x14ac:dyDescent="0.35">
      <c r="A151">
        <v>40790180</v>
      </c>
      <c r="B151" t="s">
        <v>662</v>
      </c>
      <c r="C151">
        <v>320381104</v>
      </c>
      <c r="D151" t="s">
        <v>93</v>
      </c>
      <c r="E151" s="38"/>
      <c r="F151" s="38">
        <v>1710000</v>
      </c>
      <c r="G151" s="38">
        <v>1710000</v>
      </c>
      <c r="H151"/>
      <c r="I151"/>
    </row>
    <row r="152" spans="1:9" x14ac:dyDescent="0.35">
      <c r="A152">
        <v>40789966</v>
      </c>
      <c r="B152" t="s">
        <v>562</v>
      </c>
      <c r="C152">
        <v>275149001</v>
      </c>
      <c r="D152" t="s">
        <v>93</v>
      </c>
      <c r="E152" s="38">
        <v>443772.08</v>
      </c>
      <c r="F152" s="38"/>
      <c r="G152" s="38">
        <v>443772.08</v>
      </c>
      <c r="H152"/>
      <c r="I152"/>
    </row>
    <row r="153" spans="1:9" x14ac:dyDescent="0.35">
      <c r="A153">
        <v>40789854</v>
      </c>
      <c r="B153" t="s">
        <v>562</v>
      </c>
      <c r="C153">
        <v>275149001</v>
      </c>
      <c r="D153" t="s">
        <v>93</v>
      </c>
      <c r="E153" s="38">
        <v>61583.810000000005</v>
      </c>
      <c r="F153" s="38"/>
      <c r="G153" s="38">
        <v>61583.810000000005</v>
      </c>
      <c r="H153"/>
      <c r="I153"/>
    </row>
    <row r="154" spans="1:9" x14ac:dyDescent="0.35">
      <c r="A154">
        <v>40789845</v>
      </c>
      <c r="B154" t="s">
        <v>562</v>
      </c>
      <c r="C154">
        <v>275149001</v>
      </c>
      <c r="D154" t="s">
        <v>93</v>
      </c>
      <c r="E154" s="38">
        <v>319263.44</v>
      </c>
      <c r="F154" s="38"/>
      <c r="G154" s="38">
        <v>319263.44</v>
      </c>
      <c r="H154"/>
      <c r="I154"/>
    </row>
    <row r="155" spans="1:9" x14ac:dyDescent="0.35">
      <c r="A155">
        <v>40789826</v>
      </c>
      <c r="B155" t="s">
        <v>562</v>
      </c>
      <c r="C155">
        <v>275149001</v>
      </c>
      <c r="D155" t="s">
        <v>93</v>
      </c>
      <c r="E155" s="38">
        <v>61670.34</v>
      </c>
      <c r="F155" s="38"/>
      <c r="G155" s="38">
        <v>61670.34</v>
      </c>
      <c r="H155"/>
      <c r="I155"/>
    </row>
    <row r="156" spans="1:9" x14ac:dyDescent="0.35">
      <c r="A156">
        <v>40788989</v>
      </c>
      <c r="B156" t="s">
        <v>669</v>
      </c>
      <c r="C156">
        <v>322149801</v>
      </c>
      <c r="D156" t="s">
        <v>93</v>
      </c>
      <c r="E156" s="38">
        <v>474511.63</v>
      </c>
      <c r="F156" s="38"/>
      <c r="G156" s="38">
        <v>474511.63</v>
      </c>
      <c r="H156"/>
      <c r="I156"/>
    </row>
    <row r="157" spans="1:9" x14ac:dyDescent="0.35">
      <c r="A157">
        <v>40776297</v>
      </c>
      <c r="B157" t="s">
        <v>671</v>
      </c>
      <c r="C157">
        <v>322149901</v>
      </c>
      <c r="D157" t="s">
        <v>93</v>
      </c>
      <c r="E157" s="38">
        <v>158098.96</v>
      </c>
      <c r="F157" s="38"/>
      <c r="G157" s="38">
        <v>158098.96</v>
      </c>
      <c r="H157"/>
      <c r="I157"/>
    </row>
    <row r="158" spans="1:9" x14ac:dyDescent="0.35">
      <c r="A158">
        <v>40776264</v>
      </c>
      <c r="B158" t="s">
        <v>671</v>
      </c>
      <c r="C158">
        <v>322149901</v>
      </c>
      <c r="D158" t="s">
        <v>93</v>
      </c>
      <c r="E158" s="38">
        <v>221426.17</v>
      </c>
      <c r="F158" s="38"/>
      <c r="G158" s="38">
        <v>221426.17</v>
      </c>
      <c r="H158"/>
      <c r="I158"/>
    </row>
    <row r="159" spans="1:9" x14ac:dyDescent="0.35">
      <c r="A159">
        <v>40776253</v>
      </c>
      <c r="B159" t="s">
        <v>671</v>
      </c>
      <c r="C159">
        <v>322149901</v>
      </c>
      <c r="D159" t="s">
        <v>93</v>
      </c>
      <c r="E159" s="38">
        <v>213624.01</v>
      </c>
      <c r="F159" s="38"/>
      <c r="G159" s="38">
        <v>213624.01</v>
      </c>
      <c r="H159"/>
      <c r="I159"/>
    </row>
    <row r="160" spans="1:9" x14ac:dyDescent="0.35">
      <c r="A160">
        <v>40776231</v>
      </c>
      <c r="B160" t="s">
        <v>671</v>
      </c>
      <c r="C160">
        <v>322149901</v>
      </c>
      <c r="D160" t="s">
        <v>93</v>
      </c>
      <c r="E160" s="38">
        <v>301607.77</v>
      </c>
      <c r="F160" s="38"/>
      <c r="G160" s="38">
        <v>301607.77</v>
      </c>
      <c r="H160"/>
      <c r="I160"/>
    </row>
    <row r="161" spans="1:9" x14ac:dyDescent="0.35">
      <c r="A161">
        <v>40776025</v>
      </c>
      <c r="B161" t="s">
        <v>687</v>
      </c>
      <c r="C161">
        <v>322281901</v>
      </c>
      <c r="D161" t="s">
        <v>93</v>
      </c>
      <c r="E161" s="38">
        <v>7779983.4400000004</v>
      </c>
      <c r="F161" s="38"/>
      <c r="G161" s="38">
        <v>7779983.4400000004</v>
      </c>
      <c r="H161"/>
      <c r="I161"/>
    </row>
    <row r="162" spans="1:9" x14ac:dyDescent="0.35">
      <c r="A162">
        <v>40775999</v>
      </c>
      <c r="B162" t="s">
        <v>582</v>
      </c>
      <c r="C162">
        <v>309496901</v>
      </c>
      <c r="D162" t="s">
        <v>93</v>
      </c>
      <c r="E162" s="38">
        <v>311760.77</v>
      </c>
      <c r="F162" s="38"/>
      <c r="G162" s="38">
        <v>311760.77</v>
      </c>
      <c r="H162"/>
      <c r="I162"/>
    </row>
    <row r="163" spans="1:9" x14ac:dyDescent="0.35">
      <c r="A163">
        <v>40759179</v>
      </c>
      <c r="B163" t="s">
        <v>679</v>
      </c>
      <c r="C163">
        <v>322203301</v>
      </c>
      <c r="D163" t="s">
        <v>93</v>
      </c>
      <c r="E163" s="38">
        <v>2683098.65</v>
      </c>
      <c r="F163" s="38"/>
      <c r="G163" s="38">
        <v>2683098.65</v>
      </c>
      <c r="H163"/>
      <c r="I163"/>
    </row>
    <row r="164" spans="1:9" x14ac:dyDescent="0.35">
      <c r="A164">
        <v>40759166</v>
      </c>
      <c r="B164" t="s">
        <v>677</v>
      </c>
      <c r="C164">
        <v>322203001</v>
      </c>
      <c r="D164" t="s">
        <v>93</v>
      </c>
      <c r="E164" s="38">
        <v>2191392.65</v>
      </c>
      <c r="F164" s="38"/>
      <c r="G164" s="38">
        <v>2191392.65</v>
      </c>
      <c r="H164"/>
      <c r="I164"/>
    </row>
    <row r="165" spans="1:9" x14ac:dyDescent="0.35">
      <c r="A165">
        <v>40759144</v>
      </c>
      <c r="B165" t="s">
        <v>677</v>
      </c>
      <c r="C165">
        <v>322203001</v>
      </c>
      <c r="D165" t="s">
        <v>93</v>
      </c>
      <c r="E165" s="38">
        <v>1771579.69</v>
      </c>
      <c r="F165" s="38"/>
      <c r="G165" s="38">
        <v>1771579.69</v>
      </c>
      <c r="H165"/>
      <c r="I165"/>
    </row>
    <row r="166" spans="1:9" x14ac:dyDescent="0.35">
      <c r="A166">
        <v>40759134</v>
      </c>
      <c r="B166" t="s">
        <v>678</v>
      </c>
      <c r="C166">
        <v>322203201</v>
      </c>
      <c r="D166" t="s">
        <v>93</v>
      </c>
      <c r="E166" s="38">
        <v>893323.9</v>
      </c>
      <c r="F166" s="38"/>
      <c r="G166" s="38">
        <v>893323.9</v>
      </c>
      <c r="H166"/>
      <c r="I166"/>
    </row>
    <row r="167" spans="1:9" x14ac:dyDescent="0.35">
      <c r="A167">
        <v>40758990</v>
      </c>
      <c r="B167" t="s">
        <v>680</v>
      </c>
      <c r="C167">
        <v>322206001</v>
      </c>
      <c r="D167" t="s">
        <v>93</v>
      </c>
      <c r="E167" s="38">
        <v>1699231.77</v>
      </c>
      <c r="F167" s="38"/>
      <c r="G167" s="38">
        <v>1699231.77</v>
      </c>
      <c r="H167"/>
      <c r="I167"/>
    </row>
    <row r="168" spans="1:9" x14ac:dyDescent="0.35">
      <c r="A168">
        <v>40745375</v>
      </c>
      <c r="B168" t="s">
        <v>669</v>
      </c>
      <c r="C168">
        <v>322149801</v>
      </c>
      <c r="D168" t="s">
        <v>93</v>
      </c>
      <c r="E168" s="38">
        <v>3703283.35</v>
      </c>
      <c r="F168" s="38"/>
      <c r="G168" s="38">
        <v>3703283.35</v>
      </c>
      <c r="H168"/>
      <c r="I168"/>
    </row>
    <row r="169" spans="1:9" x14ac:dyDescent="0.35">
      <c r="A169">
        <v>40745359</v>
      </c>
      <c r="B169" t="s">
        <v>669</v>
      </c>
      <c r="C169">
        <v>322149801</v>
      </c>
      <c r="D169" t="s">
        <v>93</v>
      </c>
      <c r="E169" s="38">
        <v>1293559.94</v>
      </c>
      <c r="F169" s="38"/>
      <c r="G169" s="38">
        <v>1293559.94</v>
      </c>
      <c r="H169"/>
      <c r="I169"/>
    </row>
    <row r="170" spans="1:9" x14ac:dyDescent="0.35">
      <c r="A170">
        <v>40745354</v>
      </c>
      <c r="B170" t="s">
        <v>669</v>
      </c>
      <c r="C170">
        <v>322149801</v>
      </c>
      <c r="D170" t="s">
        <v>93</v>
      </c>
      <c r="E170" s="38">
        <v>2735581.56</v>
      </c>
      <c r="F170" s="38"/>
      <c r="G170" s="38">
        <v>2735581.56</v>
      </c>
      <c r="H170"/>
      <c r="I170"/>
    </row>
    <row r="171" spans="1:9" x14ac:dyDescent="0.35">
      <c r="A171">
        <v>40745349</v>
      </c>
      <c r="B171" t="s">
        <v>669</v>
      </c>
      <c r="C171">
        <v>322149801</v>
      </c>
      <c r="D171" t="s">
        <v>93</v>
      </c>
      <c r="E171" s="38">
        <v>74846.17</v>
      </c>
      <c r="F171" s="38"/>
      <c r="G171" s="38">
        <v>74846.17</v>
      </c>
      <c r="H171"/>
      <c r="I171"/>
    </row>
    <row r="172" spans="1:9" x14ac:dyDescent="0.35">
      <c r="A172">
        <v>40745339</v>
      </c>
      <c r="B172" t="s">
        <v>669</v>
      </c>
      <c r="C172">
        <v>322149801</v>
      </c>
      <c r="D172" t="s">
        <v>93</v>
      </c>
      <c r="E172" s="38">
        <v>480031.53</v>
      </c>
      <c r="F172" s="38"/>
      <c r="G172" s="38">
        <v>480031.53</v>
      </c>
      <c r="H172"/>
      <c r="I172"/>
    </row>
    <row r="173" spans="1:9" x14ac:dyDescent="0.35">
      <c r="A173">
        <v>40745273</v>
      </c>
      <c r="B173" t="s">
        <v>669</v>
      </c>
      <c r="C173">
        <v>322149801</v>
      </c>
      <c r="D173" t="s">
        <v>93</v>
      </c>
      <c r="E173" s="38">
        <v>815704.5</v>
      </c>
      <c r="F173" s="38"/>
      <c r="G173" s="38">
        <v>815704.5</v>
      </c>
      <c r="H173"/>
      <c r="I173"/>
    </row>
    <row r="174" spans="1:9" x14ac:dyDescent="0.35">
      <c r="A174">
        <v>40745025</v>
      </c>
      <c r="B174" t="s">
        <v>673</v>
      </c>
      <c r="C174">
        <v>322158001</v>
      </c>
      <c r="D174" t="s">
        <v>93</v>
      </c>
      <c r="E174" s="38">
        <v>167565.26</v>
      </c>
      <c r="F174" s="38"/>
      <c r="G174" s="38">
        <v>167565.26</v>
      </c>
      <c r="H174"/>
      <c r="I174"/>
    </row>
    <row r="175" spans="1:9" x14ac:dyDescent="0.35">
      <c r="A175">
        <v>40744945</v>
      </c>
      <c r="B175" t="s">
        <v>676</v>
      </c>
      <c r="C175">
        <v>322158401</v>
      </c>
      <c r="D175" t="s">
        <v>93</v>
      </c>
      <c r="E175" s="38">
        <v>237367.58</v>
      </c>
      <c r="F175" s="38"/>
      <c r="G175" s="38">
        <v>237367.58</v>
      </c>
      <c r="H175"/>
      <c r="I175"/>
    </row>
    <row r="176" spans="1:9" x14ac:dyDescent="0.35">
      <c r="A176">
        <v>40744942</v>
      </c>
      <c r="B176" t="s">
        <v>676</v>
      </c>
      <c r="C176">
        <v>322158401</v>
      </c>
      <c r="D176" t="s">
        <v>93</v>
      </c>
      <c r="E176" s="38">
        <v>997461.86</v>
      </c>
      <c r="F176" s="38"/>
      <c r="G176" s="38">
        <v>997461.86</v>
      </c>
      <c r="H176"/>
      <c r="I176"/>
    </row>
    <row r="177" spans="1:9" x14ac:dyDescent="0.35">
      <c r="A177">
        <v>40734874</v>
      </c>
      <c r="B177" t="s">
        <v>666</v>
      </c>
      <c r="C177">
        <v>321953101</v>
      </c>
      <c r="D177" t="s">
        <v>93</v>
      </c>
      <c r="E177" s="38">
        <v>1952420.44</v>
      </c>
      <c r="F177" s="38"/>
      <c r="G177" s="38">
        <v>1952420.44</v>
      </c>
      <c r="H177"/>
      <c r="I177"/>
    </row>
    <row r="178" spans="1:9" x14ac:dyDescent="0.35">
      <c r="A178">
        <v>40734151</v>
      </c>
      <c r="B178" t="s">
        <v>637</v>
      </c>
      <c r="C178">
        <v>321925201</v>
      </c>
      <c r="D178" t="s">
        <v>93</v>
      </c>
      <c r="E178" s="38">
        <v>296060.78000000003</v>
      </c>
      <c r="F178" s="38"/>
      <c r="G178" s="38">
        <v>296060.78000000003</v>
      </c>
      <c r="H178"/>
      <c r="I178"/>
    </row>
    <row r="179" spans="1:9" x14ac:dyDescent="0.35">
      <c r="A179">
        <v>40734032</v>
      </c>
      <c r="B179" t="s">
        <v>637</v>
      </c>
      <c r="C179">
        <v>321925201</v>
      </c>
      <c r="D179" t="s">
        <v>93</v>
      </c>
      <c r="E179" s="38">
        <v>1381796.3800000001</v>
      </c>
      <c r="F179" s="38"/>
      <c r="G179" s="38">
        <v>1381796.3800000001</v>
      </c>
      <c r="H179"/>
      <c r="I179"/>
    </row>
    <row r="180" spans="1:9" x14ac:dyDescent="0.35">
      <c r="A180">
        <v>40720217</v>
      </c>
      <c r="B180" t="s">
        <v>540</v>
      </c>
      <c r="C180">
        <v>298538101</v>
      </c>
      <c r="D180" t="s">
        <v>93</v>
      </c>
      <c r="E180" s="38">
        <v>39026.83</v>
      </c>
      <c r="F180" s="38"/>
      <c r="G180" s="38">
        <v>39026.83</v>
      </c>
      <c r="H180"/>
      <c r="I180"/>
    </row>
    <row r="181" spans="1:9" x14ac:dyDescent="0.35">
      <c r="A181">
        <v>40700854</v>
      </c>
      <c r="B181" t="s">
        <v>633</v>
      </c>
      <c r="C181">
        <v>321819001</v>
      </c>
      <c r="D181" t="s">
        <v>93</v>
      </c>
      <c r="E181" s="38">
        <v>9005104.1400000006</v>
      </c>
      <c r="F181" s="38"/>
      <c r="G181" s="38">
        <v>9005104.1400000006</v>
      </c>
      <c r="H181"/>
      <c r="I181"/>
    </row>
    <row r="182" spans="1:9" x14ac:dyDescent="0.35">
      <c r="A182">
        <v>40676787</v>
      </c>
      <c r="B182" t="s">
        <v>540</v>
      </c>
      <c r="C182">
        <v>298538101</v>
      </c>
      <c r="D182" t="s">
        <v>93</v>
      </c>
      <c r="E182" s="38">
        <v>22535.24</v>
      </c>
      <c r="F182" s="38"/>
      <c r="G182" s="38">
        <v>22535.24</v>
      </c>
      <c r="H182"/>
      <c r="I182"/>
    </row>
    <row r="183" spans="1:9" x14ac:dyDescent="0.35">
      <c r="A183">
        <v>40676315</v>
      </c>
      <c r="B183" t="s">
        <v>663</v>
      </c>
      <c r="C183">
        <v>321036001</v>
      </c>
      <c r="D183" t="s">
        <v>93</v>
      </c>
      <c r="E183" s="38">
        <v>1412281.82</v>
      </c>
      <c r="F183" s="38"/>
      <c r="G183" s="38">
        <v>1412281.82</v>
      </c>
      <c r="H183"/>
      <c r="I183"/>
    </row>
    <row r="184" spans="1:9" x14ac:dyDescent="0.35">
      <c r="A184">
        <v>40636269</v>
      </c>
      <c r="B184" t="s">
        <v>632</v>
      </c>
      <c r="C184">
        <v>320938401</v>
      </c>
      <c r="D184" t="s">
        <v>93</v>
      </c>
      <c r="E184" s="38">
        <v>1642611.98</v>
      </c>
      <c r="F184" s="38"/>
      <c r="G184" s="38">
        <v>1642611.98</v>
      </c>
      <c r="H184"/>
      <c r="I184"/>
    </row>
    <row r="185" spans="1:9" x14ac:dyDescent="0.35">
      <c r="A185">
        <v>40617267</v>
      </c>
      <c r="B185" t="s">
        <v>632</v>
      </c>
      <c r="C185">
        <v>320938401</v>
      </c>
      <c r="D185" t="s">
        <v>93</v>
      </c>
      <c r="E185" s="38">
        <v>2515517.34</v>
      </c>
      <c r="F185" s="38"/>
      <c r="G185" s="38">
        <v>2515517.34</v>
      </c>
      <c r="H185"/>
      <c r="I185"/>
    </row>
    <row r="186" spans="1:9" x14ac:dyDescent="0.35">
      <c r="A186">
        <v>40613189</v>
      </c>
      <c r="B186" t="s">
        <v>632</v>
      </c>
      <c r="C186">
        <v>320938401</v>
      </c>
      <c r="D186" t="s">
        <v>93</v>
      </c>
      <c r="E186" s="38">
        <v>2052055</v>
      </c>
      <c r="F186" s="38"/>
      <c r="G186" s="38">
        <v>2052055</v>
      </c>
      <c r="H186"/>
      <c r="I186"/>
    </row>
    <row r="187" spans="1:9" x14ac:dyDescent="0.35">
      <c r="A187">
        <v>40497612</v>
      </c>
      <c r="B187" t="s">
        <v>618</v>
      </c>
      <c r="C187">
        <v>318698801</v>
      </c>
      <c r="D187" t="s">
        <v>93</v>
      </c>
      <c r="E187" s="38">
        <v>1216795.6299999999</v>
      </c>
      <c r="F187" s="38"/>
      <c r="G187" s="38">
        <v>1216795.6299999999</v>
      </c>
      <c r="H187"/>
      <c r="I187"/>
    </row>
    <row r="188" spans="1:9" x14ac:dyDescent="0.35">
      <c r="A188">
        <v>40497187</v>
      </c>
      <c r="B188" t="s">
        <v>618</v>
      </c>
      <c r="C188">
        <v>318698801</v>
      </c>
      <c r="D188" t="s">
        <v>93</v>
      </c>
      <c r="E188" s="38">
        <v>1214635.49</v>
      </c>
      <c r="F188" s="38"/>
      <c r="G188" s="38">
        <v>1214635.49</v>
      </c>
      <c r="H188"/>
      <c r="I188"/>
    </row>
    <row r="189" spans="1:9" x14ac:dyDescent="0.35">
      <c r="A189">
        <v>40459480</v>
      </c>
      <c r="B189" t="s">
        <v>617</v>
      </c>
      <c r="C189">
        <v>318406201</v>
      </c>
      <c r="D189" t="s">
        <v>93</v>
      </c>
      <c r="E189" s="38">
        <v>718276.95</v>
      </c>
      <c r="F189" s="38"/>
      <c r="G189" s="38">
        <v>718276.95</v>
      </c>
      <c r="H189"/>
      <c r="I189"/>
    </row>
    <row r="190" spans="1:9" x14ac:dyDescent="0.35">
      <c r="A190">
        <v>40459084</v>
      </c>
      <c r="B190" t="s">
        <v>797</v>
      </c>
      <c r="C190">
        <v>269483701</v>
      </c>
      <c r="D190" t="s">
        <v>93</v>
      </c>
      <c r="E190" s="38">
        <v>911867.62</v>
      </c>
      <c r="F190" s="38"/>
      <c r="G190" s="38">
        <v>911867.62</v>
      </c>
      <c r="H190"/>
      <c r="I190"/>
    </row>
    <row r="191" spans="1:9" x14ac:dyDescent="0.35">
      <c r="A191">
        <v>40286315</v>
      </c>
      <c r="B191" t="s">
        <v>557</v>
      </c>
      <c r="C191">
        <v>302594801</v>
      </c>
      <c r="D191" t="s">
        <v>93</v>
      </c>
      <c r="E191" s="38">
        <v>11242765.68</v>
      </c>
      <c r="F191" s="38"/>
      <c r="G191" s="38">
        <v>11242765.68</v>
      </c>
      <c r="H191"/>
      <c r="I191"/>
    </row>
    <row r="192" spans="1:9" x14ac:dyDescent="0.35">
      <c r="A192">
        <v>40045288</v>
      </c>
      <c r="B192" t="s">
        <v>557</v>
      </c>
      <c r="C192">
        <v>302594801</v>
      </c>
      <c r="D192" t="s">
        <v>93</v>
      </c>
      <c r="E192" s="38">
        <v>523174.23</v>
      </c>
      <c r="F192" s="38"/>
      <c r="G192" s="38">
        <v>523174.23</v>
      </c>
      <c r="H192"/>
      <c r="I192"/>
    </row>
    <row r="193" spans="1:9" x14ac:dyDescent="0.35">
      <c r="A193">
        <v>39718034</v>
      </c>
      <c r="B193" t="s">
        <v>588</v>
      </c>
      <c r="C193">
        <v>310117401</v>
      </c>
      <c r="D193" t="s">
        <v>93</v>
      </c>
      <c r="E193" s="38">
        <v>2007664.48</v>
      </c>
      <c r="F193" s="38"/>
      <c r="G193" s="38">
        <v>2007664.48</v>
      </c>
      <c r="H193"/>
      <c r="I193"/>
    </row>
    <row r="194" spans="1:9" x14ac:dyDescent="0.35">
      <c r="A194">
        <v>38679434</v>
      </c>
      <c r="B194" t="s">
        <v>540</v>
      </c>
      <c r="C194">
        <v>298538101</v>
      </c>
      <c r="D194" t="s">
        <v>93</v>
      </c>
      <c r="E194" s="38">
        <v>586297.20000000007</v>
      </c>
      <c r="F194" s="38"/>
      <c r="G194" s="38">
        <v>586297.20000000007</v>
      </c>
      <c r="H194"/>
      <c r="I194"/>
    </row>
    <row r="195" spans="1:9" x14ac:dyDescent="0.35">
      <c r="A195">
        <v>37966605</v>
      </c>
      <c r="B195" t="s">
        <v>540</v>
      </c>
      <c r="C195">
        <v>298538101</v>
      </c>
      <c r="D195" t="s">
        <v>93</v>
      </c>
      <c r="E195" s="38">
        <v>626124.07999999996</v>
      </c>
      <c r="F195" s="38"/>
      <c r="G195" s="38">
        <v>626124.07999999996</v>
      </c>
      <c r="H195"/>
      <c r="I195"/>
    </row>
    <row r="196" spans="1:9" x14ac:dyDescent="0.35">
      <c r="A196">
        <v>37878086</v>
      </c>
      <c r="B196" t="s">
        <v>511</v>
      </c>
      <c r="C196">
        <v>283446001</v>
      </c>
      <c r="D196" t="s">
        <v>93</v>
      </c>
      <c r="E196" s="38">
        <v>1479796.83</v>
      </c>
      <c r="F196" s="38"/>
      <c r="G196" s="38">
        <v>1479796.83</v>
      </c>
      <c r="H196"/>
      <c r="I196"/>
    </row>
    <row r="197" spans="1:9" x14ac:dyDescent="0.35">
      <c r="A197">
        <v>37275918</v>
      </c>
      <c r="B197" t="s">
        <v>537</v>
      </c>
      <c r="C197">
        <v>292964801</v>
      </c>
      <c r="D197" t="s">
        <v>93</v>
      </c>
      <c r="E197" s="38">
        <v>1269863.22</v>
      </c>
      <c r="F197" s="38"/>
      <c r="G197" s="38">
        <v>1269863.22</v>
      </c>
      <c r="H197"/>
      <c r="I197"/>
    </row>
    <row r="198" spans="1:9" x14ac:dyDescent="0.35">
      <c r="A198">
        <v>37183205</v>
      </c>
      <c r="B198" t="s">
        <v>475</v>
      </c>
      <c r="C198">
        <v>276783201</v>
      </c>
      <c r="D198" t="s">
        <v>93</v>
      </c>
      <c r="E198" s="38">
        <v>3113913.08</v>
      </c>
      <c r="F198" s="38"/>
      <c r="G198" s="38">
        <v>3113913.08</v>
      </c>
      <c r="H198"/>
      <c r="I198"/>
    </row>
    <row r="199" spans="1:9" x14ac:dyDescent="0.35">
      <c r="A199" t="s">
        <v>1368</v>
      </c>
      <c r="E199" s="38">
        <v>223497808.78000003</v>
      </c>
      <c r="F199" s="38">
        <v>43334977.399999999</v>
      </c>
      <c r="G199" s="38">
        <v>266832786.18000001</v>
      </c>
      <c r="H199"/>
      <c r="I199"/>
    </row>
    <row r="200" spans="1:9" x14ac:dyDescent="0.35">
      <c r="E200"/>
      <c r="F200"/>
      <c r="G200"/>
      <c r="H200"/>
      <c r="I200"/>
    </row>
    <row r="201" spans="1:9" x14ac:dyDescent="0.35">
      <c r="E201"/>
      <c r="F201"/>
      <c r="G201"/>
      <c r="H201"/>
      <c r="I201"/>
    </row>
    <row r="202" spans="1:9" x14ac:dyDescent="0.35">
      <c r="E202"/>
      <c r="F202"/>
      <c r="G202"/>
      <c r="H202"/>
      <c r="I202"/>
    </row>
    <row r="203" spans="1:9" x14ac:dyDescent="0.35">
      <c r="E203"/>
      <c r="F203"/>
      <c r="G203"/>
      <c r="H203"/>
      <c r="I203"/>
    </row>
    <row r="204" spans="1:9" x14ac:dyDescent="0.35">
      <c r="E204"/>
      <c r="F204"/>
      <c r="G204"/>
      <c r="H204"/>
      <c r="I204"/>
    </row>
    <row r="205" spans="1:9" x14ac:dyDescent="0.35">
      <c r="E205"/>
      <c r="F205"/>
      <c r="G205"/>
      <c r="H205"/>
      <c r="I205"/>
    </row>
    <row r="206" spans="1:9" x14ac:dyDescent="0.35">
      <c r="E206"/>
      <c r="F206"/>
      <c r="G206"/>
      <c r="H206"/>
      <c r="I206"/>
    </row>
    <row r="207" spans="1:9" x14ac:dyDescent="0.35">
      <c r="E207"/>
      <c r="F207"/>
      <c r="G207"/>
      <c r="H207"/>
      <c r="I207"/>
    </row>
    <row r="208" spans="1:9" x14ac:dyDescent="0.35">
      <c r="E208"/>
      <c r="F208"/>
      <c r="G208"/>
      <c r="H208"/>
      <c r="I208"/>
    </row>
    <row r="209" customFormat="1" x14ac:dyDescent="0.35"/>
    <row r="210" customFormat="1" x14ac:dyDescent="0.35"/>
    <row r="211" customFormat="1" x14ac:dyDescent="0.35"/>
    <row r="212" customFormat="1" x14ac:dyDescent="0.35"/>
    <row r="213" customFormat="1" x14ac:dyDescent="0.35"/>
    <row r="214" customFormat="1" x14ac:dyDescent="0.35"/>
    <row r="215" customFormat="1" x14ac:dyDescent="0.35"/>
    <row r="216" customFormat="1" x14ac:dyDescent="0.35"/>
    <row r="217" customFormat="1" x14ac:dyDescent="0.35"/>
    <row r="218" customFormat="1" x14ac:dyDescent="0.35"/>
    <row r="219" customFormat="1" x14ac:dyDescent="0.35"/>
    <row r="220" customFormat="1" x14ac:dyDescent="0.35"/>
    <row r="221" customFormat="1" x14ac:dyDescent="0.35"/>
    <row r="222" customFormat="1" x14ac:dyDescent="0.35"/>
    <row r="223" customFormat="1" x14ac:dyDescent="0.35"/>
    <row r="224" customFormat="1" x14ac:dyDescent="0.35"/>
    <row r="225" customFormat="1" x14ac:dyDescent="0.35"/>
    <row r="226" customFormat="1" x14ac:dyDescent="0.35"/>
    <row r="227" customFormat="1" x14ac:dyDescent="0.35"/>
    <row r="228" customFormat="1" x14ac:dyDescent="0.35"/>
    <row r="229" customFormat="1" x14ac:dyDescent="0.35"/>
    <row r="230" customFormat="1" x14ac:dyDescent="0.35"/>
    <row r="231" customFormat="1" x14ac:dyDescent="0.35"/>
    <row r="232" customFormat="1" x14ac:dyDescent="0.35"/>
    <row r="233" customFormat="1" x14ac:dyDescent="0.35"/>
    <row r="234" customFormat="1" x14ac:dyDescent="0.35"/>
    <row r="235" customFormat="1" x14ac:dyDescent="0.35"/>
    <row r="236" customFormat="1" x14ac:dyDescent="0.35"/>
    <row r="237" customFormat="1" x14ac:dyDescent="0.35"/>
    <row r="238" customFormat="1" x14ac:dyDescent="0.35"/>
    <row r="239" customFormat="1" x14ac:dyDescent="0.35"/>
    <row r="240" customFormat="1" x14ac:dyDescent="0.35"/>
    <row r="241" customFormat="1" x14ac:dyDescent="0.35"/>
    <row r="242" customFormat="1" x14ac:dyDescent="0.35"/>
    <row r="243" customFormat="1" x14ac:dyDescent="0.35"/>
    <row r="244" customFormat="1" x14ac:dyDescent="0.35"/>
    <row r="245" customFormat="1" x14ac:dyDescent="0.35"/>
    <row r="246" customFormat="1" x14ac:dyDescent="0.35"/>
    <row r="247" customFormat="1" x14ac:dyDescent="0.35"/>
    <row r="248" customFormat="1" x14ac:dyDescent="0.35"/>
    <row r="249" customFormat="1" x14ac:dyDescent="0.35"/>
    <row r="250" customFormat="1" x14ac:dyDescent="0.35"/>
    <row r="251" customFormat="1" x14ac:dyDescent="0.35"/>
    <row r="252" customFormat="1" x14ac:dyDescent="0.35"/>
    <row r="253" customFormat="1" x14ac:dyDescent="0.35"/>
    <row r="254" customFormat="1" x14ac:dyDescent="0.35"/>
    <row r="255" customFormat="1" x14ac:dyDescent="0.35"/>
    <row r="256" customFormat="1" x14ac:dyDescent="0.35"/>
    <row r="257" customFormat="1" x14ac:dyDescent="0.35"/>
    <row r="258" customFormat="1" x14ac:dyDescent="0.35"/>
    <row r="259" customFormat="1" x14ac:dyDescent="0.35"/>
    <row r="260" customFormat="1" x14ac:dyDescent="0.35"/>
    <row r="261" customFormat="1" x14ac:dyDescent="0.35"/>
    <row r="262" customFormat="1" x14ac:dyDescent="0.35"/>
    <row r="263" customFormat="1" x14ac:dyDescent="0.35"/>
    <row r="264" customFormat="1" x14ac:dyDescent="0.35"/>
    <row r="265" customFormat="1" x14ac:dyDescent="0.35"/>
    <row r="266" customFormat="1" x14ac:dyDescent="0.35"/>
    <row r="267" customFormat="1" x14ac:dyDescent="0.35"/>
    <row r="268" customFormat="1" x14ac:dyDescent="0.35"/>
    <row r="269" customFormat="1" x14ac:dyDescent="0.35"/>
    <row r="270" customFormat="1" x14ac:dyDescent="0.35"/>
    <row r="271" customFormat="1" x14ac:dyDescent="0.35"/>
    <row r="272" customFormat="1" x14ac:dyDescent="0.35"/>
    <row r="273" customFormat="1" x14ac:dyDescent="0.35"/>
    <row r="274" customFormat="1" x14ac:dyDescent="0.35"/>
    <row r="275" customFormat="1" x14ac:dyDescent="0.35"/>
    <row r="276" customFormat="1" x14ac:dyDescent="0.35"/>
    <row r="277" customFormat="1" x14ac:dyDescent="0.35"/>
    <row r="278" customFormat="1" x14ac:dyDescent="0.35"/>
    <row r="279" customFormat="1" x14ac:dyDescent="0.35"/>
    <row r="280" customFormat="1" x14ac:dyDescent="0.35"/>
    <row r="281" customFormat="1" x14ac:dyDescent="0.35"/>
    <row r="282" customFormat="1" x14ac:dyDescent="0.35"/>
    <row r="283" customFormat="1" x14ac:dyDescent="0.35"/>
    <row r="284" customFormat="1" x14ac:dyDescent="0.35"/>
    <row r="285" customFormat="1" x14ac:dyDescent="0.35"/>
    <row r="286" customFormat="1" x14ac:dyDescent="0.35"/>
    <row r="287" customFormat="1" x14ac:dyDescent="0.35"/>
    <row r="288" customFormat="1" x14ac:dyDescent="0.35"/>
    <row r="289" customFormat="1" x14ac:dyDescent="0.35"/>
    <row r="290" customFormat="1" x14ac:dyDescent="0.35"/>
    <row r="291" customFormat="1" x14ac:dyDescent="0.35"/>
    <row r="292" customFormat="1" x14ac:dyDescent="0.35"/>
    <row r="293" customFormat="1" x14ac:dyDescent="0.35"/>
    <row r="294" customFormat="1" x14ac:dyDescent="0.35"/>
    <row r="295" customFormat="1" x14ac:dyDescent="0.35"/>
    <row r="296" customFormat="1" x14ac:dyDescent="0.35"/>
    <row r="297" customFormat="1" x14ac:dyDescent="0.35"/>
    <row r="298" customFormat="1" x14ac:dyDescent="0.35"/>
    <row r="299" customFormat="1" x14ac:dyDescent="0.35"/>
    <row r="300" customFormat="1" x14ac:dyDescent="0.35"/>
    <row r="301" customFormat="1" x14ac:dyDescent="0.35"/>
    <row r="302" customFormat="1" x14ac:dyDescent="0.35"/>
    <row r="303" customFormat="1" x14ac:dyDescent="0.35"/>
    <row r="304" customFormat="1" x14ac:dyDescent="0.35"/>
    <row r="305" customFormat="1" x14ac:dyDescent="0.35"/>
    <row r="306" customFormat="1" x14ac:dyDescent="0.35"/>
    <row r="307" customFormat="1" x14ac:dyDescent="0.35"/>
    <row r="308" customFormat="1" x14ac:dyDescent="0.35"/>
    <row r="309" customFormat="1" x14ac:dyDescent="0.35"/>
    <row r="310" customFormat="1" x14ac:dyDescent="0.35"/>
    <row r="311" customFormat="1" x14ac:dyDescent="0.35"/>
    <row r="312" customFormat="1" x14ac:dyDescent="0.35"/>
    <row r="313" customFormat="1" x14ac:dyDescent="0.35"/>
    <row r="314" customFormat="1" x14ac:dyDescent="0.35"/>
    <row r="315" customFormat="1" x14ac:dyDescent="0.35"/>
    <row r="316" customFormat="1" x14ac:dyDescent="0.35"/>
    <row r="317" customFormat="1" x14ac:dyDescent="0.35"/>
    <row r="318" customFormat="1" x14ac:dyDescent="0.35"/>
    <row r="319" customFormat="1" x14ac:dyDescent="0.35"/>
    <row r="320" customFormat="1" x14ac:dyDescent="0.35"/>
    <row r="321" customFormat="1" x14ac:dyDescent="0.35"/>
    <row r="322" customFormat="1" x14ac:dyDescent="0.35"/>
    <row r="323" customFormat="1" x14ac:dyDescent="0.35"/>
    <row r="324" customFormat="1" x14ac:dyDescent="0.35"/>
    <row r="325" customFormat="1" x14ac:dyDescent="0.35"/>
    <row r="326" customFormat="1" x14ac:dyDescent="0.35"/>
    <row r="327" customFormat="1" x14ac:dyDescent="0.35"/>
    <row r="328" customFormat="1" x14ac:dyDescent="0.35"/>
    <row r="329" customFormat="1" x14ac:dyDescent="0.35"/>
    <row r="330" customFormat="1" x14ac:dyDescent="0.35"/>
    <row r="331" customFormat="1" x14ac:dyDescent="0.35"/>
    <row r="332" customFormat="1" x14ac:dyDescent="0.35"/>
    <row r="333" customFormat="1" x14ac:dyDescent="0.35"/>
    <row r="334" customFormat="1" x14ac:dyDescent="0.35"/>
    <row r="335" customFormat="1" x14ac:dyDescent="0.35"/>
    <row r="336" customFormat="1" x14ac:dyDescent="0.35"/>
    <row r="337" customFormat="1" x14ac:dyDescent="0.35"/>
    <row r="338" customFormat="1" x14ac:dyDescent="0.35"/>
    <row r="339" customFormat="1" x14ac:dyDescent="0.35"/>
    <row r="340" customFormat="1" x14ac:dyDescent="0.35"/>
    <row r="341" customFormat="1" x14ac:dyDescent="0.35"/>
    <row r="342" customFormat="1" x14ac:dyDescent="0.35"/>
    <row r="343" customFormat="1" x14ac:dyDescent="0.35"/>
    <row r="344" customFormat="1" x14ac:dyDescent="0.35"/>
    <row r="345" customFormat="1" x14ac:dyDescent="0.35"/>
    <row r="346" customFormat="1" x14ac:dyDescent="0.35"/>
    <row r="347" customFormat="1" x14ac:dyDescent="0.35"/>
    <row r="348" customFormat="1" x14ac:dyDescent="0.35"/>
    <row r="349" customFormat="1" x14ac:dyDescent="0.35"/>
    <row r="350" customFormat="1" x14ac:dyDescent="0.35"/>
    <row r="351" customFormat="1" x14ac:dyDescent="0.35"/>
    <row r="352" customFormat="1" x14ac:dyDescent="0.35"/>
    <row r="353" customFormat="1" x14ac:dyDescent="0.35"/>
    <row r="354" customFormat="1" x14ac:dyDescent="0.35"/>
    <row r="355" customFormat="1" x14ac:dyDescent="0.35"/>
    <row r="356" customFormat="1" x14ac:dyDescent="0.35"/>
    <row r="357" customFormat="1" x14ac:dyDescent="0.35"/>
    <row r="358" customFormat="1" x14ac:dyDescent="0.35"/>
    <row r="359" customFormat="1" x14ac:dyDescent="0.35"/>
    <row r="360" customFormat="1" x14ac:dyDescent="0.35"/>
    <row r="361" customFormat="1" x14ac:dyDescent="0.35"/>
    <row r="362" customFormat="1" x14ac:dyDescent="0.35"/>
    <row r="363" customFormat="1" x14ac:dyDescent="0.35"/>
    <row r="364" customFormat="1" x14ac:dyDescent="0.35"/>
    <row r="365" customFormat="1" x14ac:dyDescent="0.35"/>
    <row r="366" customFormat="1" x14ac:dyDescent="0.35"/>
    <row r="367" customFormat="1" x14ac:dyDescent="0.35"/>
    <row r="368" customFormat="1" x14ac:dyDescent="0.35"/>
    <row r="369" customFormat="1" x14ac:dyDescent="0.35"/>
    <row r="370" customFormat="1" x14ac:dyDescent="0.35"/>
    <row r="371" customFormat="1" x14ac:dyDescent="0.35"/>
    <row r="372" customFormat="1" x14ac:dyDescent="0.35"/>
    <row r="373" customFormat="1" x14ac:dyDescent="0.35"/>
    <row r="374" customFormat="1" x14ac:dyDescent="0.35"/>
    <row r="375" customFormat="1" x14ac:dyDescent="0.35"/>
    <row r="376" customFormat="1" x14ac:dyDescent="0.35"/>
    <row r="377" customFormat="1" x14ac:dyDescent="0.35"/>
    <row r="378" customFormat="1" x14ac:dyDescent="0.35"/>
    <row r="379" customFormat="1" x14ac:dyDescent="0.35"/>
    <row r="380" customFormat="1" x14ac:dyDescent="0.35"/>
    <row r="381" customFormat="1" x14ac:dyDescent="0.35"/>
    <row r="382" customFormat="1" x14ac:dyDescent="0.35"/>
    <row r="383" customFormat="1" x14ac:dyDescent="0.35"/>
    <row r="384" customFormat="1" x14ac:dyDescent="0.35"/>
    <row r="385" customFormat="1" x14ac:dyDescent="0.35"/>
    <row r="386" customFormat="1" x14ac:dyDescent="0.35"/>
    <row r="387" customFormat="1" x14ac:dyDescent="0.35"/>
    <row r="388" customFormat="1" x14ac:dyDescent="0.35"/>
    <row r="389" customFormat="1" x14ac:dyDescent="0.35"/>
    <row r="390" customFormat="1" x14ac:dyDescent="0.35"/>
    <row r="391" customFormat="1" x14ac:dyDescent="0.35"/>
    <row r="392" customFormat="1" x14ac:dyDescent="0.35"/>
    <row r="393" customFormat="1" x14ac:dyDescent="0.35"/>
    <row r="394" customFormat="1" x14ac:dyDescent="0.35"/>
    <row r="395" customFormat="1" x14ac:dyDescent="0.35"/>
    <row r="396" customFormat="1" x14ac:dyDescent="0.35"/>
    <row r="397" customFormat="1" x14ac:dyDescent="0.35"/>
    <row r="398" customFormat="1" x14ac:dyDescent="0.35"/>
    <row r="399" customFormat="1" x14ac:dyDescent="0.35"/>
    <row r="400" customFormat="1" x14ac:dyDescent="0.35"/>
    <row r="401" customFormat="1" x14ac:dyDescent="0.35"/>
    <row r="402" customFormat="1" x14ac:dyDescent="0.35"/>
    <row r="403" customFormat="1" x14ac:dyDescent="0.35"/>
    <row r="404" customFormat="1" x14ac:dyDescent="0.35"/>
    <row r="405" customFormat="1" x14ac:dyDescent="0.35"/>
    <row r="406" customFormat="1" x14ac:dyDescent="0.35"/>
    <row r="407" customFormat="1" x14ac:dyDescent="0.35"/>
    <row r="408" customFormat="1" x14ac:dyDescent="0.35"/>
    <row r="409" customFormat="1" x14ac:dyDescent="0.35"/>
    <row r="410" customFormat="1" x14ac:dyDescent="0.35"/>
    <row r="411" customFormat="1" x14ac:dyDescent="0.35"/>
    <row r="412" customFormat="1" x14ac:dyDescent="0.35"/>
    <row r="413" customFormat="1" x14ac:dyDescent="0.35"/>
    <row r="414" customFormat="1" x14ac:dyDescent="0.35"/>
    <row r="415" customFormat="1" x14ac:dyDescent="0.35"/>
    <row r="416" customFormat="1" x14ac:dyDescent="0.35"/>
    <row r="417" customFormat="1" x14ac:dyDescent="0.35"/>
    <row r="418" customFormat="1" x14ac:dyDescent="0.35"/>
    <row r="419" customFormat="1" x14ac:dyDescent="0.35"/>
    <row r="420" customFormat="1" x14ac:dyDescent="0.35"/>
    <row r="421" customFormat="1" x14ac:dyDescent="0.35"/>
    <row r="422" customFormat="1" x14ac:dyDescent="0.35"/>
    <row r="423" customFormat="1" x14ac:dyDescent="0.35"/>
    <row r="424" customFormat="1" x14ac:dyDescent="0.35"/>
    <row r="425" customFormat="1" x14ac:dyDescent="0.35"/>
    <row r="426" customFormat="1" x14ac:dyDescent="0.35"/>
    <row r="427" customFormat="1" x14ac:dyDescent="0.35"/>
    <row r="428" customFormat="1" x14ac:dyDescent="0.35"/>
    <row r="429" customFormat="1" x14ac:dyDescent="0.35"/>
    <row r="430" customFormat="1" x14ac:dyDescent="0.35"/>
    <row r="431" customFormat="1" x14ac:dyDescent="0.35"/>
    <row r="432" customFormat="1" x14ac:dyDescent="0.35"/>
    <row r="433" customFormat="1" x14ac:dyDescent="0.35"/>
    <row r="434" customFormat="1" x14ac:dyDescent="0.35"/>
    <row r="435" customFormat="1" x14ac:dyDescent="0.35"/>
    <row r="436" customFormat="1" x14ac:dyDescent="0.35"/>
    <row r="437" customFormat="1" x14ac:dyDescent="0.35"/>
    <row r="438" customFormat="1" x14ac:dyDescent="0.35"/>
    <row r="439" customFormat="1" x14ac:dyDescent="0.35"/>
    <row r="440" customFormat="1" x14ac:dyDescent="0.35"/>
    <row r="441" customFormat="1" x14ac:dyDescent="0.35"/>
    <row r="442" customFormat="1" x14ac:dyDescent="0.35"/>
    <row r="443" customFormat="1" x14ac:dyDescent="0.35"/>
    <row r="444" customFormat="1" x14ac:dyDescent="0.35"/>
    <row r="445" customFormat="1" x14ac:dyDescent="0.35"/>
    <row r="446" customFormat="1" x14ac:dyDescent="0.35"/>
    <row r="447" customFormat="1" x14ac:dyDescent="0.35"/>
    <row r="448" customFormat="1" x14ac:dyDescent="0.35"/>
    <row r="449" customFormat="1" x14ac:dyDescent="0.35"/>
    <row r="450" customFormat="1" x14ac:dyDescent="0.35"/>
    <row r="451" customFormat="1" x14ac:dyDescent="0.35"/>
    <row r="452" customFormat="1" x14ac:dyDescent="0.35"/>
    <row r="453" customFormat="1" x14ac:dyDescent="0.35"/>
    <row r="454" customFormat="1" x14ac:dyDescent="0.35"/>
    <row r="455" customFormat="1" x14ac:dyDescent="0.35"/>
    <row r="456" customFormat="1" x14ac:dyDescent="0.35"/>
    <row r="457" customFormat="1" x14ac:dyDescent="0.35"/>
    <row r="458" customFormat="1" x14ac:dyDescent="0.35"/>
    <row r="459" customFormat="1" x14ac:dyDescent="0.35"/>
    <row r="460" customFormat="1" x14ac:dyDescent="0.35"/>
    <row r="461" customFormat="1" x14ac:dyDescent="0.35"/>
    <row r="462" customFormat="1" x14ac:dyDescent="0.35"/>
    <row r="463" customFormat="1" x14ac:dyDescent="0.35"/>
    <row r="464" customFormat="1" x14ac:dyDescent="0.35"/>
    <row r="465" customFormat="1" x14ac:dyDescent="0.35"/>
    <row r="466" customFormat="1" x14ac:dyDescent="0.35"/>
    <row r="467" customFormat="1" x14ac:dyDescent="0.35"/>
    <row r="468" customFormat="1" x14ac:dyDescent="0.35"/>
    <row r="469" customFormat="1" x14ac:dyDescent="0.35"/>
    <row r="470" customFormat="1" x14ac:dyDescent="0.35"/>
    <row r="471" customFormat="1" x14ac:dyDescent="0.35"/>
    <row r="472" customFormat="1" x14ac:dyDescent="0.35"/>
    <row r="473" customFormat="1" x14ac:dyDescent="0.35"/>
    <row r="474" customFormat="1" x14ac:dyDescent="0.35"/>
    <row r="475" customFormat="1" x14ac:dyDescent="0.35"/>
    <row r="476" customFormat="1" x14ac:dyDescent="0.35"/>
    <row r="477" customFormat="1" x14ac:dyDescent="0.35"/>
    <row r="478" customFormat="1" x14ac:dyDescent="0.35"/>
    <row r="479" customFormat="1" x14ac:dyDescent="0.35"/>
    <row r="480" customFormat="1" x14ac:dyDescent="0.35"/>
    <row r="481" customFormat="1" x14ac:dyDescent="0.35"/>
    <row r="482" customFormat="1" x14ac:dyDescent="0.35"/>
    <row r="483" customFormat="1" x14ac:dyDescent="0.35"/>
    <row r="484" customFormat="1" x14ac:dyDescent="0.35"/>
    <row r="485" customFormat="1" x14ac:dyDescent="0.35"/>
    <row r="486" customFormat="1" x14ac:dyDescent="0.35"/>
    <row r="487" customFormat="1" x14ac:dyDescent="0.35"/>
    <row r="488" customFormat="1" x14ac:dyDescent="0.35"/>
    <row r="489" customFormat="1" x14ac:dyDescent="0.35"/>
    <row r="490" customFormat="1" x14ac:dyDescent="0.35"/>
    <row r="491" customFormat="1" x14ac:dyDescent="0.35"/>
    <row r="492" customFormat="1" x14ac:dyDescent="0.35"/>
    <row r="493" customFormat="1" x14ac:dyDescent="0.35"/>
    <row r="494" customFormat="1" x14ac:dyDescent="0.35"/>
    <row r="495" customFormat="1" x14ac:dyDescent="0.35"/>
    <row r="496" customFormat="1" x14ac:dyDescent="0.35"/>
    <row r="497" customFormat="1" x14ac:dyDescent="0.35"/>
    <row r="498" customFormat="1" x14ac:dyDescent="0.35"/>
    <row r="499" customFormat="1" x14ac:dyDescent="0.35"/>
    <row r="500" customFormat="1" x14ac:dyDescent="0.35"/>
    <row r="501" customFormat="1" x14ac:dyDescent="0.35"/>
    <row r="502" customFormat="1" x14ac:dyDescent="0.35"/>
    <row r="503" customFormat="1" x14ac:dyDescent="0.35"/>
    <row r="504" customFormat="1" x14ac:dyDescent="0.35"/>
    <row r="505" customFormat="1" x14ac:dyDescent="0.35"/>
    <row r="506" customFormat="1" x14ac:dyDescent="0.35"/>
    <row r="507" customFormat="1" x14ac:dyDescent="0.35"/>
    <row r="508" customFormat="1" x14ac:dyDescent="0.35"/>
    <row r="509" customFormat="1" x14ac:dyDescent="0.35"/>
    <row r="510" customFormat="1" x14ac:dyDescent="0.35"/>
    <row r="511" customFormat="1" x14ac:dyDescent="0.35"/>
    <row r="512" customFormat="1" x14ac:dyDescent="0.35"/>
    <row r="513" customFormat="1" x14ac:dyDescent="0.35"/>
    <row r="514" customFormat="1" x14ac:dyDescent="0.35"/>
    <row r="515" customFormat="1" x14ac:dyDescent="0.35"/>
    <row r="516" customFormat="1" x14ac:dyDescent="0.35"/>
    <row r="517" customFormat="1" x14ac:dyDescent="0.35"/>
    <row r="518" customFormat="1" x14ac:dyDescent="0.35"/>
    <row r="519" customFormat="1" x14ac:dyDescent="0.35"/>
    <row r="520" customFormat="1" x14ac:dyDescent="0.35"/>
    <row r="521" customFormat="1" x14ac:dyDescent="0.35"/>
    <row r="522" customFormat="1" x14ac:dyDescent="0.35"/>
    <row r="523" customFormat="1" x14ac:dyDescent="0.35"/>
    <row r="524" customFormat="1" x14ac:dyDescent="0.35"/>
    <row r="525" customFormat="1" x14ac:dyDescent="0.35"/>
    <row r="526" customFormat="1" x14ac:dyDescent="0.35"/>
    <row r="527" customFormat="1" x14ac:dyDescent="0.35"/>
    <row r="528" customFormat="1" x14ac:dyDescent="0.35"/>
    <row r="529" customFormat="1" x14ac:dyDescent="0.35"/>
    <row r="530" customFormat="1" x14ac:dyDescent="0.35"/>
    <row r="531" customFormat="1" x14ac:dyDescent="0.35"/>
    <row r="532" customFormat="1" x14ac:dyDescent="0.35"/>
    <row r="533" customFormat="1" x14ac:dyDescent="0.35"/>
    <row r="534" customFormat="1" x14ac:dyDescent="0.35"/>
    <row r="535" customFormat="1" x14ac:dyDescent="0.35"/>
    <row r="536" customFormat="1" x14ac:dyDescent="0.35"/>
    <row r="537" customFormat="1" x14ac:dyDescent="0.35"/>
    <row r="538" customFormat="1" x14ac:dyDescent="0.35"/>
    <row r="539" customFormat="1" x14ac:dyDescent="0.35"/>
    <row r="540" customFormat="1" x14ac:dyDescent="0.35"/>
    <row r="541" customFormat="1" x14ac:dyDescent="0.35"/>
    <row r="542" customFormat="1" x14ac:dyDescent="0.35"/>
    <row r="543" customFormat="1" x14ac:dyDescent="0.35"/>
    <row r="544" customFormat="1" x14ac:dyDescent="0.35"/>
    <row r="545" customFormat="1" x14ac:dyDescent="0.35"/>
    <row r="546" customFormat="1" x14ac:dyDescent="0.35"/>
    <row r="547" customFormat="1" x14ac:dyDescent="0.35"/>
    <row r="548" customFormat="1" x14ac:dyDescent="0.35"/>
    <row r="549" customFormat="1" x14ac:dyDescent="0.35"/>
    <row r="550" customFormat="1" x14ac:dyDescent="0.35"/>
    <row r="551" customFormat="1" x14ac:dyDescent="0.35"/>
    <row r="552" customFormat="1" x14ac:dyDescent="0.35"/>
    <row r="553" customFormat="1" x14ac:dyDescent="0.35"/>
    <row r="554" customFormat="1" x14ac:dyDescent="0.35"/>
    <row r="555" customFormat="1" x14ac:dyDescent="0.35"/>
    <row r="556" customFormat="1" x14ac:dyDescent="0.35"/>
    <row r="557" customFormat="1" x14ac:dyDescent="0.35"/>
    <row r="558" customFormat="1" x14ac:dyDescent="0.35"/>
    <row r="559" customFormat="1" x14ac:dyDescent="0.35"/>
    <row r="560" customFormat="1" x14ac:dyDescent="0.35"/>
    <row r="561" customFormat="1" x14ac:dyDescent="0.35"/>
    <row r="562" customFormat="1" x14ac:dyDescent="0.35"/>
    <row r="563" customFormat="1" x14ac:dyDescent="0.35"/>
    <row r="564" customFormat="1" x14ac:dyDescent="0.35"/>
    <row r="565" customFormat="1" x14ac:dyDescent="0.35"/>
    <row r="566" customFormat="1" x14ac:dyDescent="0.35"/>
    <row r="567" customFormat="1" x14ac:dyDescent="0.35"/>
    <row r="568" customFormat="1" x14ac:dyDescent="0.35"/>
    <row r="569" customFormat="1" x14ac:dyDescent="0.35"/>
    <row r="570" customFormat="1" x14ac:dyDescent="0.35"/>
    <row r="571" customFormat="1" x14ac:dyDescent="0.35"/>
    <row r="572" customFormat="1" x14ac:dyDescent="0.35"/>
    <row r="573" customFormat="1" x14ac:dyDescent="0.35"/>
    <row r="574" customFormat="1" x14ac:dyDescent="0.35"/>
    <row r="575" customFormat="1" x14ac:dyDescent="0.35"/>
    <row r="576" customFormat="1" x14ac:dyDescent="0.35"/>
    <row r="577" customFormat="1" x14ac:dyDescent="0.35"/>
    <row r="578" customFormat="1" x14ac:dyDescent="0.35"/>
    <row r="579" customFormat="1" x14ac:dyDescent="0.35"/>
    <row r="580" customFormat="1" x14ac:dyDescent="0.35"/>
    <row r="581" customFormat="1" x14ac:dyDescent="0.35"/>
    <row r="582" customFormat="1" x14ac:dyDescent="0.35"/>
    <row r="583" customFormat="1" x14ac:dyDescent="0.35"/>
    <row r="584" customFormat="1" x14ac:dyDescent="0.35"/>
    <row r="585" customFormat="1" x14ac:dyDescent="0.35"/>
    <row r="586" customFormat="1" x14ac:dyDescent="0.35"/>
    <row r="587" customFormat="1" x14ac:dyDescent="0.35"/>
    <row r="588" customFormat="1" x14ac:dyDescent="0.35"/>
    <row r="589" customFormat="1" x14ac:dyDescent="0.35"/>
    <row r="590" customFormat="1" x14ac:dyDescent="0.35"/>
    <row r="591" customFormat="1" x14ac:dyDescent="0.35"/>
    <row r="592" customFormat="1" x14ac:dyDescent="0.35"/>
    <row r="593" customFormat="1" x14ac:dyDescent="0.35"/>
    <row r="594" customFormat="1" x14ac:dyDescent="0.35"/>
    <row r="595" customFormat="1" x14ac:dyDescent="0.35"/>
    <row r="596" customFormat="1" x14ac:dyDescent="0.35"/>
    <row r="597" customFormat="1" x14ac:dyDescent="0.35"/>
    <row r="598" customFormat="1" x14ac:dyDescent="0.35"/>
    <row r="599" customFormat="1" x14ac:dyDescent="0.35"/>
    <row r="600" customFormat="1" x14ac:dyDescent="0.35"/>
    <row r="601" customFormat="1" x14ac:dyDescent="0.35"/>
    <row r="602" customFormat="1" x14ac:dyDescent="0.35"/>
    <row r="603" customFormat="1" x14ac:dyDescent="0.35"/>
    <row r="604" customFormat="1" x14ac:dyDescent="0.35"/>
    <row r="605" customFormat="1" x14ac:dyDescent="0.35"/>
    <row r="606" customFormat="1" x14ac:dyDescent="0.35"/>
    <row r="607" customFormat="1" x14ac:dyDescent="0.35"/>
    <row r="608" customFormat="1" x14ac:dyDescent="0.35"/>
    <row r="609" customFormat="1" x14ac:dyDescent="0.35"/>
    <row r="610" customFormat="1" x14ac:dyDescent="0.35"/>
    <row r="611" customFormat="1" x14ac:dyDescent="0.35"/>
    <row r="612" customFormat="1" x14ac:dyDescent="0.35"/>
    <row r="613" customFormat="1" x14ac:dyDescent="0.35"/>
    <row r="614" customFormat="1" x14ac:dyDescent="0.35"/>
    <row r="615" customFormat="1" x14ac:dyDescent="0.35"/>
    <row r="616" customFormat="1" x14ac:dyDescent="0.35"/>
    <row r="617" customFormat="1" x14ac:dyDescent="0.35"/>
    <row r="618" customFormat="1" x14ac:dyDescent="0.35"/>
    <row r="619" customFormat="1" x14ac:dyDescent="0.35"/>
    <row r="620" customFormat="1" x14ac:dyDescent="0.35"/>
    <row r="621" customFormat="1" x14ac:dyDescent="0.35"/>
    <row r="622" customFormat="1" x14ac:dyDescent="0.35"/>
    <row r="623" customFormat="1" x14ac:dyDescent="0.35"/>
    <row r="624" customFormat="1" x14ac:dyDescent="0.35"/>
    <row r="625" customFormat="1" x14ac:dyDescent="0.35"/>
    <row r="626" customFormat="1" x14ac:dyDescent="0.35"/>
    <row r="627" customFormat="1" x14ac:dyDescent="0.35"/>
    <row r="628" customFormat="1" x14ac:dyDescent="0.35"/>
    <row r="629" customFormat="1" x14ac:dyDescent="0.35"/>
    <row r="630" customFormat="1" x14ac:dyDescent="0.35"/>
    <row r="631" customFormat="1" x14ac:dyDescent="0.35"/>
    <row r="632" customFormat="1" x14ac:dyDescent="0.35"/>
    <row r="633" customFormat="1" x14ac:dyDescent="0.35"/>
    <row r="634" customFormat="1" x14ac:dyDescent="0.35"/>
    <row r="635" customFormat="1" x14ac:dyDescent="0.35"/>
    <row r="636" customFormat="1" x14ac:dyDescent="0.35"/>
    <row r="637" customFormat="1" x14ac:dyDescent="0.35"/>
    <row r="638" customFormat="1" x14ac:dyDescent="0.35"/>
    <row r="639" customFormat="1" x14ac:dyDescent="0.35"/>
    <row r="640" customFormat="1" x14ac:dyDescent="0.35"/>
    <row r="641" customFormat="1" x14ac:dyDescent="0.35"/>
    <row r="642" customFormat="1" x14ac:dyDescent="0.35"/>
    <row r="643" customFormat="1" x14ac:dyDescent="0.35"/>
    <row r="644" customFormat="1" x14ac:dyDescent="0.35"/>
    <row r="645" customFormat="1" x14ac:dyDescent="0.35"/>
    <row r="646" customFormat="1" x14ac:dyDescent="0.35"/>
    <row r="647" customFormat="1" x14ac:dyDescent="0.35"/>
    <row r="648" customFormat="1" x14ac:dyDescent="0.35"/>
    <row r="649" customFormat="1" x14ac:dyDescent="0.35"/>
    <row r="650" customFormat="1" x14ac:dyDescent="0.35"/>
    <row r="651" customFormat="1" x14ac:dyDescent="0.35"/>
    <row r="652" customFormat="1" x14ac:dyDescent="0.35"/>
    <row r="653" customFormat="1" x14ac:dyDescent="0.35"/>
    <row r="654" customFormat="1" x14ac:dyDescent="0.35"/>
    <row r="655" customFormat="1" x14ac:dyDescent="0.35"/>
    <row r="656" customFormat="1" x14ac:dyDescent="0.35"/>
    <row r="657" customFormat="1" x14ac:dyDescent="0.35"/>
    <row r="658" customFormat="1" x14ac:dyDescent="0.35"/>
    <row r="659" customFormat="1" x14ac:dyDescent="0.35"/>
    <row r="660" customFormat="1" x14ac:dyDescent="0.35"/>
    <row r="661" customFormat="1" x14ac:dyDescent="0.35"/>
    <row r="662" customFormat="1" x14ac:dyDescent="0.35"/>
    <row r="663" customFormat="1" x14ac:dyDescent="0.35"/>
    <row r="664" customFormat="1" x14ac:dyDescent="0.35"/>
    <row r="665" customFormat="1" x14ac:dyDescent="0.35"/>
    <row r="666" customFormat="1" x14ac:dyDescent="0.35"/>
    <row r="667" customFormat="1" x14ac:dyDescent="0.35"/>
    <row r="668" customFormat="1" x14ac:dyDescent="0.35"/>
    <row r="669" customFormat="1" x14ac:dyDescent="0.35"/>
    <row r="670" customFormat="1" x14ac:dyDescent="0.35"/>
    <row r="671" customFormat="1" x14ac:dyDescent="0.35"/>
    <row r="672" customFormat="1" x14ac:dyDescent="0.35"/>
    <row r="673" customFormat="1" x14ac:dyDescent="0.35"/>
    <row r="674" customFormat="1" x14ac:dyDescent="0.35"/>
    <row r="675" customFormat="1" x14ac:dyDescent="0.35"/>
    <row r="676" customFormat="1" x14ac:dyDescent="0.35"/>
    <row r="677" customFormat="1" x14ac:dyDescent="0.35"/>
    <row r="678" customFormat="1" x14ac:dyDescent="0.35"/>
    <row r="679" customFormat="1" x14ac:dyDescent="0.35"/>
    <row r="680" customFormat="1" x14ac:dyDescent="0.35"/>
    <row r="681" customFormat="1" x14ac:dyDescent="0.35"/>
    <row r="682" customFormat="1" x14ac:dyDescent="0.35"/>
    <row r="683" customFormat="1" x14ac:dyDescent="0.35"/>
    <row r="684" customFormat="1" x14ac:dyDescent="0.35"/>
    <row r="685" customFormat="1" x14ac:dyDescent="0.35"/>
    <row r="686" customFormat="1" x14ac:dyDescent="0.35"/>
    <row r="687" customFormat="1" x14ac:dyDescent="0.35"/>
    <row r="688" customFormat="1" x14ac:dyDescent="0.35"/>
    <row r="689" customFormat="1" x14ac:dyDescent="0.35"/>
    <row r="690" customFormat="1" x14ac:dyDescent="0.35"/>
    <row r="691" customFormat="1" x14ac:dyDescent="0.35"/>
    <row r="692" customFormat="1" x14ac:dyDescent="0.35"/>
    <row r="693" customFormat="1" x14ac:dyDescent="0.35"/>
    <row r="694" customFormat="1" x14ac:dyDescent="0.35"/>
    <row r="695" customFormat="1" x14ac:dyDescent="0.35"/>
    <row r="696" customFormat="1" x14ac:dyDescent="0.35"/>
    <row r="697" customFormat="1" x14ac:dyDescent="0.35"/>
    <row r="698" customFormat="1" x14ac:dyDescent="0.35"/>
    <row r="699" customFormat="1" x14ac:dyDescent="0.35"/>
    <row r="700" customFormat="1" x14ac:dyDescent="0.35"/>
    <row r="701" customFormat="1" x14ac:dyDescent="0.35"/>
    <row r="702" customFormat="1" x14ac:dyDescent="0.35"/>
    <row r="703" customFormat="1" x14ac:dyDescent="0.35"/>
    <row r="704" customFormat="1" x14ac:dyDescent="0.35"/>
    <row r="705" customFormat="1" x14ac:dyDescent="0.35"/>
    <row r="706" customFormat="1" x14ac:dyDescent="0.35"/>
    <row r="707" customFormat="1" x14ac:dyDescent="0.35"/>
    <row r="708" customFormat="1" x14ac:dyDescent="0.35"/>
    <row r="709" customFormat="1" x14ac:dyDescent="0.35"/>
    <row r="710" customFormat="1" x14ac:dyDescent="0.35"/>
    <row r="711" customFormat="1" x14ac:dyDescent="0.35"/>
    <row r="712" customFormat="1" x14ac:dyDescent="0.35"/>
    <row r="713" customFormat="1" x14ac:dyDescent="0.35"/>
    <row r="714" customFormat="1" x14ac:dyDescent="0.35"/>
    <row r="715" customFormat="1" x14ac:dyDescent="0.35"/>
    <row r="716" customFormat="1" x14ac:dyDescent="0.35"/>
    <row r="717" customFormat="1" x14ac:dyDescent="0.35"/>
    <row r="718" customFormat="1" x14ac:dyDescent="0.35"/>
    <row r="719" customFormat="1" x14ac:dyDescent="0.35"/>
    <row r="720" customFormat="1" x14ac:dyDescent="0.35"/>
    <row r="721" customFormat="1" x14ac:dyDescent="0.35"/>
    <row r="722" customFormat="1" x14ac:dyDescent="0.35"/>
    <row r="723" customFormat="1" x14ac:dyDescent="0.35"/>
    <row r="724" customFormat="1" x14ac:dyDescent="0.35"/>
    <row r="725" customFormat="1" x14ac:dyDescent="0.35"/>
    <row r="726" customFormat="1" x14ac:dyDescent="0.35"/>
    <row r="727" customFormat="1" x14ac:dyDescent="0.35"/>
    <row r="728" customFormat="1" x14ac:dyDescent="0.35"/>
    <row r="729" customFormat="1" x14ac:dyDescent="0.35"/>
    <row r="730" customFormat="1" x14ac:dyDescent="0.35"/>
    <row r="731" customFormat="1" x14ac:dyDescent="0.35"/>
    <row r="732" customFormat="1" x14ac:dyDescent="0.35"/>
    <row r="733" customFormat="1" x14ac:dyDescent="0.35"/>
    <row r="734" customFormat="1" x14ac:dyDescent="0.35"/>
    <row r="735" customFormat="1" x14ac:dyDescent="0.35"/>
    <row r="736" customFormat="1" x14ac:dyDescent="0.35"/>
    <row r="737" customFormat="1" x14ac:dyDescent="0.35"/>
    <row r="738" customFormat="1" x14ac:dyDescent="0.35"/>
    <row r="739" customFormat="1" x14ac:dyDescent="0.35"/>
    <row r="740" customFormat="1" x14ac:dyDescent="0.35"/>
    <row r="741" customFormat="1" x14ac:dyDescent="0.35"/>
    <row r="742" customFormat="1" x14ac:dyDescent="0.35"/>
    <row r="743" customFormat="1" x14ac:dyDescent="0.35"/>
    <row r="744" customFormat="1" x14ac:dyDescent="0.35"/>
    <row r="745" customFormat="1" x14ac:dyDescent="0.35"/>
    <row r="746" customFormat="1" x14ac:dyDescent="0.35"/>
    <row r="747" customFormat="1" x14ac:dyDescent="0.35"/>
    <row r="748" customFormat="1" x14ac:dyDescent="0.35"/>
    <row r="749" customFormat="1" x14ac:dyDescent="0.35"/>
    <row r="750" customFormat="1" x14ac:dyDescent="0.35"/>
    <row r="751" customFormat="1" x14ac:dyDescent="0.35"/>
    <row r="752" customFormat="1" x14ac:dyDescent="0.35"/>
    <row r="753" customFormat="1" x14ac:dyDescent="0.35"/>
    <row r="754" customFormat="1" x14ac:dyDescent="0.35"/>
    <row r="755" customFormat="1" x14ac:dyDescent="0.35"/>
    <row r="756" customFormat="1" x14ac:dyDescent="0.35"/>
    <row r="757" customFormat="1" x14ac:dyDescent="0.35"/>
    <row r="758" customFormat="1" x14ac:dyDescent="0.35"/>
    <row r="759" customFormat="1" x14ac:dyDescent="0.35"/>
    <row r="760" customFormat="1" x14ac:dyDescent="0.35"/>
    <row r="761" customFormat="1" x14ac:dyDescent="0.35"/>
    <row r="762" customFormat="1" x14ac:dyDescent="0.35"/>
    <row r="763" customFormat="1" x14ac:dyDescent="0.35"/>
    <row r="764" customFormat="1" x14ac:dyDescent="0.35"/>
    <row r="765" customFormat="1" x14ac:dyDescent="0.35"/>
    <row r="766" customFormat="1" x14ac:dyDescent="0.35"/>
    <row r="767" customFormat="1" x14ac:dyDescent="0.35"/>
    <row r="768" customFormat="1" x14ac:dyDescent="0.35"/>
    <row r="769" customFormat="1" x14ac:dyDescent="0.35"/>
    <row r="770" customFormat="1" x14ac:dyDescent="0.35"/>
    <row r="771" customFormat="1" x14ac:dyDescent="0.35"/>
    <row r="772" customFormat="1" x14ac:dyDescent="0.35"/>
    <row r="773" customFormat="1" x14ac:dyDescent="0.35"/>
    <row r="774" customFormat="1" x14ac:dyDescent="0.35"/>
    <row r="775" customFormat="1" x14ac:dyDescent="0.35"/>
    <row r="776" customFormat="1" x14ac:dyDescent="0.35"/>
    <row r="777" customFormat="1" x14ac:dyDescent="0.35"/>
    <row r="778" customFormat="1" x14ac:dyDescent="0.35"/>
    <row r="779" customFormat="1" x14ac:dyDescent="0.35"/>
    <row r="780" customFormat="1" x14ac:dyDescent="0.35"/>
    <row r="781" customFormat="1" x14ac:dyDescent="0.35"/>
    <row r="782" customFormat="1" x14ac:dyDescent="0.35"/>
    <row r="783" customFormat="1" x14ac:dyDescent="0.35"/>
    <row r="784" customFormat="1" x14ac:dyDescent="0.35"/>
    <row r="785" customFormat="1" x14ac:dyDescent="0.35"/>
    <row r="786" customFormat="1" x14ac:dyDescent="0.35"/>
    <row r="787" customFormat="1" x14ac:dyDescent="0.35"/>
    <row r="788" customFormat="1" x14ac:dyDescent="0.35"/>
    <row r="789" customFormat="1" x14ac:dyDescent="0.35"/>
    <row r="790" customFormat="1" x14ac:dyDescent="0.35"/>
    <row r="791" customFormat="1" x14ac:dyDescent="0.35"/>
    <row r="792" customFormat="1" x14ac:dyDescent="0.35"/>
    <row r="793" customFormat="1" x14ac:dyDescent="0.35"/>
    <row r="794" customFormat="1" x14ac:dyDescent="0.35"/>
    <row r="795" customFormat="1" x14ac:dyDescent="0.35"/>
    <row r="796" customFormat="1" x14ac:dyDescent="0.35"/>
    <row r="797" customFormat="1" x14ac:dyDescent="0.35"/>
    <row r="798" customFormat="1" x14ac:dyDescent="0.35"/>
    <row r="799" customFormat="1" x14ac:dyDescent="0.35"/>
    <row r="800" customFormat="1" x14ac:dyDescent="0.35"/>
    <row r="801" customFormat="1" x14ac:dyDescent="0.35"/>
    <row r="802" customFormat="1" x14ac:dyDescent="0.35"/>
    <row r="803" customFormat="1" x14ac:dyDescent="0.35"/>
    <row r="804" customFormat="1" x14ac:dyDescent="0.35"/>
    <row r="805" customFormat="1" x14ac:dyDescent="0.35"/>
    <row r="806" customFormat="1" x14ac:dyDescent="0.35"/>
    <row r="807" customFormat="1" x14ac:dyDescent="0.35"/>
    <row r="808" customFormat="1" x14ac:dyDescent="0.35"/>
    <row r="809" customFormat="1" x14ac:dyDescent="0.35"/>
    <row r="810" customFormat="1" x14ac:dyDescent="0.35"/>
    <row r="811" customFormat="1" x14ac:dyDescent="0.35"/>
    <row r="812" customFormat="1" x14ac:dyDescent="0.35"/>
    <row r="813" customFormat="1" x14ac:dyDescent="0.35"/>
    <row r="814" customFormat="1" x14ac:dyDescent="0.35"/>
    <row r="815" customFormat="1" x14ac:dyDescent="0.35"/>
    <row r="816" customFormat="1" x14ac:dyDescent="0.35"/>
    <row r="817" customFormat="1" x14ac:dyDescent="0.35"/>
    <row r="818" customFormat="1" x14ac:dyDescent="0.35"/>
    <row r="819" customFormat="1" x14ac:dyDescent="0.35"/>
    <row r="820" customFormat="1" x14ac:dyDescent="0.35"/>
    <row r="821" customFormat="1" x14ac:dyDescent="0.35"/>
    <row r="822" customFormat="1" x14ac:dyDescent="0.35"/>
    <row r="823" customFormat="1" x14ac:dyDescent="0.35"/>
    <row r="824" customFormat="1" x14ac:dyDescent="0.35"/>
    <row r="825" customFormat="1" x14ac:dyDescent="0.35"/>
    <row r="826" customFormat="1" x14ac:dyDescent="0.35"/>
    <row r="827" customFormat="1" x14ac:dyDescent="0.35"/>
    <row r="828" customFormat="1" x14ac:dyDescent="0.35"/>
    <row r="829" customFormat="1" x14ac:dyDescent="0.35"/>
    <row r="830" customFormat="1" x14ac:dyDescent="0.35"/>
    <row r="831" customFormat="1" x14ac:dyDescent="0.35"/>
    <row r="832" customFormat="1" x14ac:dyDescent="0.35"/>
    <row r="833" customFormat="1" x14ac:dyDescent="0.35"/>
    <row r="834" customFormat="1" x14ac:dyDescent="0.35"/>
    <row r="835" customFormat="1" x14ac:dyDescent="0.35"/>
    <row r="836" customFormat="1" x14ac:dyDescent="0.35"/>
    <row r="837" customFormat="1" x14ac:dyDescent="0.35"/>
    <row r="838" customFormat="1" x14ac:dyDescent="0.35"/>
    <row r="839" customFormat="1" x14ac:dyDescent="0.35"/>
    <row r="840" customFormat="1" x14ac:dyDescent="0.35"/>
    <row r="841" customFormat="1" x14ac:dyDescent="0.35"/>
    <row r="842" customFormat="1" x14ac:dyDescent="0.35"/>
    <row r="843" customFormat="1" x14ac:dyDescent="0.35"/>
    <row r="844" customFormat="1" x14ac:dyDescent="0.35"/>
    <row r="845" customFormat="1" x14ac:dyDescent="0.35"/>
    <row r="846" customFormat="1" x14ac:dyDescent="0.35"/>
    <row r="847" customFormat="1" x14ac:dyDescent="0.35"/>
    <row r="848" customFormat="1" x14ac:dyDescent="0.35"/>
    <row r="849" customFormat="1" x14ac:dyDescent="0.35"/>
    <row r="850" customFormat="1" x14ac:dyDescent="0.35"/>
    <row r="851" customFormat="1" x14ac:dyDescent="0.35"/>
    <row r="852" customFormat="1" x14ac:dyDescent="0.35"/>
    <row r="853" customFormat="1" x14ac:dyDescent="0.35"/>
    <row r="854" customFormat="1" x14ac:dyDescent="0.35"/>
    <row r="855" customFormat="1" x14ac:dyDescent="0.35"/>
    <row r="856" customFormat="1" x14ac:dyDescent="0.35"/>
    <row r="857" customFormat="1" x14ac:dyDescent="0.35"/>
    <row r="858" customFormat="1" x14ac:dyDescent="0.35"/>
    <row r="859" customFormat="1" x14ac:dyDescent="0.35"/>
    <row r="860" customFormat="1" x14ac:dyDescent="0.35"/>
    <row r="861" customFormat="1" x14ac:dyDescent="0.35"/>
    <row r="862" customFormat="1" x14ac:dyDescent="0.35"/>
    <row r="863" customFormat="1" x14ac:dyDescent="0.35"/>
    <row r="864" customFormat="1" x14ac:dyDescent="0.35"/>
    <row r="865" customFormat="1" x14ac:dyDescent="0.35"/>
    <row r="866" customFormat="1" x14ac:dyDescent="0.35"/>
    <row r="867" customFormat="1" x14ac:dyDescent="0.35"/>
    <row r="868" customFormat="1" x14ac:dyDescent="0.35"/>
    <row r="869" customFormat="1" x14ac:dyDescent="0.35"/>
    <row r="870" customFormat="1" x14ac:dyDescent="0.35"/>
    <row r="871" customFormat="1" x14ac:dyDescent="0.35"/>
    <row r="872" customFormat="1" x14ac:dyDescent="0.35"/>
    <row r="873" customFormat="1" x14ac:dyDescent="0.35"/>
    <row r="874" customFormat="1" x14ac:dyDescent="0.35"/>
    <row r="875" customFormat="1" x14ac:dyDescent="0.35"/>
    <row r="876" customFormat="1" x14ac:dyDescent="0.35"/>
    <row r="877" customFormat="1" x14ac:dyDescent="0.35"/>
    <row r="878" customFormat="1" x14ac:dyDescent="0.35"/>
    <row r="879" customFormat="1" x14ac:dyDescent="0.35"/>
    <row r="880" customFormat="1" x14ac:dyDescent="0.35"/>
    <row r="881" customFormat="1" x14ac:dyDescent="0.35"/>
    <row r="882" customFormat="1" x14ac:dyDescent="0.35"/>
    <row r="883" customFormat="1" x14ac:dyDescent="0.35"/>
    <row r="884" customFormat="1" x14ac:dyDescent="0.35"/>
    <row r="885" customFormat="1" x14ac:dyDescent="0.35"/>
    <row r="886" customFormat="1" x14ac:dyDescent="0.35"/>
    <row r="887" customFormat="1" x14ac:dyDescent="0.35"/>
    <row r="888" customFormat="1" x14ac:dyDescent="0.35"/>
    <row r="889" customFormat="1" x14ac:dyDescent="0.35"/>
    <row r="890" customFormat="1" x14ac:dyDescent="0.35"/>
    <row r="891" customFormat="1" x14ac:dyDescent="0.35"/>
    <row r="892" customFormat="1" x14ac:dyDescent="0.35"/>
    <row r="893" customFormat="1" x14ac:dyDescent="0.35"/>
    <row r="894" customFormat="1" x14ac:dyDescent="0.35"/>
    <row r="895" customFormat="1" x14ac:dyDescent="0.35"/>
    <row r="896" customFormat="1" x14ac:dyDescent="0.35"/>
    <row r="897" customFormat="1" x14ac:dyDescent="0.35"/>
    <row r="898" customFormat="1" x14ac:dyDescent="0.35"/>
    <row r="899" customFormat="1" x14ac:dyDescent="0.35"/>
    <row r="900" customFormat="1" x14ac:dyDescent="0.35"/>
    <row r="901" customFormat="1" x14ac:dyDescent="0.35"/>
    <row r="902" customFormat="1" x14ac:dyDescent="0.35"/>
    <row r="903" customFormat="1" x14ac:dyDescent="0.35"/>
    <row r="904" customFormat="1" x14ac:dyDescent="0.35"/>
    <row r="905" customFormat="1" x14ac:dyDescent="0.35"/>
    <row r="906" customFormat="1" x14ac:dyDescent="0.35"/>
    <row r="907" customFormat="1" x14ac:dyDescent="0.35"/>
    <row r="908" customFormat="1" x14ac:dyDescent="0.35"/>
    <row r="909" customFormat="1" x14ac:dyDescent="0.35"/>
    <row r="910" customFormat="1" x14ac:dyDescent="0.35"/>
    <row r="911" customFormat="1" x14ac:dyDescent="0.35"/>
    <row r="912" customFormat="1" x14ac:dyDescent="0.35"/>
    <row r="913" customFormat="1" x14ac:dyDescent="0.35"/>
    <row r="914" customFormat="1" x14ac:dyDescent="0.35"/>
    <row r="915" customFormat="1" x14ac:dyDescent="0.35"/>
    <row r="916" customFormat="1" x14ac:dyDescent="0.35"/>
    <row r="917" customFormat="1" x14ac:dyDescent="0.35"/>
    <row r="918" customFormat="1" x14ac:dyDescent="0.35"/>
    <row r="919" customFormat="1" x14ac:dyDescent="0.35"/>
    <row r="920" customFormat="1" x14ac:dyDescent="0.35"/>
    <row r="921" customFormat="1" x14ac:dyDescent="0.35"/>
    <row r="922" customFormat="1" x14ac:dyDescent="0.35"/>
    <row r="923" customFormat="1" x14ac:dyDescent="0.35"/>
    <row r="924" customFormat="1" x14ac:dyDescent="0.35"/>
    <row r="925" customFormat="1" x14ac:dyDescent="0.35"/>
    <row r="926" customFormat="1" x14ac:dyDescent="0.35"/>
    <row r="927" customFormat="1" x14ac:dyDescent="0.35"/>
    <row r="928" customFormat="1" x14ac:dyDescent="0.35"/>
    <row r="929" customFormat="1" x14ac:dyDescent="0.35"/>
    <row r="930" customFormat="1" x14ac:dyDescent="0.35"/>
    <row r="931" customFormat="1" x14ac:dyDescent="0.35"/>
    <row r="932" customFormat="1" x14ac:dyDescent="0.35"/>
    <row r="933" customFormat="1" x14ac:dyDescent="0.35"/>
    <row r="934" customFormat="1" x14ac:dyDescent="0.35"/>
    <row r="935" customFormat="1" x14ac:dyDescent="0.35"/>
    <row r="936" customFormat="1" x14ac:dyDescent="0.35"/>
    <row r="937" customFormat="1" x14ac:dyDescent="0.35"/>
    <row r="938" customFormat="1" x14ac:dyDescent="0.35"/>
    <row r="939" customFormat="1" x14ac:dyDescent="0.35"/>
    <row r="940" customFormat="1" x14ac:dyDescent="0.35"/>
    <row r="941" customFormat="1" x14ac:dyDescent="0.35"/>
    <row r="942" customFormat="1" x14ac:dyDescent="0.35"/>
    <row r="943" customFormat="1" x14ac:dyDescent="0.35"/>
    <row r="944" customFormat="1" x14ac:dyDescent="0.35"/>
    <row r="945" customFormat="1" x14ac:dyDescent="0.35"/>
    <row r="946" customFormat="1" x14ac:dyDescent="0.35"/>
    <row r="947" customFormat="1" x14ac:dyDescent="0.35"/>
    <row r="948" customFormat="1" x14ac:dyDescent="0.35"/>
    <row r="949" customFormat="1" x14ac:dyDescent="0.35"/>
    <row r="950" customFormat="1" x14ac:dyDescent="0.35"/>
    <row r="951" customFormat="1" x14ac:dyDescent="0.35"/>
    <row r="952" customFormat="1" x14ac:dyDescent="0.35"/>
    <row r="953" customFormat="1" x14ac:dyDescent="0.35"/>
    <row r="954" customFormat="1" x14ac:dyDescent="0.35"/>
    <row r="955" customFormat="1" x14ac:dyDescent="0.35"/>
    <row r="956" customFormat="1" x14ac:dyDescent="0.35"/>
    <row r="957" customFormat="1" x14ac:dyDescent="0.35"/>
    <row r="958" customFormat="1" x14ac:dyDescent="0.35"/>
    <row r="959" customFormat="1" x14ac:dyDescent="0.35"/>
    <row r="960" customFormat="1" x14ac:dyDescent="0.35"/>
    <row r="961" customFormat="1" x14ac:dyDescent="0.35"/>
    <row r="962" customFormat="1" x14ac:dyDescent="0.35"/>
    <row r="963" customFormat="1" x14ac:dyDescent="0.35"/>
    <row r="964" customFormat="1" x14ac:dyDescent="0.35"/>
    <row r="965" customFormat="1" x14ac:dyDescent="0.35"/>
    <row r="966" customFormat="1" x14ac:dyDescent="0.35"/>
    <row r="967" customFormat="1" x14ac:dyDescent="0.35"/>
    <row r="968" customFormat="1" x14ac:dyDescent="0.35"/>
    <row r="969" customFormat="1" x14ac:dyDescent="0.35"/>
    <row r="970" customFormat="1" x14ac:dyDescent="0.35"/>
    <row r="971" customFormat="1" x14ac:dyDescent="0.35"/>
    <row r="972" customFormat="1" x14ac:dyDescent="0.35"/>
    <row r="973" customFormat="1" x14ac:dyDescent="0.35"/>
    <row r="974" customFormat="1" x14ac:dyDescent="0.35"/>
    <row r="975" customFormat="1" x14ac:dyDescent="0.35"/>
    <row r="976" customFormat="1" x14ac:dyDescent="0.35"/>
    <row r="977" customFormat="1" x14ac:dyDescent="0.35"/>
    <row r="978" customFormat="1" x14ac:dyDescent="0.35"/>
    <row r="979" customFormat="1" x14ac:dyDescent="0.35"/>
    <row r="980" customFormat="1" x14ac:dyDescent="0.35"/>
    <row r="981" customFormat="1" x14ac:dyDescent="0.35"/>
    <row r="982" customFormat="1" x14ac:dyDescent="0.35"/>
    <row r="983" customFormat="1" x14ac:dyDescent="0.35"/>
    <row r="984" customFormat="1" x14ac:dyDescent="0.35"/>
    <row r="985" customFormat="1" x14ac:dyDescent="0.35"/>
    <row r="986" customFormat="1" x14ac:dyDescent="0.35"/>
    <row r="987" customFormat="1" x14ac:dyDescent="0.35"/>
    <row r="988" customFormat="1" x14ac:dyDescent="0.35"/>
    <row r="989" customFormat="1" x14ac:dyDescent="0.35"/>
    <row r="990" customFormat="1" x14ac:dyDescent="0.35"/>
    <row r="991" customFormat="1" x14ac:dyDescent="0.35"/>
    <row r="992" customFormat="1" x14ac:dyDescent="0.35"/>
    <row r="993" customFormat="1" x14ac:dyDescent="0.35"/>
    <row r="994" customFormat="1" x14ac:dyDescent="0.35"/>
    <row r="995" customFormat="1" x14ac:dyDescent="0.35"/>
    <row r="996" customFormat="1" x14ac:dyDescent="0.35"/>
    <row r="997" customFormat="1" x14ac:dyDescent="0.35"/>
    <row r="998" customFormat="1" x14ac:dyDescent="0.35"/>
    <row r="999" customFormat="1" x14ac:dyDescent="0.35"/>
    <row r="1000" customFormat="1" x14ac:dyDescent="0.35"/>
    <row r="1001" customFormat="1" x14ac:dyDescent="0.35"/>
    <row r="1002" customFormat="1" x14ac:dyDescent="0.35"/>
    <row r="1003" customFormat="1" x14ac:dyDescent="0.35"/>
    <row r="1004" customFormat="1" x14ac:dyDescent="0.35"/>
    <row r="1005" customFormat="1" x14ac:dyDescent="0.35"/>
    <row r="1006" customFormat="1" x14ac:dyDescent="0.35"/>
    <row r="1007" customFormat="1" x14ac:dyDescent="0.35"/>
    <row r="1008" customFormat="1" x14ac:dyDescent="0.35"/>
    <row r="1009" customFormat="1" x14ac:dyDescent="0.35"/>
    <row r="1010" customFormat="1" x14ac:dyDescent="0.35"/>
    <row r="1011" customFormat="1" x14ac:dyDescent="0.35"/>
    <row r="1012" customFormat="1" x14ac:dyDescent="0.35"/>
    <row r="1013" customFormat="1" x14ac:dyDescent="0.35"/>
    <row r="1014" customFormat="1" x14ac:dyDescent="0.35"/>
    <row r="1015" customFormat="1" x14ac:dyDescent="0.35"/>
    <row r="1016" customFormat="1" x14ac:dyDescent="0.35"/>
    <row r="1017" customFormat="1" x14ac:dyDescent="0.35"/>
    <row r="1018" customFormat="1" x14ac:dyDescent="0.35"/>
    <row r="1019" customFormat="1" x14ac:dyDescent="0.35"/>
    <row r="1020" customFormat="1" x14ac:dyDescent="0.35"/>
    <row r="1021" customFormat="1" x14ac:dyDescent="0.35"/>
    <row r="1022" customFormat="1" x14ac:dyDescent="0.35"/>
    <row r="1023" customFormat="1" x14ac:dyDescent="0.35"/>
    <row r="1024" customFormat="1" x14ac:dyDescent="0.35"/>
    <row r="1025" customFormat="1" x14ac:dyDescent="0.35"/>
    <row r="1026" customFormat="1" x14ac:dyDescent="0.35"/>
    <row r="1027" customFormat="1" x14ac:dyDescent="0.35"/>
    <row r="1028" customFormat="1" x14ac:dyDescent="0.35"/>
    <row r="1029" customFormat="1" x14ac:dyDescent="0.35"/>
    <row r="1030" customFormat="1" x14ac:dyDescent="0.35"/>
    <row r="1031" customFormat="1" x14ac:dyDescent="0.35"/>
    <row r="1032" customFormat="1" x14ac:dyDescent="0.35"/>
    <row r="1033" customFormat="1" x14ac:dyDescent="0.35"/>
    <row r="1034" customFormat="1" x14ac:dyDescent="0.35"/>
    <row r="1035" customFormat="1" x14ac:dyDescent="0.35"/>
    <row r="1036" customFormat="1" x14ac:dyDescent="0.35"/>
    <row r="1037" customFormat="1" x14ac:dyDescent="0.35"/>
    <row r="1038" customFormat="1" x14ac:dyDescent="0.35"/>
    <row r="1039" customFormat="1" x14ac:dyDescent="0.35"/>
    <row r="1040" customFormat="1" x14ac:dyDescent="0.35"/>
    <row r="1041" customFormat="1" x14ac:dyDescent="0.35"/>
    <row r="1042" customFormat="1" x14ac:dyDescent="0.35"/>
    <row r="1043" customFormat="1" x14ac:dyDescent="0.35"/>
    <row r="1044" customFormat="1" x14ac:dyDescent="0.35"/>
    <row r="1045" customFormat="1" x14ac:dyDescent="0.35"/>
    <row r="1046" customFormat="1" x14ac:dyDescent="0.35"/>
    <row r="1047" customFormat="1" x14ac:dyDescent="0.35"/>
    <row r="1048" customFormat="1" x14ac:dyDescent="0.35"/>
    <row r="1049" customFormat="1" x14ac:dyDescent="0.35"/>
    <row r="1050" customFormat="1" x14ac:dyDescent="0.35"/>
    <row r="1051" customFormat="1" x14ac:dyDescent="0.35"/>
    <row r="1052" customFormat="1" x14ac:dyDescent="0.35"/>
    <row r="1053" customFormat="1" x14ac:dyDescent="0.35"/>
    <row r="1054" customFormat="1" x14ac:dyDescent="0.35"/>
    <row r="1055" customFormat="1" x14ac:dyDescent="0.35"/>
    <row r="1056" customFormat="1" x14ac:dyDescent="0.35"/>
    <row r="1057" customFormat="1" x14ac:dyDescent="0.35"/>
    <row r="1058" customFormat="1" x14ac:dyDescent="0.35"/>
    <row r="1059" customFormat="1" x14ac:dyDescent="0.35"/>
    <row r="1060" customFormat="1" x14ac:dyDescent="0.35"/>
    <row r="1061" customFormat="1" x14ac:dyDescent="0.35"/>
    <row r="1062" customFormat="1" x14ac:dyDescent="0.35"/>
    <row r="1063" customFormat="1" x14ac:dyDescent="0.35"/>
    <row r="1064" customFormat="1" x14ac:dyDescent="0.35"/>
    <row r="1065" customFormat="1" x14ac:dyDescent="0.35"/>
    <row r="1066" customFormat="1" x14ac:dyDescent="0.35"/>
    <row r="1067" customFormat="1" x14ac:dyDescent="0.35"/>
    <row r="1068" customFormat="1" x14ac:dyDescent="0.35"/>
    <row r="1069" customFormat="1" x14ac:dyDescent="0.35"/>
    <row r="1070" customFormat="1" x14ac:dyDescent="0.35"/>
    <row r="1071" customFormat="1" x14ac:dyDescent="0.35"/>
    <row r="1072" customFormat="1" x14ac:dyDescent="0.35"/>
    <row r="1073" customFormat="1" x14ac:dyDescent="0.35"/>
    <row r="1074" customFormat="1" x14ac:dyDescent="0.35"/>
    <row r="1075" customFormat="1" x14ac:dyDescent="0.35"/>
    <row r="1076" customFormat="1" x14ac:dyDescent="0.35"/>
    <row r="1077" customFormat="1" x14ac:dyDescent="0.35"/>
    <row r="1078" customFormat="1" x14ac:dyDescent="0.35"/>
    <row r="1079" customFormat="1" x14ac:dyDescent="0.35"/>
    <row r="1080" customFormat="1" x14ac:dyDescent="0.35"/>
    <row r="1081" customFormat="1" x14ac:dyDescent="0.35"/>
    <row r="1082" customFormat="1" x14ac:dyDescent="0.35"/>
    <row r="1083" customFormat="1" x14ac:dyDescent="0.35"/>
    <row r="1084" customFormat="1" x14ac:dyDescent="0.35"/>
    <row r="1085" customFormat="1" x14ac:dyDescent="0.35"/>
    <row r="1086" customFormat="1" x14ac:dyDescent="0.35"/>
    <row r="1087" customFormat="1" x14ac:dyDescent="0.35"/>
    <row r="1088" customFormat="1" x14ac:dyDescent="0.35"/>
    <row r="1089" customFormat="1" x14ac:dyDescent="0.35"/>
    <row r="1090" customFormat="1" x14ac:dyDescent="0.35"/>
    <row r="1091" customFormat="1" x14ac:dyDescent="0.35"/>
    <row r="1092" customFormat="1" x14ac:dyDescent="0.35"/>
    <row r="1093" customFormat="1" x14ac:dyDescent="0.35"/>
    <row r="1094" customFormat="1" x14ac:dyDescent="0.35"/>
    <row r="1095" customFormat="1" x14ac:dyDescent="0.35"/>
    <row r="1096" customFormat="1" x14ac:dyDescent="0.35"/>
    <row r="1097" customFormat="1" x14ac:dyDescent="0.35"/>
    <row r="1098" customFormat="1" x14ac:dyDescent="0.35"/>
    <row r="1099" customFormat="1" x14ac:dyDescent="0.35"/>
    <row r="1100" customFormat="1" x14ac:dyDescent="0.35"/>
    <row r="1101" customFormat="1" x14ac:dyDescent="0.35"/>
    <row r="1102" customFormat="1" x14ac:dyDescent="0.35"/>
    <row r="1103" customFormat="1" x14ac:dyDescent="0.35"/>
    <row r="1104" customFormat="1" x14ac:dyDescent="0.35"/>
    <row r="1105" customFormat="1" x14ac:dyDescent="0.35"/>
    <row r="1106" customFormat="1" x14ac:dyDescent="0.35"/>
    <row r="1107" customFormat="1" x14ac:dyDescent="0.35"/>
    <row r="1108" customFormat="1" x14ac:dyDescent="0.35"/>
    <row r="1109" customFormat="1" x14ac:dyDescent="0.35"/>
    <row r="1110" customFormat="1" x14ac:dyDescent="0.35"/>
    <row r="1111" customFormat="1" x14ac:dyDescent="0.35"/>
    <row r="1112" customFormat="1" x14ac:dyDescent="0.35"/>
    <row r="1113" customFormat="1" x14ac:dyDescent="0.35"/>
    <row r="1114" customFormat="1" x14ac:dyDescent="0.35"/>
    <row r="1115" customFormat="1" x14ac:dyDescent="0.35"/>
    <row r="1116" customFormat="1" x14ac:dyDescent="0.35"/>
    <row r="1117" customFormat="1" x14ac:dyDescent="0.35"/>
    <row r="1118" customFormat="1" x14ac:dyDescent="0.35"/>
    <row r="1119" customFormat="1" x14ac:dyDescent="0.35"/>
    <row r="1120" customFormat="1" x14ac:dyDescent="0.35"/>
    <row r="1121" customFormat="1" x14ac:dyDescent="0.35"/>
    <row r="1122" customFormat="1" x14ac:dyDescent="0.35"/>
    <row r="1123" customFormat="1" x14ac:dyDescent="0.35"/>
    <row r="1124" customFormat="1" x14ac:dyDescent="0.35"/>
    <row r="1125" customFormat="1" x14ac:dyDescent="0.35"/>
    <row r="1126" customFormat="1" x14ac:dyDescent="0.35"/>
    <row r="1127" customFormat="1" x14ac:dyDescent="0.35"/>
    <row r="1128" customFormat="1" x14ac:dyDescent="0.35"/>
    <row r="1129" customFormat="1" x14ac:dyDescent="0.35"/>
    <row r="1130" customFormat="1" x14ac:dyDescent="0.35"/>
    <row r="1131" customFormat="1" x14ac:dyDescent="0.35"/>
    <row r="1132" customFormat="1" x14ac:dyDescent="0.35"/>
    <row r="1133" customFormat="1" x14ac:dyDescent="0.35"/>
    <row r="1134" customFormat="1" x14ac:dyDescent="0.35"/>
    <row r="1135" customFormat="1" x14ac:dyDescent="0.35"/>
    <row r="1136" customFormat="1" x14ac:dyDescent="0.35"/>
    <row r="1137" customFormat="1" x14ac:dyDescent="0.35"/>
    <row r="1138" customFormat="1" x14ac:dyDescent="0.35"/>
    <row r="1139" customFormat="1" x14ac:dyDescent="0.35"/>
    <row r="1140" customFormat="1" x14ac:dyDescent="0.35"/>
    <row r="1141" customFormat="1" x14ac:dyDescent="0.35"/>
    <row r="1142" customFormat="1" x14ac:dyDescent="0.35"/>
    <row r="1143" customFormat="1" x14ac:dyDescent="0.35"/>
    <row r="1144" customFormat="1" x14ac:dyDescent="0.35"/>
    <row r="1145" customFormat="1" x14ac:dyDescent="0.35"/>
    <row r="1146" customFormat="1" x14ac:dyDescent="0.35"/>
    <row r="1147" customFormat="1" x14ac:dyDescent="0.35"/>
    <row r="1148" customFormat="1" x14ac:dyDescent="0.35"/>
    <row r="1149" customFormat="1" x14ac:dyDescent="0.35"/>
    <row r="1150" customFormat="1" x14ac:dyDescent="0.35"/>
    <row r="1151" customFormat="1" x14ac:dyDescent="0.35"/>
    <row r="1152" customFormat="1" x14ac:dyDescent="0.35"/>
    <row r="1153" customFormat="1" x14ac:dyDescent="0.35"/>
    <row r="1154" customFormat="1" x14ac:dyDescent="0.35"/>
    <row r="1155" customFormat="1" x14ac:dyDescent="0.35"/>
    <row r="1156" customFormat="1" x14ac:dyDescent="0.35"/>
    <row r="1157" customFormat="1" x14ac:dyDescent="0.35"/>
    <row r="1158" customFormat="1" x14ac:dyDescent="0.35"/>
    <row r="1159" customFormat="1" x14ac:dyDescent="0.35"/>
    <row r="1160" customFormat="1" x14ac:dyDescent="0.35"/>
    <row r="1161" customFormat="1" x14ac:dyDescent="0.35"/>
    <row r="1162" customFormat="1" x14ac:dyDescent="0.35"/>
    <row r="1163" customFormat="1" x14ac:dyDescent="0.35"/>
    <row r="1164" customFormat="1" x14ac:dyDescent="0.35"/>
    <row r="1165" customFormat="1" x14ac:dyDescent="0.35"/>
    <row r="1166" customFormat="1" x14ac:dyDescent="0.35"/>
    <row r="1167" customFormat="1" x14ac:dyDescent="0.35"/>
    <row r="1168" customFormat="1" x14ac:dyDescent="0.35"/>
    <row r="1169" customFormat="1" x14ac:dyDescent="0.35"/>
    <row r="1170" customFormat="1" x14ac:dyDescent="0.35"/>
    <row r="1171" customFormat="1" x14ac:dyDescent="0.35"/>
    <row r="1172" customFormat="1" x14ac:dyDescent="0.35"/>
    <row r="1173" customFormat="1" x14ac:dyDescent="0.35"/>
    <row r="1174" customFormat="1" x14ac:dyDescent="0.35"/>
    <row r="1175" customFormat="1" x14ac:dyDescent="0.35"/>
    <row r="1176" customFormat="1" x14ac:dyDescent="0.35"/>
    <row r="1177" customFormat="1" x14ac:dyDescent="0.35"/>
    <row r="1178" customFormat="1" x14ac:dyDescent="0.35"/>
    <row r="1179" customFormat="1" x14ac:dyDescent="0.35"/>
    <row r="1180" customFormat="1" x14ac:dyDescent="0.35"/>
    <row r="1181" customFormat="1" x14ac:dyDescent="0.35"/>
    <row r="1182" customFormat="1" x14ac:dyDescent="0.35"/>
    <row r="1183" customFormat="1" x14ac:dyDescent="0.35"/>
    <row r="1184" customFormat="1" x14ac:dyDescent="0.35"/>
    <row r="1185" customFormat="1" x14ac:dyDescent="0.35"/>
    <row r="1186" customFormat="1" x14ac:dyDescent="0.35"/>
    <row r="1187" customFormat="1" x14ac:dyDescent="0.35"/>
    <row r="1188" customFormat="1" x14ac:dyDescent="0.35"/>
    <row r="1189" customFormat="1" x14ac:dyDescent="0.35"/>
    <row r="1190" customFormat="1" x14ac:dyDescent="0.35"/>
    <row r="1191" customFormat="1" x14ac:dyDescent="0.35"/>
    <row r="1192" customFormat="1" x14ac:dyDescent="0.35"/>
    <row r="1193" customFormat="1" x14ac:dyDescent="0.35"/>
    <row r="1194" customFormat="1" x14ac:dyDescent="0.35"/>
    <row r="1195" customFormat="1" x14ac:dyDescent="0.35"/>
    <row r="1196" customFormat="1" x14ac:dyDescent="0.35"/>
    <row r="1197" customFormat="1" x14ac:dyDescent="0.35"/>
    <row r="1198" customFormat="1" x14ac:dyDescent="0.35"/>
    <row r="1199" customFormat="1" x14ac:dyDescent="0.35"/>
    <row r="1200" customFormat="1" x14ac:dyDescent="0.35"/>
    <row r="1201" customFormat="1" x14ac:dyDescent="0.35"/>
    <row r="1202" customFormat="1" x14ac:dyDescent="0.35"/>
    <row r="1203" customFormat="1" x14ac:dyDescent="0.35"/>
    <row r="1204" customFormat="1" x14ac:dyDescent="0.35"/>
    <row r="1205" customFormat="1" x14ac:dyDescent="0.35"/>
    <row r="1206" customFormat="1" x14ac:dyDescent="0.35"/>
    <row r="1207" customFormat="1" x14ac:dyDescent="0.35"/>
    <row r="1208" customFormat="1" x14ac:dyDescent="0.35"/>
    <row r="1209" customFormat="1" x14ac:dyDescent="0.35"/>
    <row r="1210" customFormat="1" x14ac:dyDescent="0.35"/>
    <row r="1211" customFormat="1" x14ac:dyDescent="0.35"/>
    <row r="1212" customFormat="1" x14ac:dyDescent="0.35"/>
    <row r="1213" customFormat="1" x14ac:dyDescent="0.35"/>
    <row r="1214" customFormat="1" x14ac:dyDescent="0.35"/>
    <row r="1215" customFormat="1" x14ac:dyDescent="0.35"/>
    <row r="1216" customFormat="1" x14ac:dyDescent="0.35"/>
    <row r="1217" customFormat="1" x14ac:dyDescent="0.35"/>
    <row r="1218" customFormat="1" x14ac:dyDescent="0.35"/>
    <row r="1219" customFormat="1" x14ac:dyDescent="0.35"/>
    <row r="1220" customFormat="1" x14ac:dyDescent="0.35"/>
    <row r="1221" customFormat="1" x14ac:dyDescent="0.35"/>
    <row r="1222" customFormat="1" x14ac:dyDescent="0.35"/>
    <row r="1223" customFormat="1" x14ac:dyDescent="0.35"/>
    <row r="1224" customFormat="1" x14ac:dyDescent="0.35"/>
    <row r="1225" customFormat="1" x14ac:dyDescent="0.35"/>
    <row r="1226" customFormat="1" x14ac:dyDescent="0.35"/>
    <row r="1227" customFormat="1" x14ac:dyDescent="0.35"/>
    <row r="1228" customFormat="1" x14ac:dyDescent="0.35"/>
    <row r="1229" customFormat="1" x14ac:dyDescent="0.35"/>
    <row r="1230" customFormat="1" x14ac:dyDescent="0.35"/>
    <row r="1231" customFormat="1" x14ac:dyDescent="0.35"/>
    <row r="1232" customFormat="1" x14ac:dyDescent="0.35"/>
    <row r="1233" customFormat="1" x14ac:dyDescent="0.35"/>
    <row r="1234" customFormat="1" x14ac:dyDescent="0.35"/>
    <row r="1235" customFormat="1" x14ac:dyDescent="0.35"/>
    <row r="1236" customFormat="1" x14ac:dyDescent="0.35"/>
    <row r="1237" customFormat="1" x14ac:dyDescent="0.35"/>
    <row r="1238" customFormat="1" x14ac:dyDescent="0.35"/>
    <row r="1239" customFormat="1" x14ac:dyDescent="0.35"/>
    <row r="1240" customFormat="1" x14ac:dyDescent="0.35"/>
    <row r="1241" customFormat="1" x14ac:dyDescent="0.35"/>
    <row r="1242" customFormat="1" x14ac:dyDescent="0.35"/>
    <row r="1243" customFormat="1" x14ac:dyDescent="0.35"/>
    <row r="1244" customFormat="1" x14ac:dyDescent="0.35"/>
    <row r="1245" customFormat="1" x14ac:dyDescent="0.35"/>
    <row r="1246" customFormat="1" x14ac:dyDescent="0.35"/>
    <row r="1247" customFormat="1" x14ac:dyDescent="0.35"/>
    <row r="1248" customFormat="1" x14ac:dyDescent="0.35"/>
    <row r="1249" customFormat="1" x14ac:dyDescent="0.35"/>
    <row r="1250" customFormat="1" x14ac:dyDescent="0.35"/>
    <row r="1251" customFormat="1" x14ac:dyDescent="0.35"/>
    <row r="1252" customFormat="1" x14ac:dyDescent="0.35"/>
    <row r="1253" customFormat="1" x14ac:dyDescent="0.35"/>
    <row r="1254" customFormat="1" x14ac:dyDescent="0.35"/>
    <row r="1255" customFormat="1" x14ac:dyDescent="0.35"/>
    <row r="1256" customFormat="1" x14ac:dyDescent="0.35"/>
    <row r="1257" customFormat="1" x14ac:dyDescent="0.35"/>
    <row r="1258" customFormat="1" x14ac:dyDescent="0.35"/>
    <row r="1259" customFormat="1" x14ac:dyDescent="0.35"/>
    <row r="1260" customFormat="1" x14ac:dyDescent="0.35"/>
    <row r="1261" customFormat="1" x14ac:dyDescent="0.35"/>
    <row r="1262" customFormat="1" x14ac:dyDescent="0.35"/>
    <row r="1263" customFormat="1" x14ac:dyDescent="0.35"/>
    <row r="1264" customFormat="1" x14ac:dyDescent="0.35"/>
    <row r="1265" customFormat="1" x14ac:dyDescent="0.35"/>
    <row r="1266" customFormat="1" x14ac:dyDescent="0.35"/>
    <row r="1267" customFormat="1" x14ac:dyDescent="0.35"/>
    <row r="1268" customFormat="1" x14ac:dyDescent="0.35"/>
    <row r="1269" customFormat="1" x14ac:dyDescent="0.35"/>
    <row r="1270" customFormat="1" x14ac:dyDescent="0.35"/>
    <row r="1271" customFormat="1" x14ac:dyDescent="0.35"/>
    <row r="1272" customFormat="1" x14ac:dyDescent="0.35"/>
    <row r="1273" customFormat="1" x14ac:dyDescent="0.35"/>
    <row r="1274" customFormat="1" x14ac:dyDescent="0.35"/>
    <row r="1275" customFormat="1" x14ac:dyDescent="0.35"/>
    <row r="1276" customFormat="1" x14ac:dyDescent="0.35"/>
    <row r="1277" customFormat="1" x14ac:dyDescent="0.35"/>
    <row r="1278" customFormat="1" x14ac:dyDescent="0.35"/>
    <row r="1279" customFormat="1" x14ac:dyDescent="0.35"/>
    <row r="1280" customFormat="1" x14ac:dyDescent="0.35"/>
    <row r="1281" customFormat="1" x14ac:dyDescent="0.35"/>
    <row r="1282" customFormat="1" x14ac:dyDescent="0.35"/>
    <row r="1283" customFormat="1" x14ac:dyDescent="0.35"/>
    <row r="1284" customFormat="1" x14ac:dyDescent="0.35"/>
    <row r="1285" customFormat="1" x14ac:dyDescent="0.35"/>
    <row r="1286" customFormat="1" x14ac:dyDescent="0.35"/>
    <row r="1287" customFormat="1" x14ac:dyDescent="0.35"/>
    <row r="1288" customFormat="1" x14ac:dyDescent="0.35"/>
    <row r="1289" customFormat="1" x14ac:dyDescent="0.35"/>
    <row r="1290" customFormat="1" x14ac:dyDescent="0.35"/>
    <row r="1291" customFormat="1" x14ac:dyDescent="0.35"/>
    <row r="1292" customFormat="1" x14ac:dyDescent="0.35"/>
    <row r="1293" customFormat="1" x14ac:dyDescent="0.35"/>
    <row r="1294" customFormat="1" x14ac:dyDescent="0.35"/>
    <row r="1295" customFormat="1" x14ac:dyDescent="0.35"/>
    <row r="1296" customFormat="1" x14ac:dyDescent="0.35"/>
    <row r="1297" customFormat="1" x14ac:dyDescent="0.35"/>
    <row r="1298" customFormat="1" x14ac:dyDescent="0.35"/>
    <row r="1299" customFormat="1" x14ac:dyDescent="0.35"/>
    <row r="1300" customFormat="1" x14ac:dyDescent="0.35"/>
    <row r="1301" customFormat="1" x14ac:dyDescent="0.35"/>
    <row r="1302" customFormat="1" x14ac:dyDescent="0.35"/>
    <row r="1303" customFormat="1" x14ac:dyDescent="0.35"/>
    <row r="1304" customFormat="1" x14ac:dyDescent="0.35"/>
    <row r="1305" customFormat="1" x14ac:dyDescent="0.35"/>
    <row r="1306" customFormat="1" x14ac:dyDescent="0.35"/>
    <row r="1307" customFormat="1" x14ac:dyDescent="0.35"/>
    <row r="1308" customFormat="1" x14ac:dyDescent="0.35"/>
    <row r="1309" customFormat="1" x14ac:dyDescent="0.35"/>
    <row r="1310" customFormat="1" x14ac:dyDescent="0.35"/>
    <row r="1311" customFormat="1" x14ac:dyDescent="0.35"/>
    <row r="1312" customFormat="1" x14ac:dyDescent="0.35"/>
    <row r="1313" customFormat="1" x14ac:dyDescent="0.35"/>
    <row r="1314" customFormat="1" x14ac:dyDescent="0.35"/>
    <row r="1315" customFormat="1" x14ac:dyDescent="0.35"/>
    <row r="1316" customFormat="1" x14ac:dyDescent="0.35"/>
    <row r="1317" customFormat="1" x14ac:dyDescent="0.35"/>
    <row r="1318" customFormat="1" x14ac:dyDescent="0.35"/>
    <row r="1319" customFormat="1" x14ac:dyDescent="0.35"/>
    <row r="1320" customFormat="1" x14ac:dyDescent="0.35"/>
    <row r="1321" customFormat="1" x14ac:dyDescent="0.35"/>
    <row r="1322" customFormat="1" x14ac:dyDescent="0.35"/>
    <row r="1323" customFormat="1" x14ac:dyDescent="0.35"/>
    <row r="1324" customFormat="1" x14ac:dyDescent="0.35"/>
    <row r="1325" customFormat="1" x14ac:dyDescent="0.35"/>
    <row r="1326" customFormat="1" x14ac:dyDescent="0.35"/>
    <row r="1327" customFormat="1" x14ac:dyDescent="0.35"/>
    <row r="1328" customFormat="1" x14ac:dyDescent="0.35"/>
    <row r="1329" customFormat="1" x14ac:dyDescent="0.35"/>
    <row r="1330" customFormat="1" x14ac:dyDescent="0.35"/>
    <row r="1331" customFormat="1" x14ac:dyDescent="0.35"/>
    <row r="1332" customFormat="1" x14ac:dyDescent="0.35"/>
    <row r="1333" customFormat="1" x14ac:dyDescent="0.35"/>
    <row r="1334" customFormat="1" x14ac:dyDescent="0.35"/>
    <row r="1335" customFormat="1" x14ac:dyDescent="0.35"/>
    <row r="1336" customFormat="1" x14ac:dyDescent="0.35"/>
    <row r="1337" customFormat="1" x14ac:dyDescent="0.35"/>
    <row r="1338" customFormat="1" x14ac:dyDescent="0.35"/>
    <row r="1339" customFormat="1" x14ac:dyDescent="0.35"/>
    <row r="1340" customFormat="1" x14ac:dyDescent="0.35"/>
    <row r="1341" customFormat="1" x14ac:dyDescent="0.35"/>
    <row r="1342" customFormat="1" x14ac:dyDescent="0.35"/>
    <row r="1343" customFormat="1" x14ac:dyDescent="0.35"/>
    <row r="1344" customFormat="1" x14ac:dyDescent="0.35"/>
    <row r="1345" customFormat="1" x14ac:dyDescent="0.35"/>
    <row r="1346" customFormat="1" x14ac:dyDescent="0.35"/>
    <row r="1347" customFormat="1" x14ac:dyDescent="0.35"/>
    <row r="1348" customFormat="1" x14ac:dyDescent="0.35"/>
    <row r="1349" customFormat="1" x14ac:dyDescent="0.35"/>
    <row r="1350" customFormat="1" x14ac:dyDescent="0.35"/>
    <row r="1351" customFormat="1" x14ac:dyDescent="0.35"/>
    <row r="1352" customFormat="1" x14ac:dyDescent="0.35"/>
    <row r="1353" customFormat="1" x14ac:dyDescent="0.35"/>
    <row r="1354" customFormat="1" x14ac:dyDescent="0.35"/>
    <row r="1355" customFormat="1" x14ac:dyDescent="0.35"/>
    <row r="1356" customFormat="1" x14ac:dyDescent="0.35"/>
    <row r="1357" customFormat="1" x14ac:dyDescent="0.35"/>
    <row r="1358" customFormat="1" x14ac:dyDescent="0.35"/>
    <row r="1359" customFormat="1" x14ac:dyDescent="0.35"/>
    <row r="1360" customFormat="1" x14ac:dyDescent="0.35"/>
    <row r="1361" customFormat="1" x14ac:dyDescent="0.35"/>
    <row r="1362" customFormat="1" x14ac:dyDescent="0.35"/>
    <row r="1363" customFormat="1" x14ac:dyDescent="0.35"/>
    <row r="1364" customFormat="1" x14ac:dyDescent="0.35"/>
    <row r="1365" customFormat="1" x14ac:dyDescent="0.35"/>
    <row r="1366" customFormat="1" x14ac:dyDescent="0.35"/>
    <row r="1367" customFormat="1" x14ac:dyDescent="0.35"/>
    <row r="1368" customFormat="1" x14ac:dyDescent="0.35"/>
    <row r="1369" customFormat="1" x14ac:dyDescent="0.35"/>
    <row r="1370" customFormat="1" x14ac:dyDescent="0.35"/>
    <row r="1371" customFormat="1" x14ac:dyDescent="0.35"/>
    <row r="1372" customFormat="1" x14ac:dyDescent="0.35"/>
    <row r="1373" customFormat="1" x14ac:dyDescent="0.35"/>
    <row r="1374" customFormat="1" x14ac:dyDescent="0.35"/>
    <row r="1375" customFormat="1" x14ac:dyDescent="0.35"/>
    <row r="1376" customFormat="1" x14ac:dyDescent="0.35"/>
    <row r="1377" customFormat="1" x14ac:dyDescent="0.35"/>
    <row r="1378" customFormat="1" x14ac:dyDescent="0.35"/>
    <row r="1379" customFormat="1" x14ac:dyDescent="0.35"/>
    <row r="1380" customFormat="1" x14ac:dyDescent="0.35"/>
    <row r="1381" customFormat="1" x14ac:dyDescent="0.35"/>
    <row r="1382" customFormat="1" x14ac:dyDescent="0.35"/>
    <row r="1383" customFormat="1" x14ac:dyDescent="0.35"/>
    <row r="1384" customFormat="1" x14ac:dyDescent="0.35"/>
    <row r="1385" customFormat="1" x14ac:dyDescent="0.35"/>
    <row r="1386" customFormat="1" x14ac:dyDescent="0.35"/>
    <row r="1387" customFormat="1" x14ac:dyDescent="0.35"/>
    <row r="1388" customFormat="1" x14ac:dyDescent="0.35"/>
    <row r="1389" customFormat="1" x14ac:dyDescent="0.35"/>
    <row r="1390" customFormat="1" x14ac:dyDescent="0.35"/>
    <row r="1391" customFormat="1" x14ac:dyDescent="0.35"/>
    <row r="1392" customFormat="1" x14ac:dyDescent="0.35"/>
    <row r="1393" customFormat="1" x14ac:dyDescent="0.35"/>
    <row r="1394" customFormat="1" x14ac:dyDescent="0.35"/>
    <row r="1395" customFormat="1" x14ac:dyDescent="0.35"/>
    <row r="1396" customFormat="1" x14ac:dyDescent="0.35"/>
    <row r="1397" customFormat="1" x14ac:dyDescent="0.35"/>
    <row r="1398" customFormat="1" x14ac:dyDescent="0.35"/>
    <row r="1399" customFormat="1" x14ac:dyDescent="0.35"/>
    <row r="1400" customFormat="1" x14ac:dyDescent="0.35"/>
    <row r="1401" customFormat="1" x14ac:dyDescent="0.35"/>
    <row r="1402" customFormat="1" x14ac:dyDescent="0.35"/>
    <row r="1403" customFormat="1" x14ac:dyDescent="0.35"/>
    <row r="1404" customFormat="1" x14ac:dyDescent="0.35"/>
    <row r="1405" customFormat="1" x14ac:dyDescent="0.35"/>
    <row r="1406" customFormat="1" x14ac:dyDescent="0.35"/>
    <row r="1407" customFormat="1" x14ac:dyDescent="0.35"/>
    <row r="1408" customFormat="1" x14ac:dyDescent="0.35"/>
    <row r="1409" customFormat="1" x14ac:dyDescent="0.35"/>
    <row r="1410" customFormat="1" x14ac:dyDescent="0.35"/>
    <row r="1411" customFormat="1" x14ac:dyDescent="0.35"/>
    <row r="1412" customFormat="1" x14ac:dyDescent="0.35"/>
    <row r="1413" customFormat="1" x14ac:dyDescent="0.35"/>
    <row r="1414" customFormat="1" x14ac:dyDescent="0.35"/>
    <row r="1415" customFormat="1" x14ac:dyDescent="0.35"/>
    <row r="1416" customFormat="1" x14ac:dyDescent="0.35"/>
    <row r="1417" customFormat="1" x14ac:dyDescent="0.35"/>
    <row r="1418" customFormat="1" x14ac:dyDescent="0.35"/>
    <row r="1419" customFormat="1" x14ac:dyDescent="0.35"/>
    <row r="1420" customFormat="1" x14ac:dyDescent="0.35"/>
    <row r="1421" customFormat="1" x14ac:dyDescent="0.35"/>
    <row r="1422" customFormat="1" x14ac:dyDescent="0.35"/>
    <row r="1423" customFormat="1" x14ac:dyDescent="0.35"/>
    <row r="1424" customFormat="1" x14ac:dyDescent="0.35"/>
    <row r="1425" customFormat="1" x14ac:dyDescent="0.35"/>
    <row r="1426" customFormat="1" x14ac:dyDescent="0.35"/>
    <row r="1427" customFormat="1" x14ac:dyDescent="0.35"/>
    <row r="1428" customFormat="1" x14ac:dyDescent="0.35"/>
    <row r="1429" customFormat="1" x14ac:dyDescent="0.35"/>
    <row r="1430" customFormat="1" x14ac:dyDescent="0.35"/>
    <row r="1431" customFormat="1" x14ac:dyDescent="0.35"/>
    <row r="1432" customFormat="1" x14ac:dyDescent="0.35"/>
    <row r="1433" customFormat="1" x14ac:dyDescent="0.35"/>
    <row r="1434" customFormat="1" x14ac:dyDescent="0.35"/>
    <row r="1435" customFormat="1" x14ac:dyDescent="0.35"/>
    <row r="1436" customFormat="1" x14ac:dyDescent="0.35"/>
    <row r="1437" customFormat="1" x14ac:dyDescent="0.35"/>
    <row r="1438" customFormat="1" x14ac:dyDescent="0.35"/>
    <row r="1439" customFormat="1" x14ac:dyDescent="0.35"/>
    <row r="1440" customFormat="1" x14ac:dyDescent="0.35"/>
    <row r="1441" customFormat="1" x14ac:dyDescent="0.35"/>
    <row r="1442" customFormat="1" x14ac:dyDescent="0.35"/>
    <row r="1443" customFormat="1" x14ac:dyDescent="0.35"/>
    <row r="1444" customFormat="1" x14ac:dyDescent="0.35"/>
    <row r="1445" customFormat="1" x14ac:dyDescent="0.35"/>
    <row r="1446" customFormat="1" x14ac:dyDescent="0.35"/>
    <row r="1447" customFormat="1" x14ac:dyDescent="0.35"/>
    <row r="1448" customFormat="1" x14ac:dyDescent="0.35"/>
    <row r="1449" customFormat="1" x14ac:dyDescent="0.35"/>
    <row r="1450" customFormat="1" x14ac:dyDescent="0.35"/>
    <row r="1451" customFormat="1" x14ac:dyDescent="0.35"/>
    <row r="1452" customFormat="1" x14ac:dyDescent="0.35"/>
    <row r="1453" customFormat="1" x14ac:dyDescent="0.35"/>
    <row r="1454" customFormat="1" x14ac:dyDescent="0.35"/>
    <row r="1455" customFormat="1" x14ac:dyDescent="0.35"/>
    <row r="1456" customFormat="1" x14ac:dyDescent="0.35"/>
    <row r="1457" customFormat="1" x14ac:dyDescent="0.35"/>
    <row r="1458" customFormat="1" x14ac:dyDescent="0.35"/>
    <row r="1459" customFormat="1" x14ac:dyDescent="0.35"/>
    <row r="1460" customFormat="1" x14ac:dyDescent="0.35"/>
    <row r="1461" customFormat="1" x14ac:dyDescent="0.35"/>
    <row r="1462" customFormat="1" x14ac:dyDescent="0.35"/>
    <row r="1463" customFormat="1" x14ac:dyDescent="0.35"/>
    <row r="1464" customFormat="1" x14ac:dyDescent="0.35"/>
    <row r="1465" customFormat="1" x14ac:dyDescent="0.35"/>
    <row r="1466" customFormat="1" x14ac:dyDescent="0.35"/>
    <row r="1467" customFormat="1" x14ac:dyDescent="0.35"/>
    <row r="1468" customFormat="1" x14ac:dyDescent="0.35"/>
    <row r="1469" customFormat="1" x14ac:dyDescent="0.35"/>
    <row r="1470" customFormat="1" x14ac:dyDescent="0.35"/>
    <row r="1471" customFormat="1" x14ac:dyDescent="0.35"/>
    <row r="1472" customFormat="1" x14ac:dyDescent="0.35"/>
    <row r="1473" customFormat="1" x14ac:dyDescent="0.35"/>
    <row r="1474" customFormat="1" x14ac:dyDescent="0.35"/>
    <row r="1475" customFormat="1" x14ac:dyDescent="0.35"/>
    <row r="1476" customFormat="1" x14ac:dyDescent="0.35"/>
    <row r="1477" customFormat="1" x14ac:dyDescent="0.35"/>
    <row r="1478" customFormat="1" x14ac:dyDescent="0.35"/>
    <row r="1479" customFormat="1" x14ac:dyDescent="0.35"/>
    <row r="1480" customFormat="1" x14ac:dyDescent="0.35"/>
    <row r="1481" customFormat="1" x14ac:dyDescent="0.35"/>
    <row r="1482" customFormat="1" x14ac:dyDescent="0.35"/>
    <row r="1483" customFormat="1" x14ac:dyDescent="0.35"/>
    <row r="1484" customFormat="1" x14ac:dyDescent="0.35"/>
    <row r="1485" customFormat="1" x14ac:dyDescent="0.35"/>
    <row r="1486" customFormat="1" x14ac:dyDescent="0.35"/>
    <row r="1487" customFormat="1" x14ac:dyDescent="0.35"/>
    <row r="1488" customFormat="1" x14ac:dyDescent="0.35"/>
    <row r="1489" customFormat="1" x14ac:dyDescent="0.35"/>
    <row r="1490" customFormat="1" x14ac:dyDescent="0.35"/>
    <row r="1491" customFormat="1" x14ac:dyDescent="0.35"/>
    <row r="1492" customFormat="1" x14ac:dyDescent="0.35"/>
    <row r="1493" customFormat="1" x14ac:dyDescent="0.35"/>
    <row r="1494" customFormat="1" x14ac:dyDescent="0.35"/>
    <row r="1495" customFormat="1" x14ac:dyDescent="0.35"/>
    <row r="1496" customFormat="1" x14ac:dyDescent="0.35"/>
    <row r="1497" customFormat="1" x14ac:dyDescent="0.35"/>
    <row r="1498" customFormat="1" x14ac:dyDescent="0.35"/>
    <row r="1499" customFormat="1" x14ac:dyDescent="0.35"/>
    <row r="1500" customFormat="1" x14ac:dyDescent="0.35"/>
    <row r="1501" customFormat="1" x14ac:dyDescent="0.35"/>
    <row r="1502" customFormat="1" x14ac:dyDescent="0.35"/>
    <row r="1503" customFormat="1" x14ac:dyDescent="0.35"/>
    <row r="1504" customFormat="1" x14ac:dyDescent="0.35"/>
    <row r="1505" customFormat="1" x14ac:dyDescent="0.35"/>
    <row r="1506" customFormat="1" x14ac:dyDescent="0.35"/>
    <row r="1507" customFormat="1" x14ac:dyDescent="0.35"/>
    <row r="1508" customFormat="1" x14ac:dyDescent="0.35"/>
    <row r="1509" customFormat="1" x14ac:dyDescent="0.35"/>
    <row r="1510" customFormat="1" x14ac:dyDescent="0.35"/>
    <row r="1511" customFormat="1" x14ac:dyDescent="0.35"/>
    <row r="1512" customFormat="1" x14ac:dyDescent="0.35"/>
    <row r="1513" customFormat="1" x14ac:dyDescent="0.35"/>
    <row r="1514" customFormat="1" x14ac:dyDescent="0.35"/>
    <row r="1515" customFormat="1" x14ac:dyDescent="0.35"/>
    <row r="1516" customFormat="1" x14ac:dyDescent="0.35"/>
    <row r="1517" customFormat="1" x14ac:dyDescent="0.35"/>
    <row r="1518" customFormat="1" x14ac:dyDescent="0.35"/>
    <row r="1519" customFormat="1" x14ac:dyDescent="0.35"/>
    <row r="1520" customFormat="1" x14ac:dyDescent="0.35"/>
    <row r="1521" customFormat="1" x14ac:dyDescent="0.35"/>
    <row r="1522" customFormat="1" x14ac:dyDescent="0.35"/>
    <row r="1523" customFormat="1" x14ac:dyDescent="0.35"/>
    <row r="1524" customFormat="1" x14ac:dyDescent="0.35"/>
    <row r="1525" customFormat="1" x14ac:dyDescent="0.35"/>
    <row r="1526" customFormat="1" x14ac:dyDescent="0.35"/>
    <row r="1527" customFormat="1" x14ac:dyDescent="0.35"/>
    <row r="1528" customFormat="1" x14ac:dyDescent="0.35"/>
    <row r="1529" customFormat="1" x14ac:dyDescent="0.35"/>
    <row r="1530" customFormat="1" x14ac:dyDescent="0.35"/>
    <row r="1531" customFormat="1" x14ac:dyDescent="0.35"/>
    <row r="1532" customFormat="1" x14ac:dyDescent="0.35"/>
    <row r="1533" customFormat="1" x14ac:dyDescent="0.35"/>
    <row r="1534" customFormat="1" x14ac:dyDescent="0.35"/>
    <row r="1535" customFormat="1" x14ac:dyDescent="0.35"/>
    <row r="1536" customFormat="1" x14ac:dyDescent="0.35"/>
    <row r="1537" customFormat="1" x14ac:dyDescent="0.35"/>
    <row r="1538" customFormat="1" x14ac:dyDescent="0.35"/>
    <row r="1539" customFormat="1" x14ac:dyDescent="0.35"/>
    <row r="1540" customFormat="1" x14ac:dyDescent="0.35"/>
    <row r="1541" customFormat="1" x14ac:dyDescent="0.35"/>
    <row r="1542" customFormat="1" x14ac:dyDescent="0.35"/>
    <row r="1543" customFormat="1" x14ac:dyDescent="0.35"/>
    <row r="1544" customFormat="1" x14ac:dyDescent="0.35"/>
    <row r="1545" customFormat="1" x14ac:dyDescent="0.35"/>
    <row r="1546" customFormat="1" x14ac:dyDescent="0.35"/>
    <row r="1547" customFormat="1" x14ac:dyDescent="0.35"/>
    <row r="1548" customFormat="1" x14ac:dyDescent="0.35"/>
    <row r="1549" customFormat="1" x14ac:dyDescent="0.35"/>
    <row r="1550" customFormat="1" x14ac:dyDescent="0.35"/>
    <row r="1551" customFormat="1" x14ac:dyDescent="0.35"/>
    <row r="1552" customFormat="1" x14ac:dyDescent="0.35"/>
    <row r="1553" customFormat="1" x14ac:dyDescent="0.35"/>
    <row r="1554" customFormat="1" x14ac:dyDescent="0.35"/>
    <row r="1555" customFormat="1" x14ac:dyDescent="0.35"/>
    <row r="1556" customFormat="1" x14ac:dyDescent="0.35"/>
    <row r="1557" customFormat="1" x14ac:dyDescent="0.35"/>
    <row r="1558" customFormat="1" x14ac:dyDescent="0.35"/>
    <row r="1559" customFormat="1" x14ac:dyDescent="0.35"/>
    <row r="1560" customFormat="1" x14ac:dyDescent="0.35"/>
    <row r="1561" customFormat="1" x14ac:dyDescent="0.35"/>
    <row r="1562" customFormat="1" x14ac:dyDescent="0.35"/>
    <row r="1563" customFormat="1" x14ac:dyDescent="0.35"/>
    <row r="1564" customFormat="1" x14ac:dyDescent="0.35"/>
    <row r="1565" customFormat="1" x14ac:dyDescent="0.35"/>
    <row r="1566" customFormat="1" x14ac:dyDescent="0.35"/>
    <row r="1567" customFormat="1" x14ac:dyDescent="0.35"/>
    <row r="1568" customFormat="1" x14ac:dyDescent="0.35"/>
    <row r="1569" customFormat="1" x14ac:dyDescent="0.35"/>
    <row r="1570" customFormat="1" x14ac:dyDescent="0.35"/>
    <row r="1571" customFormat="1" x14ac:dyDescent="0.35"/>
    <row r="1572" customFormat="1" x14ac:dyDescent="0.35"/>
    <row r="1573" customFormat="1" x14ac:dyDescent="0.35"/>
    <row r="1574" customFormat="1" x14ac:dyDescent="0.35"/>
    <row r="1575" customFormat="1" x14ac:dyDescent="0.35"/>
    <row r="1576" customFormat="1" x14ac:dyDescent="0.35"/>
    <row r="1577" customFormat="1" x14ac:dyDescent="0.35"/>
    <row r="1578" customFormat="1" x14ac:dyDescent="0.35"/>
    <row r="1579" customFormat="1" x14ac:dyDescent="0.35"/>
    <row r="1580" customFormat="1" x14ac:dyDescent="0.35"/>
    <row r="1581" customFormat="1" x14ac:dyDescent="0.35"/>
    <row r="1582" customFormat="1" x14ac:dyDescent="0.35"/>
    <row r="1583" customFormat="1" x14ac:dyDescent="0.35"/>
    <row r="1584" customFormat="1" x14ac:dyDescent="0.35"/>
    <row r="1585" customFormat="1" x14ac:dyDescent="0.35"/>
    <row r="1586" customFormat="1" x14ac:dyDescent="0.35"/>
    <row r="1587" customFormat="1" x14ac:dyDescent="0.35"/>
    <row r="1588" customFormat="1" x14ac:dyDescent="0.35"/>
    <row r="1589" customFormat="1" x14ac:dyDescent="0.35"/>
    <row r="1590" customFormat="1" x14ac:dyDescent="0.35"/>
    <row r="1591" customFormat="1" x14ac:dyDescent="0.35"/>
    <row r="1592" customFormat="1" x14ac:dyDescent="0.35"/>
    <row r="1593" customFormat="1" x14ac:dyDescent="0.35"/>
    <row r="1594" customFormat="1" x14ac:dyDescent="0.35"/>
    <row r="1595" customFormat="1" x14ac:dyDescent="0.35"/>
    <row r="1596" customFormat="1" x14ac:dyDescent="0.35"/>
    <row r="1597" customFormat="1" x14ac:dyDescent="0.35"/>
    <row r="1598" customFormat="1" x14ac:dyDescent="0.35"/>
    <row r="1599" customFormat="1" x14ac:dyDescent="0.35"/>
    <row r="1600" customFormat="1" x14ac:dyDescent="0.35"/>
    <row r="1601" customFormat="1" x14ac:dyDescent="0.35"/>
    <row r="1602" customFormat="1" x14ac:dyDescent="0.35"/>
    <row r="1603" customFormat="1" x14ac:dyDescent="0.35"/>
    <row r="1604" customFormat="1" x14ac:dyDescent="0.35"/>
    <row r="1605" customFormat="1" x14ac:dyDescent="0.35"/>
    <row r="1606" customFormat="1" x14ac:dyDescent="0.35"/>
    <row r="1607" customFormat="1" x14ac:dyDescent="0.35"/>
    <row r="1608" customFormat="1" x14ac:dyDescent="0.35"/>
    <row r="1609" customFormat="1" x14ac:dyDescent="0.35"/>
    <row r="1610" customFormat="1" x14ac:dyDescent="0.35"/>
    <row r="1611" customFormat="1" x14ac:dyDescent="0.35"/>
    <row r="1612" customFormat="1" x14ac:dyDescent="0.35"/>
    <row r="1613" customFormat="1" x14ac:dyDescent="0.35"/>
    <row r="1614" customFormat="1" x14ac:dyDescent="0.35"/>
    <row r="1615" customFormat="1" x14ac:dyDescent="0.35"/>
    <row r="1616" customFormat="1" x14ac:dyDescent="0.35"/>
    <row r="1617" customFormat="1" x14ac:dyDescent="0.35"/>
    <row r="1618" customFormat="1" x14ac:dyDescent="0.35"/>
    <row r="1619" customFormat="1" x14ac:dyDescent="0.35"/>
    <row r="1620" customFormat="1" x14ac:dyDescent="0.35"/>
    <row r="1621" customFormat="1" x14ac:dyDescent="0.35"/>
    <row r="1622" customFormat="1" x14ac:dyDescent="0.35"/>
    <row r="1623" customFormat="1" x14ac:dyDescent="0.35"/>
    <row r="1624" customFormat="1" x14ac:dyDescent="0.35"/>
    <row r="1625" customFormat="1" x14ac:dyDescent="0.35"/>
    <row r="1626" customFormat="1" x14ac:dyDescent="0.35"/>
    <row r="1627" customFormat="1" x14ac:dyDescent="0.35"/>
    <row r="1628" customFormat="1" x14ac:dyDescent="0.35"/>
    <row r="1629" customFormat="1" x14ac:dyDescent="0.35"/>
    <row r="1630" customFormat="1" x14ac:dyDescent="0.35"/>
    <row r="1631" customFormat="1" x14ac:dyDescent="0.35"/>
    <row r="1632" customFormat="1" x14ac:dyDescent="0.35"/>
    <row r="1633" customFormat="1" x14ac:dyDescent="0.35"/>
    <row r="1634" customFormat="1" x14ac:dyDescent="0.35"/>
    <row r="1635" customFormat="1" x14ac:dyDescent="0.35"/>
    <row r="1636" customFormat="1" x14ac:dyDescent="0.35"/>
    <row r="1637" customFormat="1" x14ac:dyDescent="0.35"/>
    <row r="1638" customFormat="1" x14ac:dyDescent="0.35"/>
    <row r="1639" customFormat="1" x14ac:dyDescent="0.35"/>
    <row r="1640" customFormat="1" x14ac:dyDescent="0.35"/>
    <row r="1641" customFormat="1" x14ac:dyDescent="0.35"/>
    <row r="1642" customFormat="1" x14ac:dyDescent="0.35"/>
    <row r="1643" customFormat="1" x14ac:dyDescent="0.35"/>
    <row r="1644" customFormat="1" x14ac:dyDescent="0.35"/>
    <row r="1645" customFormat="1" x14ac:dyDescent="0.35"/>
    <row r="1646" customFormat="1" x14ac:dyDescent="0.35"/>
    <row r="1647" customFormat="1" x14ac:dyDescent="0.35"/>
    <row r="1648" customFormat="1" x14ac:dyDescent="0.35"/>
    <row r="1649" customFormat="1" x14ac:dyDescent="0.35"/>
    <row r="1650" customFormat="1" x14ac:dyDescent="0.35"/>
    <row r="1651" customFormat="1" x14ac:dyDescent="0.35"/>
    <row r="1652" customFormat="1" x14ac:dyDescent="0.35"/>
    <row r="1653" customFormat="1" x14ac:dyDescent="0.35"/>
    <row r="1654" customFormat="1" x14ac:dyDescent="0.35"/>
    <row r="1655" customFormat="1" x14ac:dyDescent="0.35"/>
    <row r="1656" customFormat="1" x14ac:dyDescent="0.35"/>
    <row r="1657" customFormat="1" x14ac:dyDescent="0.35"/>
    <row r="1658" customFormat="1" x14ac:dyDescent="0.35"/>
    <row r="1659" customFormat="1" x14ac:dyDescent="0.35"/>
    <row r="1660" customFormat="1" x14ac:dyDescent="0.35"/>
    <row r="1661" customFormat="1" x14ac:dyDescent="0.35"/>
    <row r="1662" customFormat="1" x14ac:dyDescent="0.35"/>
    <row r="1663" customFormat="1" x14ac:dyDescent="0.35"/>
    <row r="1664" customFormat="1" x14ac:dyDescent="0.35"/>
    <row r="1665" customFormat="1" x14ac:dyDescent="0.35"/>
    <row r="1666" customFormat="1" x14ac:dyDescent="0.35"/>
    <row r="1667" customFormat="1" x14ac:dyDescent="0.35"/>
    <row r="1668" customFormat="1" x14ac:dyDescent="0.35"/>
    <row r="1669" customFormat="1" x14ac:dyDescent="0.35"/>
    <row r="1670" customFormat="1" x14ac:dyDescent="0.35"/>
    <row r="1671" customFormat="1" x14ac:dyDescent="0.35"/>
    <row r="1672" customFormat="1" x14ac:dyDescent="0.35"/>
    <row r="1673" customFormat="1" x14ac:dyDescent="0.35"/>
    <row r="1674" customFormat="1" x14ac:dyDescent="0.35"/>
    <row r="1675" customFormat="1" x14ac:dyDescent="0.35"/>
    <row r="1676" customFormat="1" x14ac:dyDescent="0.35"/>
    <row r="1677" customFormat="1" x14ac:dyDescent="0.35"/>
    <row r="1678" customFormat="1" x14ac:dyDescent="0.35"/>
    <row r="1679" customFormat="1" x14ac:dyDescent="0.35"/>
    <row r="1680" customFormat="1" x14ac:dyDescent="0.35"/>
    <row r="1681" customFormat="1" x14ac:dyDescent="0.35"/>
    <row r="1682" customFormat="1" x14ac:dyDescent="0.35"/>
    <row r="1683" customFormat="1" x14ac:dyDescent="0.35"/>
    <row r="1684" customFormat="1" x14ac:dyDescent="0.35"/>
    <row r="1685" customFormat="1" x14ac:dyDescent="0.35"/>
    <row r="1686" customFormat="1" x14ac:dyDescent="0.35"/>
    <row r="1687" customFormat="1" x14ac:dyDescent="0.35"/>
    <row r="1688" customFormat="1" x14ac:dyDescent="0.35"/>
    <row r="1689" customFormat="1" x14ac:dyDescent="0.35"/>
    <row r="1690" customFormat="1" x14ac:dyDescent="0.35"/>
    <row r="1691" customFormat="1" x14ac:dyDescent="0.35"/>
    <row r="1692" customFormat="1" x14ac:dyDescent="0.35"/>
    <row r="1693" customFormat="1" x14ac:dyDescent="0.35"/>
    <row r="1694" customFormat="1" x14ac:dyDescent="0.35"/>
    <row r="1695" customFormat="1" x14ac:dyDescent="0.35"/>
    <row r="1696" customFormat="1" x14ac:dyDescent="0.35"/>
    <row r="1697" customFormat="1" x14ac:dyDescent="0.35"/>
    <row r="1698" customFormat="1" x14ac:dyDescent="0.35"/>
    <row r="1699" customFormat="1" x14ac:dyDescent="0.35"/>
    <row r="1700" customFormat="1" x14ac:dyDescent="0.35"/>
    <row r="1701" customFormat="1" x14ac:dyDescent="0.35"/>
    <row r="1702" customFormat="1" x14ac:dyDescent="0.35"/>
    <row r="1703" customFormat="1" x14ac:dyDescent="0.35"/>
    <row r="1704" customFormat="1" x14ac:dyDescent="0.35"/>
    <row r="1705" customFormat="1" x14ac:dyDescent="0.35"/>
    <row r="1706" customFormat="1" x14ac:dyDescent="0.35"/>
    <row r="1707" customFormat="1" x14ac:dyDescent="0.35"/>
    <row r="1708" customFormat="1" x14ac:dyDescent="0.35"/>
    <row r="1709" customFormat="1" x14ac:dyDescent="0.35"/>
    <row r="1710" customFormat="1" x14ac:dyDescent="0.35"/>
    <row r="1711" customFormat="1" x14ac:dyDescent="0.35"/>
    <row r="1712" customFormat="1" x14ac:dyDescent="0.35"/>
    <row r="1713" customFormat="1" x14ac:dyDescent="0.35"/>
    <row r="1714" customFormat="1" x14ac:dyDescent="0.35"/>
    <row r="1715" customFormat="1" x14ac:dyDescent="0.35"/>
    <row r="1716" customFormat="1" x14ac:dyDescent="0.35"/>
    <row r="1717" customFormat="1" x14ac:dyDescent="0.35"/>
    <row r="1718" customFormat="1" x14ac:dyDescent="0.35"/>
    <row r="1719" customFormat="1" x14ac:dyDescent="0.35"/>
    <row r="1720" customFormat="1" x14ac:dyDescent="0.35"/>
    <row r="1721" customFormat="1" x14ac:dyDescent="0.35"/>
    <row r="1722" customFormat="1" x14ac:dyDescent="0.35"/>
    <row r="1723" customFormat="1" x14ac:dyDescent="0.35"/>
    <row r="1724" customFormat="1" x14ac:dyDescent="0.35"/>
    <row r="1725" customFormat="1" x14ac:dyDescent="0.35"/>
    <row r="1726" customFormat="1" x14ac:dyDescent="0.35"/>
    <row r="1727" customFormat="1" x14ac:dyDescent="0.35"/>
    <row r="1728" customFormat="1" x14ac:dyDescent="0.35"/>
    <row r="1729" customFormat="1" x14ac:dyDescent="0.35"/>
    <row r="1730" customFormat="1" x14ac:dyDescent="0.35"/>
    <row r="1731" customFormat="1" x14ac:dyDescent="0.35"/>
    <row r="1732" customFormat="1" x14ac:dyDescent="0.35"/>
    <row r="1733" customFormat="1" x14ac:dyDescent="0.35"/>
    <row r="1734" customFormat="1" x14ac:dyDescent="0.35"/>
    <row r="1735" customFormat="1" x14ac:dyDescent="0.35"/>
    <row r="1736" customFormat="1" x14ac:dyDescent="0.35"/>
    <row r="1737" customFormat="1" x14ac:dyDescent="0.35"/>
    <row r="1738" customFormat="1" x14ac:dyDescent="0.35"/>
    <row r="1739" customFormat="1" x14ac:dyDescent="0.35"/>
    <row r="1740" customFormat="1" x14ac:dyDescent="0.35"/>
    <row r="1741" customFormat="1" x14ac:dyDescent="0.35"/>
    <row r="1742" customFormat="1" x14ac:dyDescent="0.35"/>
    <row r="1743" customFormat="1" x14ac:dyDescent="0.35"/>
    <row r="1744" customFormat="1" x14ac:dyDescent="0.35"/>
    <row r="1745" customFormat="1" x14ac:dyDescent="0.35"/>
    <row r="1746" customFormat="1" x14ac:dyDescent="0.35"/>
    <row r="1747" customFormat="1" x14ac:dyDescent="0.35"/>
    <row r="1748" customFormat="1" x14ac:dyDescent="0.35"/>
    <row r="1749" customFormat="1" x14ac:dyDescent="0.35"/>
    <row r="1750" customFormat="1" x14ac:dyDescent="0.35"/>
    <row r="1751" customFormat="1" x14ac:dyDescent="0.35"/>
    <row r="1752" customFormat="1" x14ac:dyDescent="0.35"/>
    <row r="1753" customFormat="1" x14ac:dyDescent="0.35"/>
    <row r="1754" customFormat="1" x14ac:dyDescent="0.35"/>
    <row r="1755" customFormat="1" x14ac:dyDescent="0.35"/>
    <row r="1756" customFormat="1" x14ac:dyDescent="0.35"/>
    <row r="1757" customFormat="1" x14ac:dyDescent="0.35"/>
    <row r="1758" customFormat="1" x14ac:dyDescent="0.35"/>
    <row r="1759" customFormat="1" x14ac:dyDescent="0.35"/>
    <row r="1760" customFormat="1" x14ac:dyDescent="0.35"/>
    <row r="1761" customFormat="1" x14ac:dyDescent="0.35"/>
    <row r="1762" customFormat="1" x14ac:dyDescent="0.35"/>
    <row r="1763" customFormat="1" x14ac:dyDescent="0.35"/>
    <row r="1764" customFormat="1" x14ac:dyDescent="0.35"/>
    <row r="1765" customFormat="1" x14ac:dyDescent="0.35"/>
    <row r="1766" customFormat="1" x14ac:dyDescent="0.35"/>
    <row r="1767" customFormat="1" x14ac:dyDescent="0.35"/>
    <row r="1768" customFormat="1" x14ac:dyDescent="0.35"/>
    <row r="1769" customFormat="1" x14ac:dyDescent="0.35"/>
    <row r="1770" customFormat="1" x14ac:dyDescent="0.35"/>
    <row r="1771" customFormat="1" x14ac:dyDescent="0.35"/>
    <row r="1772" customFormat="1" x14ac:dyDescent="0.35"/>
    <row r="1773" customFormat="1" x14ac:dyDescent="0.35"/>
    <row r="1774" customFormat="1" x14ac:dyDescent="0.35"/>
    <row r="1775" customFormat="1" x14ac:dyDescent="0.35"/>
    <row r="1776" customFormat="1" x14ac:dyDescent="0.35"/>
    <row r="1777" customFormat="1" x14ac:dyDescent="0.35"/>
    <row r="1778" customFormat="1" x14ac:dyDescent="0.35"/>
    <row r="1779" customFormat="1" x14ac:dyDescent="0.35"/>
    <row r="1780" customFormat="1" x14ac:dyDescent="0.35"/>
    <row r="1781" customFormat="1" x14ac:dyDescent="0.35"/>
    <row r="1782" customFormat="1" x14ac:dyDescent="0.35"/>
    <row r="1783" customFormat="1" x14ac:dyDescent="0.35"/>
    <row r="1784" customFormat="1" x14ac:dyDescent="0.35"/>
    <row r="1785" customFormat="1" x14ac:dyDescent="0.35"/>
    <row r="1786" customFormat="1" x14ac:dyDescent="0.35"/>
    <row r="1787" customFormat="1" x14ac:dyDescent="0.35"/>
    <row r="1788" customFormat="1" x14ac:dyDescent="0.35"/>
    <row r="1789" customFormat="1" x14ac:dyDescent="0.35"/>
    <row r="1790" customFormat="1" x14ac:dyDescent="0.35"/>
    <row r="1791" customFormat="1" x14ac:dyDescent="0.35"/>
    <row r="1792" customFormat="1" x14ac:dyDescent="0.35"/>
    <row r="1793" customFormat="1" x14ac:dyDescent="0.35"/>
    <row r="1794" customFormat="1" x14ac:dyDescent="0.35"/>
    <row r="1795" customFormat="1" x14ac:dyDescent="0.35"/>
    <row r="1796" customFormat="1" x14ac:dyDescent="0.35"/>
    <row r="1797" customFormat="1" x14ac:dyDescent="0.35"/>
    <row r="1798" customFormat="1" x14ac:dyDescent="0.35"/>
    <row r="1799" customFormat="1" x14ac:dyDescent="0.35"/>
    <row r="1800" customFormat="1" x14ac:dyDescent="0.35"/>
    <row r="1801" customFormat="1" x14ac:dyDescent="0.35"/>
    <row r="1802" customFormat="1" x14ac:dyDescent="0.35"/>
    <row r="1803" customFormat="1" x14ac:dyDescent="0.35"/>
    <row r="1804" customFormat="1" x14ac:dyDescent="0.35"/>
    <row r="1805" customFormat="1" x14ac:dyDescent="0.35"/>
    <row r="1806" customFormat="1" x14ac:dyDescent="0.35"/>
    <row r="1807" customFormat="1" x14ac:dyDescent="0.35"/>
    <row r="1808" customFormat="1" x14ac:dyDescent="0.35"/>
    <row r="1809" customFormat="1" x14ac:dyDescent="0.35"/>
    <row r="1810" customFormat="1" x14ac:dyDescent="0.35"/>
    <row r="1811" customFormat="1" x14ac:dyDescent="0.35"/>
    <row r="1812" customFormat="1" x14ac:dyDescent="0.35"/>
    <row r="1813" customFormat="1" x14ac:dyDescent="0.35"/>
    <row r="1814" customFormat="1" x14ac:dyDescent="0.35"/>
    <row r="1815" customFormat="1" x14ac:dyDescent="0.35"/>
    <row r="1816" customFormat="1" x14ac:dyDescent="0.35"/>
    <row r="1817" customFormat="1" x14ac:dyDescent="0.35"/>
    <row r="1818" customFormat="1" x14ac:dyDescent="0.35"/>
    <row r="1819" customFormat="1" x14ac:dyDescent="0.35"/>
    <row r="1820" customFormat="1" x14ac:dyDescent="0.35"/>
    <row r="1821" customFormat="1" x14ac:dyDescent="0.35"/>
    <row r="1822" customFormat="1" x14ac:dyDescent="0.35"/>
    <row r="1823" customFormat="1" x14ac:dyDescent="0.35"/>
    <row r="1824" customFormat="1" x14ac:dyDescent="0.35"/>
    <row r="1825" customFormat="1" x14ac:dyDescent="0.35"/>
    <row r="1826" customFormat="1" x14ac:dyDescent="0.35"/>
    <row r="1827" customFormat="1" x14ac:dyDescent="0.35"/>
    <row r="1828" customFormat="1" x14ac:dyDescent="0.35"/>
    <row r="1829" customFormat="1" x14ac:dyDescent="0.35"/>
    <row r="1830" customFormat="1" x14ac:dyDescent="0.35"/>
    <row r="1831" customFormat="1" x14ac:dyDescent="0.35"/>
    <row r="1832" customFormat="1" x14ac:dyDescent="0.35"/>
    <row r="1833" customFormat="1" x14ac:dyDescent="0.35"/>
    <row r="1834" customFormat="1" x14ac:dyDescent="0.35"/>
    <row r="1835" customFormat="1" x14ac:dyDescent="0.35"/>
    <row r="1836" customFormat="1" x14ac:dyDescent="0.35"/>
    <row r="1837" customFormat="1" x14ac:dyDescent="0.35"/>
    <row r="1838" customFormat="1" x14ac:dyDescent="0.35"/>
    <row r="1839" customFormat="1" x14ac:dyDescent="0.35"/>
    <row r="1840" customFormat="1" x14ac:dyDescent="0.35"/>
    <row r="1841" customFormat="1" x14ac:dyDescent="0.35"/>
    <row r="1842" customFormat="1" x14ac:dyDescent="0.35"/>
    <row r="1843" customFormat="1" x14ac:dyDescent="0.35"/>
    <row r="1844" customFormat="1" x14ac:dyDescent="0.35"/>
    <row r="1845" customFormat="1" x14ac:dyDescent="0.35"/>
    <row r="1846" customFormat="1" x14ac:dyDescent="0.35"/>
    <row r="1847" customFormat="1" x14ac:dyDescent="0.35"/>
    <row r="1848" customFormat="1" x14ac:dyDescent="0.35"/>
    <row r="1849" customFormat="1" x14ac:dyDescent="0.35"/>
    <row r="1850" customFormat="1" x14ac:dyDescent="0.35"/>
    <row r="1851" customFormat="1" x14ac:dyDescent="0.35"/>
    <row r="1852" customFormat="1" x14ac:dyDescent="0.35"/>
    <row r="1853" customFormat="1" x14ac:dyDescent="0.35"/>
    <row r="1854" customFormat="1" x14ac:dyDescent="0.35"/>
    <row r="1855" customFormat="1" x14ac:dyDescent="0.35"/>
    <row r="1856" customFormat="1" x14ac:dyDescent="0.35"/>
    <row r="1857" customFormat="1" x14ac:dyDescent="0.35"/>
    <row r="1858" customFormat="1" x14ac:dyDescent="0.35"/>
    <row r="1859" customFormat="1" x14ac:dyDescent="0.35"/>
    <row r="1860" customFormat="1" x14ac:dyDescent="0.35"/>
    <row r="1861" customFormat="1" x14ac:dyDescent="0.35"/>
    <row r="1862" customFormat="1" x14ac:dyDescent="0.35"/>
    <row r="1863" customFormat="1" x14ac:dyDescent="0.35"/>
    <row r="1864" customFormat="1" x14ac:dyDescent="0.35"/>
    <row r="1865" customFormat="1" x14ac:dyDescent="0.35"/>
    <row r="1866" customFormat="1" x14ac:dyDescent="0.35"/>
    <row r="1867" customFormat="1" x14ac:dyDescent="0.35"/>
    <row r="1868" customFormat="1" x14ac:dyDescent="0.35"/>
    <row r="1869" customFormat="1" x14ac:dyDescent="0.35"/>
    <row r="1870" customFormat="1" x14ac:dyDescent="0.35"/>
    <row r="1871" customFormat="1" x14ac:dyDescent="0.35"/>
    <row r="1872" customFormat="1" x14ac:dyDescent="0.35"/>
    <row r="1873" customFormat="1" x14ac:dyDescent="0.35"/>
    <row r="1874" customFormat="1" x14ac:dyDescent="0.35"/>
    <row r="1875" customFormat="1" x14ac:dyDescent="0.35"/>
    <row r="1876" customFormat="1" x14ac:dyDescent="0.35"/>
    <row r="1877" customFormat="1" x14ac:dyDescent="0.35"/>
    <row r="1878" customFormat="1" x14ac:dyDescent="0.35"/>
    <row r="1879" customFormat="1" x14ac:dyDescent="0.35"/>
    <row r="1880" customFormat="1" x14ac:dyDescent="0.35"/>
    <row r="1881" customFormat="1" x14ac:dyDescent="0.35"/>
    <row r="1882" customFormat="1" x14ac:dyDescent="0.35"/>
    <row r="1883" customFormat="1" x14ac:dyDescent="0.35"/>
    <row r="1884" customFormat="1" x14ac:dyDescent="0.35"/>
    <row r="1885" customFormat="1" x14ac:dyDescent="0.35"/>
    <row r="1886" customFormat="1" x14ac:dyDescent="0.35"/>
    <row r="1887" customFormat="1" x14ac:dyDescent="0.35"/>
    <row r="1888" customFormat="1" x14ac:dyDescent="0.35"/>
    <row r="1889" customFormat="1" x14ac:dyDescent="0.35"/>
    <row r="1890" customFormat="1" x14ac:dyDescent="0.35"/>
    <row r="1891" customFormat="1" x14ac:dyDescent="0.35"/>
    <row r="1892" customFormat="1" x14ac:dyDescent="0.35"/>
    <row r="1893" customFormat="1" x14ac:dyDescent="0.35"/>
    <row r="1894" customFormat="1" x14ac:dyDescent="0.35"/>
    <row r="1895" customFormat="1" x14ac:dyDescent="0.35"/>
    <row r="1896" customFormat="1" x14ac:dyDescent="0.35"/>
    <row r="1897" customFormat="1" x14ac:dyDescent="0.35"/>
    <row r="1898" customFormat="1" x14ac:dyDescent="0.35"/>
    <row r="1899" customFormat="1" x14ac:dyDescent="0.35"/>
    <row r="1900" customFormat="1" x14ac:dyDescent="0.35"/>
    <row r="1901" customFormat="1" x14ac:dyDescent="0.35"/>
    <row r="1902" customFormat="1" x14ac:dyDescent="0.35"/>
    <row r="1903" customFormat="1" x14ac:dyDescent="0.35"/>
    <row r="1904" customFormat="1" x14ac:dyDescent="0.35"/>
    <row r="1905" customFormat="1" x14ac:dyDescent="0.35"/>
    <row r="1906" customFormat="1" x14ac:dyDescent="0.35"/>
    <row r="1907" customFormat="1" x14ac:dyDescent="0.35"/>
    <row r="1908" customFormat="1" x14ac:dyDescent="0.35"/>
    <row r="1909" customFormat="1" x14ac:dyDescent="0.35"/>
    <row r="1910" customFormat="1" x14ac:dyDescent="0.35"/>
    <row r="1911" customFormat="1" x14ac:dyDescent="0.35"/>
    <row r="1912" customFormat="1" x14ac:dyDescent="0.35"/>
    <row r="1913" customFormat="1" x14ac:dyDescent="0.35"/>
    <row r="1914" customFormat="1" x14ac:dyDescent="0.35"/>
    <row r="1915" customFormat="1" x14ac:dyDescent="0.35"/>
    <row r="1916" customFormat="1" x14ac:dyDescent="0.35"/>
    <row r="1917" customFormat="1" x14ac:dyDescent="0.35"/>
    <row r="1918" customFormat="1" x14ac:dyDescent="0.35"/>
    <row r="1919" customFormat="1" x14ac:dyDescent="0.35"/>
    <row r="1920" customFormat="1" x14ac:dyDescent="0.35"/>
    <row r="1921" customFormat="1" x14ac:dyDescent="0.35"/>
    <row r="1922" customFormat="1" x14ac:dyDescent="0.35"/>
    <row r="1923" customFormat="1" x14ac:dyDescent="0.35"/>
    <row r="1924" customFormat="1" x14ac:dyDescent="0.35"/>
    <row r="1925" customFormat="1" x14ac:dyDescent="0.35"/>
    <row r="1926" customFormat="1" x14ac:dyDescent="0.35"/>
    <row r="1927" customFormat="1" x14ac:dyDescent="0.35"/>
    <row r="1928" customFormat="1" x14ac:dyDescent="0.35"/>
    <row r="1929" customFormat="1" x14ac:dyDescent="0.35"/>
    <row r="1930" customFormat="1" x14ac:dyDescent="0.35"/>
    <row r="1931" customFormat="1" x14ac:dyDescent="0.35"/>
    <row r="1932" customFormat="1" x14ac:dyDescent="0.35"/>
    <row r="1933" customFormat="1" x14ac:dyDescent="0.35"/>
    <row r="1934" customFormat="1" x14ac:dyDescent="0.35"/>
    <row r="1935" customFormat="1" x14ac:dyDescent="0.35"/>
    <row r="1936" customFormat="1" x14ac:dyDescent="0.35"/>
    <row r="1937" customFormat="1" x14ac:dyDescent="0.35"/>
    <row r="1938" customFormat="1" x14ac:dyDescent="0.35"/>
    <row r="1939" customFormat="1" x14ac:dyDescent="0.35"/>
    <row r="1940" customFormat="1" x14ac:dyDescent="0.35"/>
    <row r="1941" customFormat="1" x14ac:dyDescent="0.35"/>
    <row r="1942" customFormat="1" x14ac:dyDescent="0.35"/>
    <row r="1943" customFormat="1" x14ac:dyDescent="0.35"/>
    <row r="1944" customFormat="1" x14ac:dyDescent="0.35"/>
    <row r="1945" customFormat="1" x14ac:dyDescent="0.35"/>
    <row r="1946" customFormat="1" x14ac:dyDescent="0.35"/>
    <row r="1947" customFormat="1" x14ac:dyDescent="0.35"/>
    <row r="1948" customFormat="1" x14ac:dyDescent="0.35"/>
    <row r="1949" customFormat="1" x14ac:dyDescent="0.35"/>
    <row r="1950" customFormat="1" x14ac:dyDescent="0.35"/>
    <row r="1951" customFormat="1" x14ac:dyDescent="0.35"/>
    <row r="1952" customFormat="1" x14ac:dyDescent="0.35"/>
    <row r="1953" customFormat="1" x14ac:dyDescent="0.35"/>
    <row r="1954" customFormat="1" x14ac:dyDescent="0.35"/>
    <row r="1955" customFormat="1" x14ac:dyDescent="0.35"/>
    <row r="1956" customFormat="1" x14ac:dyDescent="0.35"/>
    <row r="1957" customFormat="1" x14ac:dyDescent="0.35"/>
    <row r="1958" customFormat="1" x14ac:dyDescent="0.35"/>
    <row r="1959" customFormat="1" x14ac:dyDescent="0.35"/>
    <row r="1960" customFormat="1" x14ac:dyDescent="0.35"/>
    <row r="1961" customFormat="1" x14ac:dyDescent="0.35"/>
    <row r="1962" customFormat="1" x14ac:dyDescent="0.35"/>
    <row r="1963" customFormat="1" x14ac:dyDescent="0.35"/>
    <row r="1964" customFormat="1" x14ac:dyDescent="0.35"/>
    <row r="1965" customFormat="1" x14ac:dyDescent="0.35"/>
    <row r="1966" customFormat="1" x14ac:dyDescent="0.35"/>
    <row r="1967" customFormat="1" x14ac:dyDescent="0.35"/>
    <row r="1968" customFormat="1" x14ac:dyDescent="0.35"/>
    <row r="1969" customFormat="1" x14ac:dyDescent="0.35"/>
    <row r="1970" customFormat="1" x14ac:dyDescent="0.35"/>
    <row r="1971" customFormat="1" x14ac:dyDescent="0.35"/>
    <row r="1972" customFormat="1" x14ac:dyDescent="0.35"/>
    <row r="1973" customFormat="1" x14ac:dyDescent="0.35"/>
    <row r="1974" customFormat="1" x14ac:dyDescent="0.35"/>
    <row r="1975" customFormat="1" x14ac:dyDescent="0.35"/>
    <row r="1976" customFormat="1" x14ac:dyDescent="0.35"/>
    <row r="1977" customFormat="1" x14ac:dyDescent="0.35"/>
    <row r="1978" customFormat="1" x14ac:dyDescent="0.35"/>
    <row r="1979" customFormat="1" x14ac:dyDescent="0.35"/>
    <row r="1980" customFormat="1" x14ac:dyDescent="0.35"/>
    <row r="1981" customFormat="1" x14ac:dyDescent="0.35"/>
    <row r="1982" customFormat="1" x14ac:dyDescent="0.35"/>
    <row r="1983" customFormat="1" x14ac:dyDescent="0.35"/>
    <row r="1984" customFormat="1" x14ac:dyDescent="0.35"/>
    <row r="1985" customFormat="1" x14ac:dyDescent="0.35"/>
    <row r="1986" customFormat="1" x14ac:dyDescent="0.35"/>
    <row r="1987" customFormat="1" x14ac:dyDescent="0.35"/>
    <row r="1988" customFormat="1" x14ac:dyDescent="0.35"/>
    <row r="1989" customFormat="1" x14ac:dyDescent="0.35"/>
    <row r="1990" customFormat="1" x14ac:dyDescent="0.35"/>
    <row r="1991" customFormat="1" x14ac:dyDescent="0.35"/>
    <row r="1992" customFormat="1" x14ac:dyDescent="0.35"/>
    <row r="1993" customFormat="1" x14ac:dyDescent="0.35"/>
    <row r="1994" customFormat="1" x14ac:dyDescent="0.35"/>
    <row r="1995" customFormat="1" x14ac:dyDescent="0.35"/>
    <row r="1996" customFormat="1" x14ac:dyDescent="0.35"/>
    <row r="1997" customFormat="1" x14ac:dyDescent="0.35"/>
    <row r="1998" customFormat="1" x14ac:dyDescent="0.35"/>
    <row r="1999" customFormat="1" x14ac:dyDescent="0.35"/>
    <row r="2000" customFormat="1" x14ac:dyDescent="0.35"/>
    <row r="2001" customFormat="1" x14ac:dyDescent="0.35"/>
    <row r="2002" customFormat="1" x14ac:dyDescent="0.35"/>
    <row r="2003" customFormat="1" x14ac:dyDescent="0.35"/>
    <row r="2004" customFormat="1" x14ac:dyDescent="0.35"/>
    <row r="2005" customFormat="1" x14ac:dyDescent="0.35"/>
    <row r="2006" customFormat="1" x14ac:dyDescent="0.35"/>
    <row r="2007" customFormat="1" x14ac:dyDescent="0.35"/>
    <row r="2008" customFormat="1" x14ac:dyDescent="0.35"/>
    <row r="2009" customFormat="1" x14ac:dyDescent="0.35"/>
    <row r="2010" customFormat="1" x14ac:dyDescent="0.35"/>
    <row r="2011" customFormat="1" x14ac:dyDescent="0.35"/>
    <row r="2012" customFormat="1" x14ac:dyDescent="0.35"/>
    <row r="2013" customFormat="1" x14ac:dyDescent="0.35"/>
    <row r="2014" customFormat="1" x14ac:dyDescent="0.35"/>
    <row r="2015" customFormat="1" x14ac:dyDescent="0.35"/>
    <row r="2016" customFormat="1" x14ac:dyDescent="0.35"/>
    <row r="2017" customFormat="1" x14ac:dyDescent="0.35"/>
    <row r="2018" customFormat="1" x14ac:dyDescent="0.35"/>
    <row r="2019" customFormat="1" x14ac:dyDescent="0.35"/>
    <row r="2020" customFormat="1" x14ac:dyDescent="0.35"/>
    <row r="2021" customFormat="1" x14ac:dyDescent="0.35"/>
    <row r="2022" customFormat="1" x14ac:dyDescent="0.35"/>
    <row r="2023" customFormat="1" x14ac:dyDescent="0.35"/>
    <row r="2024" customFormat="1" x14ac:dyDescent="0.35"/>
    <row r="2025" customFormat="1" x14ac:dyDescent="0.35"/>
    <row r="2026" customFormat="1" x14ac:dyDescent="0.35"/>
    <row r="2027" customFormat="1" x14ac:dyDescent="0.35"/>
    <row r="2028" customFormat="1" x14ac:dyDescent="0.35"/>
    <row r="2029" customFormat="1" x14ac:dyDescent="0.35"/>
    <row r="2030" customFormat="1" x14ac:dyDescent="0.35"/>
    <row r="2031" customFormat="1" x14ac:dyDescent="0.35"/>
    <row r="2032" customFormat="1" x14ac:dyDescent="0.35"/>
    <row r="2033" customFormat="1" x14ac:dyDescent="0.35"/>
    <row r="2034" customFormat="1" x14ac:dyDescent="0.35"/>
    <row r="2035" customFormat="1" x14ac:dyDescent="0.35"/>
    <row r="2036" customFormat="1" x14ac:dyDescent="0.35"/>
    <row r="2037" customFormat="1" x14ac:dyDescent="0.35"/>
    <row r="2038" customFormat="1" x14ac:dyDescent="0.35"/>
    <row r="2039" customFormat="1" x14ac:dyDescent="0.35"/>
    <row r="2040" customFormat="1" x14ac:dyDescent="0.35"/>
    <row r="2041" customFormat="1" x14ac:dyDescent="0.35"/>
    <row r="2042" customFormat="1" x14ac:dyDescent="0.35"/>
    <row r="2043" customFormat="1" x14ac:dyDescent="0.35"/>
    <row r="2044" customFormat="1" x14ac:dyDescent="0.35"/>
    <row r="2045" customFormat="1" x14ac:dyDescent="0.35"/>
    <row r="2046" customFormat="1" x14ac:dyDescent="0.35"/>
    <row r="2047" customFormat="1" x14ac:dyDescent="0.35"/>
    <row r="2048" customFormat="1" x14ac:dyDescent="0.35"/>
    <row r="2049" customFormat="1" x14ac:dyDescent="0.35"/>
    <row r="2050" customFormat="1" x14ac:dyDescent="0.35"/>
    <row r="2051" customFormat="1" x14ac:dyDescent="0.35"/>
    <row r="2052" customFormat="1" x14ac:dyDescent="0.35"/>
    <row r="2053" customFormat="1" x14ac:dyDescent="0.35"/>
    <row r="2054" customFormat="1" x14ac:dyDescent="0.35"/>
    <row r="2055" customFormat="1" x14ac:dyDescent="0.35"/>
    <row r="2056" customFormat="1" x14ac:dyDescent="0.35"/>
    <row r="2057" customFormat="1" x14ac:dyDescent="0.35"/>
    <row r="2058" customFormat="1" x14ac:dyDescent="0.35"/>
    <row r="2059" customFormat="1" x14ac:dyDescent="0.35"/>
    <row r="2060" customFormat="1" x14ac:dyDescent="0.35"/>
    <row r="2061" customFormat="1" x14ac:dyDescent="0.35"/>
    <row r="2062" customFormat="1" x14ac:dyDescent="0.35"/>
    <row r="2063" customFormat="1" x14ac:dyDescent="0.35"/>
    <row r="2064" customFormat="1" x14ac:dyDescent="0.35"/>
    <row r="2065" customFormat="1" x14ac:dyDescent="0.35"/>
    <row r="2066" customFormat="1" x14ac:dyDescent="0.35"/>
    <row r="2067" customFormat="1" x14ac:dyDescent="0.35"/>
    <row r="2068" customFormat="1" x14ac:dyDescent="0.35"/>
    <row r="2069" customFormat="1" x14ac:dyDescent="0.35"/>
    <row r="2070" customFormat="1" x14ac:dyDescent="0.35"/>
    <row r="2071" customFormat="1" x14ac:dyDescent="0.35"/>
    <row r="2072" customFormat="1" x14ac:dyDescent="0.35"/>
    <row r="2073" customFormat="1" x14ac:dyDescent="0.35"/>
    <row r="2074" customFormat="1" x14ac:dyDescent="0.35"/>
    <row r="2075" customFormat="1" x14ac:dyDescent="0.35"/>
    <row r="2076" customFormat="1" x14ac:dyDescent="0.35"/>
    <row r="2077" customFormat="1" x14ac:dyDescent="0.35"/>
    <row r="2078" customFormat="1" x14ac:dyDescent="0.35"/>
    <row r="2079" customFormat="1" x14ac:dyDescent="0.35"/>
    <row r="2080" customFormat="1" x14ac:dyDescent="0.35"/>
    <row r="2081" customFormat="1" x14ac:dyDescent="0.35"/>
    <row r="2082" customFormat="1" x14ac:dyDescent="0.35"/>
    <row r="2083" customFormat="1" x14ac:dyDescent="0.35"/>
    <row r="2084" customFormat="1" x14ac:dyDescent="0.35"/>
    <row r="2085" customFormat="1" x14ac:dyDescent="0.35"/>
    <row r="2086" customFormat="1" x14ac:dyDescent="0.35"/>
    <row r="2087" customFormat="1" x14ac:dyDescent="0.35"/>
    <row r="2088" customFormat="1" x14ac:dyDescent="0.35"/>
    <row r="2089" customFormat="1" x14ac:dyDescent="0.35"/>
    <row r="2090" customFormat="1" x14ac:dyDescent="0.35"/>
    <row r="2091" customFormat="1" x14ac:dyDescent="0.35"/>
    <row r="2092" customFormat="1" x14ac:dyDescent="0.35"/>
    <row r="2093" customFormat="1" x14ac:dyDescent="0.35"/>
    <row r="2094" customFormat="1" x14ac:dyDescent="0.35"/>
    <row r="2095" customFormat="1" x14ac:dyDescent="0.35"/>
    <row r="2096" customFormat="1" x14ac:dyDescent="0.35"/>
    <row r="2097" customFormat="1" x14ac:dyDescent="0.35"/>
    <row r="2098" customFormat="1" x14ac:dyDescent="0.35"/>
    <row r="2099" customFormat="1" x14ac:dyDescent="0.35"/>
    <row r="2100" customFormat="1" x14ac:dyDescent="0.35"/>
    <row r="2101" customFormat="1" x14ac:dyDescent="0.35"/>
    <row r="2102" customFormat="1" x14ac:dyDescent="0.35"/>
    <row r="2103" customFormat="1" x14ac:dyDescent="0.35"/>
    <row r="2104" customFormat="1" x14ac:dyDescent="0.35"/>
    <row r="2105" customFormat="1" x14ac:dyDescent="0.35"/>
    <row r="2106" customFormat="1" x14ac:dyDescent="0.35"/>
    <row r="2107" customFormat="1" x14ac:dyDescent="0.35"/>
    <row r="2108" customFormat="1" x14ac:dyDescent="0.35"/>
    <row r="2109" customFormat="1" x14ac:dyDescent="0.35"/>
    <row r="2110" customFormat="1" x14ac:dyDescent="0.35"/>
    <row r="2111" customFormat="1" x14ac:dyDescent="0.35"/>
    <row r="2112" customFormat="1" x14ac:dyDescent="0.35"/>
    <row r="2113" customFormat="1" x14ac:dyDescent="0.35"/>
    <row r="2114" customFormat="1" x14ac:dyDescent="0.35"/>
    <row r="2115" customFormat="1" x14ac:dyDescent="0.35"/>
    <row r="2116" customFormat="1" x14ac:dyDescent="0.35"/>
    <row r="2117" customFormat="1" x14ac:dyDescent="0.35"/>
    <row r="2118" customFormat="1" x14ac:dyDescent="0.35"/>
    <row r="2119" customFormat="1" x14ac:dyDescent="0.35"/>
    <row r="2120" customFormat="1" x14ac:dyDescent="0.35"/>
    <row r="2121" customFormat="1" x14ac:dyDescent="0.35"/>
    <row r="2122" customFormat="1" x14ac:dyDescent="0.35"/>
    <row r="2123" customFormat="1" x14ac:dyDescent="0.35"/>
    <row r="2124" customFormat="1" x14ac:dyDescent="0.35"/>
    <row r="2125" customFormat="1" x14ac:dyDescent="0.35"/>
    <row r="2126" customFormat="1" x14ac:dyDescent="0.35"/>
    <row r="2127" customFormat="1" x14ac:dyDescent="0.35"/>
    <row r="2128" customFormat="1" x14ac:dyDescent="0.35"/>
    <row r="2129" customFormat="1" x14ac:dyDescent="0.35"/>
    <row r="2130" customFormat="1" x14ac:dyDescent="0.35"/>
    <row r="2131" customFormat="1" x14ac:dyDescent="0.35"/>
    <row r="2132" customFormat="1" x14ac:dyDescent="0.35"/>
    <row r="2133" customFormat="1" x14ac:dyDescent="0.35"/>
    <row r="2134" customFormat="1" x14ac:dyDescent="0.35"/>
    <row r="2135" customFormat="1" x14ac:dyDescent="0.35"/>
    <row r="2136" customFormat="1" x14ac:dyDescent="0.35"/>
    <row r="2137" customFormat="1" x14ac:dyDescent="0.35"/>
    <row r="2138" customFormat="1" x14ac:dyDescent="0.35"/>
    <row r="2139" customFormat="1" x14ac:dyDescent="0.35"/>
    <row r="2140" customFormat="1" x14ac:dyDescent="0.35"/>
    <row r="2141" customFormat="1" x14ac:dyDescent="0.35"/>
    <row r="2142" customFormat="1" x14ac:dyDescent="0.35"/>
    <row r="2143" customFormat="1" x14ac:dyDescent="0.35"/>
    <row r="2144" customFormat="1" x14ac:dyDescent="0.35"/>
    <row r="2145" customFormat="1" x14ac:dyDescent="0.35"/>
    <row r="2146" customFormat="1" x14ac:dyDescent="0.35"/>
    <row r="2147" customFormat="1" x14ac:dyDescent="0.35"/>
    <row r="2148" customFormat="1" x14ac:dyDescent="0.35"/>
    <row r="2149" customFormat="1" x14ac:dyDescent="0.35"/>
    <row r="2150" customFormat="1" x14ac:dyDescent="0.35"/>
    <row r="2151" customFormat="1" x14ac:dyDescent="0.35"/>
    <row r="2152" customFormat="1" x14ac:dyDescent="0.35"/>
    <row r="2153" customFormat="1" x14ac:dyDescent="0.35"/>
    <row r="2154" customFormat="1" x14ac:dyDescent="0.35"/>
    <row r="2155" customFormat="1" x14ac:dyDescent="0.35"/>
    <row r="2156" customFormat="1" x14ac:dyDescent="0.35"/>
    <row r="2157" customFormat="1" x14ac:dyDescent="0.35"/>
    <row r="2158" customFormat="1" x14ac:dyDescent="0.35"/>
    <row r="2159" customFormat="1" x14ac:dyDescent="0.35"/>
    <row r="2160" customFormat="1" x14ac:dyDescent="0.35"/>
    <row r="2161" customFormat="1" x14ac:dyDescent="0.35"/>
    <row r="2162" customFormat="1" x14ac:dyDescent="0.35"/>
    <row r="2163" customFormat="1" x14ac:dyDescent="0.35"/>
    <row r="2164" customFormat="1" x14ac:dyDescent="0.35"/>
    <row r="2165" customFormat="1" x14ac:dyDescent="0.35"/>
    <row r="2166" customFormat="1" x14ac:dyDescent="0.35"/>
    <row r="2167" customFormat="1" x14ac:dyDescent="0.35"/>
    <row r="2168" customFormat="1" x14ac:dyDescent="0.35"/>
    <row r="2169" customFormat="1" x14ac:dyDescent="0.35"/>
    <row r="2170" customFormat="1" x14ac:dyDescent="0.35"/>
    <row r="2171" customFormat="1" x14ac:dyDescent="0.35"/>
    <row r="2172" customFormat="1" x14ac:dyDescent="0.35"/>
    <row r="2173" customFormat="1" x14ac:dyDescent="0.35"/>
    <row r="2174" customFormat="1" x14ac:dyDescent="0.35"/>
    <row r="2175" customFormat="1" x14ac:dyDescent="0.35"/>
    <row r="2176" customFormat="1" x14ac:dyDescent="0.35"/>
    <row r="2177" customFormat="1" x14ac:dyDescent="0.35"/>
    <row r="2178" customFormat="1" x14ac:dyDescent="0.35"/>
    <row r="2179" customFormat="1" x14ac:dyDescent="0.35"/>
    <row r="2180" customFormat="1" x14ac:dyDescent="0.35"/>
    <row r="2181" customFormat="1" x14ac:dyDescent="0.35"/>
    <row r="2182" customFormat="1" x14ac:dyDescent="0.35"/>
    <row r="2183" customFormat="1" x14ac:dyDescent="0.35"/>
    <row r="2184" customFormat="1" x14ac:dyDescent="0.35"/>
    <row r="2185" customFormat="1" x14ac:dyDescent="0.35"/>
    <row r="2186" customFormat="1" x14ac:dyDescent="0.35"/>
    <row r="2187" customFormat="1" x14ac:dyDescent="0.35"/>
    <row r="2188" customFormat="1" x14ac:dyDescent="0.35"/>
    <row r="2189" customFormat="1" x14ac:dyDescent="0.35"/>
    <row r="2190" customFormat="1" x14ac:dyDescent="0.35"/>
    <row r="2191" customFormat="1" x14ac:dyDescent="0.35"/>
    <row r="2192" customFormat="1" x14ac:dyDescent="0.35"/>
    <row r="2193" customFormat="1" x14ac:dyDescent="0.35"/>
    <row r="2194" customFormat="1" x14ac:dyDescent="0.35"/>
    <row r="2195" customFormat="1" x14ac:dyDescent="0.35"/>
    <row r="2196" customFormat="1" x14ac:dyDescent="0.35"/>
    <row r="2197" customFormat="1" x14ac:dyDescent="0.35"/>
    <row r="2198" customFormat="1" x14ac:dyDescent="0.35"/>
    <row r="2199" customFormat="1" x14ac:dyDescent="0.35"/>
    <row r="2200" customFormat="1" x14ac:dyDescent="0.35"/>
    <row r="2201" customFormat="1" x14ac:dyDescent="0.35"/>
    <row r="2202" customFormat="1" x14ac:dyDescent="0.35"/>
    <row r="2203" customFormat="1" x14ac:dyDescent="0.35"/>
    <row r="2204" customFormat="1" x14ac:dyDescent="0.35"/>
    <row r="2205" customFormat="1" x14ac:dyDescent="0.35"/>
    <row r="2206" customFormat="1" x14ac:dyDescent="0.35"/>
    <row r="2207" customFormat="1" x14ac:dyDescent="0.35"/>
    <row r="2208" customFormat="1" x14ac:dyDescent="0.35"/>
    <row r="2209" customFormat="1" x14ac:dyDescent="0.35"/>
    <row r="2210" customFormat="1" x14ac:dyDescent="0.35"/>
    <row r="2211" customFormat="1" x14ac:dyDescent="0.35"/>
    <row r="2212" customFormat="1" x14ac:dyDescent="0.35"/>
    <row r="2213" customFormat="1" x14ac:dyDescent="0.35"/>
    <row r="2214" customFormat="1" x14ac:dyDescent="0.35"/>
    <row r="2215" customFormat="1" x14ac:dyDescent="0.35"/>
    <row r="2216" customFormat="1" x14ac:dyDescent="0.35"/>
    <row r="2217" customFormat="1" x14ac:dyDescent="0.35"/>
    <row r="2218" customFormat="1" x14ac:dyDescent="0.35"/>
    <row r="2219" customFormat="1" x14ac:dyDescent="0.35"/>
    <row r="2220" customFormat="1" x14ac:dyDescent="0.35"/>
    <row r="2221" customFormat="1" x14ac:dyDescent="0.35"/>
    <row r="2222" customFormat="1" x14ac:dyDescent="0.35"/>
    <row r="2223" customFormat="1" x14ac:dyDescent="0.35"/>
    <row r="2224" customFormat="1" x14ac:dyDescent="0.35"/>
    <row r="2225" customFormat="1" x14ac:dyDescent="0.35"/>
    <row r="2226" customFormat="1" x14ac:dyDescent="0.35"/>
    <row r="2227" customFormat="1" x14ac:dyDescent="0.35"/>
    <row r="2228" customFormat="1" x14ac:dyDescent="0.35"/>
    <row r="2229" customFormat="1" x14ac:dyDescent="0.35"/>
    <row r="2230" customFormat="1" x14ac:dyDescent="0.35"/>
    <row r="2231" customFormat="1" x14ac:dyDescent="0.35"/>
    <row r="2232" customFormat="1" x14ac:dyDescent="0.35"/>
    <row r="2233" customFormat="1" x14ac:dyDescent="0.35"/>
    <row r="2234" customFormat="1" x14ac:dyDescent="0.35"/>
    <row r="2235" customFormat="1" x14ac:dyDescent="0.35"/>
    <row r="2236" customFormat="1" x14ac:dyDescent="0.35"/>
    <row r="2237" customFormat="1" x14ac:dyDescent="0.35"/>
    <row r="2238" customFormat="1" x14ac:dyDescent="0.35"/>
    <row r="2239" customFormat="1" x14ac:dyDescent="0.35"/>
    <row r="2240" customFormat="1" x14ac:dyDescent="0.35"/>
    <row r="2241" customFormat="1" x14ac:dyDescent="0.35"/>
    <row r="2242" customFormat="1" x14ac:dyDescent="0.35"/>
    <row r="2243" customFormat="1" x14ac:dyDescent="0.35"/>
    <row r="2244" customFormat="1" x14ac:dyDescent="0.35"/>
    <row r="2245" customFormat="1" x14ac:dyDescent="0.35"/>
    <row r="2246" customFormat="1" x14ac:dyDescent="0.35"/>
    <row r="2247" customFormat="1" x14ac:dyDescent="0.35"/>
    <row r="2248" customFormat="1" x14ac:dyDescent="0.35"/>
    <row r="2249" customFormat="1" x14ac:dyDescent="0.35"/>
    <row r="2250" customFormat="1" x14ac:dyDescent="0.35"/>
    <row r="2251" customFormat="1" x14ac:dyDescent="0.35"/>
    <row r="2252" customFormat="1" x14ac:dyDescent="0.35"/>
    <row r="2253" customFormat="1" x14ac:dyDescent="0.35"/>
    <row r="2254" customFormat="1" x14ac:dyDescent="0.35"/>
    <row r="2255" customFormat="1" x14ac:dyDescent="0.35"/>
    <row r="2256" customFormat="1" x14ac:dyDescent="0.35"/>
    <row r="2257" customFormat="1" x14ac:dyDescent="0.35"/>
    <row r="2258" customFormat="1" x14ac:dyDescent="0.35"/>
    <row r="2259" customFormat="1" x14ac:dyDescent="0.35"/>
    <row r="2260" customFormat="1" x14ac:dyDescent="0.35"/>
    <row r="2261" customFormat="1" x14ac:dyDescent="0.35"/>
    <row r="2262" customFormat="1" x14ac:dyDescent="0.35"/>
    <row r="2263" customFormat="1" x14ac:dyDescent="0.35"/>
    <row r="2264" customFormat="1" x14ac:dyDescent="0.35"/>
    <row r="2265" customFormat="1" x14ac:dyDescent="0.35"/>
    <row r="2266" customFormat="1" x14ac:dyDescent="0.35"/>
    <row r="2267" customFormat="1" x14ac:dyDescent="0.35"/>
    <row r="2268" customFormat="1" x14ac:dyDescent="0.35"/>
    <row r="2269" customFormat="1" x14ac:dyDescent="0.35"/>
    <row r="2270" customFormat="1" x14ac:dyDescent="0.35"/>
    <row r="2271" customFormat="1" x14ac:dyDescent="0.35"/>
    <row r="2272" customFormat="1" x14ac:dyDescent="0.35"/>
    <row r="2273" customFormat="1" x14ac:dyDescent="0.35"/>
    <row r="2274" customFormat="1" x14ac:dyDescent="0.35"/>
    <row r="2275" customFormat="1" x14ac:dyDescent="0.35"/>
    <row r="2276" customFormat="1" x14ac:dyDescent="0.35"/>
    <row r="2277" customFormat="1" x14ac:dyDescent="0.35"/>
    <row r="2278" customFormat="1" x14ac:dyDescent="0.35"/>
    <row r="2279" customFormat="1" x14ac:dyDescent="0.35"/>
    <row r="2280" customFormat="1" x14ac:dyDescent="0.35"/>
    <row r="2281" customFormat="1" x14ac:dyDescent="0.35"/>
    <row r="2282" customFormat="1" x14ac:dyDescent="0.35"/>
    <row r="2283" customFormat="1" x14ac:dyDescent="0.35"/>
    <row r="2284" customFormat="1" x14ac:dyDescent="0.35"/>
    <row r="2285" customFormat="1" x14ac:dyDescent="0.35"/>
    <row r="2286" customFormat="1" x14ac:dyDescent="0.35"/>
    <row r="2287" customFormat="1" x14ac:dyDescent="0.35"/>
    <row r="2288" customFormat="1" x14ac:dyDescent="0.35"/>
    <row r="2289" customFormat="1" x14ac:dyDescent="0.35"/>
    <row r="2290" customFormat="1" x14ac:dyDescent="0.35"/>
    <row r="2291" customFormat="1" x14ac:dyDescent="0.35"/>
    <row r="2292" customFormat="1" x14ac:dyDescent="0.35"/>
    <row r="2293" customFormat="1" x14ac:dyDescent="0.35"/>
    <row r="2294" customFormat="1" x14ac:dyDescent="0.35"/>
    <row r="2295" customFormat="1" x14ac:dyDescent="0.35"/>
    <row r="2296" customFormat="1" x14ac:dyDescent="0.35"/>
    <row r="2297" customFormat="1" x14ac:dyDescent="0.35"/>
    <row r="2298" customFormat="1" x14ac:dyDescent="0.35"/>
    <row r="2299" customFormat="1" x14ac:dyDescent="0.35"/>
    <row r="2300" customFormat="1" x14ac:dyDescent="0.35"/>
    <row r="2301" customFormat="1" x14ac:dyDescent="0.35"/>
    <row r="2302" customFormat="1" x14ac:dyDescent="0.35"/>
    <row r="2303" customFormat="1" x14ac:dyDescent="0.35"/>
    <row r="2304" customFormat="1" x14ac:dyDescent="0.35"/>
    <row r="2305" customFormat="1" x14ac:dyDescent="0.35"/>
    <row r="2306" customFormat="1" x14ac:dyDescent="0.35"/>
    <row r="2307" customFormat="1" x14ac:dyDescent="0.35"/>
    <row r="2308" customFormat="1" x14ac:dyDescent="0.35"/>
    <row r="2309" customFormat="1" x14ac:dyDescent="0.35"/>
    <row r="2310" customFormat="1" x14ac:dyDescent="0.35"/>
    <row r="2311" customFormat="1" x14ac:dyDescent="0.35"/>
    <row r="2312" customFormat="1" x14ac:dyDescent="0.35"/>
    <row r="2313" customFormat="1" x14ac:dyDescent="0.35"/>
    <row r="2314" customFormat="1" x14ac:dyDescent="0.35"/>
    <row r="2315" customFormat="1" x14ac:dyDescent="0.35"/>
    <row r="2316" customFormat="1" x14ac:dyDescent="0.35"/>
    <row r="2317" customFormat="1" x14ac:dyDescent="0.35"/>
    <row r="2318" customFormat="1" x14ac:dyDescent="0.35"/>
    <row r="2319" customFormat="1" x14ac:dyDescent="0.35"/>
    <row r="2320" customFormat="1" x14ac:dyDescent="0.35"/>
    <row r="2321" customFormat="1" x14ac:dyDescent="0.35"/>
    <row r="2322" customFormat="1" x14ac:dyDescent="0.35"/>
    <row r="2323" customFormat="1" x14ac:dyDescent="0.35"/>
    <row r="2324" customFormat="1" x14ac:dyDescent="0.35"/>
    <row r="2325" customFormat="1" x14ac:dyDescent="0.35"/>
    <row r="2326" customFormat="1" x14ac:dyDescent="0.35"/>
    <row r="2327" customFormat="1" x14ac:dyDescent="0.35"/>
    <row r="2328" customFormat="1" x14ac:dyDescent="0.35"/>
    <row r="2329" customFormat="1" x14ac:dyDescent="0.35"/>
    <row r="2330" customFormat="1" x14ac:dyDescent="0.35"/>
    <row r="2331" customFormat="1" x14ac:dyDescent="0.35"/>
    <row r="2332" customFormat="1" x14ac:dyDescent="0.35"/>
    <row r="2333" customFormat="1" x14ac:dyDescent="0.35"/>
    <row r="2334" customFormat="1" x14ac:dyDescent="0.35"/>
    <row r="2335" customFormat="1" x14ac:dyDescent="0.35"/>
    <row r="2336" customFormat="1" x14ac:dyDescent="0.35"/>
    <row r="2337" customFormat="1" x14ac:dyDescent="0.35"/>
    <row r="2338" customFormat="1" x14ac:dyDescent="0.35"/>
    <row r="2339" customFormat="1" x14ac:dyDescent="0.35"/>
    <row r="2340" customFormat="1" x14ac:dyDescent="0.35"/>
    <row r="2341" customFormat="1" x14ac:dyDescent="0.35"/>
    <row r="2342" customFormat="1" x14ac:dyDescent="0.35"/>
    <row r="2343" customFormat="1" x14ac:dyDescent="0.35"/>
    <row r="2344" customFormat="1" x14ac:dyDescent="0.35"/>
    <row r="2345" customFormat="1" x14ac:dyDescent="0.35"/>
    <row r="2346" customFormat="1" x14ac:dyDescent="0.35"/>
    <row r="2347" customFormat="1" x14ac:dyDescent="0.35"/>
    <row r="2348" customFormat="1" x14ac:dyDescent="0.35"/>
    <row r="2349" customFormat="1" x14ac:dyDescent="0.35"/>
    <row r="2350" customFormat="1" x14ac:dyDescent="0.35"/>
    <row r="2351" customFormat="1" x14ac:dyDescent="0.35"/>
    <row r="2352" customFormat="1" x14ac:dyDescent="0.35"/>
    <row r="2353" customFormat="1" x14ac:dyDescent="0.35"/>
    <row r="2354" customFormat="1" x14ac:dyDescent="0.35"/>
    <row r="2355" customFormat="1" x14ac:dyDescent="0.35"/>
    <row r="2356" customFormat="1" x14ac:dyDescent="0.35"/>
    <row r="2357" customFormat="1" x14ac:dyDescent="0.35"/>
    <row r="2358" customFormat="1" x14ac:dyDescent="0.35"/>
    <row r="2359" customFormat="1" x14ac:dyDescent="0.35"/>
    <row r="2360" customFormat="1" x14ac:dyDescent="0.35"/>
    <row r="2361" customFormat="1" x14ac:dyDescent="0.35"/>
    <row r="2362" customFormat="1" x14ac:dyDescent="0.35"/>
    <row r="2363" customFormat="1" x14ac:dyDescent="0.35"/>
    <row r="2364" customFormat="1" x14ac:dyDescent="0.35"/>
    <row r="2365" customFormat="1" x14ac:dyDescent="0.35"/>
    <row r="2366" customFormat="1" x14ac:dyDescent="0.35"/>
    <row r="2367" customFormat="1" x14ac:dyDescent="0.35"/>
    <row r="2368" customFormat="1" x14ac:dyDescent="0.35"/>
    <row r="2369" customFormat="1" x14ac:dyDescent="0.35"/>
    <row r="2370" customFormat="1" x14ac:dyDescent="0.35"/>
    <row r="2371" customFormat="1" x14ac:dyDescent="0.35"/>
    <row r="2372" customFormat="1" x14ac:dyDescent="0.35"/>
    <row r="2373" customFormat="1" x14ac:dyDescent="0.35"/>
    <row r="2374" customFormat="1" x14ac:dyDescent="0.35"/>
    <row r="2375" customFormat="1" x14ac:dyDescent="0.35"/>
    <row r="2376" customFormat="1" x14ac:dyDescent="0.35"/>
    <row r="2377" customFormat="1" x14ac:dyDescent="0.35"/>
    <row r="2378" customFormat="1" x14ac:dyDescent="0.35"/>
    <row r="2379" customFormat="1" x14ac:dyDescent="0.35"/>
    <row r="2380" customFormat="1" x14ac:dyDescent="0.35"/>
    <row r="2381" customFormat="1" x14ac:dyDescent="0.35"/>
    <row r="2382" customFormat="1" x14ac:dyDescent="0.35"/>
    <row r="2383" customFormat="1" x14ac:dyDescent="0.35"/>
    <row r="2384" customFormat="1" x14ac:dyDescent="0.35"/>
    <row r="2385" customFormat="1" x14ac:dyDescent="0.35"/>
    <row r="2386" customFormat="1" x14ac:dyDescent="0.35"/>
    <row r="2387" customFormat="1" x14ac:dyDescent="0.35"/>
    <row r="2388" customFormat="1" x14ac:dyDescent="0.35"/>
    <row r="2389" customFormat="1" x14ac:dyDescent="0.35"/>
    <row r="2390" customFormat="1" x14ac:dyDescent="0.35"/>
    <row r="2391" customFormat="1" x14ac:dyDescent="0.35"/>
    <row r="2392" customFormat="1" x14ac:dyDescent="0.35"/>
    <row r="2393" customFormat="1" x14ac:dyDescent="0.35"/>
    <row r="2394" customFormat="1" x14ac:dyDescent="0.35"/>
    <row r="2395" customFormat="1" x14ac:dyDescent="0.35"/>
    <row r="2396" customFormat="1" x14ac:dyDescent="0.35"/>
    <row r="2397" customFormat="1" x14ac:dyDescent="0.35"/>
    <row r="2398" customFormat="1" x14ac:dyDescent="0.35"/>
    <row r="2399" customFormat="1" x14ac:dyDescent="0.35"/>
    <row r="2400" customFormat="1" x14ac:dyDescent="0.35"/>
    <row r="2401" customFormat="1" x14ac:dyDescent="0.35"/>
    <row r="2402" customFormat="1" x14ac:dyDescent="0.35"/>
    <row r="2403" customFormat="1" x14ac:dyDescent="0.35"/>
    <row r="2404" customFormat="1" x14ac:dyDescent="0.35"/>
    <row r="2405" customFormat="1" x14ac:dyDescent="0.35"/>
    <row r="2406" customFormat="1" x14ac:dyDescent="0.35"/>
    <row r="2407" customFormat="1" x14ac:dyDescent="0.35"/>
    <row r="2408" customFormat="1" x14ac:dyDescent="0.35"/>
    <row r="2409" customFormat="1" x14ac:dyDescent="0.35"/>
    <row r="2410" customFormat="1" x14ac:dyDescent="0.35"/>
    <row r="2411" customFormat="1" x14ac:dyDescent="0.35"/>
    <row r="2412" customFormat="1" x14ac:dyDescent="0.35"/>
    <row r="2413" customFormat="1" x14ac:dyDescent="0.35"/>
    <row r="2414" customFormat="1" x14ac:dyDescent="0.35"/>
    <row r="2415" customFormat="1" x14ac:dyDescent="0.35"/>
    <row r="2416" customFormat="1" x14ac:dyDescent="0.35"/>
    <row r="2417" customFormat="1" x14ac:dyDescent="0.35"/>
    <row r="2418" customFormat="1" x14ac:dyDescent="0.35"/>
    <row r="2419" customFormat="1" x14ac:dyDescent="0.35"/>
    <row r="2420" customFormat="1" x14ac:dyDescent="0.35"/>
    <row r="2421" customFormat="1" x14ac:dyDescent="0.35"/>
    <row r="2422" customFormat="1" x14ac:dyDescent="0.35"/>
    <row r="2423" customFormat="1" x14ac:dyDescent="0.35"/>
    <row r="2424" customFormat="1" x14ac:dyDescent="0.35"/>
    <row r="2425" customFormat="1" x14ac:dyDescent="0.35"/>
    <row r="2426" customFormat="1" x14ac:dyDescent="0.35"/>
    <row r="2427" customFormat="1" x14ac:dyDescent="0.35"/>
    <row r="2428" customFormat="1" x14ac:dyDescent="0.35"/>
    <row r="2429" customFormat="1" x14ac:dyDescent="0.35"/>
    <row r="2430" customFormat="1" x14ac:dyDescent="0.35"/>
    <row r="2431" customFormat="1" x14ac:dyDescent="0.35"/>
    <row r="2432" customFormat="1" x14ac:dyDescent="0.35"/>
    <row r="2433" customFormat="1" x14ac:dyDescent="0.35"/>
    <row r="2434" customFormat="1" x14ac:dyDescent="0.35"/>
    <row r="2435" customFormat="1" x14ac:dyDescent="0.35"/>
    <row r="2436" customFormat="1" x14ac:dyDescent="0.35"/>
    <row r="2437" customFormat="1" x14ac:dyDescent="0.35"/>
    <row r="2438" customFormat="1" x14ac:dyDescent="0.35"/>
    <row r="2439" customFormat="1" x14ac:dyDescent="0.35"/>
    <row r="2440" customFormat="1" x14ac:dyDescent="0.35"/>
    <row r="2441" customFormat="1" x14ac:dyDescent="0.35"/>
    <row r="2442" customFormat="1" x14ac:dyDescent="0.35"/>
    <row r="2443" customFormat="1" x14ac:dyDescent="0.35"/>
    <row r="2444" customFormat="1" x14ac:dyDescent="0.35"/>
    <row r="2445" customFormat="1" x14ac:dyDescent="0.35"/>
    <row r="2446" customFormat="1" x14ac:dyDescent="0.35"/>
    <row r="2447" customFormat="1" x14ac:dyDescent="0.35"/>
    <row r="2448" customFormat="1" x14ac:dyDescent="0.35"/>
    <row r="2449" customFormat="1" x14ac:dyDescent="0.35"/>
    <row r="2450" customFormat="1" x14ac:dyDescent="0.35"/>
    <row r="2451" customFormat="1" x14ac:dyDescent="0.35"/>
    <row r="2452" customFormat="1" x14ac:dyDescent="0.35"/>
    <row r="2453" customFormat="1" x14ac:dyDescent="0.35"/>
    <row r="2454" customFormat="1" x14ac:dyDescent="0.35"/>
    <row r="2455" customFormat="1" x14ac:dyDescent="0.35"/>
    <row r="2456" customFormat="1" x14ac:dyDescent="0.35"/>
    <row r="2457" customFormat="1" x14ac:dyDescent="0.35"/>
    <row r="2458" customFormat="1" x14ac:dyDescent="0.35"/>
    <row r="2459" customFormat="1" x14ac:dyDescent="0.35"/>
    <row r="2460" customFormat="1" x14ac:dyDescent="0.35"/>
    <row r="2461" customFormat="1" x14ac:dyDescent="0.35"/>
    <row r="2462" customFormat="1" x14ac:dyDescent="0.35"/>
    <row r="2463" customFormat="1" x14ac:dyDescent="0.35"/>
    <row r="2464" customFormat="1" x14ac:dyDescent="0.35"/>
    <row r="2465" customFormat="1" x14ac:dyDescent="0.35"/>
    <row r="2466" customFormat="1" x14ac:dyDescent="0.35"/>
    <row r="2467" customFormat="1" x14ac:dyDescent="0.35"/>
    <row r="2468" customFormat="1" x14ac:dyDescent="0.35"/>
    <row r="2469" customFormat="1" x14ac:dyDescent="0.35"/>
    <row r="2470" customFormat="1" x14ac:dyDescent="0.35"/>
    <row r="2471" customFormat="1" x14ac:dyDescent="0.35"/>
    <row r="2472" customFormat="1" x14ac:dyDescent="0.35"/>
    <row r="2473" customFormat="1" x14ac:dyDescent="0.35"/>
    <row r="2474" customFormat="1" x14ac:dyDescent="0.35"/>
    <row r="2475" customFormat="1" x14ac:dyDescent="0.3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9"/>
  </sheetPr>
  <dimension ref="A1:CE709"/>
  <sheetViews>
    <sheetView zoomScale="80" zoomScaleNormal="80" workbookViewId="0"/>
  </sheetViews>
  <sheetFormatPr defaultColWidth="8.90625" defaultRowHeight="14.5" outlineLevelCol="1" x14ac:dyDescent="0.35"/>
  <cols>
    <col min="1" max="1" width="40.1796875" bestFit="1" customWidth="1"/>
    <col min="2" max="2" width="14.90625" customWidth="1"/>
    <col min="3" max="3" width="18.453125" customWidth="1"/>
    <col min="4" max="4" width="18" customWidth="1"/>
    <col min="5" max="5" width="15.81640625" customWidth="1"/>
    <col min="6" max="6" width="11.1796875" customWidth="1"/>
    <col min="7" max="7" width="9.453125" bestFit="1" customWidth="1"/>
    <col min="8" max="8" width="13.1796875" customWidth="1"/>
    <col min="9" max="9" width="16.1796875" customWidth="1"/>
    <col min="10" max="10" width="13.81640625" customWidth="1"/>
    <col min="11" max="11" width="14.453125" customWidth="1"/>
    <col min="13" max="13" width="15.81640625" customWidth="1"/>
    <col min="14" max="14" width="14.1796875" customWidth="1"/>
    <col min="15" max="15" width="19" customWidth="1"/>
    <col min="16" max="16" width="17.81640625" customWidth="1"/>
    <col min="17" max="17" width="22.1796875" customWidth="1"/>
    <col min="18" max="18" width="11" customWidth="1"/>
    <col min="19" max="19" width="13.453125" customWidth="1"/>
    <col min="20" max="20" width="12.54296875" customWidth="1"/>
    <col min="21" max="21" width="14.1796875" customWidth="1"/>
    <col min="22" max="22" width="14.81640625" customWidth="1"/>
    <col min="23" max="23" width="16" customWidth="1"/>
    <col min="24" max="24" width="15" customWidth="1"/>
    <col min="25" max="25" width="12.1796875" customWidth="1"/>
    <col min="26" max="26" width="10.1796875" customWidth="1"/>
    <col min="27" max="27" width="13" customWidth="1"/>
    <col min="28" max="28" width="17.1796875" customWidth="1"/>
    <col min="29" max="29" width="28.1796875" customWidth="1"/>
    <col min="30" max="30" width="19.1796875" customWidth="1"/>
    <col min="31" max="31" width="30.1796875" customWidth="1"/>
    <col min="32" max="32" width="21.1796875" customWidth="1"/>
    <col min="33" max="33" width="18.81640625" hidden="1" customWidth="1" outlineLevel="1"/>
    <col min="34" max="34" width="31" hidden="1" customWidth="1" outlineLevel="1"/>
    <col min="35" max="35" width="33.54296875" hidden="1" customWidth="1" outlineLevel="1"/>
    <col min="36" max="36" width="24.1796875" hidden="1" customWidth="1" outlineLevel="1"/>
    <col min="37" max="37" width="26.1796875" hidden="1" customWidth="1" outlineLevel="1"/>
    <col min="38" max="38" width="29.453125" hidden="1" customWidth="1" outlineLevel="1"/>
    <col min="39" max="39" width="31.54296875" hidden="1" customWidth="1" outlineLevel="1"/>
    <col min="40" max="40" width="26.1796875" hidden="1" customWidth="1" outlineLevel="1"/>
    <col min="41" max="41" width="26.81640625" hidden="1" customWidth="1" outlineLevel="1"/>
    <col min="42" max="42" width="29.81640625" hidden="1" customWidth="1" outlineLevel="1"/>
    <col min="43" max="43" width="32.1796875" hidden="1" customWidth="1" outlineLevel="1"/>
    <col min="44" max="44" width="26.81640625" hidden="1" customWidth="1" outlineLevel="1"/>
    <col min="45" max="45" width="29.1796875" hidden="1" customWidth="1" outlineLevel="1"/>
    <col min="46" max="46" width="32.453125" hidden="1" customWidth="1" outlineLevel="1"/>
    <col min="47" max="47" width="34.54296875" hidden="1" customWidth="1" outlineLevel="1"/>
    <col min="48" max="48" width="29.453125" hidden="1" customWidth="1" outlineLevel="1"/>
    <col min="49" max="49" width="33.453125" hidden="1" customWidth="1" outlineLevel="1"/>
    <col min="50" max="50" width="35.54296875" hidden="1" customWidth="1" outlineLevel="1"/>
    <col min="51" max="51" width="30.1796875" hidden="1" customWidth="1" outlineLevel="1"/>
    <col min="52" max="52" width="32.1796875" hidden="1" customWidth="1" outlineLevel="1"/>
    <col min="53" max="53" width="35.453125" hidden="1" customWidth="1" outlineLevel="1"/>
    <col min="54" max="54" width="37.54296875" hidden="1" customWidth="1" outlineLevel="1"/>
    <col min="55" max="55" width="32.1796875" hidden="1" customWidth="1" outlineLevel="1"/>
    <col min="56" max="56" width="22.453125" hidden="1" customWidth="1" outlineLevel="1"/>
    <col min="57" max="57" width="34.1796875" hidden="1" customWidth="1" outlineLevel="1"/>
    <col min="58" max="58" width="36.1796875" hidden="1" customWidth="1" outlineLevel="1"/>
    <col min="59" max="59" width="27.54296875" hidden="1" customWidth="1" outlineLevel="1"/>
    <col min="60" max="60" width="17.453125" customWidth="1" collapsed="1"/>
    <col min="61" max="61" width="12" customWidth="1"/>
    <col min="62" max="62" width="19.1796875" customWidth="1"/>
    <col min="63" max="63" width="12.81640625" hidden="1" customWidth="1" outlineLevel="1"/>
    <col min="64" max="64" width="10.81640625" hidden="1" customWidth="1" outlineLevel="1"/>
    <col min="65" max="65" width="21.453125" hidden="1" customWidth="1" outlineLevel="1"/>
    <col min="66" max="66" width="19.1796875" hidden="1" customWidth="1" outlineLevel="1"/>
    <col min="67" max="67" width="24" bestFit="1" customWidth="1" collapsed="1"/>
    <col min="68" max="68" width="34.453125" bestFit="1" customWidth="1"/>
    <col min="69" max="69" width="36.54296875" bestFit="1" customWidth="1"/>
    <col min="70" max="70" width="27.36328125" bestFit="1" customWidth="1"/>
    <col min="71" max="71" width="15.81640625" bestFit="1" customWidth="1"/>
    <col min="72" max="72" width="25.81640625" bestFit="1" customWidth="1"/>
    <col min="73" max="73" width="10.1796875" bestFit="1" customWidth="1"/>
    <col min="82" max="82" width="12.36328125" bestFit="1" customWidth="1"/>
  </cols>
  <sheetData>
    <row r="1" spans="1:83" x14ac:dyDescent="0.35">
      <c r="A1" t="s">
        <v>1179</v>
      </c>
      <c r="B1" t="s">
        <v>1180</v>
      </c>
    </row>
    <row r="2" spans="1:83" x14ac:dyDescent="0.35">
      <c r="A2" t="s">
        <v>0</v>
      </c>
      <c r="B2" t="s">
        <v>1</v>
      </c>
      <c r="C2" t="s">
        <v>256</v>
      </c>
      <c r="D2" t="s">
        <v>2</v>
      </c>
      <c r="E2" t="s">
        <v>3</v>
      </c>
      <c r="F2" t="s">
        <v>4</v>
      </c>
      <c r="G2" s="60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s="1" t="s">
        <v>26</v>
      </c>
      <c r="AC2" s="1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266</v>
      </c>
      <c r="AP2" t="s">
        <v>267</v>
      </c>
      <c r="AQ2" t="s">
        <v>268</v>
      </c>
      <c r="AR2" t="s">
        <v>269</v>
      </c>
      <c r="AS2" t="s">
        <v>270</v>
      </c>
      <c r="AT2" t="s">
        <v>271</v>
      </c>
      <c r="AU2" t="s">
        <v>272</v>
      </c>
      <c r="AV2" t="s">
        <v>273</v>
      </c>
      <c r="AW2" t="s">
        <v>39</v>
      </c>
      <c r="AX2" t="s">
        <v>40</v>
      </c>
      <c r="AY2" t="s">
        <v>41</v>
      </c>
      <c r="AZ2" t="s">
        <v>42</v>
      </c>
      <c r="BA2" t="s">
        <v>43</v>
      </c>
      <c r="BB2" t="s">
        <v>44</v>
      </c>
      <c r="BC2" t="s">
        <v>45</v>
      </c>
      <c r="BD2" t="s">
        <v>46</v>
      </c>
      <c r="BE2" t="s">
        <v>47</v>
      </c>
      <c r="BF2" t="s">
        <v>48</v>
      </c>
      <c r="BG2" t="s">
        <v>49</v>
      </c>
      <c r="BH2" t="s">
        <v>274</v>
      </c>
      <c r="BI2" t="s">
        <v>275</v>
      </c>
      <c r="BJ2" t="s">
        <v>276</v>
      </c>
      <c r="BK2" t="s">
        <v>50</v>
      </c>
      <c r="BL2" t="s">
        <v>51</v>
      </c>
      <c r="BM2" t="s">
        <v>52</v>
      </c>
      <c r="BN2" t="s">
        <v>53</v>
      </c>
      <c r="BO2" t="s">
        <v>54</v>
      </c>
      <c r="BP2" s="1" t="s">
        <v>55</v>
      </c>
      <c r="BQ2" t="s">
        <v>56</v>
      </c>
      <c r="BR2" t="s">
        <v>57</v>
      </c>
      <c r="BS2" t="s">
        <v>277</v>
      </c>
      <c r="BT2" t="s">
        <v>278</v>
      </c>
      <c r="BU2" t="s">
        <v>279</v>
      </c>
      <c r="BV2" t="s">
        <v>58</v>
      </c>
      <c r="BW2" t="s">
        <v>59</v>
      </c>
      <c r="BX2" t="s">
        <v>60</v>
      </c>
      <c r="BY2" t="s">
        <v>61</v>
      </c>
      <c r="BZ2" t="s">
        <v>62</v>
      </c>
      <c r="CA2" t="s">
        <v>63</v>
      </c>
      <c r="CB2" t="s">
        <v>64</v>
      </c>
      <c r="CC2" t="s">
        <v>253</v>
      </c>
      <c r="CD2" t="s">
        <v>254</v>
      </c>
      <c r="CE2" t="s">
        <v>529</v>
      </c>
    </row>
    <row r="3" spans="1:83" x14ac:dyDescent="0.35">
      <c r="A3" t="s">
        <v>242</v>
      </c>
      <c r="B3">
        <v>3050535</v>
      </c>
      <c r="C3">
        <v>41651</v>
      </c>
      <c r="D3" t="s">
        <v>553</v>
      </c>
      <c r="E3">
        <v>320381104</v>
      </c>
      <c r="F3" t="s">
        <v>662</v>
      </c>
      <c r="G3" s="60">
        <v>46054</v>
      </c>
      <c r="H3">
        <v>40790180</v>
      </c>
      <c r="I3" t="s">
        <v>1181</v>
      </c>
      <c r="J3" t="s">
        <v>482</v>
      </c>
      <c r="K3" t="s">
        <v>65</v>
      </c>
      <c r="L3">
        <v>0</v>
      </c>
      <c r="M3">
        <v>0</v>
      </c>
      <c r="N3" t="s">
        <v>94</v>
      </c>
      <c r="P3" t="s">
        <v>544</v>
      </c>
      <c r="Q3">
        <v>821027</v>
      </c>
      <c r="R3">
        <v>1710000</v>
      </c>
      <c r="S3" s="50">
        <v>46057</v>
      </c>
      <c r="T3" s="50">
        <v>46057</v>
      </c>
      <c r="U3" t="s">
        <v>69</v>
      </c>
      <c r="V3" t="s">
        <v>249</v>
      </c>
      <c r="W3" t="s">
        <v>92</v>
      </c>
      <c r="X3" t="s">
        <v>86</v>
      </c>
      <c r="Y3" t="s">
        <v>291</v>
      </c>
      <c r="Z3">
        <v>10573677</v>
      </c>
      <c r="AA3" s="50">
        <v>46081</v>
      </c>
      <c r="AB3" s="87" t="s">
        <v>93</v>
      </c>
      <c r="AC3" s="86">
        <v>1710000</v>
      </c>
      <c r="AD3" t="s">
        <v>70</v>
      </c>
      <c r="AE3" s="85">
        <v>1183.07</v>
      </c>
      <c r="AF3" s="85">
        <v>1183.07</v>
      </c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>
        <v>0</v>
      </c>
      <c r="BF3" s="85">
        <v>0</v>
      </c>
      <c r="BG3" s="85">
        <v>0</v>
      </c>
      <c r="BH3" s="85">
        <v>1710000</v>
      </c>
      <c r="BI3" s="85">
        <v>1183.07</v>
      </c>
      <c r="BJ3" s="85">
        <v>1183.07</v>
      </c>
      <c r="BO3">
        <v>34</v>
      </c>
      <c r="BP3" s="86">
        <v>581365.80000000005</v>
      </c>
      <c r="BQ3">
        <v>402.22</v>
      </c>
      <c r="BR3">
        <v>402.22</v>
      </c>
      <c r="BS3" s="85">
        <v>1128634.2</v>
      </c>
      <c r="BT3" s="85">
        <v>780.85</v>
      </c>
      <c r="BU3" s="85">
        <v>780.85</v>
      </c>
      <c r="BW3" t="s">
        <v>286</v>
      </c>
      <c r="BX3" t="s">
        <v>1182</v>
      </c>
      <c r="BZ3">
        <v>224554</v>
      </c>
      <c r="CB3" t="s">
        <v>76</v>
      </c>
      <c r="CC3" t="s">
        <v>250</v>
      </c>
      <c r="CE3" t="s">
        <v>530</v>
      </c>
    </row>
    <row r="4" spans="1:83" x14ac:dyDescent="0.35">
      <c r="A4" t="s">
        <v>242</v>
      </c>
      <c r="B4">
        <v>3050535</v>
      </c>
      <c r="C4">
        <v>41651</v>
      </c>
      <c r="D4" t="s">
        <v>644</v>
      </c>
      <c r="E4">
        <v>323787901</v>
      </c>
      <c r="F4" t="s">
        <v>1026</v>
      </c>
      <c r="G4" s="60">
        <v>46054</v>
      </c>
      <c r="H4">
        <v>40881231</v>
      </c>
      <c r="I4" t="s">
        <v>786</v>
      </c>
      <c r="J4" t="s">
        <v>260</v>
      </c>
      <c r="K4" t="s">
        <v>65</v>
      </c>
      <c r="L4">
        <v>0</v>
      </c>
      <c r="M4">
        <v>0</v>
      </c>
      <c r="N4" t="s">
        <v>243</v>
      </c>
      <c r="O4" t="s">
        <v>243</v>
      </c>
      <c r="P4" t="s">
        <v>284</v>
      </c>
      <c r="Q4">
        <v>2801591</v>
      </c>
      <c r="R4">
        <v>5000000</v>
      </c>
      <c r="S4" s="50">
        <v>46054</v>
      </c>
      <c r="T4" s="50">
        <v>46081</v>
      </c>
      <c r="U4" t="s">
        <v>79</v>
      </c>
      <c r="V4" t="s">
        <v>249</v>
      </c>
      <c r="W4" t="s">
        <v>92</v>
      </c>
      <c r="X4" t="s">
        <v>86</v>
      </c>
      <c r="Y4" t="s">
        <v>291</v>
      </c>
      <c r="Z4">
        <v>10573631</v>
      </c>
      <c r="AA4" s="50">
        <v>46081</v>
      </c>
      <c r="AB4" s="87" t="s">
        <v>93</v>
      </c>
      <c r="AC4" s="86">
        <v>1912564.06</v>
      </c>
      <c r="AD4" t="s">
        <v>70</v>
      </c>
      <c r="AE4" s="85">
        <v>1323.21</v>
      </c>
      <c r="AF4" s="85">
        <v>1323.21</v>
      </c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5">
        <v>0</v>
      </c>
      <c r="BF4" s="85">
        <v>0</v>
      </c>
      <c r="BG4" s="85">
        <v>0</v>
      </c>
      <c r="BH4" s="85">
        <v>1912564.06</v>
      </c>
      <c r="BI4" s="85">
        <v>1323.21</v>
      </c>
      <c r="BJ4" s="85">
        <v>1323.21</v>
      </c>
      <c r="BO4">
        <v>39.549999999999997</v>
      </c>
      <c r="BP4" s="86">
        <v>756466.9</v>
      </c>
      <c r="BQ4">
        <v>523.36</v>
      </c>
      <c r="BR4">
        <v>523.36</v>
      </c>
      <c r="BS4" s="85">
        <v>1156097.1599999999</v>
      </c>
      <c r="BT4" s="85">
        <v>799.85</v>
      </c>
      <c r="BU4" s="85">
        <v>799.85</v>
      </c>
      <c r="BX4" t="s">
        <v>1183</v>
      </c>
      <c r="BZ4">
        <v>14030950</v>
      </c>
      <c r="CA4">
        <v>14030950</v>
      </c>
      <c r="CB4" t="s">
        <v>68</v>
      </c>
      <c r="CC4" t="s">
        <v>250</v>
      </c>
      <c r="CE4" t="s">
        <v>530</v>
      </c>
    </row>
    <row r="5" spans="1:83" x14ac:dyDescent="0.35">
      <c r="A5" t="s">
        <v>242</v>
      </c>
      <c r="B5">
        <v>3050535</v>
      </c>
      <c r="C5">
        <v>41651</v>
      </c>
      <c r="D5" t="s">
        <v>600</v>
      </c>
      <c r="E5">
        <v>322203001</v>
      </c>
      <c r="F5" t="s">
        <v>677</v>
      </c>
      <c r="G5" s="60">
        <v>46054</v>
      </c>
      <c r="H5">
        <v>40759166</v>
      </c>
      <c r="I5" t="s">
        <v>727</v>
      </c>
      <c r="J5" t="s">
        <v>260</v>
      </c>
      <c r="K5" t="s">
        <v>65</v>
      </c>
      <c r="L5">
        <v>0</v>
      </c>
      <c r="M5">
        <v>0</v>
      </c>
      <c r="N5" t="s">
        <v>522</v>
      </c>
      <c r="O5" t="s">
        <v>522</v>
      </c>
      <c r="P5" t="s">
        <v>287</v>
      </c>
      <c r="Q5">
        <v>148610446</v>
      </c>
      <c r="R5">
        <v>11500000</v>
      </c>
      <c r="S5" s="50">
        <v>46027</v>
      </c>
      <c r="T5" s="50">
        <v>46081</v>
      </c>
      <c r="U5" t="s">
        <v>69</v>
      </c>
      <c r="V5" t="s">
        <v>249</v>
      </c>
      <c r="W5" t="s">
        <v>92</v>
      </c>
      <c r="X5" t="s">
        <v>86</v>
      </c>
      <c r="Y5" t="s">
        <v>291</v>
      </c>
      <c r="Z5">
        <v>10573647</v>
      </c>
      <c r="AA5" s="50">
        <v>46081</v>
      </c>
      <c r="AB5" s="87" t="s">
        <v>93</v>
      </c>
      <c r="AC5" s="86">
        <v>2108043.15</v>
      </c>
      <c r="AD5" t="s">
        <v>70</v>
      </c>
      <c r="AE5" s="85">
        <v>1458.45</v>
      </c>
      <c r="AF5" s="85">
        <v>1458.45</v>
      </c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5">
        <v>0</v>
      </c>
      <c r="BF5" s="85">
        <v>0</v>
      </c>
      <c r="BG5" s="85">
        <v>0</v>
      </c>
      <c r="BH5" s="85">
        <v>2108043.15</v>
      </c>
      <c r="BI5" s="85">
        <v>1458.45</v>
      </c>
      <c r="BJ5" s="85">
        <v>1458.45</v>
      </c>
      <c r="BO5">
        <v>39.549999999999997</v>
      </c>
      <c r="BP5" s="86">
        <v>833783.77</v>
      </c>
      <c r="BQ5">
        <v>576.85</v>
      </c>
      <c r="BR5">
        <v>576.85</v>
      </c>
      <c r="BS5" s="85">
        <v>1274259.3799999999</v>
      </c>
      <c r="BT5" s="85">
        <v>881.6</v>
      </c>
      <c r="BU5" s="85">
        <v>881.6</v>
      </c>
      <c r="BX5" t="s">
        <v>728</v>
      </c>
      <c r="BZ5">
        <v>192377147</v>
      </c>
      <c r="CA5">
        <v>192377147</v>
      </c>
      <c r="CB5" t="s">
        <v>72</v>
      </c>
      <c r="CC5" t="s">
        <v>250</v>
      </c>
      <c r="CE5" t="s">
        <v>530</v>
      </c>
    </row>
    <row r="6" spans="1:83" x14ac:dyDescent="0.35">
      <c r="A6" t="s">
        <v>242</v>
      </c>
      <c r="B6">
        <v>3050535</v>
      </c>
      <c r="C6">
        <v>41651</v>
      </c>
      <c r="D6" t="s">
        <v>560</v>
      </c>
      <c r="E6">
        <v>323167301</v>
      </c>
      <c r="F6" t="s">
        <v>704</v>
      </c>
      <c r="G6" s="60">
        <v>46054</v>
      </c>
      <c r="H6">
        <v>40872160</v>
      </c>
      <c r="I6" t="s">
        <v>755</v>
      </c>
      <c r="J6" t="s">
        <v>260</v>
      </c>
      <c r="K6" t="s">
        <v>65</v>
      </c>
      <c r="L6">
        <v>0</v>
      </c>
      <c r="M6">
        <v>0</v>
      </c>
      <c r="N6" t="s">
        <v>509</v>
      </c>
      <c r="O6" t="s">
        <v>509</v>
      </c>
      <c r="P6" t="s">
        <v>506</v>
      </c>
      <c r="Q6">
        <v>530773</v>
      </c>
      <c r="R6">
        <v>12000000</v>
      </c>
      <c r="S6" s="50">
        <v>46042</v>
      </c>
      <c r="T6" s="50">
        <v>46387</v>
      </c>
      <c r="U6" t="s">
        <v>79</v>
      </c>
      <c r="V6" t="s">
        <v>249</v>
      </c>
      <c r="W6" t="s">
        <v>92</v>
      </c>
      <c r="X6" t="s">
        <v>86</v>
      </c>
      <c r="Y6" t="s">
        <v>291</v>
      </c>
      <c r="Z6">
        <v>10573655</v>
      </c>
      <c r="AA6" s="50">
        <v>46081</v>
      </c>
      <c r="AB6" s="87" t="s">
        <v>93</v>
      </c>
      <c r="AC6" s="86">
        <v>497.92</v>
      </c>
      <c r="AD6" t="s">
        <v>70</v>
      </c>
      <c r="AE6" s="85">
        <v>0.34</v>
      </c>
      <c r="AF6" s="85">
        <v>0.34</v>
      </c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5">
        <v>0</v>
      </c>
      <c r="BF6" s="85">
        <v>0</v>
      </c>
      <c r="BG6" s="85">
        <v>0</v>
      </c>
      <c r="BH6" s="85">
        <v>497.92</v>
      </c>
      <c r="BI6" s="85">
        <v>0.34</v>
      </c>
      <c r="BJ6" s="85">
        <v>0.34</v>
      </c>
      <c r="BO6">
        <v>39.549999999999997</v>
      </c>
      <c r="BP6" s="86">
        <v>196.94</v>
      </c>
      <c r="BQ6">
        <v>0.14000000000000001</v>
      </c>
      <c r="BR6">
        <v>0.14000000000000001</v>
      </c>
      <c r="BS6" s="85">
        <v>300.98</v>
      </c>
      <c r="BT6" s="85">
        <v>0.2</v>
      </c>
      <c r="BU6" s="85">
        <v>0.2</v>
      </c>
      <c r="BX6" t="s">
        <v>732</v>
      </c>
      <c r="BZ6">
        <v>530772</v>
      </c>
      <c r="CA6">
        <v>530772</v>
      </c>
      <c r="CB6" t="s">
        <v>73</v>
      </c>
      <c r="CC6" t="s">
        <v>250</v>
      </c>
      <c r="CE6" t="s">
        <v>530</v>
      </c>
    </row>
    <row r="7" spans="1:83" x14ac:dyDescent="0.35">
      <c r="A7" t="s">
        <v>242</v>
      </c>
      <c r="B7">
        <v>3050535</v>
      </c>
      <c r="C7">
        <v>41651</v>
      </c>
      <c r="D7" t="s">
        <v>560</v>
      </c>
      <c r="E7">
        <v>323167301</v>
      </c>
      <c r="F7" t="s">
        <v>704</v>
      </c>
      <c r="G7" s="60">
        <v>46054</v>
      </c>
      <c r="H7">
        <v>40915378</v>
      </c>
      <c r="I7" t="s">
        <v>1184</v>
      </c>
      <c r="J7" t="s">
        <v>260</v>
      </c>
      <c r="K7" t="s">
        <v>65</v>
      </c>
      <c r="L7">
        <v>0</v>
      </c>
      <c r="M7">
        <v>0</v>
      </c>
      <c r="N7" t="s">
        <v>509</v>
      </c>
      <c r="O7" t="s">
        <v>509</v>
      </c>
      <c r="P7" t="s">
        <v>506</v>
      </c>
      <c r="Q7">
        <v>530773</v>
      </c>
      <c r="R7">
        <v>12000000</v>
      </c>
      <c r="S7" s="50">
        <v>46042</v>
      </c>
      <c r="T7" s="50">
        <v>46387</v>
      </c>
      <c r="U7" t="s">
        <v>79</v>
      </c>
      <c r="V7" t="s">
        <v>249</v>
      </c>
      <c r="W7" t="s">
        <v>92</v>
      </c>
      <c r="X7" t="s">
        <v>86</v>
      </c>
      <c r="Y7" t="s">
        <v>291</v>
      </c>
      <c r="Z7">
        <v>10573655</v>
      </c>
      <c r="AA7" s="50">
        <v>46081</v>
      </c>
      <c r="AB7" s="87" t="s">
        <v>93</v>
      </c>
      <c r="AC7" s="86">
        <v>86381.88</v>
      </c>
      <c r="AD7" t="s">
        <v>70</v>
      </c>
      <c r="AE7" s="85">
        <v>59.76</v>
      </c>
      <c r="AF7" s="85">
        <v>59.76</v>
      </c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5">
        <v>0</v>
      </c>
      <c r="BF7" s="85">
        <v>0</v>
      </c>
      <c r="BG7" s="85">
        <v>0</v>
      </c>
      <c r="BH7" s="85">
        <v>86381.88</v>
      </c>
      <c r="BI7" s="85">
        <v>59.76</v>
      </c>
      <c r="BJ7" s="85">
        <v>59.76</v>
      </c>
      <c r="BO7">
        <v>39.549999999999997</v>
      </c>
      <c r="BP7" s="86">
        <v>34166.19</v>
      </c>
      <c r="BQ7">
        <v>23.64</v>
      </c>
      <c r="BR7">
        <v>23.64</v>
      </c>
      <c r="BS7" s="85">
        <v>52215.69</v>
      </c>
      <c r="BT7" s="85">
        <v>36.119999999999997</v>
      </c>
      <c r="BU7" s="85">
        <v>36.119999999999997</v>
      </c>
      <c r="BX7" t="s">
        <v>732</v>
      </c>
      <c r="BZ7">
        <v>530772</v>
      </c>
      <c r="CA7">
        <v>530772</v>
      </c>
      <c r="CB7" t="s">
        <v>73</v>
      </c>
      <c r="CC7" t="s">
        <v>250</v>
      </c>
      <c r="CE7" t="s">
        <v>530</v>
      </c>
    </row>
    <row r="8" spans="1:83" x14ac:dyDescent="0.35">
      <c r="A8" t="s">
        <v>242</v>
      </c>
      <c r="B8">
        <v>3050535</v>
      </c>
      <c r="C8">
        <v>41651</v>
      </c>
      <c r="D8" t="s">
        <v>583</v>
      </c>
      <c r="E8">
        <v>324617401</v>
      </c>
      <c r="F8" t="s">
        <v>1089</v>
      </c>
      <c r="G8" s="60">
        <v>46054</v>
      </c>
      <c r="H8">
        <v>40921512</v>
      </c>
      <c r="I8" t="s">
        <v>1185</v>
      </c>
      <c r="J8" t="s">
        <v>260</v>
      </c>
      <c r="K8" t="s">
        <v>65</v>
      </c>
      <c r="L8">
        <v>0</v>
      </c>
      <c r="M8">
        <v>0</v>
      </c>
      <c r="N8" t="s">
        <v>108</v>
      </c>
      <c r="O8" t="s">
        <v>108</v>
      </c>
      <c r="P8" t="s">
        <v>104</v>
      </c>
      <c r="Q8">
        <v>292623</v>
      </c>
      <c r="R8">
        <v>30500</v>
      </c>
      <c r="S8" s="50">
        <v>46063</v>
      </c>
      <c r="T8" s="50">
        <v>46067</v>
      </c>
      <c r="U8" t="s">
        <v>79</v>
      </c>
      <c r="V8" t="s">
        <v>249</v>
      </c>
      <c r="W8" t="s">
        <v>92</v>
      </c>
      <c r="X8" t="s">
        <v>86</v>
      </c>
      <c r="Y8" t="s">
        <v>291</v>
      </c>
      <c r="Z8">
        <v>10573664</v>
      </c>
      <c r="AA8" s="50">
        <v>46081</v>
      </c>
      <c r="AB8" s="87" t="s">
        <v>93</v>
      </c>
      <c r="AC8" s="86">
        <v>22444.51</v>
      </c>
      <c r="AD8" t="s">
        <v>70</v>
      </c>
      <c r="AE8" s="85">
        <v>15.53</v>
      </c>
      <c r="AF8" s="85">
        <v>15.53</v>
      </c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5">
        <v>0</v>
      </c>
      <c r="BF8" s="85">
        <v>0</v>
      </c>
      <c r="BG8" s="85">
        <v>0</v>
      </c>
      <c r="BH8" s="85">
        <v>22444.51</v>
      </c>
      <c r="BI8" s="85">
        <v>15.53</v>
      </c>
      <c r="BJ8" s="85">
        <v>15.53</v>
      </c>
      <c r="BO8">
        <v>22</v>
      </c>
      <c r="BP8" s="86">
        <v>4937.79</v>
      </c>
      <c r="BQ8">
        <v>3.42</v>
      </c>
      <c r="BR8">
        <v>3.42</v>
      </c>
      <c r="BS8" s="85">
        <v>17506.72</v>
      </c>
      <c r="BT8" s="85">
        <v>12.11</v>
      </c>
      <c r="BU8" s="85">
        <v>12.11</v>
      </c>
      <c r="BX8" t="s">
        <v>1186</v>
      </c>
      <c r="BZ8">
        <v>224529</v>
      </c>
      <c r="CA8">
        <v>224529</v>
      </c>
      <c r="CB8" t="s">
        <v>73</v>
      </c>
      <c r="CC8" t="s">
        <v>250</v>
      </c>
      <c r="CE8" t="s">
        <v>530</v>
      </c>
    </row>
    <row r="9" spans="1:83" x14ac:dyDescent="0.35">
      <c r="A9" t="s">
        <v>242</v>
      </c>
      <c r="B9">
        <v>3050535</v>
      </c>
      <c r="C9">
        <v>41651</v>
      </c>
      <c r="D9" t="s">
        <v>1187</v>
      </c>
      <c r="E9">
        <v>324901601</v>
      </c>
      <c r="F9" t="s">
        <v>1125</v>
      </c>
      <c r="G9" s="60">
        <v>46054</v>
      </c>
      <c r="H9">
        <v>40936991</v>
      </c>
      <c r="I9" t="s">
        <v>1188</v>
      </c>
      <c r="J9" t="s">
        <v>260</v>
      </c>
      <c r="K9" t="s">
        <v>65</v>
      </c>
      <c r="L9">
        <v>0</v>
      </c>
      <c r="M9">
        <v>0</v>
      </c>
      <c r="N9" t="s">
        <v>94</v>
      </c>
      <c r="O9" t="s">
        <v>94</v>
      </c>
      <c r="P9" t="s">
        <v>1126</v>
      </c>
      <c r="Q9">
        <v>258084</v>
      </c>
      <c r="R9">
        <v>2300000</v>
      </c>
      <c r="S9" s="50">
        <v>46065</v>
      </c>
      <c r="T9" s="50">
        <v>46081</v>
      </c>
      <c r="U9" t="s">
        <v>79</v>
      </c>
      <c r="V9" t="s">
        <v>249</v>
      </c>
      <c r="W9" t="s">
        <v>92</v>
      </c>
      <c r="X9" t="s">
        <v>86</v>
      </c>
      <c r="Y9" t="s">
        <v>291</v>
      </c>
      <c r="Z9">
        <v>10573680</v>
      </c>
      <c r="AA9" s="50">
        <v>46081</v>
      </c>
      <c r="AB9" s="87" t="s">
        <v>93</v>
      </c>
      <c r="AC9" s="86">
        <v>4812.53</v>
      </c>
      <c r="AD9" t="s">
        <v>70</v>
      </c>
      <c r="AE9" s="85">
        <v>3.33</v>
      </c>
      <c r="AF9" s="85">
        <v>3.33</v>
      </c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5">
        <v>0</v>
      </c>
      <c r="BF9" s="85">
        <v>0</v>
      </c>
      <c r="BG9" s="85">
        <v>0</v>
      </c>
      <c r="BH9" s="85">
        <v>4812.53</v>
      </c>
      <c r="BI9" s="85">
        <v>3.33</v>
      </c>
      <c r="BJ9" s="85">
        <v>3.33</v>
      </c>
      <c r="BO9">
        <v>22</v>
      </c>
      <c r="BP9" s="86">
        <v>1058.76</v>
      </c>
      <c r="BQ9">
        <v>0.73</v>
      </c>
      <c r="BR9">
        <v>0.73</v>
      </c>
      <c r="BS9" s="85">
        <v>3753.77</v>
      </c>
      <c r="BT9" s="85">
        <v>2.6</v>
      </c>
      <c r="BU9" s="85">
        <v>2.6</v>
      </c>
      <c r="BX9" t="s">
        <v>1189</v>
      </c>
      <c r="BZ9">
        <v>224554</v>
      </c>
      <c r="CA9">
        <v>224554</v>
      </c>
      <c r="CB9" t="s">
        <v>73</v>
      </c>
      <c r="CC9" t="s">
        <v>250</v>
      </c>
      <c r="CE9" t="s">
        <v>530</v>
      </c>
    </row>
    <row r="10" spans="1:83" x14ac:dyDescent="0.35">
      <c r="A10" t="s">
        <v>242</v>
      </c>
      <c r="B10">
        <v>3050535</v>
      </c>
      <c r="C10">
        <v>41651</v>
      </c>
      <c r="D10" t="s">
        <v>542</v>
      </c>
      <c r="E10">
        <v>322149801</v>
      </c>
      <c r="F10" t="s">
        <v>669</v>
      </c>
      <c r="G10" s="60">
        <v>46054</v>
      </c>
      <c r="H10">
        <v>40745359</v>
      </c>
      <c r="I10" t="s">
        <v>750</v>
      </c>
      <c r="J10" t="s">
        <v>260</v>
      </c>
      <c r="K10" t="s">
        <v>65</v>
      </c>
      <c r="L10">
        <v>0</v>
      </c>
      <c r="M10">
        <v>0</v>
      </c>
      <c r="N10" t="s">
        <v>259</v>
      </c>
      <c r="O10" t="s">
        <v>259</v>
      </c>
      <c r="P10" t="s">
        <v>524</v>
      </c>
      <c r="Q10">
        <v>292695</v>
      </c>
      <c r="R10">
        <v>23500000</v>
      </c>
      <c r="S10" s="50">
        <v>46023</v>
      </c>
      <c r="T10" s="50">
        <v>46081</v>
      </c>
      <c r="U10" t="s">
        <v>79</v>
      </c>
      <c r="V10" t="s">
        <v>249</v>
      </c>
      <c r="W10" t="s">
        <v>92</v>
      </c>
      <c r="X10" t="s">
        <v>86</v>
      </c>
      <c r="Y10" t="s">
        <v>291</v>
      </c>
      <c r="Z10">
        <v>10573692</v>
      </c>
      <c r="AA10" s="50">
        <v>46081</v>
      </c>
      <c r="AB10" s="87" t="s">
        <v>93</v>
      </c>
      <c r="AC10" s="86">
        <v>1293559.94</v>
      </c>
      <c r="AD10" t="s">
        <v>70</v>
      </c>
      <c r="AE10" s="85">
        <v>894.95</v>
      </c>
      <c r="AF10" s="85">
        <v>894.95</v>
      </c>
      <c r="AG10" s="85"/>
      <c r="AH10" s="85"/>
      <c r="AI10" s="85"/>
      <c r="AJ10" s="85"/>
      <c r="AK10" s="85"/>
      <c r="AL10" s="85"/>
      <c r="AM10" s="85"/>
      <c r="AN10" s="85"/>
      <c r="AO10" s="85"/>
      <c r="AP10" s="85"/>
      <c r="AQ10" s="85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5">
        <v>0</v>
      </c>
      <c r="BF10" s="85">
        <v>0</v>
      </c>
      <c r="BG10" s="85">
        <v>0</v>
      </c>
      <c r="BH10" s="85">
        <v>1293559.94</v>
      </c>
      <c r="BI10" s="85">
        <v>894.95</v>
      </c>
      <c r="BJ10" s="85">
        <v>894.95</v>
      </c>
      <c r="BO10">
        <v>39.549999999999997</v>
      </c>
      <c r="BP10" s="86">
        <v>511635.3</v>
      </c>
      <c r="BQ10">
        <v>353.98</v>
      </c>
      <c r="BR10">
        <v>353.98</v>
      </c>
      <c r="BS10" s="85">
        <v>781924.64</v>
      </c>
      <c r="BT10" s="85">
        <v>540.97</v>
      </c>
      <c r="BU10" s="85">
        <v>540.97</v>
      </c>
      <c r="BX10" t="s">
        <v>726</v>
      </c>
      <c r="BZ10">
        <v>66013147</v>
      </c>
      <c r="CA10">
        <v>66013147</v>
      </c>
      <c r="CB10" t="s">
        <v>71</v>
      </c>
      <c r="CC10" t="s">
        <v>250</v>
      </c>
      <c r="CE10" t="s">
        <v>530</v>
      </c>
    </row>
    <row r="11" spans="1:83" x14ac:dyDescent="0.35">
      <c r="A11" t="s">
        <v>242</v>
      </c>
      <c r="B11">
        <v>3050535</v>
      </c>
      <c r="C11">
        <v>41651</v>
      </c>
      <c r="D11" t="s">
        <v>744</v>
      </c>
      <c r="E11">
        <v>288709901</v>
      </c>
      <c r="F11" t="s">
        <v>653</v>
      </c>
      <c r="G11" s="60">
        <v>46054</v>
      </c>
      <c r="H11">
        <v>40859476</v>
      </c>
      <c r="I11" t="s">
        <v>746</v>
      </c>
      <c r="J11" t="s">
        <v>260</v>
      </c>
      <c r="K11" t="s">
        <v>65</v>
      </c>
      <c r="L11">
        <v>0</v>
      </c>
      <c r="M11">
        <v>0</v>
      </c>
      <c r="P11" t="s">
        <v>654</v>
      </c>
      <c r="Q11">
        <v>115399678</v>
      </c>
      <c r="R11">
        <v>40300000</v>
      </c>
      <c r="S11" s="50">
        <v>45516</v>
      </c>
      <c r="T11" s="50">
        <v>46081</v>
      </c>
      <c r="U11" t="s">
        <v>69</v>
      </c>
      <c r="V11" t="s">
        <v>249</v>
      </c>
      <c r="W11" t="s">
        <v>92</v>
      </c>
      <c r="X11" t="s">
        <v>86</v>
      </c>
      <c r="Y11" t="s">
        <v>291</v>
      </c>
      <c r="Z11">
        <v>10573707</v>
      </c>
      <c r="AA11" s="50">
        <v>46081</v>
      </c>
      <c r="AB11" s="87" t="s">
        <v>93</v>
      </c>
      <c r="AC11" s="86">
        <v>463887.16</v>
      </c>
      <c r="AD11" t="s">
        <v>70</v>
      </c>
      <c r="AE11" s="85">
        <v>320.94</v>
      </c>
      <c r="AF11" s="85">
        <v>320.94</v>
      </c>
      <c r="AG11" s="85"/>
      <c r="AH11" s="85"/>
      <c r="AI11" s="85"/>
      <c r="AJ11" s="85"/>
      <c r="AK11" s="85"/>
      <c r="AL11" s="85"/>
      <c r="AM11" s="85"/>
      <c r="AN11" s="85"/>
      <c r="AO11" s="85"/>
      <c r="AP11" s="85"/>
      <c r="AQ11" s="85"/>
      <c r="AR11" s="85"/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5">
        <v>0</v>
      </c>
      <c r="BF11" s="85">
        <v>0</v>
      </c>
      <c r="BG11" s="85">
        <v>0</v>
      </c>
      <c r="BH11" s="85">
        <v>463887.16</v>
      </c>
      <c r="BI11" s="85">
        <v>320.94</v>
      </c>
      <c r="BJ11" s="85">
        <v>320.94</v>
      </c>
      <c r="BO11">
        <v>39.549999999999997</v>
      </c>
      <c r="BP11" s="86">
        <v>183478.97</v>
      </c>
      <c r="BQ11">
        <v>126.94</v>
      </c>
      <c r="BR11">
        <v>126.94</v>
      </c>
      <c r="BS11" s="85">
        <v>280408.19</v>
      </c>
      <c r="BT11" s="85">
        <v>194</v>
      </c>
      <c r="BU11" s="85">
        <v>194</v>
      </c>
      <c r="BX11" t="s">
        <v>745</v>
      </c>
      <c r="CB11" t="s">
        <v>78</v>
      </c>
      <c r="CC11" t="s">
        <v>250</v>
      </c>
      <c r="CE11" t="s">
        <v>530</v>
      </c>
    </row>
    <row r="12" spans="1:83" x14ac:dyDescent="0.35">
      <c r="A12" t="s">
        <v>242</v>
      </c>
      <c r="B12">
        <v>3050535</v>
      </c>
      <c r="C12">
        <v>41651</v>
      </c>
      <c r="D12" t="s">
        <v>1190</v>
      </c>
      <c r="E12">
        <v>324878401</v>
      </c>
      <c r="F12" t="s">
        <v>1106</v>
      </c>
      <c r="G12" s="60">
        <v>46054</v>
      </c>
      <c r="H12">
        <v>40929999</v>
      </c>
      <c r="I12" t="s">
        <v>1191</v>
      </c>
      <c r="J12" t="s">
        <v>260</v>
      </c>
      <c r="K12" t="s">
        <v>65</v>
      </c>
      <c r="L12">
        <v>0</v>
      </c>
      <c r="M12">
        <v>0</v>
      </c>
      <c r="N12" t="s">
        <v>243</v>
      </c>
      <c r="P12" t="s">
        <v>1107</v>
      </c>
      <c r="Q12">
        <v>167061</v>
      </c>
      <c r="R12">
        <v>2500000</v>
      </c>
      <c r="S12" s="50">
        <v>46064</v>
      </c>
      <c r="T12" s="50">
        <v>46081</v>
      </c>
      <c r="U12" t="s">
        <v>79</v>
      </c>
      <c r="V12" t="s">
        <v>249</v>
      </c>
      <c r="W12" t="s">
        <v>92</v>
      </c>
      <c r="X12" t="s">
        <v>86</v>
      </c>
      <c r="Y12" t="s">
        <v>291</v>
      </c>
      <c r="Z12">
        <v>10573722</v>
      </c>
      <c r="AA12" s="50">
        <v>46081</v>
      </c>
      <c r="AB12" s="87" t="s">
        <v>93</v>
      </c>
      <c r="AC12" s="86">
        <v>1000786.99</v>
      </c>
      <c r="AD12" t="s">
        <v>70</v>
      </c>
      <c r="AE12" s="85">
        <v>692.4</v>
      </c>
      <c r="AF12" s="85">
        <v>692.4</v>
      </c>
      <c r="AG12" s="85"/>
      <c r="AH12" s="85"/>
      <c r="AI12" s="85"/>
      <c r="AJ12" s="85"/>
      <c r="AK12" s="85"/>
      <c r="AL12" s="85"/>
      <c r="AM12" s="85"/>
      <c r="AN12" s="85"/>
      <c r="AO12" s="85"/>
      <c r="AP12" s="85"/>
      <c r="AQ12" s="85"/>
      <c r="AR12" s="85"/>
      <c r="AS12" s="85"/>
      <c r="AT12" s="85"/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5">
        <v>0</v>
      </c>
      <c r="BF12" s="85">
        <v>0</v>
      </c>
      <c r="BG12" s="85">
        <v>0</v>
      </c>
      <c r="BH12" s="85">
        <v>1000786.99</v>
      </c>
      <c r="BI12" s="85">
        <v>692.4</v>
      </c>
      <c r="BJ12" s="85">
        <v>692.4</v>
      </c>
      <c r="BO12">
        <v>22</v>
      </c>
      <c r="BP12" s="86">
        <v>220173.14</v>
      </c>
      <c r="BQ12">
        <v>152.33000000000001</v>
      </c>
      <c r="BR12">
        <v>152.33000000000001</v>
      </c>
      <c r="BS12" s="85">
        <v>780613.85</v>
      </c>
      <c r="BT12" s="85">
        <v>540.07000000000005</v>
      </c>
      <c r="BU12" s="85">
        <v>540.07000000000005</v>
      </c>
      <c r="BX12" t="s">
        <v>1192</v>
      </c>
      <c r="BZ12">
        <v>14030950</v>
      </c>
      <c r="CB12" t="s">
        <v>73</v>
      </c>
      <c r="CC12" t="s">
        <v>250</v>
      </c>
      <c r="CE12" t="s">
        <v>530</v>
      </c>
    </row>
    <row r="13" spans="1:83" x14ac:dyDescent="0.35">
      <c r="A13" t="s">
        <v>242</v>
      </c>
      <c r="B13">
        <v>3050535</v>
      </c>
      <c r="C13">
        <v>41651</v>
      </c>
      <c r="D13" t="s">
        <v>288</v>
      </c>
      <c r="E13">
        <v>323565701</v>
      </c>
      <c r="F13" t="s">
        <v>1021</v>
      </c>
      <c r="G13" s="60">
        <v>46054</v>
      </c>
      <c r="H13">
        <v>40898059</v>
      </c>
      <c r="I13" t="s">
        <v>1193</v>
      </c>
      <c r="J13" t="s">
        <v>482</v>
      </c>
      <c r="K13" t="s">
        <v>65</v>
      </c>
      <c r="L13">
        <v>0</v>
      </c>
      <c r="M13">
        <v>0</v>
      </c>
      <c r="N13" t="s">
        <v>522</v>
      </c>
      <c r="O13" t="s">
        <v>522</v>
      </c>
      <c r="P13" t="s">
        <v>287</v>
      </c>
      <c r="Q13">
        <v>148610446</v>
      </c>
      <c r="R13">
        <v>801900</v>
      </c>
      <c r="S13" s="50">
        <v>46062</v>
      </c>
      <c r="T13" s="50">
        <v>46062</v>
      </c>
      <c r="U13" t="s">
        <v>69</v>
      </c>
      <c r="V13" t="s">
        <v>249</v>
      </c>
      <c r="W13" t="s">
        <v>92</v>
      </c>
      <c r="X13" t="s">
        <v>86</v>
      </c>
      <c r="Y13" t="s">
        <v>291</v>
      </c>
      <c r="Z13">
        <v>10573622</v>
      </c>
      <c r="AA13" s="50">
        <v>46081</v>
      </c>
      <c r="AB13" s="87" t="s">
        <v>93</v>
      </c>
      <c r="AC13" s="86">
        <v>801900</v>
      </c>
      <c r="AD13" t="s">
        <v>70</v>
      </c>
      <c r="AE13" s="85">
        <v>554.79999999999995</v>
      </c>
      <c r="AF13" s="85">
        <v>554.79999999999995</v>
      </c>
      <c r="AG13" s="85"/>
      <c r="AH13" s="85"/>
      <c r="AI13" s="85"/>
      <c r="AJ13" s="85"/>
      <c r="AK13" s="85"/>
      <c r="AL13" s="85"/>
      <c r="AM13" s="85"/>
      <c r="AN13" s="85"/>
      <c r="AO13" s="85"/>
      <c r="AP13" s="85"/>
      <c r="AQ13" s="85"/>
      <c r="AR13" s="85"/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5">
        <v>0</v>
      </c>
      <c r="BF13" s="85">
        <v>0</v>
      </c>
      <c r="BG13" s="85">
        <v>0</v>
      </c>
      <c r="BH13" s="85">
        <v>801900</v>
      </c>
      <c r="BI13" s="85">
        <v>554.79999999999995</v>
      </c>
      <c r="BJ13" s="85">
        <v>554.79999999999995</v>
      </c>
      <c r="BO13">
        <v>39.549999999999997</v>
      </c>
      <c r="BP13" s="86">
        <v>317171.5</v>
      </c>
      <c r="BQ13">
        <v>219.44</v>
      </c>
      <c r="BR13">
        <v>219.44</v>
      </c>
      <c r="BS13" s="85">
        <v>484728.5</v>
      </c>
      <c r="BT13" s="85">
        <v>335.36</v>
      </c>
      <c r="BU13" s="85">
        <v>335.36</v>
      </c>
      <c r="BW13" t="s">
        <v>527</v>
      </c>
      <c r="BX13" t="s">
        <v>1194</v>
      </c>
      <c r="BZ13">
        <v>192377147</v>
      </c>
      <c r="CA13">
        <v>192377147</v>
      </c>
      <c r="CB13" t="s">
        <v>76</v>
      </c>
      <c r="CC13" t="s">
        <v>250</v>
      </c>
      <c r="CE13" t="s">
        <v>530</v>
      </c>
    </row>
    <row r="14" spans="1:83" x14ac:dyDescent="0.35">
      <c r="A14" t="s">
        <v>242</v>
      </c>
      <c r="B14">
        <v>3050535</v>
      </c>
      <c r="C14">
        <v>41651</v>
      </c>
      <c r="D14" t="s">
        <v>248</v>
      </c>
      <c r="E14">
        <v>324284001</v>
      </c>
      <c r="F14" t="s">
        <v>1076</v>
      </c>
      <c r="G14" s="60">
        <v>46054</v>
      </c>
      <c r="H14">
        <v>40915757</v>
      </c>
      <c r="I14" t="s">
        <v>1195</v>
      </c>
      <c r="J14" t="s">
        <v>260</v>
      </c>
      <c r="K14" t="s">
        <v>65</v>
      </c>
      <c r="L14">
        <v>0</v>
      </c>
      <c r="M14">
        <v>0</v>
      </c>
      <c r="N14" t="s">
        <v>100</v>
      </c>
      <c r="O14" t="s">
        <v>100</v>
      </c>
      <c r="P14" t="s">
        <v>107</v>
      </c>
      <c r="Q14">
        <v>72805</v>
      </c>
      <c r="R14">
        <v>3000000</v>
      </c>
      <c r="S14" s="50">
        <v>46057</v>
      </c>
      <c r="T14" s="50">
        <v>46082</v>
      </c>
      <c r="U14" t="s">
        <v>69</v>
      </c>
      <c r="V14" t="s">
        <v>249</v>
      </c>
      <c r="W14" t="s">
        <v>92</v>
      </c>
      <c r="X14" t="s">
        <v>86</v>
      </c>
      <c r="Y14" t="s">
        <v>291</v>
      </c>
      <c r="Z14">
        <v>10573645</v>
      </c>
      <c r="AA14" s="50">
        <v>46081</v>
      </c>
      <c r="AB14" s="87" t="s">
        <v>93</v>
      </c>
      <c r="AC14" s="86">
        <v>2906163.1</v>
      </c>
      <c r="AD14" t="s">
        <v>70</v>
      </c>
      <c r="AE14" s="85">
        <v>2010.63</v>
      </c>
      <c r="AF14" s="85">
        <v>2010.63</v>
      </c>
      <c r="AG14" s="85"/>
      <c r="AH14" s="85"/>
      <c r="AI14" s="85"/>
      <c r="AJ14" s="85"/>
      <c r="AK14" s="85"/>
      <c r="AL14" s="85"/>
      <c r="AM14" s="85"/>
      <c r="AN14" s="85"/>
      <c r="AO14" s="85"/>
      <c r="AP14" s="85"/>
      <c r="AQ14" s="85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5"/>
      <c r="BD14" s="85"/>
      <c r="BE14" s="85">
        <v>0</v>
      </c>
      <c r="BF14" s="85">
        <v>0</v>
      </c>
      <c r="BG14" s="85">
        <v>0</v>
      </c>
      <c r="BH14" s="85">
        <v>2906163.1</v>
      </c>
      <c r="BI14" s="85">
        <v>2010.63</v>
      </c>
      <c r="BJ14" s="85">
        <v>2010.63</v>
      </c>
      <c r="BO14">
        <v>22</v>
      </c>
      <c r="BP14" s="86">
        <v>639355.88</v>
      </c>
      <c r="BQ14">
        <v>442.34</v>
      </c>
      <c r="BR14">
        <v>442.34</v>
      </c>
      <c r="BS14" s="85">
        <v>2266807.2200000002</v>
      </c>
      <c r="BT14" s="85">
        <v>1568.29</v>
      </c>
      <c r="BU14" s="85">
        <v>1568.29</v>
      </c>
      <c r="BX14" t="s">
        <v>1196</v>
      </c>
      <c r="BZ14">
        <v>224581</v>
      </c>
      <c r="CA14">
        <v>224581</v>
      </c>
      <c r="CB14" t="s">
        <v>73</v>
      </c>
      <c r="CC14" t="s">
        <v>250</v>
      </c>
      <c r="CE14" t="s">
        <v>530</v>
      </c>
    </row>
    <row r="15" spans="1:83" x14ac:dyDescent="0.35">
      <c r="A15" t="s">
        <v>242</v>
      </c>
      <c r="B15">
        <v>3050535</v>
      </c>
      <c r="C15">
        <v>41651</v>
      </c>
      <c r="D15" t="s">
        <v>262</v>
      </c>
      <c r="E15">
        <v>322206001</v>
      </c>
      <c r="F15" t="s">
        <v>680</v>
      </c>
      <c r="G15" s="60">
        <v>46054</v>
      </c>
      <c r="H15">
        <v>40758990</v>
      </c>
      <c r="I15" t="s">
        <v>780</v>
      </c>
      <c r="J15" t="s">
        <v>260</v>
      </c>
      <c r="K15" t="s">
        <v>65</v>
      </c>
      <c r="L15">
        <v>0</v>
      </c>
      <c r="M15">
        <v>0</v>
      </c>
      <c r="N15" t="s">
        <v>561</v>
      </c>
      <c r="O15" t="s">
        <v>561</v>
      </c>
      <c r="P15" t="s">
        <v>257</v>
      </c>
      <c r="Q15">
        <v>57936819</v>
      </c>
      <c r="R15">
        <v>3399999.4</v>
      </c>
      <c r="S15" s="50">
        <v>46027</v>
      </c>
      <c r="T15" s="50">
        <v>46076</v>
      </c>
      <c r="U15" t="s">
        <v>69</v>
      </c>
      <c r="V15" t="s">
        <v>249</v>
      </c>
      <c r="W15" t="s">
        <v>92</v>
      </c>
      <c r="X15" t="s">
        <v>86</v>
      </c>
      <c r="Y15" t="s">
        <v>291</v>
      </c>
      <c r="Z15">
        <v>10573628</v>
      </c>
      <c r="AA15" s="50">
        <v>46081</v>
      </c>
      <c r="AB15" s="87" t="s">
        <v>93</v>
      </c>
      <c r="AC15" s="86">
        <v>415606.05</v>
      </c>
      <c r="AD15" t="s">
        <v>70</v>
      </c>
      <c r="AE15" s="85">
        <v>287.54000000000002</v>
      </c>
      <c r="AF15" s="85">
        <v>287.54000000000002</v>
      </c>
      <c r="AG15" s="85"/>
      <c r="AH15" s="85"/>
      <c r="AI15" s="85"/>
      <c r="AJ15" s="85"/>
      <c r="AK15" s="85"/>
      <c r="AL15" s="85"/>
      <c r="AM15" s="85"/>
      <c r="AN15" s="85"/>
      <c r="AO15" s="85"/>
      <c r="AP15" s="85"/>
      <c r="AQ15" s="85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5">
        <v>0</v>
      </c>
      <c r="BF15" s="85">
        <v>0</v>
      </c>
      <c r="BG15" s="85">
        <v>0</v>
      </c>
      <c r="BH15" s="85">
        <v>415606.05</v>
      </c>
      <c r="BI15" s="85">
        <v>287.54000000000002</v>
      </c>
      <c r="BJ15" s="85">
        <v>287.54000000000002</v>
      </c>
      <c r="BO15">
        <v>39.549999999999997</v>
      </c>
      <c r="BP15" s="86">
        <v>164382.57999999999</v>
      </c>
      <c r="BQ15">
        <v>113.73</v>
      </c>
      <c r="BR15">
        <v>113.73</v>
      </c>
      <c r="BS15" s="85">
        <v>251223.47</v>
      </c>
      <c r="BT15" s="85">
        <v>173.81</v>
      </c>
      <c r="BU15" s="85">
        <v>173.81</v>
      </c>
      <c r="BX15" t="s">
        <v>781</v>
      </c>
      <c r="BZ15">
        <v>224573</v>
      </c>
      <c r="CA15">
        <v>224573</v>
      </c>
      <c r="CB15" t="s">
        <v>73</v>
      </c>
      <c r="CC15" t="s">
        <v>250</v>
      </c>
      <c r="CE15" t="s">
        <v>530</v>
      </c>
    </row>
    <row r="16" spans="1:83" x14ac:dyDescent="0.35">
      <c r="A16" t="s">
        <v>242</v>
      </c>
      <c r="B16">
        <v>3050535</v>
      </c>
      <c r="C16">
        <v>41651</v>
      </c>
      <c r="D16" t="s">
        <v>571</v>
      </c>
      <c r="E16">
        <v>275149001</v>
      </c>
      <c r="F16" t="s">
        <v>562</v>
      </c>
      <c r="G16" s="60">
        <v>46054</v>
      </c>
      <c r="H16">
        <v>40855406</v>
      </c>
      <c r="I16" t="s">
        <v>759</v>
      </c>
      <c r="J16" t="s">
        <v>260</v>
      </c>
      <c r="K16" t="s">
        <v>65</v>
      </c>
      <c r="L16">
        <v>0</v>
      </c>
      <c r="M16">
        <v>0</v>
      </c>
      <c r="N16" t="s">
        <v>566</v>
      </c>
      <c r="O16" t="s">
        <v>566</v>
      </c>
      <c r="P16" t="s">
        <v>563</v>
      </c>
      <c r="Q16">
        <v>5733116</v>
      </c>
      <c r="R16">
        <v>40600000</v>
      </c>
      <c r="S16" s="50">
        <v>45292</v>
      </c>
      <c r="T16" s="50">
        <v>46112</v>
      </c>
      <c r="U16" t="s">
        <v>66</v>
      </c>
      <c r="V16" t="s">
        <v>249</v>
      </c>
      <c r="W16" t="s">
        <v>92</v>
      </c>
      <c r="X16" t="s">
        <v>86</v>
      </c>
      <c r="Y16" t="s">
        <v>291</v>
      </c>
      <c r="Z16">
        <v>10573709</v>
      </c>
      <c r="AA16" s="50">
        <v>46081</v>
      </c>
      <c r="AB16" s="87" t="s">
        <v>93</v>
      </c>
      <c r="AC16" s="86">
        <v>49947.44</v>
      </c>
      <c r="AD16" t="s">
        <v>70</v>
      </c>
      <c r="AE16" s="85">
        <v>34.56</v>
      </c>
      <c r="AF16" s="85">
        <v>34.56</v>
      </c>
      <c r="AG16" s="85"/>
      <c r="AH16" s="85"/>
      <c r="AI16" s="85"/>
      <c r="AJ16" s="85"/>
      <c r="AK16" s="85"/>
      <c r="AL16" s="85"/>
      <c r="AM16" s="85"/>
      <c r="AN16" s="85"/>
      <c r="AO16" s="85"/>
      <c r="AP16" s="85"/>
      <c r="AQ16" s="85"/>
      <c r="AR16" s="85"/>
      <c r="AS16" s="85"/>
      <c r="AT16" s="85"/>
      <c r="AU16" s="85"/>
      <c r="AV16" s="85"/>
      <c r="AW16" s="85"/>
      <c r="AX16" s="85"/>
      <c r="AY16" s="85"/>
      <c r="AZ16" s="85"/>
      <c r="BA16" s="85"/>
      <c r="BB16" s="85"/>
      <c r="BC16" s="85"/>
      <c r="BD16" s="85"/>
      <c r="BE16" s="85">
        <v>0</v>
      </c>
      <c r="BF16" s="85">
        <v>0</v>
      </c>
      <c r="BG16" s="85">
        <v>0</v>
      </c>
      <c r="BH16" s="85">
        <v>49947.44</v>
      </c>
      <c r="BI16" s="85">
        <v>34.56</v>
      </c>
      <c r="BJ16" s="85">
        <v>34.56</v>
      </c>
      <c r="BO16">
        <v>39.549999999999997</v>
      </c>
      <c r="BP16" s="86">
        <v>19755.46</v>
      </c>
      <c r="BQ16">
        <v>13.67</v>
      </c>
      <c r="BR16">
        <v>13.67</v>
      </c>
      <c r="BS16" s="85">
        <v>30191.98</v>
      </c>
      <c r="BT16" s="85">
        <v>20.89</v>
      </c>
      <c r="BU16" s="85">
        <v>20.89</v>
      </c>
      <c r="BX16" t="s">
        <v>572</v>
      </c>
      <c r="BZ16">
        <v>47720819</v>
      </c>
      <c r="CA16">
        <v>47720819</v>
      </c>
      <c r="CB16" t="s">
        <v>73</v>
      </c>
      <c r="CC16" t="s">
        <v>250</v>
      </c>
      <c r="CE16" t="s">
        <v>530</v>
      </c>
    </row>
    <row r="17" spans="1:83" x14ac:dyDescent="0.35">
      <c r="A17" t="s">
        <v>242</v>
      </c>
      <c r="B17">
        <v>3050535</v>
      </c>
      <c r="C17">
        <v>41651</v>
      </c>
      <c r="D17" t="s">
        <v>571</v>
      </c>
      <c r="E17">
        <v>275149001</v>
      </c>
      <c r="F17" t="s">
        <v>562</v>
      </c>
      <c r="G17" s="60">
        <v>46054</v>
      </c>
      <c r="H17">
        <v>40855406</v>
      </c>
      <c r="I17" t="s">
        <v>759</v>
      </c>
      <c r="J17" t="s">
        <v>260</v>
      </c>
      <c r="K17" t="s">
        <v>65</v>
      </c>
      <c r="L17">
        <v>0</v>
      </c>
      <c r="M17">
        <v>0</v>
      </c>
      <c r="N17" t="s">
        <v>566</v>
      </c>
      <c r="O17" t="s">
        <v>566</v>
      </c>
      <c r="P17" t="s">
        <v>563</v>
      </c>
      <c r="Q17">
        <v>5733116</v>
      </c>
      <c r="R17">
        <v>40600000</v>
      </c>
      <c r="S17" s="50">
        <v>45292</v>
      </c>
      <c r="T17" s="50">
        <v>46127</v>
      </c>
      <c r="U17" t="s">
        <v>66</v>
      </c>
      <c r="V17" t="s">
        <v>249</v>
      </c>
      <c r="W17" t="s">
        <v>92</v>
      </c>
      <c r="X17" t="s">
        <v>86</v>
      </c>
      <c r="Y17" t="s">
        <v>291</v>
      </c>
      <c r="Z17">
        <v>10573709</v>
      </c>
      <c r="AA17" s="50">
        <v>46081</v>
      </c>
      <c r="AB17" s="87" t="s">
        <v>93</v>
      </c>
      <c r="AC17" s="86">
        <v>742048.17</v>
      </c>
      <c r="AD17" t="s">
        <v>70</v>
      </c>
      <c r="AE17" s="85">
        <v>513.39</v>
      </c>
      <c r="AF17" s="85">
        <v>513.39</v>
      </c>
      <c r="AG17" s="85"/>
      <c r="AH17" s="85"/>
      <c r="AI17" s="85"/>
      <c r="AJ17" s="85"/>
      <c r="AK17" s="85"/>
      <c r="AL17" s="85"/>
      <c r="AM17" s="85"/>
      <c r="AN17" s="85"/>
      <c r="AO17" s="85"/>
      <c r="AP17" s="85"/>
      <c r="AQ17" s="85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85"/>
      <c r="BC17" s="85"/>
      <c r="BD17" s="85"/>
      <c r="BE17" s="85">
        <v>0</v>
      </c>
      <c r="BF17" s="85">
        <v>0</v>
      </c>
      <c r="BG17" s="85">
        <v>0</v>
      </c>
      <c r="BH17" s="85">
        <v>742048.17</v>
      </c>
      <c r="BI17" s="85">
        <v>513.39</v>
      </c>
      <c r="BJ17" s="85">
        <v>513.39</v>
      </c>
      <c r="BO17">
        <v>39.549999999999997</v>
      </c>
      <c r="BP17" s="86">
        <v>293498.59999999998</v>
      </c>
      <c r="BQ17">
        <v>203.06</v>
      </c>
      <c r="BR17">
        <v>203.06</v>
      </c>
      <c r="BS17" s="85">
        <v>448549.57</v>
      </c>
      <c r="BT17" s="85">
        <v>310.33</v>
      </c>
      <c r="BU17" s="85">
        <v>310.33</v>
      </c>
      <c r="BX17" t="s">
        <v>572</v>
      </c>
      <c r="BZ17">
        <v>47720819</v>
      </c>
      <c r="CA17">
        <v>47720819</v>
      </c>
      <c r="CB17" t="s">
        <v>73</v>
      </c>
      <c r="CC17" t="s">
        <v>250</v>
      </c>
      <c r="CE17" t="s">
        <v>530</v>
      </c>
    </row>
    <row r="18" spans="1:83" x14ac:dyDescent="0.35">
      <c r="A18" t="s">
        <v>242</v>
      </c>
      <c r="B18">
        <v>3050535</v>
      </c>
      <c r="C18">
        <v>41651</v>
      </c>
      <c r="D18" t="s">
        <v>571</v>
      </c>
      <c r="E18">
        <v>275149001</v>
      </c>
      <c r="F18" t="s">
        <v>562</v>
      </c>
      <c r="G18" s="60">
        <v>46054</v>
      </c>
      <c r="H18">
        <v>40888664</v>
      </c>
      <c r="I18" t="s">
        <v>1197</v>
      </c>
      <c r="J18" t="s">
        <v>260</v>
      </c>
      <c r="K18" t="s">
        <v>65</v>
      </c>
      <c r="L18">
        <v>0</v>
      </c>
      <c r="M18">
        <v>0</v>
      </c>
      <c r="N18" t="s">
        <v>566</v>
      </c>
      <c r="O18" t="s">
        <v>566</v>
      </c>
      <c r="P18" t="s">
        <v>563</v>
      </c>
      <c r="Q18">
        <v>5733116</v>
      </c>
      <c r="R18">
        <v>40600000</v>
      </c>
      <c r="S18" s="50">
        <v>45292</v>
      </c>
      <c r="T18" s="50">
        <v>46127</v>
      </c>
      <c r="U18" t="s">
        <v>66</v>
      </c>
      <c r="V18" t="s">
        <v>249</v>
      </c>
      <c r="W18" t="s">
        <v>92</v>
      </c>
      <c r="X18" t="s">
        <v>86</v>
      </c>
      <c r="Y18" t="s">
        <v>291</v>
      </c>
      <c r="Z18">
        <v>10573709</v>
      </c>
      <c r="AA18" s="50">
        <v>46081</v>
      </c>
      <c r="AB18" s="87" t="s">
        <v>93</v>
      </c>
      <c r="AC18" s="86">
        <v>83205.63</v>
      </c>
      <c r="AD18" t="s">
        <v>70</v>
      </c>
      <c r="AE18" s="85">
        <v>57.57</v>
      </c>
      <c r="AF18" s="85">
        <v>57.57</v>
      </c>
      <c r="AG18" s="85"/>
      <c r="AH18" s="85"/>
      <c r="AI18" s="85"/>
      <c r="AJ18" s="85"/>
      <c r="AK18" s="85"/>
      <c r="AL18" s="85"/>
      <c r="AM18" s="85"/>
      <c r="AN18" s="85"/>
      <c r="AO18" s="85"/>
      <c r="AP18" s="85"/>
      <c r="AQ18" s="85"/>
      <c r="AR18" s="85"/>
      <c r="AS18" s="85"/>
      <c r="AT18" s="85"/>
      <c r="AU18" s="85"/>
      <c r="AV18" s="85"/>
      <c r="AW18" s="85"/>
      <c r="AX18" s="85"/>
      <c r="AY18" s="85"/>
      <c r="AZ18" s="85"/>
      <c r="BA18" s="85"/>
      <c r="BB18" s="85"/>
      <c r="BC18" s="85"/>
      <c r="BD18" s="85"/>
      <c r="BE18" s="85">
        <v>0</v>
      </c>
      <c r="BF18" s="85">
        <v>0</v>
      </c>
      <c r="BG18" s="85">
        <v>0</v>
      </c>
      <c r="BH18" s="85">
        <v>83205.63</v>
      </c>
      <c r="BI18" s="85">
        <v>57.57</v>
      </c>
      <c r="BJ18" s="85">
        <v>57.57</v>
      </c>
      <c r="BO18">
        <v>39.549999999999997</v>
      </c>
      <c r="BP18" s="86">
        <v>32909.910000000003</v>
      </c>
      <c r="BQ18">
        <v>22.77</v>
      </c>
      <c r="BR18">
        <v>22.77</v>
      </c>
      <c r="BS18" s="85">
        <v>50295.72</v>
      </c>
      <c r="BT18" s="85">
        <v>34.799999999999997</v>
      </c>
      <c r="BU18" s="85">
        <v>34.799999999999997</v>
      </c>
      <c r="BX18" t="s">
        <v>572</v>
      </c>
      <c r="BZ18">
        <v>47720819</v>
      </c>
      <c r="CA18">
        <v>47720819</v>
      </c>
      <c r="CB18" t="s">
        <v>72</v>
      </c>
      <c r="CC18" t="s">
        <v>250</v>
      </c>
      <c r="CE18" t="s">
        <v>530</v>
      </c>
    </row>
    <row r="19" spans="1:83" x14ac:dyDescent="0.35">
      <c r="A19" t="s">
        <v>242</v>
      </c>
      <c r="B19">
        <v>3050535</v>
      </c>
      <c r="C19">
        <v>41651</v>
      </c>
      <c r="D19" t="s">
        <v>771</v>
      </c>
      <c r="E19">
        <v>323150202</v>
      </c>
      <c r="F19" t="s">
        <v>699</v>
      </c>
      <c r="G19" s="60">
        <v>46054</v>
      </c>
      <c r="H19">
        <v>40832387</v>
      </c>
      <c r="I19" t="s">
        <v>772</v>
      </c>
      <c r="J19" t="s">
        <v>260</v>
      </c>
      <c r="K19" t="s">
        <v>65</v>
      </c>
      <c r="L19">
        <v>0</v>
      </c>
      <c r="M19">
        <v>0</v>
      </c>
      <c r="N19" t="s">
        <v>108</v>
      </c>
      <c r="O19" t="s">
        <v>108</v>
      </c>
      <c r="P19" t="s">
        <v>700</v>
      </c>
      <c r="Q19">
        <v>951193</v>
      </c>
      <c r="R19">
        <v>1500000</v>
      </c>
      <c r="S19" s="50">
        <v>46043</v>
      </c>
      <c r="T19" s="50">
        <v>46061</v>
      </c>
      <c r="U19" t="s">
        <v>79</v>
      </c>
      <c r="V19" t="s">
        <v>249</v>
      </c>
      <c r="W19" t="s">
        <v>92</v>
      </c>
      <c r="X19" t="s">
        <v>86</v>
      </c>
      <c r="Y19" t="s">
        <v>291</v>
      </c>
      <c r="Z19">
        <v>10573641</v>
      </c>
      <c r="AA19" s="50">
        <v>46081</v>
      </c>
      <c r="AB19" s="87" t="s">
        <v>93</v>
      </c>
      <c r="AC19" s="86">
        <v>92012.77</v>
      </c>
      <c r="AD19" t="s">
        <v>70</v>
      </c>
      <c r="AE19" s="85">
        <v>63.66</v>
      </c>
      <c r="AF19" s="85">
        <v>63.66</v>
      </c>
      <c r="AG19" s="85"/>
      <c r="AH19" s="85"/>
      <c r="AI19" s="85"/>
      <c r="AJ19" s="85"/>
      <c r="AK19" s="85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85"/>
      <c r="AX19" s="85"/>
      <c r="AY19" s="85"/>
      <c r="AZ19" s="85"/>
      <c r="BA19" s="85"/>
      <c r="BB19" s="85"/>
      <c r="BC19" s="85"/>
      <c r="BD19" s="85"/>
      <c r="BE19" s="85">
        <v>0</v>
      </c>
      <c r="BF19" s="85">
        <v>0</v>
      </c>
      <c r="BG19" s="85">
        <v>0</v>
      </c>
      <c r="BH19" s="85">
        <v>92012.77</v>
      </c>
      <c r="BI19" s="85">
        <v>63.66</v>
      </c>
      <c r="BJ19" s="85">
        <v>63.66</v>
      </c>
      <c r="BO19">
        <v>39.549999999999997</v>
      </c>
      <c r="BP19" s="86">
        <v>36393.35</v>
      </c>
      <c r="BQ19">
        <v>25.18</v>
      </c>
      <c r="BR19">
        <v>25.18</v>
      </c>
      <c r="BS19" s="85">
        <v>55619.42</v>
      </c>
      <c r="BT19" s="85">
        <v>38.479999999999997</v>
      </c>
      <c r="BU19" s="85">
        <v>38.479999999999997</v>
      </c>
      <c r="BX19" t="s">
        <v>773</v>
      </c>
      <c r="BZ19">
        <v>224529</v>
      </c>
      <c r="CA19">
        <v>224529</v>
      </c>
      <c r="CB19" t="s">
        <v>73</v>
      </c>
      <c r="CC19" t="s">
        <v>250</v>
      </c>
      <c r="CE19" t="s">
        <v>530</v>
      </c>
    </row>
    <row r="20" spans="1:83" x14ac:dyDescent="0.35">
      <c r="A20" t="s">
        <v>242</v>
      </c>
      <c r="B20">
        <v>3050535</v>
      </c>
      <c r="C20">
        <v>41651</v>
      </c>
      <c r="D20" t="s">
        <v>535</v>
      </c>
      <c r="E20">
        <v>323866901</v>
      </c>
      <c r="F20" t="s">
        <v>1044</v>
      </c>
      <c r="G20" s="60">
        <v>46054</v>
      </c>
      <c r="H20">
        <v>40964316</v>
      </c>
      <c r="I20" t="s">
        <v>1198</v>
      </c>
      <c r="J20" t="s">
        <v>482</v>
      </c>
      <c r="K20" t="s">
        <v>65</v>
      </c>
      <c r="L20">
        <v>0</v>
      </c>
      <c r="M20">
        <v>0</v>
      </c>
      <c r="N20" t="s">
        <v>1048</v>
      </c>
      <c r="O20" t="s">
        <v>1048</v>
      </c>
      <c r="P20" t="s">
        <v>532</v>
      </c>
      <c r="Q20">
        <v>136982071</v>
      </c>
      <c r="R20">
        <v>1133469</v>
      </c>
      <c r="S20" s="50">
        <v>46073</v>
      </c>
      <c r="T20" s="50">
        <v>46073</v>
      </c>
      <c r="U20" t="s">
        <v>69</v>
      </c>
      <c r="V20" t="s">
        <v>249</v>
      </c>
      <c r="W20" t="s">
        <v>92</v>
      </c>
      <c r="X20" t="s">
        <v>86</v>
      </c>
      <c r="Y20" t="s">
        <v>291</v>
      </c>
      <c r="Z20">
        <v>10573657</v>
      </c>
      <c r="AA20" s="50">
        <v>46081</v>
      </c>
      <c r="AB20" s="87" t="s">
        <v>93</v>
      </c>
      <c r="AC20" s="86">
        <v>1133469</v>
      </c>
      <c r="AD20" t="s">
        <v>70</v>
      </c>
      <c r="AE20" s="85">
        <v>784.19</v>
      </c>
      <c r="AF20" s="85">
        <v>784.19</v>
      </c>
      <c r="AG20" s="85"/>
      <c r="AH20" s="85"/>
      <c r="AI20" s="85"/>
      <c r="AJ20" s="85"/>
      <c r="AK20" s="85"/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85"/>
      <c r="BE20" s="85">
        <v>0</v>
      </c>
      <c r="BF20" s="85">
        <v>0</v>
      </c>
      <c r="BG20" s="85">
        <v>0</v>
      </c>
      <c r="BH20" s="85">
        <v>1133469</v>
      </c>
      <c r="BI20" s="85">
        <v>784.19</v>
      </c>
      <c r="BJ20" s="85">
        <v>784.19</v>
      </c>
      <c r="BO20">
        <v>22</v>
      </c>
      <c r="BP20" s="86">
        <v>249363.18</v>
      </c>
      <c r="BQ20">
        <v>172.52</v>
      </c>
      <c r="BR20">
        <v>172.52</v>
      </c>
      <c r="BS20" s="85">
        <v>884105.82</v>
      </c>
      <c r="BT20" s="85">
        <v>611.66999999999996</v>
      </c>
      <c r="BU20" s="85">
        <v>611.66999999999996</v>
      </c>
      <c r="BW20" t="s">
        <v>527</v>
      </c>
      <c r="BX20" t="s">
        <v>1199</v>
      </c>
      <c r="BZ20">
        <v>176864931</v>
      </c>
      <c r="CA20">
        <v>176864931</v>
      </c>
      <c r="CB20" t="s">
        <v>76</v>
      </c>
      <c r="CC20" t="s">
        <v>250</v>
      </c>
      <c r="CE20" t="s">
        <v>530</v>
      </c>
    </row>
    <row r="21" spans="1:83" x14ac:dyDescent="0.35">
      <c r="A21" t="s">
        <v>242</v>
      </c>
      <c r="B21">
        <v>3050535</v>
      </c>
      <c r="C21">
        <v>41651</v>
      </c>
      <c r="D21" t="s">
        <v>258</v>
      </c>
      <c r="E21">
        <v>324952701</v>
      </c>
      <c r="F21" t="s">
        <v>1145</v>
      </c>
      <c r="G21" s="60">
        <v>46054</v>
      </c>
      <c r="H21">
        <v>40968223</v>
      </c>
      <c r="I21" t="s">
        <v>1200</v>
      </c>
      <c r="J21" t="s">
        <v>260</v>
      </c>
      <c r="K21" t="s">
        <v>65</v>
      </c>
      <c r="L21">
        <v>0</v>
      </c>
      <c r="M21">
        <v>0</v>
      </c>
      <c r="N21" t="s">
        <v>100</v>
      </c>
      <c r="O21" t="s">
        <v>100</v>
      </c>
      <c r="P21" t="s">
        <v>115</v>
      </c>
      <c r="Q21">
        <v>100986</v>
      </c>
      <c r="R21">
        <v>900000</v>
      </c>
      <c r="S21" s="50">
        <v>46071</v>
      </c>
      <c r="T21" s="50">
        <v>46099</v>
      </c>
      <c r="U21" t="s">
        <v>69</v>
      </c>
      <c r="V21" t="s">
        <v>249</v>
      </c>
      <c r="W21" t="s">
        <v>92</v>
      </c>
      <c r="X21" t="s">
        <v>86</v>
      </c>
      <c r="Y21" t="s">
        <v>291</v>
      </c>
      <c r="Z21">
        <v>10573658</v>
      </c>
      <c r="AA21" s="50">
        <v>46081</v>
      </c>
      <c r="AB21" s="87" t="s">
        <v>93</v>
      </c>
      <c r="AC21" s="86">
        <v>298515.78999999998</v>
      </c>
      <c r="AD21" t="s">
        <v>70</v>
      </c>
      <c r="AE21" s="85">
        <v>206.53</v>
      </c>
      <c r="AF21" s="85">
        <v>206.53</v>
      </c>
      <c r="AG21" s="85"/>
      <c r="AH21" s="85"/>
      <c r="AI21" s="85"/>
      <c r="AJ21" s="85"/>
      <c r="AK21" s="85"/>
      <c r="AL21" s="85"/>
      <c r="AM21" s="85"/>
      <c r="AN21" s="85"/>
      <c r="AO21" s="85"/>
      <c r="AP21" s="85"/>
      <c r="AQ21" s="85"/>
      <c r="AR21" s="85"/>
      <c r="AS21" s="85"/>
      <c r="AT21" s="85"/>
      <c r="AU21" s="85"/>
      <c r="AV21" s="85"/>
      <c r="AW21" s="85"/>
      <c r="AX21" s="85"/>
      <c r="AY21" s="85"/>
      <c r="AZ21" s="85"/>
      <c r="BA21" s="85"/>
      <c r="BB21" s="85"/>
      <c r="BC21" s="85"/>
      <c r="BD21" s="85"/>
      <c r="BE21" s="85">
        <v>0</v>
      </c>
      <c r="BF21" s="85">
        <v>0</v>
      </c>
      <c r="BG21" s="85">
        <v>0</v>
      </c>
      <c r="BH21" s="85">
        <v>298515.78999999998</v>
      </c>
      <c r="BI21" s="85">
        <v>206.53</v>
      </c>
      <c r="BJ21" s="85">
        <v>206.53</v>
      </c>
      <c r="BO21">
        <v>22</v>
      </c>
      <c r="BP21" s="86">
        <v>65673.47</v>
      </c>
      <c r="BQ21">
        <v>45.44</v>
      </c>
      <c r="BR21">
        <v>45.44</v>
      </c>
      <c r="BS21" s="85">
        <v>232842.32</v>
      </c>
      <c r="BT21" s="85">
        <v>161.09</v>
      </c>
      <c r="BU21" s="85">
        <v>161.09</v>
      </c>
      <c r="BX21" t="s">
        <v>1201</v>
      </c>
      <c r="BZ21">
        <v>224581</v>
      </c>
      <c r="CA21">
        <v>224581</v>
      </c>
      <c r="CB21" t="s">
        <v>73</v>
      </c>
      <c r="CC21" t="s">
        <v>250</v>
      </c>
      <c r="CE21" t="s">
        <v>530</v>
      </c>
    </row>
    <row r="22" spans="1:83" x14ac:dyDescent="0.35">
      <c r="A22" t="s">
        <v>242</v>
      </c>
      <c r="B22">
        <v>3050535</v>
      </c>
      <c r="C22">
        <v>41651</v>
      </c>
      <c r="D22" t="s">
        <v>480</v>
      </c>
      <c r="E22">
        <v>276783201</v>
      </c>
      <c r="F22" t="s">
        <v>475</v>
      </c>
      <c r="G22" s="60">
        <v>46054</v>
      </c>
      <c r="H22">
        <v>37183205</v>
      </c>
      <c r="I22" t="s">
        <v>597</v>
      </c>
      <c r="J22" t="s">
        <v>260</v>
      </c>
      <c r="K22" t="s">
        <v>65</v>
      </c>
      <c r="L22">
        <v>0</v>
      </c>
      <c r="M22">
        <v>0</v>
      </c>
      <c r="P22" t="s">
        <v>476</v>
      </c>
      <c r="Q22">
        <v>184672459</v>
      </c>
      <c r="R22">
        <v>135550000</v>
      </c>
      <c r="S22" s="50">
        <v>45328</v>
      </c>
      <c r="T22" s="50">
        <v>46081</v>
      </c>
      <c r="U22" t="s">
        <v>79</v>
      </c>
      <c r="V22" t="s">
        <v>249</v>
      </c>
      <c r="W22" t="s">
        <v>92</v>
      </c>
      <c r="X22" t="s">
        <v>86</v>
      </c>
      <c r="Y22" t="s">
        <v>291</v>
      </c>
      <c r="Z22">
        <v>10573710</v>
      </c>
      <c r="AA22" s="50">
        <v>46081</v>
      </c>
      <c r="AB22" s="87" t="s">
        <v>93</v>
      </c>
      <c r="AC22" s="86">
        <v>3044546.16</v>
      </c>
      <c r="AD22" t="s">
        <v>70</v>
      </c>
      <c r="AE22" s="85">
        <v>2106.37</v>
      </c>
      <c r="AF22" s="85">
        <v>2106.37</v>
      </c>
      <c r="AG22" s="85"/>
      <c r="AH22" s="85"/>
      <c r="AI22" s="85"/>
      <c r="AJ22" s="85"/>
      <c r="AK22" s="85"/>
      <c r="AL22" s="85"/>
      <c r="AM22" s="85"/>
      <c r="AN22" s="85"/>
      <c r="AO22" s="85"/>
      <c r="AP22" s="85"/>
      <c r="AQ22" s="85"/>
      <c r="AR22" s="85"/>
      <c r="AS22" s="85"/>
      <c r="AT22" s="85"/>
      <c r="AU22" s="85"/>
      <c r="AV22" s="85"/>
      <c r="AW22" s="85"/>
      <c r="AX22" s="85"/>
      <c r="AY22" s="85"/>
      <c r="AZ22" s="85"/>
      <c r="BA22" s="85"/>
      <c r="BB22" s="85"/>
      <c r="BC22" s="85"/>
      <c r="BD22" s="85"/>
      <c r="BE22" s="85">
        <v>0</v>
      </c>
      <c r="BF22" s="85">
        <v>0</v>
      </c>
      <c r="BG22" s="85">
        <v>0</v>
      </c>
      <c r="BH22" s="85">
        <v>3044546.16</v>
      </c>
      <c r="BI22" s="85">
        <v>2106.37</v>
      </c>
      <c r="BJ22" s="85">
        <v>2106.37</v>
      </c>
      <c r="BO22">
        <v>39.549999999999997</v>
      </c>
      <c r="BP22" s="86">
        <v>1204194.1200000001</v>
      </c>
      <c r="BQ22">
        <v>833.12</v>
      </c>
      <c r="BR22">
        <v>833.12</v>
      </c>
      <c r="BS22" s="85">
        <v>1840352.04</v>
      </c>
      <c r="BT22" s="85">
        <v>1273.25</v>
      </c>
      <c r="BU22" s="85">
        <v>1273.25</v>
      </c>
      <c r="BX22" t="s">
        <v>481</v>
      </c>
      <c r="CB22" t="s">
        <v>72</v>
      </c>
      <c r="CC22" t="s">
        <v>250</v>
      </c>
      <c r="CE22" t="s">
        <v>530</v>
      </c>
    </row>
    <row r="23" spans="1:83" x14ac:dyDescent="0.35">
      <c r="A23" t="s">
        <v>242</v>
      </c>
      <c r="B23">
        <v>3050535</v>
      </c>
      <c r="C23">
        <v>41651</v>
      </c>
      <c r="D23" t="s">
        <v>551</v>
      </c>
      <c r="E23">
        <v>324874901</v>
      </c>
      <c r="F23" t="s">
        <v>1102</v>
      </c>
      <c r="G23" s="60">
        <v>46054</v>
      </c>
      <c r="H23">
        <v>40930400</v>
      </c>
      <c r="I23" t="s">
        <v>1202</v>
      </c>
      <c r="J23" t="s">
        <v>260</v>
      </c>
      <c r="K23" t="s">
        <v>65</v>
      </c>
      <c r="L23">
        <v>0</v>
      </c>
      <c r="M23">
        <v>0</v>
      </c>
      <c r="N23" t="s">
        <v>259</v>
      </c>
      <c r="O23" t="s">
        <v>259</v>
      </c>
      <c r="P23" t="s">
        <v>98</v>
      </c>
      <c r="Q23">
        <v>80883</v>
      </c>
      <c r="R23">
        <v>1000000</v>
      </c>
      <c r="S23" s="50">
        <v>46064</v>
      </c>
      <c r="T23" s="50">
        <v>46108</v>
      </c>
      <c r="U23" t="s">
        <v>79</v>
      </c>
      <c r="V23" t="s">
        <v>249</v>
      </c>
      <c r="W23" t="s">
        <v>92</v>
      </c>
      <c r="X23" t="s">
        <v>86</v>
      </c>
      <c r="Y23" t="s">
        <v>291</v>
      </c>
      <c r="Z23">
        <v>10573651</v>
      </c>
      <c r="AA23" s="50">
        <v>46081</v>
      </c>
      <c r="AB23" s="87" t="s">
        <v>93</v>
      </c>
      <c r="AC23" s="86">
        <v>999321.21</v>
      </c>
      <c r="AD23" t="s">
        <v>70</v>
      </c>
      <c r="AE23" s="85">
        <v>691.38</v>
      </c>
      <c r="AF23" s="85">
        <v>691.38</v>
      </c>
      <c r="AG23" s="85"/>
      <c r="AH23" s="85"/>
      <c r="AI23" s="85"/>
      <c r="AJ23" s="85"/>
      <c r="AK23" s="85"/>
      <c r="AL23" s="85"/>
      <c r="AM23" s="85"/>
      <c r="AN23" s="85"/>
      <c r="AO23" s="85"/>
      <c r="AP23" s="85"/>
      <c r="AQ23" s="85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5">
        <v>0</v>
      </c>
      <c r="BF23" s="85">
        <v>0</v>
      </c>
      <c r="BG23" s="85">
        <v>0</v>
      </c>
      <c r="BH23" s="85">
        <v>999321.21</v>
      </c>
      <c r="BI23" s="85">
        <v>691.38</v>
      </c>
      <c r="BJ23" s="85">
        <v>691.38</v>
      </c>
      <c r="BO23">
        <v>22</v>
      </c>
      <c r="BP23" s="86">
        <v>219850.67</v>
      </c>
      <c r="BQ23">
        <v>152.1</v>
      </c>
      <c r="BR23">
        <v>152.1</v>
      </c>
      <c r="BS23" s="85">
        <v>779470.54</v>
      </c>
      <c r="BT23" s="85">
        <v>539.28</v>
      </c>
      <c r="BU23" s="85">
        <v>539.28</v>
      </c>
      <c r="BX23" t="s">
        <v>1203</v>
      </c>
      <c r="BZ23">
        <v>66013147</v>
      </c>
      <c r="CA23">
        <v>66013147</v>
      </c>
      <c r="CB23" t="s">
        <v>68</v>
      </c>
      <c r="CC23" t="s">
        <v>250</v>
      </c>
      <c r="CE23" t="s">
        <v>530</v>
      </c>
    </row>
    <row r="24" spans="1:83" x14ac:dyDescent="0.35">
      <c r="A24" t="s">
        <v>242</v>
      </c>
      <c r="B24">
        <v>3050535</v>
      </c>
      <c r="C24">
        <v>41651</v>
      </c>
      <c r="D24" t="s">
        <v>262</v>
      </c>
      <c r="E24">
        <v>320938401</v>
      </c>
      <c r="F24" t="s">
        <v>632</v>
      </c>
      <c r="G24" s="60">
        <v>46054</v>
      </c>
      <c r="H24">
        <v>40613189</v>
      </c>
      <c r="I24" t="s">
        <v>640</v>
      </c>
      <c r="J24" t="s">
        <v>260</v>
      </c>
      <c r="K24" t="s">
        <v>65</v>
      </c>
      <c r="L24">
        <v>0</v>
      </c>
      <c r="M24">
        <v>0</v>
      </c>
      <c r="N24" t="s">
        <v>561</v>
      </c>
      <c r="O24" t="s">
        <v>561</v>
      </c>
      <c r="P24" t="s">
        <v>257</v>
      </c>
      <c r="Q24">
        <v>57936819</v>
      </c>
      <c r="R24">
        <v>19250000.57</v>
      </c>
      <c r="S24" s="50">
        <v>45995</v>
      </c>
      <c r="T24" s="50">
        <v>46081</v>
      </c>
      <c r="U24" t="s">
        <v>69</v>
      </c>
      <c r="V24" t="s">
        <v>249</v>
      </c>
      <c r="W24" t="s">
        <v>92</v>
      </c>
      <c r="X24" t="s">
        <v>86</v>
      </c>
      <c r="Y24" t="s">
        <v>291</v>
      </c>
      <c r="Z24">
        <v>10573653</v>
      </c>
      <c r="AA24" s="50">
        <v>46081</v>
      </c>
      <c r="AB24" s="87" t="s">
        <v>93</v>
      </c>
      <c r="AC24" s="86">
        <v>2052055</v>
      </c>
      <c r="AD24" t="s">
        <v>70</v>
      </c>
      <c r="AE24" s="85">
        <v>1419.72</v>
      </c>
      <c r="AF24" s="85">
        <v>1419.72</v>
      </c>
      <c r="AG24" s="85"/>
      <c r="AH24" s="85"/>
      <c r="AI24" s="85"/>
      <c r="AJ24" s="85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5">
        <v>0</v>
      </c>
      <c r="BF24" s="85">
        <v>0</v>
      </c>
      <c r="BG24" s="85">
        <v>0</v>
      </c>
      <c r="BH24" s="85">
        <v>2052055</v>
      </c>
      <c r="BI24" s="85">
        <v>1419.72</v>
      </c>
      <c r="BJ24" s="85">
        <v>1419.72</v>
      </c>
      <c r="BO24">
        <v>39.549999999999997</v>
      </c>
      <c r="BP24" s="86">
        <v>811639.05</v>
      </c>
      <c r="BQ24">
        <v>561.53</v>
      </c>
      <c r="BR24">
        <v>561.53</v>
      </c>
      <c r="BS24" s="85">
        <v>1240415.95</v>
      </c>
      <c r="BT24" s="85">
        <v>858.19</v>
      </c>
      <c r="BU24" s="85">
        <v>858.19</v>
      </c>
      <c r="BX24" t="s">
        <v>641</v>
      </c>
      <c r="BZ24">
        <v>224573</v>
      </c>
      <c r="CA24">
        <v>224573</v>
      </c>
      <c r="CB24" t="s">
        <v>73</v>
      </c>
      <c r="CC24" t="s">
        <v>250</v>
      </c>
      <c r="CE24" t="s">
        <v>530</v>
      </c>
    </row>
    <row r="25" spans="1:83" x14ac:dyDescent="0.35">
      <c r="A25" t="s">
        <v>242</v>
      </c>
      <c r="B25">
        <v>3050535</v>
      </c>
      <c r="C25">
        <v>41651</v>
      </c>
      <c r="D25" t="s">
        <v>583</v>
      </c>
      <c r="E25">
        <v>324878901</v>
      </c>
      <c r="F25" t="s">
        <v>1112</v>
      </c>
      <c r="G25" s="60">
        <v>46054</v>
      </c>
      <c r="H25">
        <v>40931585</v>
      </c>
      <c r="I25" t="s">
        <v>1204</v>
      </c>
      <c r="J25" t="s">
        <v>260</v>
      </c>
      <c r="K25" t="s">
        <v>65</v>
      </c>
      <c r="L25">
        <v>0</v>
      </c>
      <c r="M25">
        <v>0</v>
      </c>
      <c r="N25" t="s">
        <v>108</v>
      </c>
      <c r="O25" t="s">
        <v>108</v>
      </c>
      <c r="P25" t="s">
        <v>104</v>
      </c>
      <c r="Q25">
        <v>292623</v>
      </c>
      <c r="R25">
        <v>6195990</v>
      </c>
      <c r="S25" s="50">
        <v>46064</v>
      </c>
      <c r="T25" s="50">
        <v>46081</v>
      </c>
      <c r="U25" t="s">
        <v>79</v>
      </c>
      <c r="V25" t="s">
        <v>249</v>
      </c>
      <c r="W25" t="s">
        <v>92</v>
      </c>
      <c r="X25" t="s">
        <v>86</v>
      </c>
      <c r="Y25" t="s">
        <v>291</v>
      </c>
      <c r="Z25">
        <v>10573682</v>
      </c>
      <c r="AA25" s="50">
        <v>46081</v>
      </c>
      <c r="AB25" s="87" t="s">
        <v>93</v>
      </c>
      <c r="AC25" s="86">
        <v>3511586.88</v>
      </c>
      <c r="AD25" t="s">
        <v>70</v>
      </c>
      <c r="AE25" s="85">
        <v>2429.5</v>
      </c>
      <c r="AF25" s="85">
        <v>2429.5</v>
      </c>
      <c r="AG25" s="85"/>
      <c r="AH25" s="85"/>
      <c r="AI25" s="85"/>
      <c r="AJ25" s="85"/>
      <c r="AK25" s="85"/>
      <c r="AL25" s="85"/>
      <c r="AM25" s="85"/>
      <c r="AN25" s="85"/>
      <c r="AO25" s="85"/>
      <c r="AP25" s="85"/>
      <c r="AQ25" s="85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5">
        <v>0</v>
      </c>
      <c r="BF25" s="85">
        <v>0</v>
      </c>
      <c r="BG25" s="85">
        <v>0</v>
      </c>
      <c r="BH25" s="85">
        <v>3511586.88</v>
      </c>
      <c r="BI25" s="85">
        <v>2429.5</v>
      </c>
      <c r="BJ25" s="85">
        <v>2429.5</v>
      </c>
      <c r="BO25">
        <v>22</v>
      </c>
      <c r="BP25" s="86">
        <v>772549.11</v>
      </c>
      <c r="BQ25">
        <v>534.49</v>
      </c>
      <c r="BR25">
        <v>534.49</v>
      </c>
      <c r="BS25" s="85">
        <v>2739037.77</v>
      </c>
      <c r="BT25" s="85">
        <v>1895.01</v>
      </c>
      <c r="BU25" s="85">
        <v>1895.01</v>
      </c>
      <c r="BX25" t="s">
        <v>1205</v>
      </c>
      <c r="BZ25">
        <v>224529</v>
      </c>
      <c r="CA25">
        <v>224529</v>
      </c>
      <c r="CB25" t="s">
        <v>73</v>
      </c>
      <c r="CC25" t="s">
        <v>250</v>
      </c>
      <c r="CE25" t="s">
        <v>530</v>
      </c>
    </row>
    <row r="26" spans="1:83" x14ac:dyDescent="0.35">
      <c r="A26" t="s">
        <v>242</v>
      </c>
      <c r="B26">
        <v>3050535</v>
      </c>
      <c r="C26">
        <v>41651</v>
      </c>
      <c r="D26" t="s">
        <v>552</v>
      </c>
      <c r="E26">
        <v>322531401</v>
      </c>
      <c r="F26" t="s">
        <v>692</v>
      </c>
      <c r="G26" s="60">
        <v>46054</v>
      </c>
      <c r="H26">
        <v>40881295</v>
      </c>
      <c r="I26" t="s">
        <v>1206</v>
      </c>
      <c r="J26" t="s">
        <v>260</v>
      </c>
      <c r="K26" t="s">
        <v>65</v>
      </c>
      <c r="L26">
        <v>0</v>
      </c>
      <c r="M26">
        <v>0</v>
      </c>
      <c r="N26" t="s">
        <v>255</v>
      </c>
      <c r="O26" t="s">
        <v>255</v>
      </c>
      <c r="P26" t="s">
        <v>548</v>
      </c>
      <c r="Q26">
        <v>7000116</v>
      </c>
      <c r="R26">
        <v>12650000</v>
      </c>
      <c r="S26" s="50">
        <v>46035</v>
      </c>
      <c r="T26" s="50">
        <v>46081</v>
      </c>
      <c r="U26" t="s">
        <v>79</v>
      </c>
      <c r="V26" t="s">
        <v>249</v>
      </c>
      <c r="W26" t="s">
        <v>92</v>
      </c>
      <c r="X26" t="s">
        <v>86</v>
      </c>
      <c r="Y26" t="s">
        <v>291</v>
      </c>
      <c r="Z26">
        <v>10573696</v>
      </c>
      <c r="AA26" s="50">
        <v>46081</v>
      </c>
      <c r="AB26" s="87" t="s">
        <v>93</v>
      </c>
      <c r="AC26" s="86">
        <v>683.6</v>
      </c>
      <c r="AD26" t="s">
        <v>70</v>
      </c>
      <c r="AE26" s="85">
        <v>0.47</v>
      </c>
      <c r="AF26" s="85">
        <v>0.47</v>
      </c>
      <c r="AG26" s="85"/>
      <c r="AH26" s="85"/>
      <c r="AI26" s="85"/>
      <c r="AJ26" s="85"/>
      <c r="AK26" s="85"/>
      <c r="AL26" s="85"/>
      <c r="AM26" s="85"/>
      <c r="AN26" s="85"/>
      <c r="AO26" s="85"/>
      <c r="AP26" s="85"/>
      <c r="AQ26" s="85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5">
        <v>0</v>
      </c>
      <c r="BF26" s="85">
        <v>0</v>
      </c>
      <c r="BG26" s="85">
        <v>0</v>
      </c>
      <c r="BH26" s="85">
        <v>683.6</v>
      </c>
      <c r="BI26" s="85">
        <v>0.47</v>
      </c>
      <c r="BJ26" s="85">
        <v>0.47</v>
      </c>
      <c r="BO26">
        <v>39.549999999999997</v>
      </c>
      <c r="BP26" s="86">
        <v>270.38</v>
      </c>
      <c r="BQ26">
        <v>0.19</v>
      </c>
      <c r="BR26">
        <v>0.19</v>
      </c>
      <c r="BS26" s="85">
        <v>413.22</v>
      </c>
      <c r="BT26" s="85">
        <v>0.28000000000000003</v>
      </c>
      <c r="BU26" s="85">
        <v>0.28000000000000003</v>
      </c>
      <c r="BX26" t="s">
        <v>731</v>
      </c>
      <c r="BZ26">
        <v>63304606</v>
      </c>
      <c r="CA26">
        <v>63304606</v>
      </c>
      <c r="CB26" t="s">
        <v>73</v>
      </c>
      <c r="CC26" t="s">
        <v>250</v>
      </c>
      <c r="CE26" t="s">
        <v>530</v>
      </c>
    </row>
    <row r="27" spans="1:83" x14ac:dyDescent="0.35">
      <c r="A27" t="s">
        <v>242</v>
      </c>
      <c r="B27">
        <v>3050535</v>
      </c>
      <c r="C27">
        <v>41651</v>
      </c>
      <c r="D27" t="s">
        <v>552</v>
      </c>
      <c r="E27">
        <v>322531401</v>
      </c>
      <c r="F27" t="s">
        <v>692</v>
      </c>
      <c r="G27" s="60">
        <v>46054</v>
      </c>
      <c r="H27">
        <v>40881340</v>
      </c>
      <c r="I27" t="s">
        <v>1207</v>
      </c>
      <c r="J27" t="s">
        <v>260</v>
      </c>
      <c r="K27" t="s">
        <v>65</v>
      </c>
      <c r="L27">
        <v>0</v>
      </c>
      <c r="M27">
        <v>0</v>
      </c>
      <c r="N27" t="s">
        <v>255</v>
      </c>
      <c r="O27" t="s">
        <v>255</v>
      </c>
      <c r="P27" t="s">
        <v>548</v>
      </c>
      <c r="Q27">
        <v>7000116</v>
      </c>
      <c r="R27">
        <v>12650000</v>
      </c>
      <c r="S27" s="50">
        <v>46035</v>
      </c>
      <c r="T27" s="50">
        <v>46081</v>
      </c>
      <c r="U27" t="s">
        <v>79</v>
      </c>
      <c r="V27" t="s">
        <v>249</v>
      </c>
      <c r="W27" t="s">
        <v>92</v>
      </c>
      <c r="X27" t="s">
        <v>86</v>
      </c>
      <c r="Y27" t="s">
        <v>291</v>
      </c>
      <c r="Z27">
        <v>10573696</v>
      </c>
      <c r="AA27" s="50">
        <v>46081</v>
      </c>
      <c r="AB27" s="87" t="s">
        <v>93</v>
      </c>
      <c r="AC27" s="86">
        <v>400118.71</v>
      </c>
      <c r="AD27" t="s">
        <v>70</v>
      </c>
      <c r="AE27" s="85">
        <v>276.82</v>
      </c>
      <c r="AF27" s="85">
        <v>276.82</v>
      </c>
      <c r="AG27" s="85"/>
      <c r="AH27" s="85"/>
      <c r="AI27" s="85"/>
      <c r="AJ27" s="85"/>
      <c r="AK27" s="85"/>
      <c r="AL27" s="85"/>
      <c r="AM27" s="85"/>
      <c r="AN27" s="85"/>
      <c r="AO27" s="85"/>
      <c r="AP27" s="85"/>
      <c r="AQ27" s="85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5">
        <v>0</v>
      </c>
      <c r="BF27" s="85">
        <v>0</v>
      </c>
      <c r="BG27" s="85">
        <v>0</v>
      </c>
      <c r="BH27" s="85">
        <v>400118.71</v>
      </c>
      <c r="BI27" s="85">
        <v>276.82</v>
      </c>
      <c r="BJ27" s="85">
        <v>276.82</v>
      </c>
      <c r="BO27">
        <v>39.549999999999997</v>
      </c>
      <c r="BP27" s="86">
        <v>158256.95000000001</v>
      </c>
      <c r="BQ27">
        <v>109.49</v>
      </c>
      <c r="BR27">
        <v>109.49</v>
      </c>
      <c r="BS27" s="85">
        <v>241861.76000000001</v>
      </c>
      <c r="BT27" s="85">
        <v>167.33</v>
      </c>
      <c r="BU27" s="85">
        <v>167.33</v>
      </c>
      <c r="BX27" t="s">
        <v>731</v>
      </c>
      <c r="BZ27">
        <v>63304606</v>
      </c>
      <c r="CA27">
        <v>63304606</v>
      </c>
      <c r="CB27" t="s">
        <v>72</v>
      </c>
      <c r="CC27" t="s">
        <v>250</v>
      </c>
      <c r="CE27" t="s">
        <v>530</v>
      </c>
    </row>
    <row r="28" spans="1:83" x14ac:dyDescent="0.35">
      <c r="A28" t="s">
        <v>242</v>
      </c>
      <c r="B28">
        <v>3050535</v>
      </c>
      <c r="C28">
        <v>41651</v>
      </c>
      <c r="D28" t="s">
        <v>552</v>
      </c>
      <c r="E28">
        <v>322531401</v>
      </c>
      <c r="F28" t="s">
        <v>692</v>
      </c>
      <c r="G28" s="60">
        <v>46054</v>
      </c>
      <c r="H28">
        <v>40881295</v>
      </c>
      <c r="I28" t="s">
        <v>1206</v>
      </c>
      <c r="J28" t="s">
        <v>260</v>
      </c>
      <c r="K28" t="s">
        <v>65</v>
      </c>
      <c r="L28">
        <v>0</v>
      </c>
      <c r="M28">
        <v>0</v>
      </c>
      <c r="N28" t="s">
        <v>255</v>
      </c>
      <c r="O28" t="s">
        <v>255</v>
      </c>
      <c r="P28" t="s">
        <v>548</v>
      </c>
      <c r="Q28">
        <v>7000116</v>
      </c>
      <c r="R28">
        <v>12650000</v>
      </c>
      <c r="S28" s="50">
        <v>46035</v>
      </c>
      <c r="T28" s="50">
        <v>46081</v>
      </c>
      <c r="U28" t="s">
        <v>79</v>
      </c>
      <c r="V28" t="s">
        <v>249</v>
      </c>
      <c r="W28" t="s">
        <v>92</v>
      </c>
      <c r="X28" t="s">
        <v>86</v>
      </c>
      <c r="Y28" t="s">
        <v>291</v>
      </c>
      <c r="Z28">
        <v>10573696</v>
      </c>
      <c r="AA28" s="50">
        <v>46081</v>
      </c>
      <c r="AB28" s="87" t="s">
        <v>93</v>
      </c>
      <c r="AC28" s="86">
        <v>149370.98000000001</v>
      </c>
      <c r="AD28" t="s">
        <v>70</v>
      </c>
      <c r="AE28" s="85">
        <v>103.34</v>
      </c>
      <c r="AF28" s="85">
        <v>103.34</v>
      </c>
      <c r="AG28" s="85"/>
      <c r="AH28" s="85"/>
      <c r="AI28" s="85"/>
      <c r="AJ28" s="85"/>
      <c r="AK28" s="85"/>
      <c r="AL28" s="85"/>
      <c r="AM28" s="85"/>
      <c r="AN28" s="85"/>
      <c r="AO28" s="85"/>
      <c r="AP28" s="85"/>
      <c r="AQ28" s="85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5">
        <v>0</v>
      </c>
      <c r="BF28" s="85">
        <v>0</v>
      </c>
      <c r="BG28" s="85">
        <v>0</v>
      </c>
      <c r="BH28" s="85">
        <v>149370.98000000001</v>
      </c>
      <c r="BI28" s="85">
        <v>103.34</v>
      </c>
      <c r="BJ28" s="85">
        <v>103.34</v>
      </c>
      <c r="BO28">
        <v>39.549999999999997</v>
      </c>
      <c r="BP28" s="86">
        <v>59079.96</v>
      </c>
      <c r="BQ28">
        <v>40.869999999999997</v>
      </c>
      <c r="BR28">
        <v>40.869999999999997</v>
      </c>
      <c r="BS28" s="85">
        <v>90291.02</v>
      </c>
      <c r="BT28" s="85">
        <v>62.47</v>
      </c>
      <c r="BU28" s="85">
        <v>62.47</v>
      </c>
      <c r="BX28" t="s">
        <v>731</v>
      </c>
      <c r="BZ28">
        <v>63304606</v>
      </c>
      <c r="CA28">
        <v>63304606</v>
      </c>
      <c r="CB28" t="s">
        <v>73</v>
      </c>
      <c r="CC28" t="s">
        <v>250</v>
      </c>
      <c r="CE28" t="s">
        <v>530</v>
      </c>
    </row>
    <row r="29" spans="1:83" x14ac:dyDescent="0.35">
      <c r="A29" t="s">
        <v>242</v>
      </c>
      <c r="B29">
        <v>3050535</v>
      </c>
      <c r="C29">
        <v>41651</v>
      </c>
      <c r="D29" t="s">
        <v>552</v>
      </c>
      <c r="E29">
        <v>322531401</v>
      </c>
      <c r="F29" t="s">
        <v>692</v>
      </c>
      <c r="G29" s="60">
        <v>46054</v>
      </c>
      <c r="H29">
        <v>40881149</v>
      </c>
      <c r="I29" t="s">
        <v>1208</v>
      </c>
      <c r="J29" t="s">
        <v>260</v>
      </c>
      <c r="K29" t="s">
        <v>65</v>
      </c>
      <c r="L29">
        <v>0</v>
      </c>
      <c r="M29">
        <v>0</v>
      </c>
      <c r="N29" t="s">
        <v>255</v>
      </c>
      <c r="O29" t="s">
        <v>255</v>
      </c>
      <c r="P29" t="s">
        <v>548</v>
      </c>
      <c r="Q29">
        <v>7000116</v>
      </c>
      <c r="R29">
        <v>12650000</v>
      </c>
      <c r="S29" s="50">
        <v>46035</v>
      </c>
      <c r="T29" s="50">
        <v>46081</v>
      </c>
      <c r="U29" t="s">
        <v>79</v>
      </c>
      <c r="V29" t="s">
        <v>249</v>
      </c>
      <c r="W29" t="s">
        <v>92</v>
      </c>
      <c r="X29" t="s">
        <v>86</v>
      </c>
      <c r="Y29" t="s">
        <v>291</v>
      </c>
      <c r="Z29">
        <v>10573696</v>
      </c>
      <c r="AA29" s="50">
        <v>46081</v>
      </c>
      <c r="AB29" s="87" t="s">
        <v>93</v>
      </c>
      <c r="AC29" s="86">
        <v>141931.28</v>
      </c>
      <c r="AD29" t="s">
        <v>70</v>
      </c>
      <c r="AE29" s="85">
        <v>98.2</v>
      </c>
      <c r="AF29" s="85">
        <v>98.2</v>
      </c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5">
        <v>0</v>
      </c>
      <c r="BF29" s="85">
        <v>0</v>
      </c>
      <c r="BG29" s="85">
        <v>0</v>
      </c>
      <c r="BH29" s="85">
        <v>141931.28</v>
      </c>
      <c r="BI29" s="85">
        <v>98.2</v>
      </c>
      <c r="BJ29" s="85">
        <v>98.2</v>
      </c>
      <c r="BO29">
        <v>39.549999999999997</v>
      </c>
      <c r="BP29" s="86">
        <v>56137.37</v>
      </c>
      <c r="BQ29">
        <v>38.840000000000003</v>
      </c>
      <c r="BR29">
        <v>38.840000000000003</v>
      </c>
      <c r="BS29" s="85">
        <v>85793.91</v>
      </c>
      <c r="BT29" s="85">
        <v>59.36</v>
      </c>
      <c r="BU29" s="85">
        <v>59.36</v>
      </c>
      <c r="BX29" t="s">
        <v>731</v>
      </c>
      <c r="BZ29">
        <v>63304606</v>
      </c>
      <c r="CA29">
        <v>63304606</v>
      </c>
      <c r="CB29" t="s">
        <v>73</v>
      </c>
      <c r="CC29" t="s">
        <v>250</v>
      </c>
      <c r="CE29" t="s">
        <v>530</v>
      </c>
    </row>
    <row r="30" spans="1:83" x14ac:dyDescent="0.35">
      <c r="A30" t="s">
        <v>242</v>
      </c>
      <c r="B30">
        <v>3050535</v>
      </c>
      <c r="C30">
        <v>41651</v>
      </c>
      <c r="D30" t="s">
        <v>552</v>
      </c>
      <c r="E30">
        <v>322531401</v>
      </c>
      <c r="F30" t="s">
        <v>692</v>
      </c>
      <c r="G30" s="60">
        <v>46054</v>
      </c>
      <c r="H30">
        <v>40881312</v>
      </c>
      <c r="I30" t="s">
        <v>1209</v>
      </c>
      <c r="J30" t="s">
        <v>260</v>
      </c>
      <c r="K30" t="s">
        <v>65</v>
      </c>
      <c r="L30">
        <v>0</v>
      </c>
      <c r="M30">
        <v>0</v>
      </c>
      <c r="N30" t="s">
        <v>255</v>
      </c>
      <c r="O30" t="s">
        <v>255</v>
      </c>
      <c r="P30" t="s">
        <v>548</v>
      </c>
      <c r="Q30">
        <v>7000116</v>
      </c>
      <c r="R30">
        <v>12650000</v>
      </c>
      <c r="S30" s="50">
        <v>46035</v>
      </c>
      <c r="T30" s="50">
        <v>46081</v>
      </c>
      <c r="U30" t="s">
        <v>79</v>
      </c>
      <c r="V30" t="s">
        <v>249</v>
      </c>
      <c r="W30" t="s">
        <v>92</v>
      </c>
      <c r="X30" t="s">
        <v>86</v>
      </c>
      <c r="Y30" t="s">
        <v>291</v>
      </c>
      <c r="Z30">
        <v>10573696</v>
      </c>
      <c r="AA30" s="50">
        <v>46081</v>
      </c>
      <c r="AB30" s="87" t="s">
        <v>93</v>
      </c>
      <c r="AC30" s="86">
        <v>600181.04</v>
      </c>
      <c r="AD30" t="s">
        <v>70</v>
      </c>
      <c r="AE30" s="85">
        <v>415.24</v>
      </c>
      <c r="AF30" s="85">
        <v>415.24</v>
      </c>
      <c r="AG30" s="85"/>
      <c r="AH30" s="85"/>
      <c r="AI30" s="85"/>
      <c r="AJ30" s="85"/>
      <c r="AK30" s="85"/>
      <c r="AL30" s="85"/>
      <c r="AM30" s="85"/>
      <c r="AN30" s="85"/>
      <c r="AO30" s="85"/>
      <c r="AP30" s="85"/>
      <c r="AQ30" s="85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5">
        <v>0</v>
      </c>
      <c r="BF30" s="85">
        <v>0</v>
      </c>
      <c r="BG30" s="85">
        <v>0</v>
      </c>
      <c r="BH30" s="85">
        <v>600181.04</v>
      </c>
      <c r="BI30" s="85">
        <v>415.24</v>
      </c>
      <c r="BJ30" s="85">
        <v>415.24</v>
      </c>
      <c r="BO30">
        <v>39.549999999999997</v>
      </c>
      <c r="BP30" s="86">
        <v>237386.61</v>
      </c>
      <c r="BQ30">
        <v>164.24</v>
      </c>
      <c r="BR30">
        <v>164.24</v>
      </c>
      <c r="BS30" s="85">
        <v>362794.43</v>
      </c>
      <c r="BT30" s="85">
        <v>251</v>
      </c>
      <c r="BU30" s="85">
        <v>251</v>
      </c>
      <c r="BX30" t="s">
        <v>731</v>
      </c>
      <c r="BZ30">
        <v>63304606</v>
      </c>
      <c r="CA30">
        <v>63304606</v>
      </c>
      <c r="CB30" t="s">
        <v>73</v>
      </c>
      <c r="CC30" t="s">
        <v>250</v>
      </c>
      <c r="CE30" t="s">
        <v>530</v>
      </c>
    </row>
    <row r="31" spans="1:83" x14ac:dyDescent="0.35">
      <c r="A31" t="s">
        <v>242</v>
      </c>
      <c r="B31">
        <v>3050535</v>
      </c>
      <c r="C31">
        <v>41651</v>
      </c>
      <c r="D31" t="s">
        <v>552</v>
      </c>
      <c r="E31">
        <v>322531401</v>
      </c>
      <c r="F31" t="s">
        <v>692</v>
      </c>
      <c r="G31" s="60">
        <v>46054</v>
      </c>
      <c r="H31">
        <v>40881229</v>
      </c>
      <c r="I31" t="s">
        <v>1210</v>
      </c>
      <c r="J31" t="s">
        <v>260</v>
      </c>
      <c r="K31" t="s">
        <v>65</v>
      </c>
      <c r="L31">
        <v>0</v>
      </c>
      <c r="M31">
        <v>0</v>
      </c>
      <c r="N31" t="s">
        <v>255</v>
      </c>
      <c r="O31" t="s">
        <v>255</v>
      </c>
      <c r="P31" t="s">
        <v>548</v>
      </c>
      <c r="Q31">
        <v>7000116</v>
      </c>
      <c r="R31">
        <v>12650000</v>
      </c>
      <c r="S31" s="50">
        <v>46035</v>
      </c>
      <c r="T31" s="50">
        <v>46081</v>
      </c>
      <c r="U31" t="s">
        <v>79</v>
      </c>
      <c r="V31" t="s">
        <v>249</v>
      </c>
      <c r="W31" t="s">
        <v>92</v>
      </c>
      <c r="X31" t="s">
        <v>86</v>
      </c>
      <c r="Y31" t="s">
        <v>291</v>
      </c>
      <c r="Z31">
        <v>10573696</v>
      </c>
      <c r="AA31" s="50">
        <v>46081</v>
      </c>
      <c r="AB31" s="87" t="s">
        <v>93</v>
      </c>
      <c r="AC31" s="86">
        <v>347311.14</v>
      </c>
      <c r="AD31" t="s">
        <v>70</v>
      </c>
      <c r="AE31" s="85">
        <v>240.29</v>
      </c>
      <c r="AF31" s="85">
        <v>240.29</v>
      </c>
      <c r="AG31" s="85"/>
      <c r="AH31" s="85"/>
      <c r="AI31" s="85"/>
      <c r="AJ31" s="85"/>
      <c r="AK31" s="85"/>
      <c r="AL31" s="85"/>
      <c r="AM31" s="85"/>
      <c r="AN31" s="85"/>
      <c r="AO31" s="85"/>
      <c r="AP31" s="85"/>
      <c r="AQ31" s="85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5">
        <v>0</v>
      </c>
      <c r="BF31" s="85">
        <v>0</v>
      </c>
      <c r="BG31" s="85">
        <v>0</v>
      </c>
      <c r="BH31" s="85">
        <v>347311.14</v>
      </c>
      <c r="BI31" s="85">
        <v>240.29</v>
      </c>
      <c r="BJ31" s="85">
        <v>240.29</v>
      </c>
      <c r="BO31">
        <v>39.549999999999997</v>
      </c>
      <c r="BP31" s="86">
        <v>137370.23999999999</v>
      </c>
      <c r="BQ31">
        <v>95.04</v>
      </c>
      <c r="BR31">
        <v>95.04</v>
      </c>
      <c r="BS31" s="85">
        <v>209940.9</v>
      </c>
      <c r="BT31" s="85">
        <v>145.25</v>
      </c>
      <c r="BU31" s="85">
        <v>145.25</v>
      </c>
      <c r="BX31" t="s">
        <v>731</v>
      </c>
      <c r="BZ31">
        <v>63304606</v>
      </c>
      <c r="CA31">
        <v>63304606</v>
      </c>
      <c r="CB31" t="s">
        <v>72</v>
      </c>
      <c r="CC31" t="s">
        <v>250</v>
      </c>
      <c r="CE31" t="s">
        <v>530</v>
      </c>
    </row>
    <row r="32" spans="1:83" x14ac:dyDescent="0.35">
      <c r="A32" t="s">
        <v>242</v>
      </c>
      <c r="B32">
        <v>3050535</v>
      </c>
      <c r="C32">
        <v>41651</v>
      </c>
      <c r="D32" t="s">
        <v>552</v>
      </c>
      <c r="E32">
        <v>322531401</v>
      </c>
      <c r="F32" t="s">
        <v>692</v>
      </c>
      <c r="G32" s="60">
        <v>46054</v>
      </c>
      <c r="H32">
        <v>40947124</v>
      </c>
      <c r="I32" t="s">
        <v>1211</v>
      </c>
      <c r="J32" t="s">
        <v>260</v>
      </c>
      <c r="K32" t="s">
        <v>65</v>
      </c>
      <c r="L32">
        <v>0</v>
      </c>
      <c r="M32">
        <v>0</v>
      </c>
      <c r="N32" t="s">
        <v>255</v>
      </c>
      <c r="O32" t="s">
        <v>255</v>
      </c>
      <c r="P32" t="s">
        <v>548</v>
      </c>
      <c r="Q32">
        <v>7000116</v>
      </c>
      <c r="R32">
        <v>12650000</v>
      </c>
      <c r="S32" s="50">
        <v>46035</v>
      </c>
      <c r="T32" s="50">
        <v>46081</v>
      </c>
      <c r="U32" t="s">
        <v>79</v>
      </c>
      <c r="V32" t="s">
        <v>249</v>
      </c>
      <c r="W32" t="s">
        <v>92</v>
      </c>
      <c r="X32" t="s">
        <v>86</v>
      </c>
      <c r="Y32" t="s">
        <v>291</v>
      </c>
      <c r="Z32">
        <v>10573696</v>
      </c>
      <c r="AA32" s="50">
        <v>46081</v>
      </c>
      <c r="AB32" s="87" t="s">
        <v>93</v>
      </c>
      <c r="AC32" s="86">
        <v>150831.03</v>
      </c>
      <c r="AD32" t="s">
        <v>70</v>
      </c>
      <c r="AE32" s="85">
        <v>104.35</v>
      </c>
      <c r="AF32" s="85">
        <v>104.35</v>
      </c>
      <c r="AG32" s="85"/>
      <c r="AH32" s="85"/>
      <c r="AI32" s="85"/>
      <c r="AJ32" s="85"/>
      <c r="AK32" s="85"/>
      <c r="AL32" s="85"/>
      <c r="AM32" s="85"/>
      <c r="AN32" s="85"/>
      <c r="AO32" s="85"/>
      <c r="AP32" s="85"/>
      <c r="AQ32" s="85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5">
        <v>0</v>
      </c>
      <c r="BF32" s="85">
        <v>0</v>
      </c>
      <c r="BG32" s="85">
        <v>0</v>
      </c>
      <c r="BH32" s="85">
        <v>150831.03</v>
      </c>
      <c r="BI32" s="85">
        <v>104.35</v>
      </c>
      <c r="BJ32" s="85">
        <v>104.35</v>
      </c>
      <c r="BO32">
        <v>39.549999999999997</v>
      </c>
      <c r="BP32" s="86">
        <v>59657.440000000002</v>
      </c>
      <c r="BQ32">
        <v>41.27</v>
      </c>
      <c r="BR32">
        <v>41.27</v>
      </c>
      <c r="BS32" s="85">
        <v>91173.59</v>
      </c>
      <c r="BT32" s="85">
        <v>63.08</v>
      </c>
      <c r="BU32" s="85">
        <v>63.08</v>
      </c>
      <c r="BX32" t="s">
        <v>731</v>
      </c>
      <c r="BZ32">
        <v>63304606</v>
      </c>
      <c r="CA32">
        <v>63304606</v>
      </c>
      <c r="CB32" t="s">
        <v>73</v>
      </c>
      <c r="CC32" t="s">
        <v>250</v>
      </c>
      <c r="CE32" t="s">
        <v>530</v>
      </c>
    </row>
    <row r="33" spans="1:83" x14ac:dyDescent="0.35">
      <c r="A33" t="s">
        <v>242</v>
      </c>
      <c r="B33">
        <v>3050535</v>
      </c>
      <c r="C33">
        <v>41651</v>
      </c>
      <c r="D33" t="s">
        <v>542</v>
      </c>
      <c r="E33">
        <v>322149901</v>
      </c>
      <c r="F33" t="s">
        <v>671</v>
      </c>
      <c r="G33" s="60">
        <v>46054</v>
      </c>
      <c r="H33">
        <v>40776264</v>
      </c>
      <c r="I33" t="s">
        <v>736</v>
      </c>
      <c r="J33" t="s">
        <v>260</v>
      </c>
      <c r="K33" t="s">
        <v>65</v>
      </c>
      <c r="L33">
        <v>0</v>
      </c>
      <c r="M33">
        <v>0</v>
      </c>
      <c r="N33" t="s">
        <v>259</v>
      </c>
      <c r="O33" t="s">
        <v>259</v>
      </c>
      <c r="P33" t="s">
        <v>524</v>
      </c>
      <c r="Q33">
        <v>292695</v>
      </c>
      <c r="R33">
        <v>8576000</v>
      </c>
      <c r="S33" s="50">
        <v>46023</v>
      </c>
      <c r="T33" s="50">
        <v>46081</v>
      </c>
      <c r="U33" t="s">
        <v>79</v>
      </c>
      <c r="V33" t="s">
        <v>249</v>
      </c>
      <c r="W33" t="s">
        <v>92</v>
      </c>
      <c r="X33" t="s">
        <v>86</v>
      </c>
      <c r="Y33" t="s">
        <v>291</v>
      </c>
      <c r="Z33">
        <v>10573693</v>
      </c>
      <c r="AA33" s="50">
        <v>46081</v>
      </c>
      <c r="AB33" s="87" t="s">
        <v>93</v>
      </c>
      <c r="AC33" s="86">
        <v>221426.17</v>
      </c>
      <c r="AD33" t="s">
        <v>70</v>
      </c>
      <c r="AE33" s="85">
        <v>153.19</v>
      </c>
      <c r="AF33" s="85">
        <v>153.19</v>
      </c>
      <c r="AG33" s="85"/>
      <c r="AH33" s="85"/>
      <c r="AI33" s="85"/>
      <c r="AJ33" s="85"/>
      <c r="AK33" s="85"/>
      <c r="AL33" s="85"/>
      <c r="AM33" s="85"/>
      <c r="AN33" s="85"/>
      <c r="AO33" s="85"/>
      <c r="AP33" s="85"/>
      <c r="AQ33" s="85"/>
      <c r="AR33" s="85"/>
      <c r="AS33" s="85"/>
      <c r="AT33" s="85"/>
      <c r="AU33" s="85"/>
      <c r="AV33" s="85"/>
      <c r="AW33" s="85"/>
      <c r="AX33" s="85"/>
      <c r="AY33" s="85"/>
      <c r="AZ33" s="85"/>
      <c r="BA33" s="85"/>
      <c r="BB33" s="85"/>
      <c r="BC33" s="85"/>
      <c r="BD33" s="85"/>
      <c r="BE33" s="85">
        <v>0</v>
      </c>
      <c r="BF33" s="85">
        <v>0</v>
      </c>
      <c r="BG33" s="85">
        <v>0</v>
      </c>
      <c r="BH33" s="85">
        <v>221426.17</v>
      </c>
      <c r="BI33" s="85">
        <v>153.19</v>
      </c>
      <c r="BJ33" s="85">
        <v>153.19</v>
      </c>
      <c r="BO33">
        <v>39.549999999999997</v>
      </c>
      <c r="BP33" s="86">
        <v>87579.59</v>
      </c>
      <c r="BQ33">
        <v>60.59</v>
      </c>
      <c r="BR33">
        <v>60.59</v>
      </c>
      <c r="BS33" s="85">
        <v>133846.57999999999</v>
      </c>
      <c r="BT33" s="85">
        <v>92.6</v>
      </c>
      <c r="BU33" s="85">
        <v>92.6</v>
      </c>
      <c r="BX33" t="s">
        <v>725</v>
      </c>
      <c r="BZ33">
        <v>66013147</v>
      </c>
      <c r="CA33">
        <v>66013147</v>
      </c>
      <c r="CB33" t="s">
        <v>73</v>
      </c>
      <c r="CC33" t="s">
        <v>250</v>
      </c>
      <c r="CE33" t="s">
        <v>530</v>
      </c>
    </row>
    <row r="34" spans="1:83" x14ac:dyDescent="0.35">
      <c r="A34" t="s">
        <v>242</v>
      </c>
      <c r="B34">
        <v>3050535</v>
      </c>
      <c r="C34">
        <v>41651</v>
      </c>
      <c r="D34" t="s">
        <v>262</v>
      </c>
      <c r="E34">
        <v>324585701</v>
      </c>
      <c r="F34" t="s">
        <v>1083</v>
      </c>
      <c r="G34" s="60">
        <v>46054</v>
      </c>
      <c r="H34">
        <v>40916163</v>
      </c>
      <c r="I34" t="s">
        <v>1212</v>
      </c>
      <c r="J34" t="s">
        <v>260</v>
      </c>
      <c r="K34" t="s">
        <v>65</v>
      </c>
      <c r="L34">
        <v>0</v>
      </c>
      <c r="M34">
        <v>0</v>
      </c>
      <c r="N34" t="s">
        <v>561</v>
      </c>
      <c r="O34" t="s">
        <v>561</v>
      </c>
      <c r="P34" t="s">
        <v>257</v>
      </c>
      <c r="Q34">
        <v>57936819</v>
      </c>
      <c r="R34">
        <v>6304499.9900000002</v>
      </c>
      <c r="S34" s="50">
        <v>46062</v>
      </c>
      <c r="T34" s="50">
        <v>46075</v>
      </c>
      <c r="U34" t="s">
        <v>69</v>
      </c>
      <c r="V34" t="s">
        <v>249</v>
      </c>
      <c r="W34" t="s">
        <v>92</v>
      </c>
      <c r="X34" t="s">
        <v>86</v>
      </c>
      <c r="Y34" t="s">
        <v>291</v>
      </c>
      <c r="Z34">
        <v>10573713</v>
      </c>
      <c r="AA34" s="50">
        <v>46081</v>
      </c>
      <c r="AB34" s="87" t="s">
        <v>93</v>
      </c>
      <c r="AC34" s="86">
        <v>4558905.76</v>
      </c>
      <c r="AD34" t="s">
        <v>70</v>
      </c>
      <c r="AE34" s="85">
        <v>3154.09</v>
      </c>
      <c r="AF34" s="85">
        <v>3154.09</v>
      </c>
      <c r="AG34" s="85"/>
      <c r="AH34" s="85"/>
      <c r="AI34" s="85"/>
      <c r="AJ34" s="85"/>
      <c r="AK34" s="85"/>
      <c r="AL34" s="85"/>
      <c r="AM34" s="85"/>
      <c r="AN34" s="85"/>
      <c r="AO34" s="85"/>
      <c r="AP34" s="85"/>
      <c r="AQ34" s="85"/>
      <c r="AR34" s="85"/>
      <c r="AS34" s="85"/>
      <c r="AT34" s="85"/>
      <c r="AU34" s="85"/>
      <c r="AV34" s="85"/>
      <c r="AW34" s="85"/>
      <c r="AX34" s="85"/>
      <c r="AY34" s="85"/>
      <c r="AZ34" s="85"/>
      <c r="BA34" s="85"/>
      <c r="BB34" s="85"/>
      <c r="BC34" s="85"/>
      <c r="BD34" s="85"/>
      <c r="BE34" s="85">
        <v>0</v>
      </c>
      <c r="BF34" s="85">
        <v>0</v>
      </c>
      <c r="BG34" s="85">
        <v>0</v>
      </c>
      <c r="BH34" s="85">
        <v>4558905.76</v>
      </c>
      <c r="BI34" s="85">
        <v>3154.09</v>
      </c>
      <c r="BJ34" s="85">
        <v>3154.09</v>
      </c>
      <c r="BO34">
        <v>22</v>
      </c>
      <c r="BP34" s="86">
        <v>1002959.27</v>
      </c>
      <c r="BQ34">
        <v>693.9</v>
      </c>
      <c r="BR34">
        <v>693.9</v>
      </c>
      <c r="BS34" s="85">
        <v>3555946.49</v>
      </c>
      <c r="BT34" s="85">
        <v>2460.19</v>
      </c>
      <c r="BU34" s="85">
        <v>2460.19</v>
      </c>
      <c r="BX34" t="s">
        <v>1213</v>
      </c>
      <c r="BZ34">
        <v>224573</v>
      </c>
      <c r="CA34">
        <v>224573</v>
      </c>
      <c r="CB34" t="s">
        <v>73</v>
      </c>
      <c r="CC34" t="s">
        <v>250</v>
      </c>
      <c r="CE34" t="s">
        <v>530</v>
      </c>
    </row>
    <row r="35" spans="1:83" x14ac:dyDescent="0.35">
      <c r="A35" t="s">
        <v>242</v>
      </c>
      <c r="B35">
        <v>3050535</v>
      </c>
      <c r="C35">
        <v>41651</v>
      </c>
      <c r="D35" t="s">
        <v>262</v>
      </c>
      <c r="E35">
        <v>322158401</v>
      </c>
      <c r="F35" t="s">
        <v>676</v>
      </c>
      <c r="G35" s="60">
        <v>46054</v>
      </c>
      <c r="H35">
        <v>40744942</v>
      </c>
      <c r="I35" t="s">
        <v>1215</v>
      </c>
      <c r="J35" t="s">
        <v>260</v>
      </c>
      <c r="K35" t="s">
        <v>65</v>
      </c>
      <c r="L35">
        <v>0</v>
      </c>
      <c r="M35">
        <v>0</v>
      </c>
      <c r="N35" t="s">
        <v>561</v>
      </c>
      <c r="O35" t="s">
        <v>561</v>
      </c>
      <c r="P35" t="s">
        <v>257</v>
      </c>
      <c r="Q35">
        <v>57936819</v>
      </c>
      <c r="R35">
        <v>9869791.9600000009</v>
      </c>
      <c r="S35" s="50">
        <v>46024</v>
      </c>
      <c r="T35" s="50">
        <v>46081</v>
      </c>
      <c r="U35" t="s">
        <v>69</v>
      </c>
      <c r="V35" t="s">
        <v>249</v>
      </c>
      <c r="W35" t="s">
        <v>92</v>
      </c>
      <c r="X35" t="s">
        <v>86</v>
      </c>
      <c r="Y35" t="s">
        <v>291</v>
      </c>
      <c r="Z35">
        <v>10573703</v>
      </c>
      <c r="AA35" s="50">
        <v>46081</v>
      </c>
      <c r="AB35" s="87" t="s">
        <v>93</v>
      </c>
      <c r="AC35" s="86">
        <v>730671.75</v>
      </c>
      <c r="AD35" t="s">
        <v>70</v>
      </c>
      <c r="AE35" s="85">
        <v>505.52</v>
      </c>
      <c r="AF35" s="85">
        <v>505.52</v>
      </c>
      <c r="AG35" s="85"/>
      <c r="AH35" s="85"/>
      <c r="AI35" s="85"/>
      <c r="AJ35" s="85"/>
      <c r="AK35" s="85"/>
      <c r="AL35" s="85"/>
      <c r="AM35" s="85"/>
      <c r="AN35" s="85"/>
      <c r="AO35" s="85"/>
      <c r="AP35" s="85"/>
      <c r="AQ35" s="85"/>
      <c r="AR35" s="85"/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5"/>
      <c r="BD35" s="85"/>
      <c r="BE35" s="85">
        <v>0</v>
      </c>
      <c r="BF35" s="85">
        <v>0</v>
      </c>
      <c r="BG35" s="85">
        <v>0</v>
      </c>
      <c r="BH35" s="85">
        <v>730671.75</v>
      </c>
      <c r="BI35" s="85">
        <v>505.52</v>
      </c>
      <c r="BJ35" s="85">
        <v>505.52</v>
      </c>
      <c r="BO35">
        <v>39.549999999999997</v>
      </c>
      <c r="BP35" s="86">
        <v>288998.94</v>
      </c>
      <c r="BQ35">
        <v>199.94</v>
      </c>
      <c r="BR35">
        <v>199.94</v>
      </c>
      <c r="BS35" s="85">
        <v>441672.81</v>
      </c>
      <c r="BT35" s="85">
        <v>305.58</v>
      </c>
      <c r="BU35" s="85">
        <v>305.58</v>
      </c>
      <c r="BX35" t="s">
        <v>723</v>
      </c>
      <c r="BZ35">
        <v>224573</v>
      </c>
      <c r="CA35">
        <v>224573</v>
      </c>
      <c r="CB35" t="s">
        <v>251</v>
      </c>
      <c r="CC35" t="s">
        <v>250</v>
      </c>
      <c r="CE35" t="s">
        <v>530</v>
      </c>
    </row>
    <row r="36" spans="1:83" x14ac:dyDescent="0.35">
      <c r="A36" t="s">
        <v>242</v>
      </c>
      <c r="B36">
        <v>3050535</v>
      </c>
      <c r="C36">
        <v>41651</v>
      </c>
      <c r="D36" t="s">
        <v>503</v>
      </c>
      <c r="E36">
        <v>298538101</v>
      </c>
      <c r="F36" t="s">
        <v>540</v>
      </c>
      <c r="G36" s="60">
        <v>46054</v>
      </c>
      <c r="H36">
        <v>40676787</v>
      </c>
      <c r="I36" t="s">
        <v>789</v>
      </c>
      <c r="J36" t="s">
        <v>260</v>
      </c>
      <c r="K36" t="s">
        <v>65</v>
      </c>
      <c r="L36">
        <v>0</v>
      </c>
      <c r="M36">
        <v>0</v>
      </c>
      <c r="P36" t="s">
        <v>494</v>
      </c>
      <c r="Q36">
        <v>186932207</v>
      </c>
      <c r="R36">
        <v>69550831</v>
      </c>
      <c r="S36" s="50">
        <v>45644</v>
      </c>
      <c r="T36" s="50">
        <v>46081</v>
      </c>
      <c r="U36" t="s">
        <v>79</v>
      </c>
      <c r="V36" t="s">
        <v>249</v>
      </c>
      <c r="W36" t="s">
        <v>92</v>
      </c>
      <c r="X36" t="s">
        <v>86</v>
      </c>
      <c r="Y36" t="s">
        <v>291</v>
      </c>
      <c r="Z36">
        <v>10573629</v>
      </c>
      <c r="AA36" s="50">
        <v>46081</v>
      </c>
      <c r="AB36" s="87" t="s">
        <v>93</v>
      </c>
      <c r="AC36" s="86">
        <v>22535.24</v>
      </c>
      <c r="AD36" t="s">
        <v>70</v>
      </c>
      <c r="AE36" s="85">
        <v>15.59</v>
      </c>
      <c r="AF36" s="85">
        <v>15.59</v>
      </c>
      <c r="AG36" s="85"/>
      <c r="AH36" s="85"/>
      <c r="AI36" s="85"/>
      <c r="AJ36" s="85"/>
      <c r="AK36" s="85"/>
      <c r="AL36" s="85"/>
      <c r="AM36" s="85"/>
      <c r="AN36" s="85"/>
      <c r="AO36" s="85"/>
      <c r="AP36" s="85"/>
      <c r="AQ36" s="85"/>
      <c r="AR36" s="85"/>
      <c r="AS36" s="85"/>
      <c r="AT36" s="85"/>
      <c r="AU36" s="85"/>
      <c r="AV36" s="85"/>
      <c r="AW36" s="85"/>
      <c r="AX36" s="85"/>
      <c r="AY36" s="85"/>
      <c r="AZ36" s="85"/>
      <c r="BA36" s="85"/>
      <c r="BB36" s="85"/>
      <c r="BC36" s="85"/>
      <c r="BD36" s="85"/>
      <c r="BE36" s="85">
        <v>0</v>
      </c>
      <c r="BF36" s="85">
        <v>0</v>
      </c>
      <c r="BG36" s="85">
        <v>0</v>
      </c>
      <c r="BH36" s="85">
        <v>22535.24</v>
      </c>
      <c r="BI36" s="85">
        <v>15.59</v>
      </c>
      <c r="BJ36" s="85">
        <v>15.59</v>
      </c>
      <c r="BO36">
        <v>39.549999999999997</v>
      </c>
      <c r="BP36" s="86">
        <v>8913.25</v>
      </c>
      <c r="BQ36">
        <v>6.17</v>
      </c>
      <c r="BR36">
        <v>6.17</v>
      </c>
      <c r="BS36" s="85">
        <v>13621.99</v>
      </c>
      <c r="BT36" s="85">
        <v>9.42</v>
      </c>
      <c r="BU36" s="85">
        <v>9.42</v>
      </c>
      <c r="BX36" t="s">
        <v>541</v>
      </c>
      <c r="CB36" t="s">
        <v>73</v>
      </c>
      <c r="CC36" t="s">
        <v>250</v>
      </c>
      <c r="CE36" t="s">
        <v>530</v>
      </c>
    </row>
    <row r="37" spans="1:83" x14ac:dyDescent="0.35">
      <c r="A37" t="s">
        <v>242</v>
      </c>
      <c r="B37">
        <v>3050535</v>
      </c>
      <c r="C37">
        <v>41651</v>
      </c>
      <c r="D37" t="s">
        <v>503</v>
      </c>
      <c r="E37">
        <v>298538101</v>
      </c>
      <c r="F37" t="s">
        <v>540</v>
      </c>
      <c r="G37" s="60">
        <v>46054</v>
      </c>
      <c r="H37">
        <v>40817363</v>
      </c>
      <c r="I37" t="s">
        <v>777</v>
      </c>
      <c r="J37" t="s">
        <v>260</v>
      </c>
      <c r="K37" t="s">
        <v>65</v>
      </c>
      <c r="L37">
        <v>0</v>
      </c>
      <c r="M37">
        <v>0</v>
      </c>
      <c r="P37" t="s">
        <v>494</v>
      </c>
      <c r="Q37">
        <v>186932207</v>
      </c>
      <c r="R37">
        <v>69550831</v>
      </c>
      <c r="S37" s="50">
        <v>45644</v>
      </c>
      <c r="T37" s="50">
        <v>46081</v>
      </c>
      <c r="U37" t="s">
        <v>79</v>
      </c>
      <c r="V37" t="s">
        <v>249</v>
      </c>
      <c r="W37" t="s">
        <v>92</v>
      </c>
      <c r="X37" t="s">
        <v>86</v>
      </c>
      <c r="Y37" t="s">
        <v>291</v>
      </c>
      <c r="Z37">
        <v>10573629</v>
      </c>
      <c r="AA37" s="50">
        <v>46081</v>
      </c>
      <c r="AB37" s="87" t="s">
        <v>93</v>
      </c>
      <c r="AC37" s="86">
        <v>486629.9</v>
      </c>
      <c r="AD37" t="s">
        <v>70</v>
      </c>
      <c r="AE37" s="85">
        <v>336.68</v>
      </c>
      <c r="AF37" s="85">
        <v>336.68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5"/>
      <c r="AQ37" s="85"/>
      <c r="AR37" s="85"/>
      <c r="AS37" s="85"/>
      <c r="AT37" s="85"/>
      <c r="AU37" s="85"/>
      <c r="AV37" s="85"/>
      <c r="AW37" s="85"/>
      <c r="AX37" s="85"/>
      <c r="AY37" s="85"/>
      <c r="AZ37" s="85"/>
      <c r="BA37" s="85"/>
      <c r="BB37" s="85"/>
      <c r="BC37" s="85"/>
      <c r="BD37" s="85"/>
      <c r="BE37" s="85">
        <v>0</v>
      </c>
      <c r="BF37" s="85">
        <v>0</v>
      </c>
      <c r="BG37" s="85">
        <v>0</v>
      </c>
      <c r="BH37" s="85">
        <v>486629.9</v>
      </c>
      <c r="BI37" s="85">
        <v>336.68</v>
      </c>
      <c r="BJ37" s="85">
        <v>336.68</v>
      </c>
      <c r="BO37">
        <v>39.549999999999997</v>
      </c>
      <c r="BP37" s="86">
        <v>192474.29</v>
      </c>
      <c r="BQ37">
        <v>133.16</v>
      </c>
      <c r="BR37">
        <v>133.16</v>
      </c>
      <c r="BS37" s="85">
        <v>294155.61</v>
      </c>
      <c r="BT37" s="85">
        <v>203.52</v>
      </c>
      <c r="BU37" s="85">
        <v>203.52</v>
      </c>
      <c r="BX37" t="s">
        <v>541</v>
      </c>
      <c r="CB37" t="s">
        <v>73</v>
      </c>
      <c r="CC37" t="s">
        <v>250</v>
      </c>
      <c r="CE37" t="s">
        <v>530</v>
      </c>
    </row>
    <row r="38" spans="1:83" x14ac:dyDescent="0.35">
      <c r="A38" t="s">
        <v>242</v>
      </c>
      <c r="B38">
        <v>3050535</v>
      </c>
      <c r="C38">
        <v>41651</v>
      </c>
      <c r="D38" t="s">
        <v>573</v>
      </c>
      <c r="E38">
        <v>324618501</v>
      </c>
      <c r="F38" t="s">
        <v>1096</v>
      </c>
      <c r="G38" s="60">
        <v>46054</v>
      </c>
      <c r="H38">
        <v>40931778</v>
      </c>
      <c r="I38" t="s">
        <v>1216</v>
      </c>
      <c r="J38" t="s">
        <v>482</v>
      </c>
      <c r="K38" t="s">
        <v>65</v>
      </c>
      <c r="L38">
        <v>0</v>
      </c>
      <c r="M38">
        <v>0</v>
      </c>
      <c r="N38" t="s">
        <v>259</v>
      </c>
      <c r="O38" t="s">
        <v>259</v>
      </c>
      <c r="P38" t="s">
        <v>568</v>
      </c>
      <c r="Q38">
        <v>240194</v>
      </c>
      <c r="R38">
        <v>3625356</v>
      </c>
      <c r="S38" s="50">
        <v>46076</v>
      </c>
      <c r="T38" s="50">
        <v>46076</v>
      </c>
      <c r="U38" t="s">
        <v>79</v>
      </c>
      <c r="V38" t="s">
        <v>249</v>
      </c>
      <c r="W38" t="s">
        <v>92</v>
      </c>
      <c r="X38" t="s">
        <v>86</v>
      </c>
      <c r="Y38" t="s">
        <v>291</v>
      </c>
      <c r="Z38">
        <v>10573683</v>
      </c>
      <c r="AA38" s="50">
        <v>46081</v>
      </c>
      <c r="AB38" s="87" t="s">
        <v>93</v>
      </c>
      <c r="AC38" s="86">
        <v>3625356</v>
      </c>
      <c r="AD38" t="s">
        <v>70</v>
      </c>
      <c r="AE38" s="85">
        <v>2508.21</v>
      </c>
      <c r="AF38" s="85">
        <v>2508.21</v>
      </c>
      <c r="AG38" s="85"/>
      <c r="AH38" s="85"/>
      <c r="AI38" s="85"/>
      <c r="AJ38" s="85"/>
      <c r="AK38" s="85"/>
      <c r="AL38" s="85"/>
      <c r="AM38" s="85"/>
      <c r="AN38" s="85"/>
      <c r="AO38" s="85"/>
      <c r="AP38" s="85"/>
      <c r="AQ38" s="85"/>
      <c r="AR38" s="85"/>
      <c r="AS38" s="85"/>
      <c r="AT38" s="85"/>
      <c r="AU38" s="85"/>
      <c r="AV38" s="85"/>
      <c r="AW38" s="85"/>
      <c r="AX38" s="85"/>
      <c r="AY38" s="85"/>
      <c r="AZ38" s="85"/>
      <c r="BA38" s="85"/>
      <c r="BB38" s="85"/>
      <c r="BC38" s="85"/>
      <c r="BD38" s="85"/>
      <c r="BE38" s="85">
        <v>0</v>
      </c>
      <c r="BF38" s="85">
        <v>0</v>
      </c>
      <c r="BG38" s="85">
        <v>0</v>
      </c>
      <c r="BH38" s="85">
        <v>3625356</v>
      </c>
      <c r="BI38" s="85">
        <v>2508.21</v>
      </c>
      <c r="BJ38" s="85">
        <v>2508.21</v>
      </c>
      <c r="BO38">
        <v>22</v>
      </c>
      <c r="BP38" s="86">
        <v>797578.32</v>
      </c>
      <c r="BQ38">
        <v>551.80999999999995</v>
      </c>
      <c r="BR38">
        <v>551.80999999999995</v>
      </c>
      <c r="BS38" s="85">
        <v>2827777.68</v>
      </c>
      <c r="BT38" s="85">
        <v>1956.4</v>
      </c>
      <c r="BU38" s="85">
        <v>1956.4</v>
      </c>
      <c r="BW38" t="s">
        <v>286</v>
      </c>
      <c r="BX38" t="s">
        <v>1217</v>
      </c>
      <c r="BZ38">
        <v>66013147</v>
      </c>
      <c r="CA38">
        <v>66013147</v>
      </c>
      <c r="CB38" t="s">
        <v>76</v>
      </c>
      <c r="CC38" t="s">
        <v>250</v>
      </c>
      <c r="CE38" t="s">
        <v>530</v>
      </c>
    </row>
    <row r="39" spans="1:83" x14ac:dyDescent="0.35">
      <c r="A39" t="s">
        <v>242</v>
      </c>
      <c r="B39">
        <v>3050535</v>
      </c>
      <c r="C39">
        <v>41651</v>
      </c>
      <c r="D39" t="s">
        <v>553</v>
      </c>
      <c r="E39">
        <v>321953101</v>
      </c>
      <c r="F39" t="s">
        <v>666</v>
      </c>
      <c r="G39" s="60">
        <v>46054</v>
      </c>
      <c r="H39">
        <v>40734874</v>
      </c>
      <c r="I39" t="s">
        <v>778</v>
      </c>
      <c r="J39" t="s">
        <v>260</v>
      </c>
      <c r="K39" t="s">
        <v>65</v>
      </c>
      <c r="L39">
        <v>0</v>
      </c>
      <c r="M39">
        <v>0</v>
      </c>
      <c r="N39" t="s">
        <v>94</v>
      </c>
      <c r="O39" t="s">
        <v>94</v>
      </c>
      <c r="P39" t="s">
        <v>544</v>
      </c>
      <c r="Q39">
        <v>821027</v>
      </c>
      <c r="R39">
        <v>5517531.8799999999</v>
      </c>
      <c r="S39" s="50">
        <v>46027</v>
      </c>
      <c r="T39" s="50">
        <v>46068</v>
      </c>
      <c r="U39" t="s">
        <v>69</v>
      </c>
      <c r="V39" t="s">
        <v>249</v>
      </c>
      <c r="W39" t="s">
        <v>92</v>
      </c>
      <c r="X39" t="s">
        <v>86</v>
      </c>
      <c r="Y39" t="s">
        <v>291</v>
      </c>
      <c r="Z39">
        <v>10573702</v>
      </c>
      <c r="AA39" s="50">
        <v>46081</v>
      </c>
      <c r="AB39" s="87" t="s">
        <v>93</v>
      </c>
      <c r="AC39" s="86">
        <v>1952420.44</v>
      </c>
      <c r="AD39" t="s">
        <v>70</v>
      </c>
      <c r="AE39" s="85">
        <v>1350.79</v>
      </c>
      <c r="AF39" s="85">
        <v>1350.79</v>
      </c>
      <c r="AG39" s="85"/>
      <c r="AH39" s="85"/>
      <c r="AI39" s="85"/>
      <c r="AJ39" s="85"/>
      <c r="AK39" s="85"/>
      <c r="AL39" s="85"/>
      <c r="AM39" s="85"/>
      <c r="AN39" s="85"/>
      <c r="AO39" s="85"/>
      <c r="AP39" s="85"/>
      <c r="AQ39" s="85"/>
      <c r="AR39" s="85"/>
      <c r="AS39" s="85"/>
      <c r="AT39" s="85"/>
      <c r="AU39" s="85"/>
      <c r="AV39" s="85"/>
      <c r="AW39" s="85"/>
      <c r="AX39" s="85"/>
      <c r="AY39" s="85"/>
      <c r="AZ39" s="85"/>
      <c r="BA39" s="85"/>
      <c r="BB39" s="85"/>
      <c r="BC39" s="85"/>
      <c r="BD39" s="85"/>
      <c r="BE39" s="85">
        <v>0</v>
      </c>
      <c r="BF39" s="85">
        <v>0</v>
      </c>
      <c r="BG39" s="85">
        <v>0</v>
      </c>
      <c r="BH39" s="85">
        <v>1952420.44</v>
      </c>
      <c r="BI39" s="85">
        <v>1350.79</v>
      </c>
      <c r="BJ39" s="85">
        <v>1350.79</v>
      </c>
      <c r="BO39">
        <v>34</v>
      </c>
      <c r="BP39" s="86">
        <v>663783.9</v>
      </c>
      <c r="BQ39">
        <v>459.24</v>
      </c>
      <c r="BR39">
        <v>459.24</v>
      </c>
      <c r="BS39" s="85">
        <v>1288636.54</v>
      </c>
      <c r="BT39" s="85">
        <v>891.55</v>
      </c>
      <c r="BU39" s="85">
        <v>891.55</v>
      </c>
      <c r="BX39" t="s">
        <v>779</v>
      </c>
      <c r="BZ39">
        <v>224554</v>
      </c>
      <c r="CA39">
        <v>224554</v>
      </c>
      <c r="CB39" t="s">
        <v>73</v>
      </c>
      <c r="CC39" t="s">
        <v>250</v>
      </c>
      <c r="CE39" t="s">
        <v>530</v>
      </c>
    </row>
    <row r="40" spans="1:83" x14ac:dyDescent="0.35">
      <c r="A40" t="s">
        <v>242</v>
      </c>
      <c r="B40">
        <v>3050535</v>
      </c>
      <c r="C40">
        <v>41651</v>
      </c>
      <c r="D40" t="s">
        <v>1218</v>
      </c>
      <c r="E40">
        <v>324900002</v>
      </c>
      <c r="F40" t="s">
        <v>1116</v>
      </c>
      <c r="G40" s="60">
        <v>46054</v>
      </c>
      <c r="H40">
        <v>40936677</v>
      </c>
      <c r="I40" t="s">
        <v>1219</v>
      </c>
      <c r="J40" t="s">
        <v>482</v>
      </c>
      <c r="K40" t="s">
        <v>65</v>
      </c>
      <c r="L40">
        <v>0</v>
      </c>
      <c r="M40">
        <v>0</v>
      </c>
      <c r="N40" t="s">
        <v>94</v>
      </c>
      <c r="O40" t="s">
        <v>94</v>
      </c>
      <c r="P40" t="s">
        <v>1117</v>
      </c>
      <c r="Q40">
        <v>110597037</v>
      </c>
      <c r="R40">
        <v>3625356</v>
      </c>
      <c r="S40" s="50">
        <v>46068</v>
      </c>
      <c r="T40" s="50">
        <v>46068</v>
      </c>
      <c r="U40" t="s">
        <v>69</v>
      </c>
      <c r="V40" t="s">
        <v>249</v>
      </c>
      <c r="W40" t="s">
        <v>92</v>
      </c>
      <c r="X40" t="s">
        <v>86</v>
      </c>
      <c r="Y40" t="s">
        <v>291</v>
      </c>
      <c r="Z40">
        <v>10573719</v>
      </c>
      <c r="AA40" s="50">
        <v>46081</v>
      </c>
      <c r="AB40" s="87" t="s">
        <v>93</v>
      </c>
      <c r="AC40" s="86">
        <v>3625356</v>
      </c>
      <c r="AD40" t="s">
        <v>70</v>
      </c>
      <c r="AE40" s="85">
        <v>2508.21</v>
      </c>
      <c r="AF40" s="85">
        <v>2508.21</v>
      </c>
      <c r="AG40" s="85"/>
      <c r="AH40" s="85"/>
      <c r="AI40" s="85"/>
      <c r="AJ40" s="85"/>
      <c r="AK40" s="85"/>
      <c r="AL40" s="85"/>
      <c r="AM40" s="85"/>
      <c r="AN40" s="85"/>
      <c r="AO40" s="85"/>
      <c r="AP40" s="85"/>
      <c r="AQ40" s="85"/>
      <c r="AR40" s="85"/>
      <c r="AS40" s="85"/>
      <c r="AT40" s="85"/>
      <c r="AU40" s="85"/>
      <c r="AV40" s="85"/>
      <c r="AW40" s="85"/>
      <c r="AX40" s="85"/>
      <c r="AY40" s="85"/>
      <c r="AZ40" s="85"/>
      <c r="BA40" s="85"/>
      <c r="BB40" s="85"/>
      <c r="BC40" s="85"/>
      <c r="BD40" s="85"/>
      <c r="BE40" s="85">
        <v>0</v>
      </c>
      <c r="BF40" s="85">
        <v>0</v>
      </c>
      <c r="BG40" s="85">
        <v>0</v>
      </c>
      <c r="BH40" s="85">
        <v>3625356</v>
      </c>
      <c r="BI40" s="85">
        <v>2508.21</v>
      </c>
      <c r="BJ40" s="85">
        <v>2508.21</v>
      </c>
      <c r="BO40">
        <v>22</v>
      </c>
      <c r="BP40" s="86">
        <v>797578.32</v>
      </c>
      <c r="BQ40">
        <v>551.80999999999995</v>
      </c>
      <c r="BR40">
        <v>551.80999999999995</v>
      </c>
      <c r="BS40" s="85">
        <v>2827777.68</v>
      </c>
      <c r="BT40" s="85">
        <v>1956.4</v>
      </c>
      <c r="BU40" s="85">
        <v>1956.4</v>
      </c>
      <c r="BW40" t="s">
        <v>286</v>
      </c>
      <c r="BX40" t="s">
        <v>1220</v>
      </c>
      <c r="BZ40">
        <v>224554</v>
      </c>
      <c r="CA40">
        <v>224554</v>
      </c>
      <c r="CB40" t="s">
        <v>76</v>
      </c>
      <c r="CC40" t="s">
        <v>250</v>
      </c>
      <c r="CE40" t="s">
        <v>530</v>
      </c>
    </row>
    <row r="41" spans="1:83" x14ac:dyDescent="0.35">
      <c r="A41" t="s">
        <v>242</v>
      </c>
      <c r="B41">
        <v>3050535</v>
      </c>
      <c r="C41">
        <v>41651</v>
      </c>
      <c r="D41" t="s">
        <v>553</v>
      </c>
      <c r="E41">
        <v>322534501</v>
      </c>
      <c r="F41" t="s">
        <v>694</v>
      </c>
      <c r="G41" s="60">
        <v>46054</v>
      </c>
      <c r="H41">
        <v>40823097</v>
      </c>
      <c r="I41" t="s">
        <v>766</v>
      </c>
      <c r="J41" t="s">
        <v>260</v>
      </c>
      <c r="K41" t="s">
        <v>65</v>
      </c>
      <c r="L41">
        <v>0</v>
      </c>
      <c r="M41">
        <v>0</v>
      </c>
      <c r="N41" t="s">
        <v>94</v>
      </c>
      <c r="P41" t="s">
        <v>544</v>
      </c>
      <c r="Q41">
        <v>821027</v>
      </c>
      <c r="R41">
        <v>11298240</v>
      </c>
      <c r="S41" s="50">
        <v>46044</v>
      </c>
      <c r="T41" s="50">
        <v>46082</v>
      </c>
      <c r="U41" t="s">
        <v>69</v>
      </c>
      <c r="V41" t="s">
        <v>249</v>
      </c>
      <c r="W41" t="s">
        <v>92</v>
      </c>
      <c r="X41" t="s">
        <v>86</v>
      </c>
      <c r="Y41" t="s">
        <v>291</v>
      </c>
      <c r="Z41">
        <v>10573632</v>
      </c>
      <c r="AA41" s="50">
        <v>46081</v>
      </c>
      <c r="AB41" s="87" t="s">
        <v>93</v>
      </c>
      <c r="AC41" s="86">
        <v>8088113.9100000001</v>
      </c>
      <c r="AD41" t="s">
        <v>70</v>
      </c>
      <c r="AE41" s="85">
        <v>5595.78</v>
      </c>
      <c r="AF41" s="85">
        <v>5595.78</v>
      </c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>
        <v>0</v>
      </c>
      <c r="BF41" s="85">
        <v>0</v>
      </c>
      <c r="BG41" s="85">
        <v>0</v>
      </c>
      <c r="BH41" s="85">
        <v>8088113.9100000001</v>
      </c>
      <c r="BI41" s="85">
        <v>5595.78</v>
      </c>
      <c r="BJ41" s="85">
        <v>5595.78</v>
      </c>
      <c r="BO41">
        <v>34</v>
      </c>
      <c r="BP41" s="86">
        <v>2749796.97</v>
      </c>
      <c r="BQ41">
        <v>1902.45</v>
      </c>
      <c r="BR41">
        <v>1902.45</v>
      </c>
      <c r="BS41" s="85">
        <v>5338316.9400000004</v>
      </c>
      <c r="BT41" s="85">
        <v>3693.33</v>
      </c>
      <c r="BU41" s="85">
        <v>3693.33</v>
      </c>
      <c r="BX41" t="s">
        <v>767</v>
      </c>
      <c r="BZ41">
        <v>224554</v>
      </c>
      <c r="CB41" t="s">
        <v>73</v>
      </c>
      <c r="CC41" t="s">
        <v>250</v>
      </c>
      <c r="CE41" t="s">
        <v>530</v>
      </c>
    </row>
    <row r="42" spans="1:83" x14ac:dyDescent="0.35">
      <c r="A42" t="s">
        <v>242</v>
      </c>
      <c r="B42">
        <v>3050535</v>
      </c>
      <c r="C42">
        <v>41651</v>
      </c>
      <c r="D42" t="s">
        <v>600</v>
      </c>
      <c r="E42">
        <v>322203001</v>
      </c>
      <c r="F42" t="s">
        <v>677</v>
      </c>
      <c r="G42" s="60">
        <v>46054</v>
      </c>
      <c r="H42">
        <v>40759144</v>
      </c>
      <c r="I42" t="s">
        <v>791</v>
      </c>
      <c r="J42" t="s">
        <v>260</v>
      </c>
      <c r="K42" t="s">
        <v>65</v>
      </c>
      <c r="L42">
        <v>0</v>
      </c>
      <c r="M42">
        <v>0</v>
      </c>
      <c r="N42" t="s">
        <v>522</v>
      </c>
      <c r="O42" t="s">
        <v>522</v>
      </c>
      <c r="P42" t="s">
        <v>287</v>
      </c>
      <c r="Q42">
        <v>148610446</v>
      </c>
      <c r="R42">
        <v>11500000</v>
      </c>
      <c r="S42" s="50">
        <v>46027</v>
      </c>
      <c r="T42" s="50">
        <v>46081</v>
      </c>
      <c r="U42" t="s">
        <v>69</v>
      </c>
      <c r="V42" t="s">
        <v>249</v>
      </c>
      <c r="W42" t="s">
        <v>92</v>
      </c>
      <c r="X42" t="s">
        <v>86</v>
      </c>
      <c r="Y42" t="s">
        <v>291</v>
      </c>
      <c r="Z42">
        <v>10573647</v>
      </c>
      <c r="AA42" s="50">
        <v>46081</v>
      </c>
      <c r="AB42" s="87" t="s">
        <v>93</v>
      </c>
      <c r="AC42" s="86">
        <v>1704912.69</v>
      </c>
      <c r="AD42" t="s">
        <v>70</v>
      </c>
      <c r="AE42" s="85">
        <v>1179.55</v>
      </c>
      <c r="AF42" s="85">
        <v>1179.55</v>
      </c>
      <c r="AG42" s="85"/>
      <c r="AH42" s="85"/>
      <c r="AI42" s="85"/>
      <c r="AJ42" s="85"/>
      <c r="AK42" s="85"/>
      <c r="AL42" s="85"/>
      <c r="AM42" s="85"/>
      <c r="AN42" s="85"/>
      <c r="AO42" s="85"/>
      <c r="AP42" s="85"/>
      <c r="AQ42" s="85"/>
      <c r="AR42" s="85"/>
      <c r="AS42" s="85"/>
      <c r="AT42" s="85"/>
      <c r="AU42" s="85"/>
      <c r="AV42" s="85"/>
      <c r="AW42" s="85"/>
      <c r="AX42" s="85"/>
      <c r="AY42" s="85"/>
      <c r="AZ42" s="85"/>
      <c r="BA42" s="85"/>
      <c r="BB42" s="85"/>
      <c r="BC42" s="85"/>
      <c r="BD42" s="85"/>
      <c r="BE42" s="85">
        <v>0</v>
      </c>
      <c r="BF42" s="85">
        <v>0</v>
      </c>
      <c r="BG42" s="85">
        <v>0</v>
      </c>
      <c r="BH42" s="85">
        <v>1704912.69</v>
      </c>
      <c r="BI42" s="85">
        <v>1179.55</v>
      </c>
      <c r="BJ42" s="85">
        <v>1179.55</v>
      </c>
      <c r="BO42">
        <v>39.549999999999997</v>
      </c>
      <c r="BP42" s="86">
        <v>674335.59</v>
      </c>
      <c r="BQ42">
        <v>466.54</v>
      </c>
      <c r="BR42">
        <v>466.54</v>
      </c>
      <c r="BS42" s="85">
        <v>1030577.1</v>
      </c>
      <c r="BT42" s="85">
        <v>713.01</v>
      </c>
      <c r="BU42" s="85">
        <v>713.01</v>
      </c>
      <c r="BX42" t="s">
        <v>728</v>
      </c>
      <c r="BZ42">
        <v>192377147</v>
      </c>
      <c r="CA42">
        <v>192377147</v>
      </c>
      <c r="CB42" t="s">
        <v>73</v>
      </c>
      <c r="CC42" t="s">
        <v>250</v>
      </c>
      <c r="CE42" t="s">
        <v>530</v>
      </c>
    </row>
    <row r="43" spans="1:83" x14ac:dyDescent="0.35">
      <c r="A43" t="s">
        <v>242</v>
      </c>
      <c r="B43">
        <v>3050535</v>
      </c>
      <c r="C43">
        <v>41651</v>
      </c>
      <c r="D43" t="s">
        <v>600</v>
      </c>
      <c r="E43">
        <v>322203001</v>
      </c>
      <c r="F43" t="s">
        <v>677</v>
      </c>
      <c r="G43" s="60">
        <v>46054</v>
      </c>
      <c r="H43">
        <v>40759144</v>
      </c>
      <c r="I43" t="s">
        <v>791</v>
      </c>
      <c r="J43" t="s">
        <v>260</v>
      </c>
      <c r="K43" t="s">
        <v>65</v>
      </c>
      <c r="L43">
        <v>0</v>
      </c>
      <c r="M43">
        <v>0</v>
      </c>
      <c r="N43" t="s">
        <v>522</v>
      </c>
      <c r="O43" t="s">
        <v>522</v>
      </c>
      <c r="P43" t="s">
        <v>287</v>
      </c>
      <c r="Q43">
        <v>148610446</v>
      </c>
      <c r="R43">
        <v>11500000</v>
      </c>
      <c r="S43" s="50">
        <v>46027</v>
      </c>
      <c r="T43" s="50">
        <v>46112</v>
      </c>
      <c r="U43" t="s">
        <v>69</v>
      </c>
      <c r="V43" t="s">
        <v>249</v>
      </c>
      <c r="W43" t="s">
        <v>92</v>
      </c>
      <c r="X43" t="s">
        <v>86</v>
      </c>
      <c r="Y43" t="s">
        <v>291</v>
      </c>
      <c r="Z43">
        <v>10573647</v>
      </c>
      <c r="AA43" s="50">
        <v>46081</v>
      </c>
      <c r="AB43" s="87" t="s">
        <v>93</v>
      </c>
      <c r="AC43" s="86">
        <v>66667</v>
      </c>
      <c r="AD43" t="s">
        <v>70</v>
      </c>
      <c r="AE43" s="85">
        <v>46.12</v>
      </c>
      <c r="AF43" s="85">
        <v>46.12</v>
      </c>
      <c r="AG43" s="85"/>
      <c r="AH43" s="85"/>
      <c r="AI43" s="85"/>
      <c r="AJ43" s="85"/>
      <c r="AK43" s="85"/>
      <c r="AL43" s="85"/>
      <c r="AM43" s="85"/>
      <c r="AN43" s="85"/>
      <c r="AO43" s="85"/>
      <c r="AP43" s="85"/>
      <c r="AQ43" s="85"/>
      <c r="AR43" s="85"/>
      <c r="AS43" s="85"/>
      <c r="AT43" s="85"/>
      <c r="AU43" s="85"/>
      <c r="AV43" s="85"/>
      <c r="AW43" s="85"/>
      <c r="AX43" s="85"/>
      <c r="AY43" s="85"/>
      <c r="AZ43" s="85"/>
      <c r="BA43" s="85"/>
      <c r="BB43" s="85"/>
      <c r="BC43" s="85"/>
      <c r="BD43" s="85"/>
      <c r="BE43" s="85">
        <v>0</v>
      </c>
      <c r="BF43" s="85">
        <v>0</v>
      </c>
      <c r="BG43" s="85">
        <v>0</v>
      </c>
      <c r="BH43" s="85">
        <v>66667</v>
      </c>
      <c r="BI43" s="85">
        <v>46.12</v>
      </c>
      <c r="BJ43" s="85">
        <v>46.12</v>
      </c>
      <c r="BO43">
        <v>39.549999999999997</v>
      </c>
      <c r="BP43" s="86">
        <v>26368.47</v>
      </c>
      <c r="BQ43">
        <v>18.239999999999998</v>
      </c>
      <c r="BR43">
        <v>18.239999999999998</v>
      </c>
      <c r="BS43" s="85">
        <v>40298.53</v>
      </c>
      <c r="BT43" s="85">
        <v>27.88</v>
      </c>
      <c r="BU43" s="85">
        <v>27.88</v>
      </c>
      <c r="BX43" t="s">
        <v>728</v>
      </c>
      <c r="BZ43">
        <v>192377147</v>
      </c>
      <c r="CA43">
        <v>192377147</v>
      </c>
      <c r="CB43" t="s">
        <v>73</v>
      </c>
      <c r="CC43" t="s">
        <v>250</v>
      </c>
      <c r="CE43" t="s">
        <v>530</v>
      </c>
    </row>
    <row r="44" spans="1:83" x14ac:dyDescent="0.35">
      <c r="A44" t="s">
        <v>242</v>
      </c>
      <c r="B44">
        <v>3050535</v>
      </c>
      <c r="C44">
        <v>41651</v>
      </c>
      <c r="D44" t="s">
        <v>553</v>
      </c>
      <c r="E44">
        <v>324904401</v>
      </c>
      <c r="F44" t="s">
        <v>1133</v>
      </c>
      <c r="G44" s="60">
        <v>46054</v>
      </c>
      <c r="H44">
        <v>40958584</v>
      </c>
      <c r="I44" t="s">
        <v>1221</v>
      </c>
      <c r="J44" t="s">
        <v>260</v>
      </c>
      <c r="K44" t="s">
        <v>65</v>
      </c>
      <c r="L44">
        <v>0</v>
      </c>
      <c r="M44">
        <v>0</v>
      </c>
      <c r="N44" t="s">
        <v>94</v>
      </c>
      <c r="P44" t="s">
        <v>544</v>
      </c>
      <c r="Q44">
        <v>821027</v>
      </c>
      <c r="R44">
        <v>11744448</v>
      </c>
      <c r="S44" s="50">
        <v>46071</v>
      </c>
      <c r="T44" s="50">
        <v>46084</v>
      </c>
      <c r="U44" t="s">
        <v>69</v>
      </c>
      <c r="V44" t="s">
        <v>249</v>
      </c>
      <c r="W44" t="s">
        <v>92</v>
      </c>
      <c r="X44" t="s">
        <v>86</v>
      </c>
      <c r="Y44" t="s">
        <v>291</v>
      </c>
      <c r="Z44">
        <v>10573659</v>
      </c>
      <c r="AA44" s="50">
        <v>46081</v>
      </c>
      <c r="AB44" s="87" t="s">
        <v>93</v>
      </c>
      <c r="AC44" s="86">
        <v>9224933.0199999996</v>
      </c>
      <c r="AD44" t="s">
        <v>70</v>
      </c>
      <c r="AE44" s="85">
        <v>6382.29</v>
      </c>
      <c r="AF44" s="85">
        <v>6382.29</v>
      </c>
      <c r="AG44" s="85"/>
      <c r="AH44" s="85"/>
      <c r="AI44" s="85"/>
      <c r="AJ44" s="85"/>
      <c r="AK44" s="85"/>
      <c r="AL44" s="85"/>
      <c r="AM44" s="85"/>
      <c r="AN44" s="85"/>
      <c r="AO44" s="85"/>
      <c r="AP44" s="85"/>
      <c r="AQ44" s="85"/>
      <c r="AR44" s="85"/>
      <c r="AS44" s="85"/>
      <c r="AT44" s="85"/>
      <c r="AU44" s="85"/>
      <c r="AV44" s="85"/>
      <c r="AW44" s="85"/>
      <c r="AX44" s="85"/>
      <c r="AY44" s="85"/>
      <c r="AZ44" s="85"/>
      <c r="BA44" s="85"/>
      <c r="BB44" s="85"/>
      <c r="BC44" s="85"/>
      <c r="BD44" s="85"/>
      <c r="BE44" s="85">
        <v>0</v>
      </c>
      <c r="BF44" s="85">
        <v>0</v>
      </c>
      <c r="BG44" s="85">
        <v>0</v>
      </c>
      <c r="BH44" s="85">
        <v>9224933.0199999996</v>
      </c>
      <c r="BI44" s="85">
        <v>6382.29</v>
      </c>
      <c r="BJ44" s="85">
        <v>6382.29</v>
      </c>
      <c r="BO44">
        <v>22</v>
      </c>
      <c r="BP44" s="86">
        <v>2029485.26</v>
      </c>
      <c r="BQ44">
        <v>1404.1</v>
      </c>
      <c r="BR44">
        <v>1404.1</v>
      </c>
      <c r="BS44" s="85">
        <v>7195447.7599999998</v>
      </c>
      <c r="BT44" s="85">
        <v>4978.1899999999996</v>
      </c>
      <c r="BU44" s="85">
        <v>4978.1899999999996</v>
      </c>
      <c r="BX44" t="s">
        <v>1222</v>
      </c>
      <c r="BZ44">
        <v>224554</v>
      </c>
      <c r="CB44" t="s">
        <v>73</v>
      </c>
      <c r="CC44" t="s">
        <v>250</v>
      </c>
      <c r="CE44" t="s">
        <v>530</v>
      </c>
    </row>
    <row r="45" spans="1:83" x14ac:dyDescent="0.35">
      <c r="A45" t="s">
        <v>242</v>
      </c>
      <c r="B45">
        <v>3050535</v>
      </c>
      <c r="C45">
        <v>41651</v>
      </c>
      <c r="D45" t="s">
        <v>542</v>
      </c>
      <c r="E45">
        <v>322149801</v>
      </c>
      <c r="F45" t="s">
        <v>669</v>
      </c>
      <c r="G45" s="60">
        <v>46054</v>
      </c>
      <c r="H45">
        <v>40745354</v>
      </c>
      <c r="I45" t="s">
        <v>763</v>
      </c>
      <c r="J45" t="s">
        <v>260</v>
      </c>
      <c r="K45" t="s">
        <v>65</v>
      </c>
      <c r="L45">
        <v>0</v>
      </c>
      <c r="M45">
        <v>0</v>
      </c>
      <c r="N45" t="s">
        <v>259</v>
      </c>
      <c r="O45" t="s">
        <v>259</v>
      </c>
      <c r="P45" t="s">
        <v>524</v>
      </c>
      <c r="Q45">
        <v>292695</v>
      </c>
      <c r="R45">
        <v>23500000</v>
      </c>
      <c r="S45" s="50">
        <v>46023</v>
      </c>
      <c r="T45" s="50">
        <v>46081</v>
      </c>
      <c r="U45" t="s">
        <v>79</v>
      </c>
      <c r="V45" t="s">
        <v>249</v>
      </c>
      <c r="W45" t="s">
        <v>92</v>
      </c>
      <c r="X45" t="s">
        <v>86</v>
      </c>
      <c r="Y45" t="s">
        <v>291</v>
      </c>
      <c r="Z45">
        <v>10573692</v>
      </c>
      <c r="AA45" s="50">
        <v>46081</v>
      </c>
      <c r="AB45" s="87" t="s">
        <v>93</v>
      </c>
      <c r="AC45" s="86">
        <v>2735581.56</v>
      </c>
      <c r="AD45" t="s">
        <v>70</v>
      </c>
      <c r="AE45" s="85">
        <v>1892.62</v>
      </c>
      <c r="AF45" s="85">
        <v>1892.62</v>
      </c>
      <c r="AG45" s="85"/>
      <c r="AH45" s="85"/>
      <c r="AI45" s="85"/>
      <c r="AJ45" s="85"/>
      <c r="AK45" s="85"/>
      <c r="AL45" s="85"/>
      <c r="AM45" s="85"/>
      <c r="AN45" s="85"/>
      <c r="AO45" s="85"/>
      <c r="AP45" s="85"/>
      <c r="AQ45" s="85"/>
      <c r="AR45" s="85"/>
      <c r="AS45" s="85"/>
      <c r="AT45" s="85"/>
      <c r="AU45" s="85"/>
      <c r="AV45" s="85"/>
      <c r="AW45" s="85"/>
      <c r="AX45" s="85"/>
      <c r="AY45" s="85"/>
      <c r="AZ45" s="85"/>
      <c r="BA45" s="85"/>
      <c r="BB45" s="85"/>
      <c r="BC45" s="85"/>
      <c r="BD45" s="85"/>
      <c r="BE45" s="85">
        <v>0</v>
      </c>
      <c r="BF45" s="85">
        <v>0</v>
      </c>
      <c r="BG45" s="85">
        <v>0</v>
      </c>
      <c r="BH45" s="85">
        <v>2735581.56</v>
      </c>
      <c r="BI45" s="85">
        <v>1892.62</v>
      </c>
      <c r="BJ45" s="85">
        <v>1892.62</v>
      </c>
      <c r="BO45">
        <v>39.549999999999997</v>
      </c>
      <c r="BP45" s="86">
        <v>1081990.8999999999</v>
      </c>
      <c r="BQ45">
        <v>748.58</v>
      </c>
      <c r="BR45">
        <v>748.58</v>
      </c>
      <c r="BS45" s="85">
        <v>1653590.66</v>
      </c>
      <c r="BT45" s="85">
        <v>1144.04</v>
      </c>
      <c r="BU45" s="85">
        <v>1144.04</v>
      </c>
      <c r="BX45" t="s">
        <v>726</v>
      </c>
      <c r="BZ45">
        <v>66013147</v>
      </c>
      <c r="CA45">
        <v>66013147</v>
      </c>
      <c r="CB45" t="s">
        <v>73</v>
      </c>
      <c r="CC45" t="s">
        <v>250</v>
      </c>
      <c r="CE45" t="s">
        <v>530</v>
      </c>
    </row>
    <row r="46" spans="1:83" x14ac:dyDescent="0.35">
      <c r="A46" t="s">
        <v>242</v>
      </c>
      <c r="B46">
        <v>3050535</v>
      </c>
      <c r="C46">
        <v>41651</v>
      </c>
      <c r="D46" t="s">
        <v>542</v>
      </c>
      <c r="E46">
        <v>322149801</v>
      </c>
      <c r="F46" t="s">
        <v>669</v>
      </c>
      <c r="G46" s="60">
        <v>46054</v>
      </c>
      <c r="H46">
        <v>40788989</v>
      </c>
      <c r="I46" t="s">
        <v>752</v>
      </c>
      <c r="J46" t="s">
        <v>260</v>
      </c>
      <c r="K46" t="s">
        <v>65</v>
      </c>
      <c r="L46">
        <v>0</v>
      </c>
      <c r="M46">
        <v>0</v>
      </c>
      <c r="N46" t="s">
        <v>259</v>
      </c>
      <c r="O46" t="s">
        <v>259</v>
      </c>
      <c r="P46" t="s">
        <v>524</v>
      </c>
      <c r="Q46">
        <v>292695</v>
      </c>
      <c r="R46">
        <v>23500000</v>
      </c>
      <c r="S46" s="50">
        <v>46023</v>
      </c>
      <c r="T46" s="50">
        <v>46081</v>
      </c>
      <c r="U46" t="s">
        <v>79</v>
      </c>
      <c r="V46" t="s">
        <v>249</v>
      </c>
      <c r="W46" t="s">
        <v>92</v>
      </c>
      <c r="X46" t="s">
        <v>86</v>
      </c>
      <c r="Y46" t="s">
        <v>291</v>
      </c>
      <c r="Z46">
        <v>10573692</v>
      </c>
      <c r="AA46" s="50">
        <v>46081</v>
      </c>
      <c r="AB46" s="87" t="s">
        <v>93</v>
      </c>
      <c r="AC46" s="86">
        <v>474511.63</v>
      </c>
      <c r="AD46" t="s">
        <v>70</v>
      </c>
      <c r="AE46" s="85">
        <v>328.29</v>
      </c>
      <c r="AF46" s="85">
        <v>328.29</v>
      </c>
      <c r="AG46" s="85"/>
      <c r="AH46" s="85"/>
      <c r="AI46" s="85"/>
      <c r="AJ46" s="85"/>
      <c r="AK46" s="85"/>
      <c r="AL46" s="85"/>
      <c r="AM46" s="85"/>
      <c r="AN46" s="85"/>
      <c r="AO46" s="85"/>
      <c r="AP46" s="85"/>
      <c r="AQ46" s="85"/>
      <c r="AR46" s="85"/>
      <c r="AS46" s="85"/>
      <c r="AT46" s="85"/>
      <c r="AU46" s="85"/>
      <c r="AV46" s="85"/>
      <c r="AW46" s="85"/>
      <c r="AX46" s="85"/>
      <c r="AY46" s="85"/>
      <c r="AZ46" s="85"/>
      <c r="BA46" s="85"/>
      <c r="BB46" s="85"/>
      <c r="BC46" s="85"/>
      <c r="BD46" s="85"/>
      <c r="BE46" s="85">
        <v>0</v>
      </c>
      <c r="BF46" s="85">
        <v>0</v>
      </c>
      <c r="BG46" s="85">
        <v>0</v>
      </c>
      <c r="BH46" s="85">
        <v>474511.63</v>
      </c>
      <c r="BI46" s="85">
        <v>328.29</v>
      </c>
      <c r="BJ46" s="85">
        <v>328.29</v>
      </c>
      <c r="BO46">
        <v>39.549999999999997</v>
      </c>
      <c r="BP46" s="86">
        <v>187681.21</v>
      </c>
      <c r="BQ46">
        <v>129.85</v>
      </c>
      <c r="BR46">
        <v>129.85</v>
      </c>
      <c r="BS46" s="85">
        <v>286830.42</v>
      </c>
      <c r="BT46" s="85">
        <v>198.44</v>
      </c>
      <c r="BU46" s="85">
        <v>198.44</v>
      </c>
      <c r="BX46" t="s">
        <v>726</v>
      </c>
      <c r="BZ46">
        <v>66013147</v>
      </c>
      <c r="CA46">
        <v>66013147</v>
      </c>
      <c r="CB46" t="s">
        <v>71</v>
      </c>
      <c r="CC46" t="s">
        <v>250</v>
      </c>
      <c r="CE46" t="s">
        <v>530</v>
      </c>
    </row>
    <row r="47" spans="1:83" x14ac:dyDescent="0.35">
      <c r="A47" t="s">
        <v>242</v>
      </c>
      <c r="B47">
        <v>3050535</v>
      </c>
      <c r="C47">
        <v>41651</v>
      </c>
      <c r="D47" t="s">
        <v>744</v>
      </c>
      <c r="E47">
        <v>288709901</v>
      </c>
      <c r="F47" t="s">
        <v>653</v>
      </c>
      <c r="G47" s="60">
        <v>46054</v>
      </c>
      <c r="H47">
        <v>40859495</v>
      </c>
      <c r="I47" t="s">
        <v>788</v>
      </c>
      <c r="J47" t="s">
        <v>260</v>
      </c>
      <c r="K47" t="s">
        <v>65</v>
      </c>
      <c r="L47">
        <v>0</v>
      </c>
      <c r="M47">
        <v>0</v>
      </c>
      <c r="P47" t="s">
        <v>654</v>
      </c>
      <c r="Q47">
        <v>115399678</v>
      </c>
      <c r="R47">
        <v>40300000</v>
      </c>
      <c r="S47" s="50">
        <v>45516</v>
      </c>
      <c r="T47" s="50">
        <v>46081</v>
      </c>
      <c r="U47" t="s">
        <v>69</v>
      </c>
      <c r="V47" t="s">
        <v>249</v>
      </c>
      <c r="W47" t="s">
        <v>92</v>
      </c>
      <c r="X47" t="s">
        <v>86</v>
      </c>
      <c r="Y47" t="s">
        <v>291</v>
      </c>
      <c r="Z47">
        <v>10573707</v>
      </c>
      <c r="AA47" s="50">
        <v>46081</v>
      </c>
      <c r="AB47" s="87" t="s">
        <v>93</v>
      </c>
      <c r="AC47" s="86">
        <v>246829.11</v>
      </c>
      <c r="AD47" t="s">
        <v>70</v>
      </c>
      <c r="AE47" s="85">
        <v>170.77</v>
      </c>
      <c r="AF47" s="85">
        <v>170.77</v>
      </c>
      <c r="AG47" s="85"/>
      <c r="AH47" s="85"/>
      <c r="AI47" s="85"/>
      <c r="AJ47" s="85"/>
      <c r="AK47" s="85"/>
      <c r="AL47" s="85"/>
      <c r="AM47" s="85"/>
      <c r="AN47" s="85"/>
      <c r="AO47" s="85"/>
      <c r="AP47" s="85"/>
      <c r="AQ47" s="85"/>
      <c r="AR47" s="85"/>
      <c r="AS47" s="85"/>
      <c r="AT47" s="85"/>
      <c r="AU47" s="85"/>
      <c r="AV47" s="85"/>
      <c r="AW47" s="85"/>
      <c r="AX47" s="85"/>
      <c r="AY47" s="85"/>
      <c r="AZ47" s="85"/>
      <c r="BA47" s="85"/>
      <c r="BB47" s="85"/>
      <c r="BC47" s="85"/>
      <c r="BD47" s="85"/>
      <c r="BE47" s="85">
        <v>0</v>
      </c>
      <c r="BF47" s="85">
        <v>0</v>
      </c>
      <c r="BG47" s="85">
        <v>0</v>
      </c>
      <c r="BH47" s="85">
        <v>246829.11</v>
      </c>
      <c r="BI47" s="85">
        <v>170.77</v>
      </c>
      <c r="BJ47" s="85">
        <v>170.77</v>
      </c>
      <c r="BO47">
        <v>39.549999999999997</v>
      </c>
      <c r="BP47" s="86">
        <v>97627.08</v>
      </c>
      <c r="BQ47">
        <v>67.540000000000006</v>
      </c>
      <c r="BR47">
        <v>67.540000000000006</v>
      </c>
      <c r="BS47" s="85">
        <v>149202.03</v>
      </c>
      <c r="BT47" s="85">
        <v>103.23</v>
      </c>
      <c r="BU47" s="85">
        <v>103.23</v>
      </c>
      <c r="BX47" t="s">
        <v>745</v>
      </c>
      <c r="CB47" t="s">
        <v>78</v>
      </c>
      <c r="CC47" t="s">
        <v>250</v>
      </c>
      <c r="CE47" t="s">
        <v>530</v>
      </c>
    </row>
    <row r="48" spans="1:83" x14ac:dyDescent="0.35">
      <c r="A48" t="s">
        <v>242</v>
      </c>
      <c r="B48">
        <v>3050535</v>
      </c>
      <c r="C48">
        <v>41651</v>
      </c>
      <c r="D48" t="s">
        <v>1190</v>
      </c>
      <c r="E48">
        <v>324878401</v>
      </c>
      <c r="F48" t="s">
        <v>1106</v>
      </c>
      <c r="G48" s="60">
        <v>46054</v>
      </c>
      <c r="H48">
        <v>40937141</v>
      </c>
      <c r="I48" t="s">
        <v>1223</v>
      </c>
      <c r="J48" t="s">
        <v>260</v>
      </c>
      <c r="K48" t="s">
        <v>65</v>
      </c>
      <c r="L48">
        <v>0</v>
      </c>
      <c r="M48">
        <v>0</v>
      </c>
      <c r="N48" t="s">
        <v>243</v>
      </c>
      <c r="P48" t="s">
        <v>1107</v>
      </c>
      <c r="Q48">
        <v>167061</v>
      </c>
      <c r="R48">
        <v>2500000</v>
      </c>
      <c r="S48" s="50">
        <v>46064</v>
      </c>
      <c r="T48" s="50">
        <v>46081</v>
      </c>
      <c r="U48" t="s">
        <v>79</v>
      </c>
      <c r="V48" t="s">
        <v>249</v>
      </c>
      <c r="W48" t="s">
        <v>92</v>
      </c>
      <c r="X48" t="s">
        <v>86</v>
      </c>
      <c r="Y48" t="s">
        <v>291</v>
      </c>
      <c r="Z48">
        <v>10573722</v>
      </c>
      <c r="AA48" s="50">
        <v>46081</v>
      </c>
      <c r="AB48" s="87" t="s">
        <v>93</v>
      </c>
      <c r="AC48" s="86">
        <v>1499044.18</v>
      </c>
      <c r="AD48" t="s">
        <v>70</v>
      </c>
      <c r="AE48" s="85">
        <v>1037.1199999999999</v>
      </c>
      <c r="AF48" s="85">
        <v>1037.1199999999999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5"/>
      <c r="AQ48" s="85"/>
      <c r="AR48" s="85"/>
      <c r="AS48" s="85"/>
      <c r="AT48" s="85"/>
      <c r="AU48" s="85"/>
      <c r="AV48" s="85"/>
      <c r="AW48" s="85"/>
      <c r="AX48" s="85"/>
      <c r="AY48" s="85"/>
      <c r="AZ48" s="85"/>
      <c r="BA48" s="85"/>
      <c r="BB48" s="85"/>
      <c r="BC48" s="85"/>
      <c r="BD48" s="85"/>
      <c r="BE48" s="85">
        <v>0</v>
      </c>
      <c r="BF48" s="85">
        <v>0</v>
      </c>
      <c r="BG48" s="85">
        <v>0</v>
      </c>
      <c r="BH48" s="85">
        <v>1499044.18</v>
      </c>
      <c r="BI48" s="85">
        <v>1037.1199999999999</v>
      </c>
      <c r="BJ48" s="85">
        <v>1037.1199999999999</v>
      </c>
      <c r="BO48">
        <v>22</v>
      </c>
      <c r="BP48" s="86">
        <v>329789.71999999997</v>
      </c>
      <c r="BQ48">
        <v>228.17</v>
      </c>
      <c r="BR48">
        <v>228.17</v>
      </c>
      <c r="BS48" s="85">
        <v>1169254.46</v>
      </c>
      <c r="BT48" s="85">
        <v>808.95</v>
      </c>
      <c r="BU48" s="85">
        <v>808.95</v>
      </c>
      <c r="BX48" t="s">
        <v>1192</v>
      </c>
      <c r="BZ48">
        <v>14030950</v>
      </c>
      <c r="CB48" t="s">
        <v>72</v>
      </c>
      <c r="CC48" t="s">
        <v>250</v>
      </c>
      <c r="CE48" t="s">
        <v>530</v>
      </c>
    </row>
    <row r="49" spans="1:83" x14ac:dyDescent="0.35">
      <c r="A49" t="s">
        <v>242</v>
      </c>
      <c r="B49">
        <v>3050535</v>
      </c>
      <c r="C49">
        <v>41651</v>
      </c>
      <c r="D49" t="s">
        <v>614</v>
      </c>
      <c r="E49">
        <v>324279201</v>
      </c>
      <c r="F49" t="s">
        <v>1072</v>
      </c>
      <c r="G49" s="60">
        <v>46054</v>
      </c>
      <c r="H49">
        <v>40894117</v>
      </c>
      <c r="I49" t="s">
        <v>1224</v>
      </c>
      <c r="J49" t="s">
        <v>260</v>
      </c>
      <c r="K49" t="s">
        <v>65</v>
      </c>
      <c r="L49">
        <v>0</v>
      </c>
      <c r="M49">
        <v>0</v>
      </c>
      <c r="N49" t="s">
        <v>108</v>
      </c>
      <c r="O49" t="s">
        <v>108</v>
      </c>
      <c r="P49" t="s">
        <v>579</v>
      </c>
      <c r="Q49">
        <v>2097220</v>
      </c>
      <c r="R49">
        <v>3000000</v>
      </c>
      <c r="S49" s="50">
        <v>46062</v>
      </c>
      <c r="T49" s="50">
        <v>46089</v>
      </c>
      <c r="U49" t="s">
        <v>79</v>
      </c>
      <c r="V49" t="s">
        <v>249</v>
      </c>
      <c r="W49" t="s">
        <v>92</v>
      </c>
      <c r="X49" t="s">
        <v>86</v>
      </c>
      <c r="Y49" t="s">
        <v>291</v>
      </c>
      <c r="Z49">
        <v>10573728</v>
      </c>
      <c r="AA49" s="50">
        <v>46081</v>
      </c>
      <c r="AB49" s="87" t="s">
        <v>93</v>
      </c>
      <c r="AC49" s="86">
        <v>6.02</v>
      </c>
      <c r="AD49" t="s">
        <v>70</v>
      </c>
      <c r="AE49" s="85">
        <v>0</v>
      </c>
      <c r="AF49" s="85">
        <v>0</v>
      </c>
      <c r="AG49" s="85"/>
      <c r="AH49" s="85"/>
      <c r="AI49" s="85"/>
      <c r="AJ49" s="85"/>
      <c r="AK49" s="85"/>
      <c r="AL49" s="85"/>
      <c r="AM49" s="85"/>
      <c r="AN49" s="85"/>
      <c r="AO49" s="85"/>
      <c r="AP49" s="85"/>
      <c r="AQ49" s="85"/>
      <c r="AR49" s="85"/>
      <c r="AS49" s="85"/>
      <c r="AT49" s="85"/>
      <c r="AU49" s="85"/>
      <c r="AV49" s="85"/>
      <c r="AW49" s="85"/>
      <c r="AX49" s="85"/>
      <c r="AY49" s="85"/>
      <c r="AZ49" s="85"/>
      <c r="BA49" s="85"/>
      <c r="BB49" s="85"/>
      <c r="BC49" s="85"/>
      <c r="BD49" s="85"/>
      <c r="BE49" s="85">
        <v>0</v>
      </c>
      <c r="BF49" s="85">
        <v>0</v>
      </c>
      <c r="BG49" s="85">
        <v>0</v>
      </c>
      <c r="BH49" s="85">
        <v>6.02</v>
      </c>
      <c r="BI49" s="85">
        <v>0</v>
      </c>
      <c r="BJ49" s="85">
        <v>0</v>
      </c>
      <c r="BO49">
        <v>22</v>
      </c>
      <c r="BP49" s="86">
        <v>1.33</v>
      </c>
      <c r="BQ49">
        <v>0</v>
      </c>
      <c r="BR49">
        <v>0</v>
      </c>
      <c r="BS49" s="85">
        <v>4.6900000000000004</v>
      </c>
      <c r="BT49" s="85">
        <v>0</v>
      </c>
      <c r="BU49" s="85">
        <v>0</v>
      </c>
      <c r="BX49" t="s">
        <v>1225</v>
      </c>
      <c r="BZ49">
        <v>224529</v>
      </c>
      <c r="CA49">
        <v>224529</v>
      </c>
      <c r="CB49" t="s">
        <v>73</v>
      </c>
      <c r="CC49" t="s">
        <v>250</v>
      </c>
      <c r="CE49" t="s">
        <v>530</v>
      </c>
    </row>
    <row r="50" spans="1:83" x14ac:dyDescent="0.35">
      <c r="A50" t="s">
        <v>242</v>
      </c>
      <c r="B50">
        <v>3050535</v>
      </c>
      <c r="C50">
        <v>41651</v>
      </c>
      <c r="D50" t="s">
        <v>573</v>
      </c>
      <c r="E50">
        <v>322258201</v>
      </c>
      <c r="F50" t="s">
        <v>686</v>
      </c>
      <c r="G50" s="60">
        <v>46054</v>
      </c>
      <c r="H50">
        <v>40794271</v>
      </c>
      <c r="I50" t="s">
        <v>783</v>
      </c>
      <c r="J50" t="s">
        <v>260</v>
      </c>
      <c r="K50" t="s">
        <v>65</v>
      </c>
      <c r="L50">
        <v>0</v>
      </c>
      <c r="M50">
        <v>0</v>
      </c>
      <c r="N50" t="s">
        <v>259</v>
      </c>
      <c r="O50" t="s">
        <v>259</v>
      </c>
      <c r="P50" t="s">
        <v>568</v>
      </c>
      <c r="Q50">
        <v>240194</v>
      </c>
      <c r="R50">
        <v>7800000</v>
      </c>
      <c r="S50" s="50">
        <v>46030</v>
      </c>
      <c r="T50" s="50">
        <v>46081</v>
      </c>
      <c r="U50" t="s">
        <v>79</v>
      </c>
      <c r="V50" t="s">
        <v>249</v>
      </c>
      <c r="W50" t="s">
        <v>92</v>
      </c>
      <c r="X50" t="s">
        <v>86</v>
      </c>
      <c r="Y50" t="s">
        <v>291</v>
      </c>
      <c r="Z50">
        <v>10573620</v>
      </c>
      <c r="AA50" s="50">
        <v>46081</v>
      </c>
      <c r="AB50" s="87" t="s">
        <v>93</v>
      </c>
      <c r="AC50" s="86">
        <v>70.16</v>
      </c>
      <c r="AD50" t="s">
        <v>70</v>
      </c>
      <c r="AE50" s="85">
        <v>0.05</v>
      </c>
      <c r="AF50" s="85">
        <v>0.05</v>
      </c>
      <c r="AG50" s="85"/>
      <c r="AH50" s="85"/>
      <c r="AI50" s="85"/>
      <c r="AJ50" s="85"/>
      <c r="AK50" s="85"/>
      <c r="AL50" s="85"/>
      <c r="AM50" s="85"/>
      <c r="AN50" s="85"/>
      <c r="AO50" s="85"/>
      <c r="AP50" s="85"/>
      <c r="AQ50" s="85"/>
      <c r="AR50" s="85"/>
      <c r="AS50" s="85"/>
      <c r="AT50" s="85"/>
      <c r="AU50" s="85"/>
      <c r="AV50" s="85"/>
      <c r="AW50" s="85"/>
      <c r="AX50" s="85"/>
      <c r="AY50" s="85"/>
      <c r="AZ50" s="85"/>
      <c r="BA50" s="85"/>
      <c r="BB50" s="85"/>
      <c r="BC50" s="85"/>
      <c r="BD50" s="85"/>
      <c r="BE50" s="85">
        <v>0</v>
      </c>
      <c r="BF50" s="85">
        <v>0</v>
      </c>
      <c r="BG50" s="85">
        <v>0</v>
      </c>
      <c r="BH50" s="85">
        <v>70.16</v>
      </c>
      <c r="BI50" s="85">
        <v>0.05</v>
      </c>
      <c r="BJ50" s="85">
        <v>0.05</v>
      </c>
      <c r="BO50">
        <v>39.549999999999997</v>
      </c>
      <c r="BP50" s="86">
        <v>27.75</v>
      </c>
      <c r="BQ50">
        <v>0.02</v>
      </c>
      <c r="BR50">
        <v>0.02</v>
      </c>
      <c r="BS50" s="85">
        <v>42.41</v>
      </c>
      <c r="BT50" s="85">
        <v>0.03</v>
      </c>
      <c r="BU50" s="85">
        <v>0.03</v>
      </c>
      <c r="BX50" t="s">
        <v>770</v>
      </c>
      <c r="BZ50">
        <v>66013147</v>
      </c>
      <c r="CA50">
        <v>66013147</v>
      </c>
      <c r="CB50" t="s">
        <v>73</v>
      </c>
      <c r="CC50" t="s">
        <v>250</v>
      </c>
      <c r="CE50" t="s">
        <v>530</v>
      </c>
    </row>
    <row r="51" spans="1:83" x14ac:dyDescent="0.35">
      <c r="A51" t="s">
        <v>242</v>
      </c>
      <c r="B51">
        <v>3050535</v>
      </c>
      <c r="C51">
        <v>41651</v>
      </c>
      <c r="D51" t="s">
        <v>583</v>
      </c>
      <c r="E51">
        <v>323565201</v>
      </c>
      <c r="F51" t="s">
        <v>711</v>
      </c>
      <c r="G51" s="60">
        <v>46054</v>
      </c>
      <c r="H51">
        <v>40957334</v>
      </c>
      <c r="I51" t="s">
        <v>1226</v>
      </c>
      <c r="J51" t="s">
        <v>260</v>
      </c>
      <c r="K51" t="s">
        <v>65</v>
      </c>
      <c r="L51">
        <v>0</v>
      </c>
      <c r="M51">
        <v>0</v>
      </c>
      <c r="N51" t="s">
        <v>108</v>
      </c>
      <c r="O51" t="s">
        <v>108</v>
      </c>
      <c r="P51" t="s">
        <v>104</v>
      </c>
      <c r="Q51">
        <v>292623</v>
      </c>
      <c r="R51">
        <v>1990002.6</v>
      </c>
      <c r="S51" s="50">
        <v>46045</v>
      </c>
      <c r="T51" s="50">
        <v>46080</v>
      </c>
      <c r="U51" t="s">
        <v>79</v>
      </c>
      <c r="V51" t="s">
        <v>249</v>
      </c>
      <c r="W51" t="s">
        <v>92</v>
      </c>
      <c r="X51" t="s">
        <v>86</v>
      </c>
      <c r="Y51" t="s">
        <v>291</v>
      </c>
      <c r="Z51">
        <v>10573643</v>
      </c>
      <c r="AA51" s="50">
        <v>46081</v>
      </c>
      <c r="AB51" s="87" t="s">
        <v>93</v>
      </c>
      <c r="AC51" s="86">
        <v>390125.88</v>
      </c>
      <c r="AD51" t="s">
        <v>70</v>
      </c>
      <c r="AE51" s="85">
        <v>269.91000000000003</v>
      </c>
      <c r="AF51" s="85">
        <v>269.91000000000003</v>
      </c>
      <c r="AG51" s="85"/>
      <c r="AH51" s="85"/>
      <c r="AI51" s="85"/>
      <c r="AJ51" s="85"/>
      <c r="AK51" s="85"/>
      <c r="AL51" s="85"/>
      <c r="AM51" s="85"/>
      <c r="AN51" s="85"/>
      <c r="AO51" s="85"/>
      <c r="AP51" s="85"/>
      <c r="AQ51" s="85"/>
      <c r="AR51" s="85"/>
      <c r="AS51" s="85"/>
      <c r="AT51" s="85"/>
      <c r="AU51" s="85"/>
      <c r="AV51" s="85"/>
      <c r="AW51" s="85"/>
      <c r="AX51" s="85"/>
      <c r="AY51" s="85"/>
      <c r="AZ51" s="85"/>
      <c r="BA51" s="85"/>
      <c r="BB51" s="85"/>
      <c r="BC51" s="85"/>
      <c r="BD51" s="85"/>
      <c r="BE51" s="85">
        <v>0</v>
      </c>
      <c r="BF51" s="85">
        <v>0</v>
      </c>
      <c r="BG51" s="85">
        <v>0</v>
      </c>
      <c r="BH51" s="85">
        <v>390125.88</v>
      </c>
      <c r="BI51" s="85">
        <v>269.91000000000003</v>
      </c>
      <c r="BJ51" s="85">
        <v>269.91000000000003</v>
      </c>
      <c r="BO51">
        <v>39.549999999999997</v>
      </c>
      <c r="BP51" s="86">
        <v>154304.54</v>
      </c>
      <c r="BQ51">
        <v>106.76</v>
      </c>
      <c r="BR51">
        <v>106.76</v>
      </c>
      <c r="BS51" s="85">
        <v>235821.34</v>
      </c>
      <c r="BT51" s="85">
        <v>163.15</v>
      </c>
      <c r="BU51" s="85">
        <v>163.15</v>
      </c>
      <c r="BX51" t="s">
        <v>795</v>
      </c>
      <c r="BZ51">
        <v>224529</v>
      </c>
      <c r="CA51">
        <v>224529</v>
      </c>
      <c r="CB51" t="s">
        <v>73</v>
      </c>
      <c r="CC51" t="s">
        <v>250</v>
      </c>
      <c r="CE51" t="s">
        <v>530</v>
      </c>
    </row>
    <row r="52" spans="1:83" x14ac:dyDescent="0.35">
      <c r="A52" t="s">
        <v>242</v>
      </c>
      <c r="B52">
        <v>3050535</v>
      </c>
      <c r="C52">
        <v>41651</v>
      </c>
      <c r="D52" t="s">
        <v>585</v>
      </c>
      <c r="E52">
        <v>322158001</v>
      </c>
      <c r="F52" t="s">
        <v>673</v>
      </c>
      <c r="G52" s="60">
        <v>46054</v>
      </c>
      <c r="H52">
        <v>40745025</v>
      </c>
      <c r="I52" t="s">
        <v>739</v>
      </c>
      <c r="J52" t="s">
        <v>260</v>
      </c>
      <c r="K52" t="s">
        <v>65</v>
      </c>
      <c r="L52">
        <v>0</v>
      </c>
      <c r="M52">
        <v>0</v>
      </c>
      <c r="N52" t="s">
        <v>108</v>
      </c>
      <c r="O52" t="s">
        <v>108</v>
      </c>
      <c r="P52" t="s">
        <v>579</v>
      </c>
      <c r="Q52">
        <v>2097220</v>
      </c>
      <c r="R52">
        <v>2800000</v>
      </c>
      <c r="S52" s="50">
        <v>46027</v>
      </c>
      <c r="T52" s="50">
        <v>46061</v>
      </c>
      <c r="U52" t="s">
        <v>79</v>
      </c>
      <c r="V52" t="s">
        <v>249</v>
      </c>
      <c r="W52" t="s">
        <v>92</v>
      </c>
      <c r="X52" t="s">
        <v>86</v>
      </c>
      <c r="Y52" t="s">
        <v>291</v>
      </c>
      <c r="Z52">
        <v>10573699</v>
      </c>
      <c r="AA52" s="50">
        <v>46081</v>
      </c>
      <c r="AB52" s="87" t="s">
        <v>93</v>
      </c>
      <c r="AC52" s="86">
        <v>167565.26</v>
      </c>
      <c r="AD52" t="s">
        <v>70</v>
      </c>
      <c r="AE52" s="85">
        <v>115.93</v>
      </c>
      <c r="AF52" s="85">
        <v>115.93</v>
      </c>
      <c r="AG52" s="85"/>
      <c r="AH52" s="85"/>
      <c r="AI52" s="85"/>
      <c r="AJ52" s="85"/>
      <c r="AK52" s="85"/>
      <c r="AL52" s="85"/>
      <c r="AM52" s="85"/>
      <c r="AN52" s="85"/>
      <c r="AO52" s="85"/>
      <c r="AP52" s="85"/>
      <c r="AQ52" s="85"/>
      <c r="AR52" s="85"/>
      <c r="AS52" s="85"/>
      <c r="AT52" s="85"/>
      <c r="AU52" s="85"/>
      <c r="AV52" s="85"/>
      <c r="AW52" s="85"/>
      <c r="AX52" s="85"/>
      <c r="AY52" s="85"/>
      <c r="AZ52" s="85"/>
      <c r="BA52" s="85"/>
      <c r="BB52" s="85"/>
      <c r="BC52" s="85"/>
      <c r="BD52" s="85"/>
      <c r="BE52" s="85">
        <v>0</v>
      </c>
      <c r="BF52" s="85">
        <v>0</v>
      </c>
      <c r="BG52" s="85">
        <v>0</v>
      </c>
      <c r="BH52" s="85">
        <v>167565.26</v>
      </c>
      <c r="BI52" s="85">
        <v>115.93</v>
      </c>
      <c r="BJ52" s="85">
        <v>115.93</v>
      </c>
      <c r="BO52">
        <v>34</v>
      </c>
      <c r="BP52" s="86">
        <v>56968.84</v>
      </c>
      <c r="BQ52">
        <v>39.409999999999997</v>
      </c>
      <c r="BR52">
        <v>39.409999999999997</v>
      </c>
      <c r="BS52" s="85">
        <v>110596.42</v>
      </c>
      <c r="BT52" s="85">
        <v>76.52</v>
      </c>
      <c r="BU52" s="85">
        <v>76.52</v>
      </c>
      <c r="BX52" t="s">
        <v>740</v>
      </c>
      <c r="BZ52">
        <v>224529</v>
      </c>
      <c r="CA52">
        <v>224529</v>
      </c>
      <c r="CB52" t="s">
        <v>73</v>
      </c>
      <c r="CC52" t="s">
        <v>250</v>
      </c>
      <c r="CE52" t="s">
        <v>530</v>
      </c>
    </row>
    <row r="53" spans="1:83" x14ac:dyDescent="0.35">
      <c r="A53" t="s">
        <v>242</v>
      </c>
      <c r="B53">
        <v>3050535</v>
      </c>
      <c r="C53">
        <v>41651</v>
      </c>
      <c r="D53" t="s">
        <v>262</v>
      </c>
      <c r="E53">
        <v>322206001</v>
      </c>
      <c r="F53" t="s">
        <v>680</v>
      </c>
      <c r="G53" s="60">
        <v>46054</v>
      </c>
      <c r="H53">
        <v>40758990</v>
      </c>
      <c r="I53" t="s">
        <v>1227</v>
      </c>
      <c r="J53" t="s">
        <v>260</v>
      </c>
      <c r="K53" t="s">
        <v>65</v>
      </c>
      <c r="L53">
        <v>0</v>
      </c>
      <c r="M53">
        <v>0</v>
      </c>
      <c r="N53" t="s">
        <v>561</v>
      </c>
      <c r="O53" t="s">
        <v>561</v>
      </c>
      <c r="P53" t="s">
        <v>257</v>
      </c>
      <c r="Q53">
        <v>57936819</v>
      </c>
      <c r="R53">
        <v>3399999.4</v>
      </c>
      <c r="S53" s="50">
        <v>46027</v>
      </c>
      <c r="T53" s="50">
        <v>46076</v>
      </c>
      <c r="U53" t="s">
        <v>69</v>
      </c>
      <c r="V53" t="s">
        <v>249</v>
      </c>
      <c r="W53" t="s">
        <v>92</v>
      </c>
      <c r="X53" t="s">
        <v>86</v>
      </c>
      <c r="Y53" t="s">
        <v>291</v>
      </c>
      <c r="Z53">
        <v>10573628</v>
      </c>
      <c r="AA53" s="50">
        <v>46081</v>
      </c>
      <c r="AB53" s="87" t="s">
        <v>93</v>
      </c>
      <c r="AC53" s="86">
        <v>1283625.72</v>
      </c>
      <c r="AD53" t="s">
        <v>70</v>
      </c>
      <c r="AE53" s="85">
        <v>888.08</v>
      </c>
      <c r="AF53" s="85">
        <v>888.08</v>
      </c>
      <c r="AG53" s="85"/>
      <c r="AH53" s="85"/>
      <c r="AI53" s="85"/>
      <c r="AJ53" s="85"/>
      <c r="AK53" s="85"/>
      <c r="AL53" s="85"/>
      <c r="AM53" s="85"/>
      <c r="AN53" s="85"/>
      <c r="AO53" s="85"/>
      <c r="AP53" s="85"/>
      <c r="AQ53" s="85"/>
      <c r="AR53" s="85"/>
      <c r="AS53" s="85"/>
      <c r="AT53" s="85"/>
      <c r="AU53" s="85"/>
      <c r="AV53" s="85"/>
      <c r="AW53" s="85"/>
      <c r="AX53" s="85"/>
      <c r="AY53" s="85"/>
      <c r="AZ53" s="85"/>
      <c r="BA53" s="85"/>
      <c r="BB53" s="85"/>
      <c r="BC53" s="85"/>
      <c r="BD53" s="85"/>
      <c r="BE53" s="85">
        <v>0</v>
      </c>
      <c r="BF53" s="85">
        <v>0</v>
      </c>
      <c r="BG53" s="85">
        <v>0</v>
      </c>
      <c r="BH53" s="85">
        <v>1283625.72</v>
      </c>
      <c r="BI53" s="85">
        <v>888.08</v>
      </c>
      <c r="BJ53" s="85">
        <v>888.08</v>
      </c>
      <c r="BO53">
        <v>39.549999999999997</v>
      </c>
      <c r="BP53" s="86">
        <v>507706.06</v>
      </c>
      <c r="BQ53">
        <v>351.26</v>
      </c>
      <c r="BR53">
        <v>351.26</v>
      </c>
      <c r="BS53" s="85">
        <v>775919.66</v>
      </c>
      <c r="BT53" s="85">
        <v>536.82000000000005</v>
      </c>
      <c r="BU53" s="85">
        <v>536.82000000000005</v>
      </c>
      <c r="BX53" t="s">
        <v>781</v>
      </c>
      <c r="BZ53">
        <v>224573</v>
      </c>
      <c r="CA53">
        <v>224573</v>
      </c>
      <c r="CB53" t="s">
        <v>73</v>
      </c>
      <c r="CC53" t="s">
        <v>250</v>
      </c>
      <c r="CE53" t="s">
        <v>530</v>
      </c>
    </row>
    <row r="54" spans="1:83" x14ac:dyDescent="0.35">
      <c r="A54" t="s">
        <v>242</v>
      </c>
      <c r="B54">
        <v>3050535</v>
      </c>
      <c r="C54">
        <v>41651</v>
      </c>
      <c r="D54" t="s">
        <v>571</v>
      </c>
      <c r="E54">
        <v>275149001</v>
      </c>
      <c r="F54" t="s">
        <v>562</v>
      </c>
      <c r="G54" s="60">
        <v>46054</v>
      </c>
      <c r="H54">
        <v>40789854</v>
      </c>
      <c r="I54" t="s">
        <v>743</v>
      </c>
      <c r="J54" t="s">
        <v>260</v>
      </c>
      <c r="K54" t="s">
        <v>65</v>
      </c>
      <c r="L54">
        <v>0</v>
      </c>
      <c r="M54">
        <v>0</v>
      </c>
      <c r="N54" t="s">
        <v>566</v>
      </c>
      <c r="O54" t="s">
        <v>566</v>
      </c>
      <c r="P54" t="s">
        <v>563</v>
      </c>
      <c r="Q54">
        <v>5733116</v>
      </c>
      <c r="R54">
        <v>40600000</v>
      </c>
      <c r="S54" s="50">
        <v>45292</v>
      </c>
      <c r="T54" s="50">
        <v>46127</v>
      </c>
      <c r="U54" t="s">
        <v>66</v>
      </c>
      <c r="V54" t="s">
        <v>249</v>
      </c>
      <c r="W54" t="s">
        <v>92</v>
      </c>
      <c r="X54" t="s">
        <v>86</v>
      </c>
      <c r="Y54" t="s">
        <v>291</v>
      </c>
      <c r="Z54">
        <v>10573709</v>
      </c>
      <c r="AA54" s="50">
        <v>46081</v>
      </c>
      <c r="AB54" s="87" t="s">
        <v>93</v>
      </c>
      <c r="AC54" s="86">
        <v>57149.66</v>
      </c>
      <c r="AD54" t="s">
        <v>70</v>
      </c>
      <c r="AE54" s="85">
        <v>39.54</v>
      </c>
      <c r="AF54" s="85">
        <v>39.54</v>
      </c>
      <c r="AG54" s="85"/>
      <c r="AH54" s="85"/>
      <c r="AI54" s="85"/>
      <c r="AJ54" s="85"/>
      <c r="AK54" s="85"/>
      <c r="AL54" s="85"/>
      <c r="AM54" s="85"/>
      <c r="AN54" s="85"/>
      <c r="AO54" s="85"/>
      <c r="AP54" s="85"/>
      <c r="AQ54" s="85"/>
      <c r="AR54" s="85"/>
      <c r="AS54" s="85"/>
      <c r="AT54" s="85"/>
      <c r="AU54" s="85"/>
      <c r="AV54" s="85"/>
      <c r="AW54" s="85"/>
      <c r="AX54" s="85"/>
      <c r="AY54" s="85"/>
      <c r="AZ54" s="85"/>
      <c r="BA54" s="85"/>
      <c r="BB54" s="85"/>
      <c r="BC54" s="85"/>
      <c r="BD54" s="85"/>
      <c r="BE54" s="85">
        <v>0</v>
      </c>
      <c r="BF54" s="85">
        <v>0</v>
      </c>
      <c r="BG54" s="85">
        <v>0</v>
      </c>
      <c r="BH54" s="85">
        <v>57149.66</v>
      </c>
      <c r="BI54" s="85">
        <v>39.54</v>
      </c>
      <c r="BJ54" s="85">
        <v>39.54</v>
      </c>
      <c r="BO54">
        <v>39.549999999999997</v>
      </c>
      <c r="BP54" s="86">
        <v>22604.12</v>
      </c>
      <c r="BQ54">
        <v>15.64</v>
      </c>
      <c r="BR54">
        <v>15.64</v>
      </c>
      <c r="BS54" s="85">
        <v>34545.54</v>
      </c>
      <c r="BT54" s="85">
        <v>23.9</v>
      </c>
      <c r="BU54" s="85">
        <v>23.9</v>
      </c>
      <c r="BX54" t="s">
        <v>572</v>
      </c>
      <c r="BZ54">
        <v>47720819</v>
      </c>
      <c r="CA54">
        <v>47720819</v>
      </c>
      <c r="CB54" t="s">
        <v>73</v>
      </c>
      <c r="CC54" t="s">
        <v>250</v>
      </c>
      <c r="CE54" t="s">
        <v>530</v>
      </c>
    </row>
    <row r="55" spans="1:83" x14ac:dyDescent="0.35">
      <c r="A55" t="s">
        <v>242</v>
      </c>
      <c r="B55">
        <v>3050535</v>
      </c>
      <c r="C55">
        <v>41651</v>
      </c>
      <c r="D55" t="s">
        <v>571</v>
      </c>
      <c r="E55">
        <v>275149001</v>
      </c>
      <c r="F55" t="s">
        <v>562</v>
      </c>
      <c r="G55" s="60">
        <v>46054</v>
      </c>
      <c r="H55">
        <v>40789845</v>
      </c>
      <c r="I55" t="s">
        <v>733</v>
      </c>
      <c r="J55" t="s">
        <v>260</v>
      </c>
      <c r="K55" t="s">
        <v>65</v>
      </c>
      <c r="L55">
        <v>0</v>
      </c>
      <c r="M55">
        <v>0</v>
      </c>
      <c r="N55" t="s">
        <v>566</v>
      </c>
      <c r="O55" t="s">
        <v>566</v>
      </c>
      <c r="P55" t="s">
        <v>563</v>
      </c>
      <c r="Q55">
        <v>5733116</v>
      </c>
      <c r="R55">
        <v>40600000</v>
      </c>
      <c r="S55" s="50">
        <v>45292</v>
      </c>
      <c r="T55" s="50">
        <v>46127</v>
      </c>
      <c r="U55" t="s">
        <v>66</v>
      </c>
      <c r="V55" t="s">
        <v>249</v>
      </c>
      <c r="W55" t="s">
        <v>92</v>
      </c>
      <c r="X55" t="s">
        <v>86</v>
      </c>
      <c r="Y55" t="s">
        <v>291</v>
      </c>
      <c r="Z55">
        <v>10573709</v>
      </c>
      <c r="AA55" s="50">
        <v>46081</v>
      </c>
      <c r="AB55" s="87" t="s">
        <v>93</v>
      </c>
      <c r="AC55" s="86">
        <v>296263.44</v>
      </c>
      <c r="AD55" t="s">
        <v>70</v>
      </c>
      <c r="AE55" s="85">
        <v>204.97</v>
      </c>
      <c r="AF55" s="85">
        <v>204.97</v>
      </c>
      <c r="AG55" s="85"/>
      <c r="AH55" s="85"/>
      <c r="AI55" s="85"/>
      <c r="AJ55" s="85"/>
      <c r="AK55" s="85"/>
      <c r="AL55" s="85"/>
      <c r="AM55" s="85"/>
      <c r="AN55" s="85"/>
      <c r="AO55" s="85"/>
      <c r="AP55" s="85"/>
      <c r="AQ55" s="85"/>
      <c r="AR55" s="85"/>
      <c r="AS55" s="85"/>
      <c r="AT55" s="85"/>
      <c r="AU55" s="85"/>
      <c r="AV55" s="85"/>
      <c r="AW55" s="85"/>
      <c r="AX55" s="85"/>
      <c r="AY55" s="85"/>
      <c r="AZ55" s="85"/>
      <c r="BA55" s="85"/>
      <c r="BB55" s="85"/>
      <c r="BC55" s="85"/>
      <c r="BD55" s="85"/>
      <c r="BE55" s="85">
        <v>0</v>
      </c>
      <c r="BF55" s="85">
        <v>0</v>
      </c>
      <c r="BG55" s="85">
        <v>0</v>
      </c>
      <c r="BH55" s="85">
        <v>296263.44</v>
      </c>
      <c r="BI55" s="85">
        <v>204.97</v>
      </c>
      <c r="BJ55" s="85">
        <v>204.97</v>
      </c>
      <c r="BO55">
        <v>39.549999999999997</v>
      </c>
      <c r="BP55" s="86">
        <v>117179.6</v>
      </c>
      <c r="BQ55">
        <v>81.069999999999993</v>
      </c>
      <c r="BR55">
        <v>81.069999999999993</v>
      </c>
      <c r="BS55" s="85">
        <v>179083.84</v>
      </c>
      <c r="BT55" s="85">
        <v>123.9</v>
      </c>
      <c r="BU55" s="85">
        <v>123.9</v>
      </c>
      <c r="BX55" t="s">
        <v>572</v>
      </c>
      <c r="BZ55">
        <v>47720819</v>
      </c>
      <c r="CA55">
        <v>47720819</v>
      </c>
      <c r="CB55" t="s">
        <v>73</v>
      </c>
      <c r="CC55" t="s">
        <v>250</v>
      </c>
      <c r="CE55" t="s">
        <v>530</v>
      </c>
    </row>
    <row r="56" spans="1:83" x14ac:dyDescent="0.35">
      <c r="A56" t="s">
        <v>242</v>
      </c>
      <c r="B56">
        <v>3050535</v>
      </c>
      <c r="C56">
        <v>41651</v>
      </c>
      <c r="D56" t="s">
        <v>571</v>
      </c>
      <c r="E56">
        <v>275149001</v>
      </c>
      <c r="F56" t="s">
        <v>562</v>
      </c>
      <c r="G56" s="60">
        <v>46054</v>
      </c>
      <c r="H56">
        <v>40888605</v>
      </c>
      <c r="I56" t="s">
        <v>1228</v>
      </c>
      <c r="J56" t="s">
        <v>260</v>
      </c>
      <c r="K56" t="s">
        <v>65</v>
      </c>
      <c r="L56">
        <v>0</v>
      </c>
      <c r="M56">
        <v>0</v>
      </c>
      <c r="N56" t="s">
        <v>566</v>
      </c>
      <c r="O56" t="s">
        <v>566</v>
      </c>
      <c r="P56" t="s">
        <v>563</v>
      </c>
      <c r="Q56">
        <v>5733116</v>
      </c>
      <c r="R56">
        <v>40600000</v>
      </c>
      <c r="S56" s="50">
        <v>45292</v>
      </c>
      <c r="T56" s="50">
        <v>46127</v>
      </c>
      <c r="U56" t="s">
        <v>66</v>
      </c>
      <c r="V56" t="s">
        <v>249</v>
      </c>
      <c r="W56" t="s">
        <v>92</v>
      </c>
      <c r="X56" t="s">
        <v>86</v>
      </c>
      <c r="Y56" t="s">
        <v>291</v>
      </c>
      <c r="Z56">
        <v>10573709</v>
      </c>
      <c r="AA56" s="50">
        <v>46081</v>
      </c>
      <c r="AB56" s="87" t="s">
        <v>93</v>
      </c>
      <c r="AC56" s="86">
        <v>191721</v>
      </c>
      <c r="AD56" t="s">
        <v>70</v>
      </c>
      <c r="AE56" s="85">
        <v>132.63999999999999</v>
      </c>
      <c r="AF56" s="85">
        <v>132.63999999999999</v>
      </c>
      <c r="AG56" s="85"/>
      <c r="AH56" s="85"/>
      <c r="AI56" s="85"/>
      <c r="AJ56" s="85"/>
      <c r="AK56" s="85"/>
      <c r="AL56" s="85"/>
      <c r="AM56" s="85"/>
      <c r="AN56" s="85"/>
      <c r="AO56" s="85"/>
      <c r="AP56" s="85"/>
      <c r="AQ56" s="85"/>
      <c r="AR56" s="85"/>
      <c r="AS56" s="85"/>
      <c r="AT56" s="85"/>
      <c r="AU56" s="85"/>
      <c r="AV56" s="85"/>
      <c r="AW56" s="85"/>
      <c r="AX56" s="85"/>
      <c r="AY56" s="85"/>
      <c r="AZ56" s="85"/>
      <c r="BA56" s="85"/>
      <c r="BB56" s="85"/>
      <c r="BC56" s="85"/>
      <c r="BD56" s="85"/>
      <c r="BE56" s="85">
        <v>0</v>
      </c>
      <c r="BF56" s="85">
        <v>0</v>
      </c>
      <c r="BG56" s="85">
        <v>0</v>
      </c>
      <c r="BH56" s="85">
        <v>191721</v>
      </c>
      <c r="BI56" s="85">
        <v>132.63999999999999</v>
      </c>
      <c r="BJ56" s="85">
        <v>132.63999999999999</v>
      </c>
      <c r="BO56">
        <v>39.549999999999997</v>
      </c>
      <c r="BP56" s="86">
        <v>75830.45</v>
      </c>
      <c r="BQ56">
        <v>52.46</v>
      </c>
      <c r="BR56">
        <v>52.46</v>
      </c>
      <c r="BS56" s="85">
        <v>115890.55</v>
      </c>
      <c r="BT56" s="85">
        <v>80.180000000000007</v>
      </c>
      <c r="BU56" s="85">
        <v>80.180000000000007</v>
      </c>
      <c r="BX56" t="s">
        <v>572</v>
      </c>
      <c r="BZ56">
        <v>47720819</v>
      </c>
      <c r="CA56">
        <v>47720819</v>
      </c>
      <c r="CB56" t="s">
        <v>73</v>
      </c>
      <c r="CC56" t="s">
        <v>250</v>
      </c>
      <c r="CE56" t="s">
        <v>530</v>
      </c>
    </row>
    <row r="57" spans="1:83" x14ac:dyDescent="0.35">
      <c r="A57" t="s">
        <v>242</v>
      </c>
      <c r="B57">
        <v>3050535</v>
      </c>
      <c r="C57">
        <v>41651</v>
      </c>
      <c r="D57" t="s">
        <v>1229</v>
      </c>
      <c r="E57">
        <v>320750202</v>
      </c>
      <c r="F57" t="s">
        <v>903</v>
      </c>
      <c r="G57" s="60">
        <v>46054</v>
      </c>
      <c r="H57">
        <v>40980003</v>
      </c>
      <c r="I57" t="s">
        <v>1230</v>
      </c>
      <c r="J57" t="s">
        <v>260</v>
      </c>
      <c r="K57" t="s">
        <v>65</v>
      </c>
      <c r="L57">
        <v>0</v>
      </c>
      <c r="M57">
        <v>0</v>
      </c>
      <c r="N57" t="s">
        <v>893</v>
      </c>
      <c r="O57" t="s">
        <v>893</v>
      </c>
      <c r="P57" t="s">
        <v>887</v>
      </c>
      <c r="Q57">
        <v>268721</v>
      </c>
      <c r="R57">
        <v>2700000</v>
      </c>
      <c r="S57" s="50">
        <v>46076</v>
      </c>
      <c r="T57" s="50">
        <v>46090</v>
      </c>
      <c r="U57" t="s">
        <v>79</v>
      </c>
      <c r="V57" t="s">
        <v>249</v>
      </c>
      <c r="W57" t="s">
        <v>92</v>
      </c>
      <c r="X57" t="s">
        <v>86</v>
      </c>
      <c r="Y57" t="s">
        <v>291</v>
      </c>
      <c r="Z57">
        <v>10573678</v>
      </c>
      <c r="AA57" s="50">
        <v>46081</v>
      </c>
      <c r="AB57" s="87" t="s">
        <v>93</v>
      </c>
      <c r="AC57" s="86">
        <v>658331.65</v>
      </c>
      <c r="AD57" t="s">
        <v>70</v>
      </c>
      <c r="AE57" s="85">
        <v>455.47</v>
      </c>
      <c r="AF57" s="85">
        <v>455.47</v>
      </c>
      <c r="AG57" s="85"/>
      <c r="AH57" s="85"/>
      <c r="AI57" s="85"/>
      <c r="AJ57" s="85"/>
      <c r="AK57" s="85"/>
      <c r="AL57" s="85"/>
      <c r="AM57" s="85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>
        <v>0</v>
      </c>
      <c r="BF57" s="85">
        <v>0</v>
      </c>
      <c r="BG57" s="85">
        <v>0</v>
      </c>
      <c r="BH57" s="85">
        <v>658331.65</v>
      </c>
      <c r="BI57" s="85">
        <v>455.47</v>
      </c>
      <c r="BJ57" s="85">
        <v>455.47</v>
      </c>
      <c r="BO57">
        <v>22</v>
      </c>
      <c r="BP57" s="86">
        <v>144832.95999999999</v>
      </c>
      <c r="BQ57">
        <v>100.2</v>
      </c>
      <c r="BR57">
        <v>100.2</v>
      </c>
      <c r="BS57" s="85">
        <v>513498.69</v>
      </c>
      <c r="BT57" s="85">
        <v>355.27</v>
      </c>
      <c r="BU57" s="85">
        <v>355.27</v>
      </c>
      <c r="BX57" t="s">
        <v>1231</v>
      </c>
      <c r="BZ57">
        <v>262319</v>
      </c>
      <c r="CA57">
        <v>262319</v>
      </c>
      <c r="CB57" t="s">
        <v>73</v>
      </c>
      <c r="CC57" t="s">
        <v>250</v>
      </c>
      <c r="CE57" t="s">
        <v>530</v>
      </c>
    </row>
    <row r="58" spans="1:83" x14ac:dyDescent="0.35">
      <c r="A58" t="s">
        <v>242</v>
      </c>
      <c r="B58">
        <v>3050535</v>
      </c>
      <c r="C58">
        <v>41651</v>
      </c>
      <c r="D58" t="s">
        <v>1232</v>
      </c>
      <c r="E58">
        <v>321793004</v>
      </c>
      <c r="F58" t="s">
        <v>915</v>
      </c>
      <c r="G58" s="60">
        <v>46054</v>
      </c>
      <c r="H58">
        <v>40888463</v>
      </c>
      <c r="I58" t="s">
        <v>1233</v>
      </c>
      <c r="J58" t="s">
        <v>482</v>
      </c>
      <c r="K58" t="s">
        <v>65</v>
      </c>
      <c r="L58">
        <v>0</v>
      </c>
      <c r="M58">
        <v>0</v>
      </c>
      <c r="P58" t="s">
        <v>917</v>
      </c>
      <c r="Q58">
        <v>294134</v>
      </c>
      <c r="R58">
        <v>891000</v>
      </c>
      <c r="S58" s="50">
        <v>46058</v>
      </c>
      <c r="T58" s="50">
        <v>46058</v>
      </c>
      <c r="U58" t="s">
        <v>79</v>
      </c>
      <c r="V58" t="s">
        <v>249</v>
      </c>
      <c r="W58" t="s">
        <v>92</v>
      </c>
      <c r="X58" t="s">
        <v>86</v>
      </c>
      <c r="Y58" t="s">
        <v>291</v>
      </c>
      <c r="Z58">
        <v>10573627</v>
      </c>
      <c r="AA58" s="50">
        <v>46081</v>
      </c>
      <c r="AB58" s="87" t="s">
        <v>93</v>
      </c>
      <c r="AC58" s="86">
        <v>891000</v>
      </c>
      <c r="AD58" t="s">
        <v>70</v>
      </c>
      <c r="AE58" s="85">
        <v>616.44000000000005</v>
      </c>
      <c r="AF58" s="85">
        <v>616.44000000000005</v>
      </c>
      <c r="AG58" s="85"/>
      <c r="AH58" s="85"/>
      <c r="AI58" s="85"/>
      <c r="AJ58" s="85"/>
      <c r="AK58" s="85"/>
      <c r="AL58" s="85"/>
      <c r="AM58" s="85"/>
      <c r="AN58" s="85"/>
      <c r="AO58" s="85"/>
      <c r="AP58" s="85"/>
      <c r="AQ58" s="85"/>
      <c r="AR58" s="85"/>
      <c r="AS58" s="85"/>
      <c r="AT58" s="85"/>
      <c r="AU58" s="85"/>
      <c r="AV58" s="85"/>
      <c r="AW58" s="85"/>
      <c r="AX58" s="85"/>
      <c r="AY58" s="85"/>
      <c r="AZ58" s="85"/>
      <c r="BA58" s="85"/>
      <c r="BB58" s="85"/>
      <c r="BC58" s="85"/>
      <c r="BD58" s="85"/>
      <c r="BE58" s="85">
        <v>0</v>
      </c>
      <c r="BF58" s="85">
        <v>0</v>
      </c>
      <c r="BG58" s="85">
        <v>0</v>
      </c>
      <c r="BH58" s="85">
        <v>891000</v>
      </c>
      <c r="BI58" s="85">
        <v>616.44000000000005</v>
      </c>
      <c r="BJ58" s="85">
        <v>616.44000000000005</v>
      </c>
      <c r="BO58">
        <v>39.549999999999997</v>
      </c>
      <c r="BP58" s="86">
        <v>352412.78</v>
      </c>
      <c r="BQ58">
        <v>243.82</v>
      </c>
      <c r="BR58">
        <v>243.82</v>
      </c>
      <c r="BS58" s="85">
        <v>538587.22</v>
      </c>
      <c r="BT58" s="85">
        <v>372.62</v>
      </c>
      <c r="BU58" s="85">
        <v>372.62</v>
      </c>
      <c r="BW58" t="s">
        <v>527</v>
      </c>
      <c r="BX58" t="s">
        <v>1234</v>
      </c>
      <c r="CB58" t="s">
        <v>76</v>
      </c>
      <c r="CC58" t="s">
        <v>250</v>
      </c>
      <c r="CE58" t="s">
        <v>530</v>
      </c>
    </row>
    <row r="59" spans="1:83" x14ac:dyDescent="0.35">
      <c r="A59" t="s">
        <v>242</v>
      </c>
      <c r="B59">
        <v>3050535</v>
      </c>
      <c r="C59">
        <v>41651</v>
      </c>
      <c r="D59" t="s">
        <v>552</v>
      </c>
      <c r="E59">
        <v>322531401</v>
      </c>
      <c r="F59" t="s">
        <v>692</v>
      </c>
      <c r="G59" s="60">
        <v>46054</v>
      </c>
      <c r="H59">
        <v>40881365</v>
      </c>
      <c r="I59" t="s">
        <v>1235</v>
      </c>
      <c r="J59" t="s">
        <v>260</v>
      </c>
      <c r="K59" t="s">
        <v>65</v>
      </c>
      <c r="L59">
        <v>0</v>
      </c>
      <c r="M59">
        <v>0</v>
      </c>
      <c r="N59" t="s">
        <v>255</v>
      </c>
      <c r="O59" t="s">
        <v>255</v>
      </c>
      <c r="P59" t="s">
        <v>548</v>
      </c>
      <c r="Q59">
        <v>7000116</v>
      </c>
      <c r="R59">
        <v>12650000</v>
      </c>
      <c r="S59" s="50">
        <v>46035</v>
      </c>
      <c r="T59" s="50">
        <v>46081</v>
      </c>
      <c r="U59" t="s">
        <v>79</v>
      </c>
      <c r="V59" t="s">
        <v>249</v>
      </c>
      <c r="W59" t="s">
        <v>92</v>
      </c>
      <c r="X59" t="s">
        <v>86</v>
      </c>
      <c r="Y59" t="s">
        <v>291</v>
      </c>
      <c r="Z59">
        <v>10573696</v>
      </c>
      <c r="AA59" s="50">
        <v>46081</v>
      </c>
      <c r="AB59" s="87" t="s">
        <v>93</v>
      </c>
      <c r="AC59" s="86">
        <v>961.59</v>
      </c>
      <c r="AD59" t="s">
        <v>70</v>
      </c>
      <c r="AE59" s="85">
        <v>0.67</v>
      </c>
      <c r="AF59" s="85">
        <v>0.67</v>
      </c>
      <c r="AG59" s="85"/>
      <c r="AH59" s="85"/>
      <c r="AI59" s="85"/>
      <c r="AJ59" s="85"/>
      <c r="AK59" s="85"/>
      <c r="AL59" s="85"/>
      <c r="AM59" s="85"/>
      <c r="AN59" s="85"/>
      <c r="AO59" s="85"/>
      <c r="AP59" s="85"/>
      <c r="AQ59" s="85"/>
      <c r="AR59" s="85"/>
      <c r="AS59" s="85"/>
      <c r="AT59" s="85"/>
      <c r="AU59" s="85"/>
      <c r="AV59" s="85"/>
      <c r="AW59" s="85"/>
      <c r="AX59" s="85"/>
      <c r="AY59" s="85"/>
      <c r="AZ59" s="85"/>
      <c r="BA59" s="85"/>
      <c r="BB59" s="85"/>
      <c r="BC59" s="85"/>
      <c r="BD59" s="85"/>
      <c r="BE59" s="85">
        <v>0</v>
      </c>
      <c r="BF59" s="85">
        <v>0</v>
      </c>
      <c r="BG59" s="85">
        <v>0</v>
      </c>
      <c r="BH59" s="85">
        <v>961.59</v>
      </c>
      <c r="BI59" s="85">
        <v>0.67</v>
      </c>
      <c r="BJ59" s="85">
        <v>0.67</v>
      </c>
      <c r="BO59">
        <v>39.549999999999997</v>
      </c>
      <c r="BP59" s="86">
        <v>380.33</v>
      </c>
      <c r="BQ59">
        <v>0.26</v>
      </c>
      <c r="BR59">
        <v>0.26</v>
      </c>
      <c r="BS59" s="85">
        <v>581.26</v>
      </c>
      <c r="BT59" s="85">
        <v>0.41</v>
      </c>
      <c r="BU59" s="85">
        <v>0.41</v>
      </c>
      <c r="BX59" t="s">
        <v>731</v>
      </c>
      <c r="BZ59">
        <v>63304606</v>
      </c>
      <c r="CA59">
        <v>63304606</v>
      </c>
      <c r="CB59" t="s">
        <v>72</v>
      </c>
      <c r="CC59" t="s">
        <v>250</v>
      </c>
      <c r="CE59" t="s">
        <v>530</v>
      </c>
    </row>
    <row r="60" spans="1:83" x14ac:dyDescent="0.35">
      <c r="A60" t="s">
        <v>242</v>
      </c>
      <c r="B60">
        <v>3050535</v>
      </c>
      <c r="C60">
        <v>41651</v>
      </c>
      <c r="D60" t="s">
        <v>645</v>
      </c>
      <c r="E60">
        <v>321819001</v>
      </c>
      <c r="F60" t="s">
        <v>633</v>
      </c>
      <c r="G60" s="60">
        <v>46054</v>
      </c>
      <c r="H60">
        <v>40700854</v>
      </c>
      <c r="I60" t="s">
        <v>646</v>
      </c>
      <c r="J60" t="s">
        <v>260</v>
      </c>
      <c r="K60" t="s">
        <v>65</v>
      </c>
      <c r="L60">
        <v>0</v>
      </c>
      <c r="M60">
        <v>0</v>
      </c>
      <c r="N60" t="s">
        <v>100</v>
      </c>
      <c r="O60" t="s">
        <v>100</v>
      </c>
      <c r="P60" t="s">
        <v>634</v>
      </c>
      <c r="Q60">
        <v>347953</v>
      </c>
      <c r="R60">
        <v>36000000</v>
      </c>
      <c r="S60" s="50">
        <v>46010</v>
      </c>
      <c r="T60" s="50">
        <v>46081</v>
      </c>
      <c r="U60" t="s">
        <v>79</v>
      </c>
      <c r="V60" t="s">
        <v>249</v>
      </c>
      <c r="W60" t="s">
        <v>92</v>
      </c>
      <c r="X60" t="s">
        <v>86</v>
      </c>
      <c r="Y60" t="s">
        <v>291</v>
      </c>
      <c r="Z60">
        <v>10573717</v>
      </c>
      <c r="AA60" s="50">
        <v>46081</v>
      </c>
      <c r="AB60" s="87" t="s">
        <v>93</v>
      </c>
      <c r="AC60" s="86">
        <v>9005104.1400000006</v>
      </c>
      <c r="AD60" t="s">
        <v>70</v>
      </c>
      <c r="AE60" s="85">
        <v>6230.2</v>
      </c>
      <c r="AF60" s="85">
        <v>6230.2</v>
      </c>
      <c r="AG60" s="85"/>
      <c r="AH60" s="85"/>
      <c r="AI60" s="85"/>
      <c r="AJ60" s="85"/>
      <c r="AK60" s="85"/>
      <c r="AL60" s="85"/>
      <c r="AM60" s="85"/>
      <c r="AN60" s="85"/>
      <c r="AO60" s="85"/>
      <c r="AP60" s="85"/>
      <c r="AQ60" s="85"/>
      <c r="AR60" s="85"/>
      <c r="AS60" s="85"/>
      <c r="AT60" s="85"/>
      <c r="AU60" s="85"/>
      <c r="AV60" s="85"/>
      <c r="AW60" s="85"/>
      <c r="AX60" s="85"/>
      <c r="AY60" s="85"/>
      <c r="AZ60" s="85"/>
      <c r="BA60" s="85"/>
      <c r="BB60" s="85"/>
      <c r="BC60" s="85"/>
      <c r="BD60" s="85"/>
      <c r="BE60" s="85">
        <v>0</v>
      </c>
      <c r="BF60" s="85">
        <v>0</v>
      </c>
      <c r="BG60" s="85">
        <v>0</v>
      </c>
      <c r="BH60" s="85">
        <v>9005104.1400000006</v>
      </c>
      <c r="BI60" s="85">
        <v>6230.2</v>
      </c>
      <c r="BJ60" s="85">
        <v>6230.2</v>
      </c>
      <c r="BO60">
        <v>39.549999999999997</v>
      </c>
      <c r="BP60" s="86">
        <v>3561743.82</v>
      </c>
      <c r="BQ60">
        <v>2464.1999999999998</v>
      </c>
      <c r="BR60">
        <v>2464.1999999999998</v>
      </c>
      <c r="BS60" s="85">
        <v>5443360.3200000003</v>
      </c>
      <c r="BT60" s="85">
        <v>3766</v>
      </c>
      <c r="BU60" s="85">
        <v>3766</v>
      </c>
      <c r="BX60" t="s">
        <v>647</v>
      </c>
      <c r="BZ60">
        <v>224581</v>
      </c>
      <c r="CA60">
        <v>224581</v>
      </c>
      <c r="CB60" t="s">
        <v>73</v>
      </c>
      <c r="CC60" t="s">
        <v>250</v>
      </c>
      <c r="CE60" t="s">
        <v>530</v>
      </c>
    </row>
    <row r="61" spans="1:83" x14ac:dyDescent="0.35">
      <c r="A61" t="s">
        <v>242</v>
      </c>
      <c r="B61">
        <v>3050535</v>
      </c>
      <c r="C61">
        <v>41651</v>
      </c>
      <c r="E61">
        <v>323870401</v>
      </c>
      <c r="F61" t="s">
        <v>1054</v>
      </c>
      <c r="G61" s="60">
        <v>46054</v>
      </c>
      <c r="I61" t="s">
        <v>1214</v>
      </c>
      <c r="J61" t="s">
        <v>260</v>
      </c>
      <c r="K61" t="s">
        <v>65</v>
      </c>
      <c r="N61" t="s">
        <v>259</v>
      </c>
      <c r="O61" t="s">
        <v>259</v>
      </c>
      <c r="P61" t="s">
        <v>568</v>
      </c>
      <c r="Q61">
        <v>240194</v>
      </c>
      <c r="R61">
        <v>2000000</v>
      </c>
      <c r="S61" s="50"/>
      <c r="T61" s="50"/>
      <c r="U61" t="s">
        <v>79</v>
      </c>
      <c r="V61" t="s">
        <v>249</v>
      </c>
      <c r="W61" t="s">
        <v>92</v>
      </c>
      <c r="X61" t="s">
        <v>86</v>
      </c>
      <c r="Y61" t="s">
        <v>291</v>
      </c>
      <c r="Z61">
        <v>10573688</v>
      </c>
      <c r="AA61" s="50">
        <v>46081</v>
      </c>
      <c r="AB61" s="87" t="s">
        <v>93</v>
      </c>
      <c r="AC61" s="86">
        <v>-4216.1899999999996</v>
      </c>
      <c r="AD61" t="s">
        <v>70</v>
      </c>
      <c r="AE61" s="85">
        <v>-2.92</v>
      </c>
      <c r="AF61" s="85">
        <v>-2.92</v>
      </c>
      <c r="AG61" s="85"/>
      <c r="AH61" s="85"/>
      <c r="AI61" s="85"/>
      <c r="AJ61" s="85"/>
      <c r="AK61" s="85"/>
      <c r="AL61" s="85"/>
      <c r="AM61" s="85"/>
      <c r="AN61" s="85"/>
      <c r="AO61" s="85"/>
      <c r="AP61" s="85"/>
      <c r="AQ61" s="85"/>
      <c r="AR61" s="85"/>
      <c r="AS61" s="85"/>
      <c r="AT61" s="85"/>
      <c r="AU61" s="85"/>
      <c r="AV61" s="85"/>
      <c r="AW61" s="85"/>
      <c r="AX61" s="85"/>
      <c r="AY61" s="85"/>
      <c r="AZ61" s="85"/>
      <c r="BA61" s="85"/>
      <c r="BB61" s="85"/>
      <c r="BC61" s="85"/>
      <c r="BD61" s="85"/>
      <c r="BE61" s="85">
        <v>0</v>
      </c>
      <c r="BF61" s="85">
        <v>0</v>
      </c>
      <c r="BG61" s="85">
        <v>0</v>
      </c>
      <c r="BH61" s="85">
        <v>-4216.1899999999996</v>
      </c>
      <c r="BI61" s="85">
        <v>-2.92</v>
      </c>
      <c r="BJ61" s="85">
        <v>-2.92</v>
      </c>
      <c r="BO61">
        <v>39.549999999999997</v>
      </c>
      <c r="BP61" s="86">
        <v>-1667.61</v>
      </c>
      <c r="BQ61">
        <v>-1.1499999999999999</v>
      </c>
      <c r="BR61">
        <v>-1.1499999999999999</v>
      </c>
      <c r="BS61" s="85">
        <v>-2548.58</v>
      </c>
      <c r="BT61" s="85">
        <v>-1.77</v>
      </c>
      <c r="BU61" s="85">
        <v>-1.77</v>
      </c>
      <c r="BX61" t="s">
        <v>1236</v>
      </c>
      <c r="BZ61">
        <v>66013147</v>
      </c>
      <c r="CA61">
        <v>66013147</v>
      </c>
      <c r="CC61" t="s">
        <v>250</v>
      </c>
      <c r="CE61" t="s">
        <v>530</v>
      </c>
    </row>
    <row r="62" spans="1:83" x14ac:dyDescent="0.35">
      <c r="A62" t="s">
        <v>242</v>
      </c>
      <c r="B62">
        <v>3050535</v>
      </c>
      <c r="C62">
        <v>41651</v>
      </c>
      <c r="E62">
        <v>309496901</v>
      </c>
      <c r="F62" t="s">
        <v>582</v>
      </c>
      <c r="G62" s="60">
        <v>46054</v>
      </c>
      <c r="I62" t="s">
        <v>1214</v>
      </c>
      <c r="J62" t="s">
        <v>260</v>
      </c>
      <c r="K62" t="s">
        <v>65</v>
      </c>
      <c r="N62" t="s">
        <v>370</v>
      </c>
      <c r="O62" t="s">
        <v>370</v>
      </c>
      <c r="P62" t="s">
        <v>111</v>
      </c>
      <c r="Q62">
        <v>124567</v>
      </c>
      <c r="R62">
        <v>2780000</v>
      </c>
      <c r="S62" s="50"/>
      <c r="T62" s="50"/>
      <c r="U62" t="s">
        <v>79</v>
      </c>
      <c r="V62" t="s">
        <v>249</v>
      </c>
      <c r="W62" t="s">
        <v>92</v>
      </c>
      <c r="X62" t="s">
        <v>86</v>
      </c>
      <c r="Y62" t="s">
        <v>291</v>
      </c>
      <c r="Z62">
        <v>10573701</v>
      </c>
      <c r="AA62" s="50">
        <v>46081</v>
      </c>
      <c r="AB62" s="87" t="s">
        <v>93</v>
      </c>
      <c r="AC62" s="86">
        <v>-31.88</v>
      </c>
      <c r="AD62" t="s">
        <v>70</v>
      </c>
      <c r="AE62" s="85">
        <v>-0.02</v>
      </c>
      <c r="AF62" s="85">
        <v>-0.02</v>
      </c>
      <c r="AG62" s="85"/>
      <c r="AH62" s="85"/>
      <c r="AI62" s="85"/>
      <c r="AJ62" s="85"/>
      <c r="AK62" s="85"/>
      <c r="AL62" s="85"/>
      <c r="AM62" s="85"/>
      <c r="AN62" s="85"/>
      <c r="AO62" s="85"/>
      <c r="AP62" s="85"/>
      <c r="AQ62" s="85"/>
      <c r="AR62" s="85"/>
      <c r="AS62" s="85"/>
      <c r="AT62" s="85"/>
      <c r="AU62" s="85"/>
      <c r="AV62" s="85"/>
      <c r="AW62" s="85"/>
      <c r="AX62" s="85"/>
      <c r="AY62" s="85"/>
      <c r="AZ62" s="85"/>
      <c r="BA62" s="85"/>
      <c r="BB62" s="85"/>
      <c r="BC62" s="85"/>
      <c r="BD62" s="85"/>
      <c r="BE62" s="85">
        <v>0</v>
      </c>
      <c r="BF62" s="85">
        <v>0</v>
      </c>
      <c r="BG62" s="85">
        <v>0</v>
      </c>
      <c r="BH62" s="85">
        <v>-31.88</v>
      </c>
      <c r="BI62" s="85">
        <v>-0.02</v>
      </c>
      <c r="BJ62" s="85">
        <v>-0.02</v>
      </c>
      <c r="BO62">
        <v>39.549999999999997</v>
      </c>
      <c r="BP62" s="86">
        <v>-12.61</v>
      </c>
      <c r="BQ62">
        <v>-0.01</v>
      </c>
      <c r="BR62">
        <v>-0.01</v>
      </c>
      <c r="BS62" s="85">
        <v>-19.27</v>
      </c>
      <c r="BT62" s="85">
        <v>-0.01</v>
      </c>
      <c r="BU62" s="85">
        <v>-0.01</v>
      </c>
      <c r="BX62" t="s">
        <v>587</v>
      </c>
      <c r="BZ62">
        <v>181584876</v>
      </c>
      <c r="CA62">
        <v>181584876</v>
      </c>
      <c r="CC62" t="s">
        <v>250</v>
      </c>
      <c r="CE62" t="s">
        <v>530</v>
      </c>
    </row>
    <row r="63" spans="1:83" x14ac:dyDescent="0.35">
      <c r="A63" t="s">
        <v>242</v>
      </c>
      <c r="B63">
        <v>3050535</v>
      </c>
      <c r="C63">
        <v>41651</v>
      </c>
      <c r="D63" t="s">
        <v>535</v>
      </c>
      <c r="E63">
        <v>323866902</v>
      </c>
      <c r="F63" t="s">
        <v>1044</v>
      </c>
      <c r="G63" s="60">
        <v>46054</v>
      </c>
      <c r="H63">
        <v>40964293</v>
      </c>
      <c r="I63" t="s">
        <v>1237</v>
      </c>
      <c r="J63" t="s">
        <v>482</v>
      </c>
      <c r="K63" t="s">
        <v>65</v>
      </c>
      <c r="L63">
        <v>0</v>
      </c>
      <c r="M63">
        <v>0</v>
      </c>
      <c r="N63" t="s">
        <v>1048</v>
      </c>
      <c r="O63" t="s">
        <v>1048</v>
      </c>
      <c r="P63" t="s">
        <v>532</v>
      </c>
      <c r="Q63">
        <v>136982071</v>
      </c>
      <c r="R63">
        <v>3262820.4</v>
      </c>
      <c r="S63" s="50">
        <v>46073</v>
      </c>
      <c r="T63" s="50">
        <v>46073</v>
      </c>
      <c r="U63" t="s">
        <v>69</v>
      </c>
      <c r="V63" t="s">
        <v>249</v>
      </c>
      <c r="W63" t="s">
        <v>92</v>
      </c>
      <c r="X63" t="s">
        <v>86</v>
      </c>
      <c r="Y63" t="s">
        <v>291</v>
      </c>
      <c r="Z63">
        <v>10573657</v>
      </c>
      <c r="AA63" s="50">
        <v>46081</v>
      </c>
      <c r="AB63" s="87" t="s">
        <v>93</v>
      </c>
      <c r="AC63" s="86">
        <v>3262820.4</v>
      </c>
      <c r="AD63" t="s">
        <v>70</v>
      </c>
      <c r="AE63" s="85">
        <v>2257.39</v>
      </c>
      <c r="AF63" s="85">
        <v>2257.39</v>
      </c>
      <c r="AG63" s="85"/>
      <c r="AH63" s="85"/>
      <c r="AI63" s="85"/>
      <c r="AJ63" s="85"/>
      <c r="AK63" s="85"/>
      <c r="AL63" s="85"/>
      <c r="AM63" s="85"/>
      <c r="AN63" s="85"/>
      <c r="AO63" s="85"/>
      <c r="AP63" s="85"/>
      <c r="AQ63" s="85"/>
      <c r="AR63" s="85"/>
      <c r="AS63" s="85"/>
      <c r="AT63" s="85"/>
      <c r="AU63" s="85"/>
      <c r="AV63" s="85"/>
      <c r="AW63" s="85"/>
      <c r="AX63" s="85"/>
      <c r="AY63" s="85"/>
      <c r="AZ63" s="85"/>
      <c r="BA63" s="85"/>
      <c r="BB63" s="85"/>
      <c r="BC63" s="85"/>
      <c r="BD63" s="85"/>
      <c r="BE63" s="85">
        <v>0</v>
      </c>
      <c r="BF63" s="85">
        <v>0</v>
      </c>
      <c r="BG63" s="85">
        <v>0</v>
      </c>
      <c r="BH63" s="85">
        <v>3262820.4</v>
      </c>
      <c r="BI63" s="85">
        <v>2257.39</v>
      </c>
      <c r="BJ63" s="85">
        <v>2257.39</v>
      </c>
      <c r="BO63">
        <v>22</v>
      </c>
      <c r="BP63" s="86">
        <v>717820.49</v>
      </c>
      <c r="BQ63">
        <v>496.63</v>
      </c>
      <c r="BR63">
        <v>496.63</v>
      </c>
      <c r="BS63" s="85">
        <v>2544999.91</v>
      </c>
      <c r="BT63" s="85">
        <v>1760.76</v>
      </c>
      <c r="BU63" s="85">
        <v>1760.76</v>
      </c>
      <c r="BW63" t="s">
        <v>286</v>
      </c>
      <c r="BX63" t="s">
        <v>1199</v>
      </c>
      <c r="BZ63">
        <v>176864931</v>
      </c>
      <c r="CA63">
        <v>176864931</v>
      </c>
      <c r="CB63" t="s">
        <v>76</v>
      </c>
      <c r="CC63" t="s">
        <v>250</v>
      </c>
      <c r="CE63" t="s">
        <v>530</v>
      </c>
    </row>
    <row r="64" spans="1:83" x14ac:dyDescent="0.35">
      <c r="A64" t="s">
        <v>242</v>
      </c>
      <c r="B64">
        <v>3050535</v>
      </c>
      <c r="C64">
        <v>41651</v>
      </c>
      <c r="D64" t="s">
        <v>1238</v>
      </c>
      <c r="E64">
        <v>322569101</v>
      </c>
      <c r="F64" t="s">
        <v>999</v>
      </c>
      <c r="G64" s="60">
        <v>46054</v>
      </c>
      <c r="H64">
        <v>40866152</v>
      </c>
      <c r="I64" t="s">
        <v>1239</v>
      </c>
      <c r="J64" t="s">
        <v>260</v>
      </c>
      <c r="K64" t="s">
        <v>65</v>
      </c>
      <c r="L64">
        <v>0</v>
      </c>
      <c r="M64">
        <v>0</v>
      </c>
      <c r="N64" t="s">
        <v>94</v>
      </c>
      <c r="O64" t="s">
        <v>94</v>
      </c>
      <c r="P64" t="s">
        <v>544</v>
      </c>
      <c r="Q64">
        <v>821027</v>
      </c>
      <c r="R64">
        <v>10000000</v>
      </c>
      <c r="S64" s="50">
        <v>46056</v>
      </c>
      <c r="T64" s="50">
        <v>46110</v>
      </c>
      <c r="U64" t="s">
        <v>69</v>
      </c>
      <c r="V64" t="s">
        <v>249</v>
      </c>
      <c r="W64" t="s">
        <v>92</v>
      </c>
      <c r="X64" t="s">
        <v>86</v>
      </c>
      <c r="Y64" t="s">
        <v>291</v>
      </c>
      <c r="Z64">
        <v>10573671</v>
      </c>
      <c r="AA64" s="50">
        <v>46081</v>
      </c>
      <c r="AB64" s="87" t="s">
        <v>93</v>
      </c>
      <c r="AC64" s="86">
        <v>4701458.79</v>
      </c>
      <c r="AD64" t="s">
        <v>70</v>
      </c>
      <c r="AE64" s="85">
        <v>3252.71</v>
      </c>
      <c r="AF64" s="85">
        <v>3252.71</v>
      </c>
      <c r="AG64" s="85"/>
      <c r="AH64" s="85"/>
      <c r="AI64" s="85"/>
      <c r="AJ64" s="85"/>
      <c r="AK64" s="85"/>
      <c r="AL64" s="85"/>
      <c r="AM64" s="85"/>
      <c r="AN64" s="85"/>
      <c r="AO64" s="85"/>
      <c r="AP64" s="85"/>
      <c r="AQ64" s="85"/>
      <c r="AR64" s="85"/>
      <c r="AS64" s="85"/>
      <c r="AT64" s="85"/>
      <c r="AU64" s="85"/>
      <c r="AV64" s="85"/>
      <c r="AW64" s="85"/>
      <c r="AX64" s="85"/>
      <c r="AY64" s="85"/>
      <c r="AZ64" s="85"/>
      <c r="BA64" s="85"/>
      <c r="BB64" s="85"/>
      <c r="BC64" s="85"/>
      <c r="BD64" s="85"/>
      <c r="BE64" s="85">
        <v>0</v>
      </c>
      <c r="BF64" s="85">
        <v>0</v>
      </c>
      <c r="BG64" s="85">
        <v>0</v>
      </c>
      <c r="BH64" s="85">
        <v>4701458.79</v>
      </c>
      <c r="BI64" s="85">
        <v>3252.71</v>
      </c>
      <c r="BJ64" s="85">
        <v>3252.71</v>
      </c>
      <c r="BO64">
        <v>34</v>
      </c>
      <c r="BP64" s="86">
        <v>1598401.96</v>
      </c>
      <c r="BQ64">
        <v>1105.8599999999999</v>
      </c>
      <c r="BR64">
        <v>1105.8599999999999</v>
      </c>
      <c r="BS64" s="85">
        <v>3103056.83</v>
      </c>
      <c r="BT64" s="85">
        <v>2146.85</v>
      </c>
      <c r="BU64" s="85">
        <v>2146.85</v>
      </c>
      <c r="BX64" t="s">
        <v>1240</v>
      </c>
      <c r="BZ64">
        <v>224554</v>
      </c>
      <c r="CA64">
        <v>224554</v>
      </c>
      <c r="CB64" t="s">
        <v>73</v>
      </c>
      <c r="CC64" t="s">
        <v>250</v>
      </c>
      <c r="CE64" t="s">
        <v>530</v>
      </c>
    </row>
    <row r="65" spans="1:83" x14ac:dyDescent="0.35">
      <c r="A65" t="s">
        <v>242</v>
      </c>
      <c r="B65">
        <v>3050535</v>
      </c>
      <c r="C65">
        <v>41651</v>
      </c>
      <c r="D65" t="s">
        <v>262</v>
      </c>
      <c r="E65">
        <v>322158401</v>
      </c>
      <c r="F65" t="s">
        <v>676</v>
      </c>
      <c r="G65" s="60">
        <v>46054</v>
      </c>
      <c r="H65">
        <v>40887248</v>
      </c>
      <c r="I65" t="s">
        <v>1241</v>
      </c>
      <c r="J65" t="s">
        <v>260</v>
      </c>
      <c r="K65" t="s">
        <v>65</v>
      </c>
      <c r="L65">
        <v>0</v>
      </c>
      <c r="M65">
        <v>0</v>
      </c>
      <c r="N65" t="s">
        <v>561</v>
      </c>
      <c r="O65" t="s">
        <v>561</v>
      </c>
      <c r="P65" t="s">
        <v>257</v>
      </c>
      <c r="Q65">
        <v>57936819</v>
      </c>
      <c r="R65">
        <v>9869791.9600000009</v>
      </c>
      <c r="S65" s="50">
        <v>46024</v>
      </c>
      <c r="T65" s="50">
        <v>46081</v>
      </c>
      <c r="U65" t="s">
        <v>69</v>
      </c>
      <c r="V65" t="s">
        <v>249</v>
      </c>
      <c r="W65" t="s">
        <v>92</v>
      </c>
      <c r="X65" t="s">
        <v>86</v>
      </c>
      <c r="Y65" t="s">
        <v>291</v>
      </c>
      <c r="Z65">
        <v>10573703</v>
      </c>
      <c r="AA65" s="50">
        <v>46081</v>
      </c>
      <c r="AB65" s="87" t="s">
        <v>93</v>
      </c>
      <c r="AC65" s="86">
        <v>788671.89</v>
      </c>
      <c r="AD65" t="s">
        <v>70</v>
      </c>
      <c r="AE65" s="85">
        <v>545.64</v>
      </c>
      <c r="AF65" s="85">
        <v>545.64</v>
      </c>
      <c r="AG65" s="85"/>
      <c r="AH65" s="85"/>
      <c r="AI65" s="85"/>
      <c r="AJ65" s="85"/>
      <c r="AK65" s="85"/>
      <c r="AL65" s="85"/>
      <c r="AM65" s="85"/>
      <c r="AN65" s="85"/>
      <c r="AO65" s="85"/>
      <c r="AP65" s="85"/>
      <c r="AQ65" s="85"/>
      <c r="AR65" s="85"/>
      <c r="AS65" s="85"/>
      <c r="AT65" s="85"/>
      <c r="AU65" s="85"/>
      <c r="AV65" s="85"/>
      <c r="AW65" s="85"/>
      <c r="AX65" s="85"/>
      <c r="AY65" s="85"/>
      <c r="AZ65" s="85"/>
      <c r="BA65" s="85"/>
      <c r="BB65" s="85"/>
      <c r="BC65" s="85"/>
      <c r="BD65" s="85"/>
      <c r="BE65" s="85">
        <v>0</v>
      </c>
      <c r="BF65" s="85">
        <v>0</v>
      </c>
      <c r="BG65" s="85">
        <v>0</v>
      </c>
      <c r="BH65" s="85">
        <v>788671.89</v>
      </c>
      <c r="BI65" s="85">
        <v>545.64</v>
      </c>
      <c r="BJ65" s="85">
        <v>545.64</v>
      </c>
      <c r="BO65">
        <v>39.549999999999997</v>
      </c>
      <c r="BP65" s="86">
        <v>311939.45</v>
      </c>
      <c r="BQ65">
        <v>215.82</v>
      </c>
      <c r="BR65">
        <v>215.82</v>
      </c>
      <c r="BS65" s="85">
        <v>476732.44</v>
      </c>
      <c r="BT65" s="85">
        <v>329.82</v>
      </c>
      <c r="BU65" s="85">
        <v>329.82</v>
      </c>
      <c r="BX65" t="s">
        <v>723</v>
      </c>
      <c r="BZ65">
        <v>224573</v>
      </c>
      <c r="CA65">
        <v>224573</v>
      </c>
      <c r="CB65" t="s">
        <v>251</v>
      </c>
      <c r="CC65" t="s">
        <v>250</v>
      </c>
      <c r="CE65" t="s">
        <v>530</v>
      </c>
    </row>
    <row r="66" spans="1:83" x14ac:dyDescent="0.35">
      <c r="A66" t="s">
        <v>242</v>
      </c>
      <c r="B66">
        <v>3050535</v>
      </c>
      <c r="C66">
        <v>41651</v>
      </c>
      <c r="D66" t="s">
        <v>517</v>
      </c>
      <c r="E66">
        <v>283446001</v>
      </c>
      <c r="F66" t="s">
        <v>511</v>
      </c>
      <c r="G66" s="60">
        <v>46054</v>
      </c>
      <c r="H66">
        <v>37878086</v>
      </c>
      <c r="I66" t="s">
        <v>543</v>
      </c>
      <c r="J66" t="s">
        <v>260</v>
      </c>
      <c r="K66" t="s">
        <v>65</v>
      </c>
      <c r="L66">
        <v>0</v>
      </c>
      <c r="M66">
        <v>0</v>
      </c>
      <c r="N66" t="s">
        <v>515</v>
      </c>
      <c r="O66" t="s">
        <v>515</v>
      </c>
      <c r="P66" t="s">
        <v>512</v>
      </c>
      <c r="Q66">
        <v>9235510</v>
      </c>
      <c r="R66">
        <v>59571605</v>
      </c>
      <c r="S66" s="50">
        <v>45426</v>
      </c>
      <c r="T66" s="50">
        <v>46081</v>
      </c>
      <c r="U66" t="s">
        <v>79</v>
      </c>
      <c r="V66" t="s">
        <v>249</v>
      </c>
      <c r="W66" t="s">
        <v>92</v>
      </c>
      <c r="X66" t="s">
        <v>86</v>
      </c>
      <c r="Y66" t="s">
        <v>291</v>
      </c>
      <c r="Z66">
        <v>10573711</v>
      </c>
      <c r="AA66" s="50">
        <v>46081</v>
      </c>
      <c r="AB66" s="87" t="s">
        <v>93</v>
      </c>
      <c r="AC66" s="86">
        <v>1479796.83</v>
      </c>
      <c r="AD66" t="s">
        <v>70</v>
      </c>
      <c r="AE66" s="85">
        <v>1023.8</v>
      </c>
      <c r="AF66" s="85">
        <v>1023.8</v>
      </c>
      <c r="AG66" s="85"/>
      <c r="AH66" s="85"/>
      <c r="AI66" s="85"/>
      <c r="AJ66" s="85"/>
      <c r="AK66" s="85"/>
      <c r="AL66" s="85"/>
      <c r="AM66" s="85"/>
      <c r="AN66" s="85"/>
      <c r="AO66" s="85"/>
      <c r="AP66" s="85"/>
      <c r="AQ66" s="85"/>
      <c r="AR66" s="85"/>
      <c r="AS66" s="85"/>
      <c r="AT66" s="85"/>
      <c r="AU66" s="85"/>
      <c r="AV66" s="85"/>
      <c r="AW66" s="85"/>
      <c r="AX66" s="85"/>
      <c r="AY66" s="85"/>
      <c r="AZ66" s="85"/>
      <c r="BA66" s="85"/>
      <c r="BB66" s="85"/>
      <c r="BC66" s="85"/>
      <c r="BD66" s="85"/>
      <c r="BE66" s="85">
        <v>0</v>
      </c>
      <c r="BF66" s="85">
        <v>0</v>
      </c>
      <c r="BG66" s="85">
        <v>0</v>
      </c>
      <c r="BH66" s="85">
        <v>1479796.83</v>
      </c>
      <c r="BI66" s="85">
        <v>1023.8</v>
      </c>
      <c r="BJ66" s="85">
        <v>1023.8</v>
      </c>
      <c r="BO66">
        <v>39.549999999999997</v>
      </c>
      <c r="BP66" s="86">
        <v>585296.64000000001</v>
      </c>
      <c r="BQ66">
        <v>404.94</v>
      </c>
      <c r="BR66">
        <v>404.94</v>
      </c>
      <c r="BS66" s="85">
        <v>894500.19</v>
      </c>
      <c r="BT66" s="85">
        <v>618.86</v>
      </c>
      <c r="BU66" s="85">
        <v>618.86</v>
      </c>
      <c r="BX66" t="s">
        <v>518</v>
      </c>
      <c r="BZ66">
        <v>136433571</v>
      </c>
      <c r="CA66">
        <v>136433571</v>
      </c>
      <c r="CB66" t="s">
        <v>72</v>
      </c>
      <c r="CC66" t="s">
        <v>250</v>
      </c>
      <c r="CE66" t="s">
        <v>530</v>
      </c>
    </row>
    <row r="67" spans="1:83" x14ac:dyDescent="0.35">
      <c r="A67" t="s">
        <v>242</v>
      </c>
      <c r="B67">
        <v>3050535</v>
      </c>
      <c r="C67">
        <v>41651</v>
      </c>
      <c r="D67" t="s">
        <v>1187</v>
      </c>
      <c r="E67">
        <v>324901601</v>
      </c>
      <c r="F67" t="s">
        <v>1125</v>
      </c>
      <c r="G67" s="60">
        <v>46054</v>
      </c>
      <c r="H67">
        <v>40936991</v>
      </c>
      <c r="I67" t="s">
        <v>1188</v>
      </c>
      <c r="J67" t="s">
        <v>260</v>
      </c>
      <c r="K67" t="s">
        <v>65</v>
      </c>
      <c r="L67">
        <v>0</v>
      </c>
      <c r="M67">
        <v>0</v>
      </c>
      <c r="N67" t="s">
        <v>94</v>
      </c>
      <c r="O67" t="s">
        <v>94</v>
      </c>
      <c r="P67" t="s">
        <v>1126</v>
      </c>
      <c r="Q67">
        <v>258084</v>
      </c>
      <c r="R67">
        <v>2300000</v>
      </c>
      <c r="S67" s="50">
        <v>46065</v>
      </c>
      <c r="T67" s="50">
        <v>46081</v>
      </c>
      <c r="U67" t="s">
        <v>79</v>
      </c>
      <c r="V67" t="s">
        <v>249</v>
      </c>
      <c r="W67" t="s">
        <v>92</v>
      </c>
      <c r="X67" t="s">
        <v>86</v>
      </c>
      <c r="Y67" t="s">
        <v>291</v>
      </c>
      <c r="Z67">
        <v>10573680</v>
      </c>
      <c r="AA67" s="50">
        <v>46081</v>
      </c>
      <c r="AB67" s="87" t="s">
        <v>93</v>
      </c>
      <c r="AC67" s="86">
        <v>2297348.4</v>
      </c>
      <c r="AD67" t="s">
        <v>70</v>
      </c>
      <c r="AE67" s="85">
        <v>1589.42</v>
      </c>
      <c r="AF67" s="85">
        <v>1589.42</v>
      </c>
      <c r="AG67" s="85"/>
      <c r="AH67" s="85"/>
      <c r="AI67" s="85"/>
      <c r="AJ67" s="85"/>
      <c r="AK67" s="85"/>
      <c r="AL67" s="85"/>
      <c r="AM67" s="85"/>
      <c r="AN67" s="85"/>
      <c r="AO67" s="85"/>
      <c r="AP67" s="85"/>
      <c r="AQ67" s="85"/>
      <c r="AR67" s="85"/>
      <c r="AS67" s="85"/>
      <c r="AT67" s="85"/>
      <c r="AU67" s="85"/>
      <c r="AV67" s="85"/>
      <c r="AW67" s="85"/>
      <c r="AX67" s="85"/>
      <c r="AY67" s="85"/>
      <c r="AZ67" s="85"/>
      <c r="BA67" s="85"/>
      <c r="BB67" s="85"/>
      <c r="BC67" s="85"/>
      <c r="BD67" s="85"/>
      <c r="BE67" s="85">
        <v>0</v>
      </c>
      <c r="BF67" s="85">
        <v>0</v>
      </c>
      <c r="BG67" s="85">
        <v>0</v>
      </c>
      <c r="BH67" s="85">
        <v>2297348.4</v>
      </c>
      <c r="BI67" s="85">
        <v>1589.42</v>
      </c>
      <c r="BJ67" s="85">
        <v>1589.42</v>
      </c>
      <c r="BO67">
        <v>22</v>
      </c>
      <c r="BP67" s="86">
        <v>505416.65</v>
      </c>
      <c r="BQ67">
        <v>349.67</v>
      </c>
      <c r="BR67">
        <v>349.67</v>
      </c>
      <c r="BS67" s="85">
        <v>1791931.75</v>
      </c>
      <c r="BT67" s="85">
        <v>1239.75</v>
      </c>
      <c r="BU67" s="85">
        <v>1239.75</v>
      </c>
      <c r="BX67" t="s">
        <v>1189</v>
      </c>
      <c r="BZ67">
        <v>224554</v>
      </c>
      <c r="CA67">
        <v>224554</v>
      </c>
      <c r="CB67" t="s">
        <v>73</v>
      </c>
      <c r="CC67" t="s">
        <v>250</v>
      </c>
      <c r="CE67" t="s">
        <v>530</v>
      </c>
    </row>
    <row r="68" spans="1:83" x14ac:dyDescent="0.35">
      <c r="A68" t="s">
        <v>242</v>
      </c>
      <c r="B68">
        <v>3050535</v>
      </c>
      <c r="C68">
        <v>41651</v>
      </c>
      <c r="D68" t="s">
        <v>1232</v>
      </c>
      <c r="E68">
        <v>325197801</v>
      </c>
      <c r="F68" t="s">
        <v>1150</v>
      </c>
      <c r="G68" s="60">
        <v>46054</v>
      </c>
      <c r="H68">
        <v>41001099</v>
      </c>
      <c r="I68" t="s">
        <v>1242</v>
      </c>
      <c r="J68" t="s">
        <v>260</v>
      </c>
      <c r="K68" t="s">
        <v>65</v>
      </c>
      <c r="L68">
        <v>0</v>
      </c>
      <c r="M68">
        <v>0</v>
      </c>
      <c r="P68" t="s">
        <v>917</v>
      </c>
      <c r="Q68">
        <v>294134</v>
      </c>
      <c r="R68">
        <v>12400000</v>
      </c>
      <c r="S68" s="50">
        <v>46073</v>
      </c>
      <c r="T68" s="50">
        <v>46112</v>
      </c>
      <c r="U68" t="s">
        <v>79</v>
      </c>
      <c r="V68" t="s">
        <v>249</v>
      </c>
      <c r="W68" t="s">
        <v>92</v>
      </c>
      <c r="X68" t="s">
        <v>86</v>
      </c>
      <c r="Y68" t="s">
        <v>291</v>
      </c>
      <c r="Z68">
        <v>10573697</v>
      </c>
      <c r="AA68" s="50">
        <v>46081</v>
      </c>
      <c r="AB68" s="87" t="s">
        <v>93</v>
      </c>
      <c r="AC68" s="86">
        <v>168.72</v>
      </c>
      <c r="AD68" t="s">
        <v>70</v>
      </c>
      <c r="AE68" s="85">
        <v>0.12</v>
      </c>
      <c r="AF68" s="85">
        <v>0.12</v>
      </c>
      <c r="AG68" s="85"/>
      <c r="AH68" s="85"/>
      <c r="AI68" s="85"/>
      <c r="AJ68" s="85"/>
      <c r="AK68" s="85"/>
      <c r="AL68" s="85"/>
      <c r="AM68" s="85"/>
      <c r="AN68" s="85"/>
      <c r="AO68" s="85"/>
      <c r="AP68" s="85"/>
      <c r="AQ68" s="85"/>
      <c r="AR68" s="85"/>
      <c r="AS68" s="85"/>
      <c r="AT68" s="85"/>
      <c r="AU68" s="85"/>
      <c r="AV68" s="85"/>
      <c r="AW68" s="85"/>
      <c r="AX68" s="85"/>
      <c r="AY68" s="85"/>
      <c r="AZ68" s="85"/>
      <c r="BA68" s="85"/>
      <c r="BB68" s="85"/>
      <c r="BC68" s="85"/>
      <c r="BD68" s="85"/>
      <c r="BE68" s="85">
        <v>0</v>
      </c>
      <c r="BF68" s="85">
        <v>0</v>
      </c>
      <c r="BG68" s="85">
        <v>0</v>
      </c>
      <c r="BH68" s="85">
        <v>168.72</v>
      </c>
      <c r="BI68" s="85">
        <v>0.12</v>
      </c>
      <c r="BJ68" s="85">
        <v>0.12</v>
      </c>
      <c r="BO68">
        <v>22</v>
      </c>
      <c r="BP68" s="86">
        <v>37.119999999999997</v>
      </c>
      <c r="BQ68">
        <v>0.03</v>
      </c>
      <c r="BR68">
        <v>0.03</v>
      </c>
      <c r="BS68" s="85">
        <v>131.6</v>
      </c>
      <c r="BT68" s="85">
        <v>0.09</v>
      </c>
      <c r="BU68" s="85">
        <v>0.09</v>
      </c>
      <c r="BX68" t="s">
        <v>1243</v>
      </c>
      <c r="CB68" t="s">
        <v>73</v>
      </c>
      <c r="CC68" t="s">
        <v>250</v>
      </c>
      <c r="CE68" t="s">
        <v>530</v>
      </c>
    </row>
    <row r="69" spans="1:83" x14ac:dyDescent="0.35">
      <c r="A69" t="s">
        <v>242</v>
      </c>
      <c r="B69">
        <v>3050535</v>
      </c>
      <c r="C69">
        <v>41651</v>
      </c>
      <c r="D69" t="s">
        <v>628</v>
      </c>
      <c r="E69">
        <v>324257301</v>
      </c>
      <c r="F69" t="s">
        <v>1064</v>
      </c>
      <c r="G69" s="60">
        <v>46054</v>
      </c>
      <c r="H69">
        <v>40899682</v>
      </c>
      <c r="I69" t="s">
        <v>1244</v>
      </c>
      <c r="J69" t="s">
        <v>260</v>
      </c>
      <c r="K69" t="s">
        <v>65</v>
      </c>
      <c r="L69">
        <v>0</v>
      </c>
      <c r="M69">
        <v>0</v>
      </c>
      <c r="N69" t="s">
        <v>282</v>
      </c>
      <c r="O69" t="s">
        <v>282</v>
      </c>
      <c r="P69" t="s">
        <v>1065</v>
      </c>
      <c r="Q69">
        <v>209080722</v>
      </c>
      <c r="R69">
        <v>7500000</v>
      </c>
      <c r="S69" s="50">
        <v>46056</v>
      </c>
      <c r="T69" s="50">
        <v>46081</v>
      </c>
      <c r="U69" t="s">
        <v>69</v>
      </c>
      <c r="V69" t="s">
        <v>249</v>
      </c>
      <c r="W69" t="s">
        <v>92</v>
      </c>
      <c r="X69" t="s">
        <v>86</v>
      </c>
      <c r="Y69" t="s">
        <v>291</v>
      </c>
      <c r="Z69">
        <v>10573705</v>
      </c>
      <c r="AA69" s="50">
        <v>46081</v>
      </c>
      <c r="AB69" s="87" t="s">
        <v>93</v>
      </c>
      <c r="AC69" s="86">
        <v>7445541.0300000003</v>
      </c>
      <c r="AD69" t="s">
        <v>70</v>
      </c>
      <c r="AE69" s="85">
        <v>5151.21</v>
      </c>
      <c r="AF69" s="85">
        <v>5151.21</v>
      </c>
      <c r="AG69" s="85"/>
      <c r="AH69" s="85"/>
      <c r="AI69" s="85"/>
      <c r="AJ69" s="85"/>
      <c r="AK69" s="85"/>
      <c r="AL69" s="85"/>
      <c r="AM69" s="85"/>
      <c r="AN69" s="85"/>
      <c r="AO69" s="85"/>
      <c r="AP69" s="85"/>
      <c r="AQ69" s="85"/>
      <c r="AR69" s="85"/>
      <c r="AS69" s="85"/>
      <c r="AT69" s="85"/>
      <c r="AU69" s="85"/>
      <c r="AV69" s="85"/>
      <c r="AW69" s="85"/>
      <c r="AX69" s="85"/>
      <c r="AY69" s="85"/>
      <c r="AZ69" s="85"/>
      <c r="BA69" s="85"/>
      <c r="BB69" s="85"/>
      <c r="BC69" s="85"/>
      <c r="BD69" s="85"/>
      <c r="BE69" s="85">
        <v>0</v>
      </c>
      <c r="BF69" s="85">
        <v>0</v>
      </c>
      <c r="BG69" s="85">
        <v>0</v>
      </c>
      <c r="BH69" s="85">
        <v>7445541.0300000003</v>
      </c>
      <c r="BI69" s="85">
        <v>5151.21</v>
      </c>
      <c r="BJ69" s="85">
        <v>5151.21</v>
      </c>
      <c r="BO69">
        <v>22</v>
      </c>
      <c r="BP69" s="86">
        <v>1638019.03</v>
      </c>
      <c r="BQ69">
        <v>1133.27</v>
      </c>
      <c r="BR69">
        <v>1133.27</v>
      </c>
      <c r="BS69" s="85">
        <v>5807522</v>
      </c>
      <c r="BT69" s="85">
        <v>4017.94</v>
      </c>
      <c r="BU69" s="85">
        <v>4017.94</v>
      </c>
      <c r="BX69" t="s">
        <v>1245</v>
      </c>
      <c r="BZ69">
        <v>269449</v>
      </c>
      <c r="CA69">
        <v>269449</v>
      </c>
      <c r="CB69" t="s">
        <v>72</v>
      </c>
      <c r="CC69" t="s">
        <v>250</v>
      </c>
      <c r="CE69" t="s">
        <v>530</v>
      </c>
    </row>
    <row r="70" spans="1:83" x14ac:dyDescent="0.35">
      <c r="A70" t="s">
        <v>242</v>
      </c>
      <c r="B70">
        <v>3050535</v>
      </c>
      <c r="C70">
        <v>41651</v>
      </c>
      <c r="D70" t="s">
        <v>1232</v>
      </c>
      <c r="E70">
        <v>321793001</v>
      </c>
      <c r="F70" t="s">
        <v>915</v>
      </c>
      <c r="G70" s="60">
        <v>46054</v>
      </c>
      <c r="H70">
        <v>40887941</v>
      </c>
      <c r="I70" t="s">
        <v>1246</v>
      </c>
      <c r="J70" t="s">
        <v>482</v>
      </c>
      <c r="K70" t="s">
        <v>65</v>
      </c>
      <c r="L70">
        <v>0</v>
      </c>
      <c r="M70">
        <v>0</v>
      </c>
      <c r="P70" t="s">
        <v>917</v>
      </c>
      <c r="Q70">
        <v>294134</v>
      </c>
      <c r="R70">
        <v>2565000</v>
      </c>
      <c r="S70" s="50">
        <v>46058</v>
      </c>
      <c r="T70" s="50">
        <v>46058</v>
      </c>
      <c r="U70" t="s">
        <v>79</v>
      </c>
      <c r="V70" t="s">
        <v>249</v>
      </c>
      <c r="W70" t="s">
        <v>92</v>
      </c>
      <c r="X70" t="s">
        <v>86</v>
      </c>
      <c r="Y70" t="s">
        <v>291</v>
      </c>
      <c r="Z70">
        <v>10573627</v>
      </c>
      <c r="AA70" s="50">
        <v>46081</v>
      </c>
      <c r="AB70" s="87" t="s">
        <v>93</v>
      </c>
      <c r="AC70" s="86">
        <v>2565000</v>
      </c>
      <c r="AD70" t="s">
        <v>70</v>
      </c>
      <c r="AE70" s="85">
        <v>1774.6</v>
      </c>
      <c r="AF70" s="85">
        <v>1774.6</v>
      </c>
      <c r="AG70" s="85"/>
      <c r="AH70" s="85"/>
      <c r="AI70" s="85"/>
      <c r="AJ70" s="85"/>
      <c r="AK70" s="85"/>
      <c r="AL70" s="85"/>
      <c r="AM70" s="85"/>
      <c r="AN70" s="85"/>
      <c r="AO70" s="85"/>
      <c r="AP70" s="85"/>
      <c r="AQ70" s="85"/>
      <c r="AR70" s="85"/>
      <c r="AS70" s="85"/>
      <c r="AT70" s="85"/>
      <c r="AU70" s="85"/>
      <c r="AV70" s="85"/>
      <c r="AW70" s="85"/>
      <c r="AX70" s="85"/>
      <c r="AY70" s="85"/>
      <c r="AZ70" s="85"/>
      <c r="BA70" s="85"/>
      <c r="BB70" s="85"/>
      <c r="BC70" s="85"/>
      <c r="BD70" s="85"/>
      <c r="BE70" s="85">
        <v>0</v>
      </c>
      <c r="BF70" s="85">
        <v>0</v>
      </c>
      <c r="BG70" s="85">
        <v>0</v>
      </c>
      <c r="BH70" s="85">
        <v>2565000</v>
      </c>
      <c r="BI70" s="85">
        <v>1774.6</v>
      </c>
      <c r="BJ70" s="85">
        <v>1774.6</v>
      </c>
      <c r="BO70">
        <v>39.549999999999997</v>
      </c>
      <c r="BP70" s="86">
        <v>1014521.63</v>
      </c>
      <c r="BQ70">
        <v>701.9</v>
      </c>
      <c r="BR70">
        <v>701.9</v>
      </c>
      <c r="BS70" s="85">
        <v>1550478.37</v>
      </c>
      <c r="BT70" s="85">
        <v>1072.7</v>
      </c>
      <c r="BU70" s="85">
        <v>1072.7</v>
      </c>
      <c r="BW70" t="s">
        <v>286</v>
      </c>
      <c r="BX70" t="s">
        <v>1234</v>
      </c>
      <c r="CB70" t="s">
        <v>76</v>
      </c>
      <c r="CC70" t="s">
        <v>250</v>
      </c>
      <c r="CE70" t="s">
        <v>530</v>
      </c>
    </row>
    <row r="71" spans="1:83" x14ac:dyDescent="0.35">
      <c r="A71" t="s">
        <v>242</v>
      </c>
      <c r="B71">
        <v>3050535</v>
      </c>
      <c r="C71">
        <v>41651</v>
      </c>
      <c r="D71" t="s">
        <v>1247</v>
      </c>
      <c r="E71">
        <v>318427901</v>
      </c>
      <c r="F71" t="s">
        <v>870</v>
      </c>
      <c r="G71" s="60">
        <v>46054</v>
      </c>
      <c r="H71">
        <v>40968095</v>
      </c>
      <c r="I71" t="s">
        <v>1248</v>
      </c>
      <c r="J71" t="s">
        <v>260</v>
      </c>
      <c r="K71" t="s">
        <v>65</v>
      </c>
      <c r="L71">
        <v>0</v>
      </c>
      <c r="M71">
        <v>0</v>
      </c>
      <c r="N71" t="s">
        <v>877</v>
      </c>
      <c r="O71" t="s">
        <v>877</v>
      </c>
      <c r="P71" t="s">
        <v>871</v>
      </c>
      <c r="Q71">
        <v>1707467</v>
      </c>
      <c r="R71">
        <v>10884744.189999999</v>
      </c>
      <c r="S71" s="50">
        <v>45966</v>
      </c>
      <c r="T71" s="50">
        <v>46101</v>
      </c>
      <c r="U71" t="s">
        <v>79</v>
      </c>
      <c r="V71" t="s">
        <v>249</v>
      </c>
      <c r="W71" t="s">
        <v>92</v>
      </c>
      <c r="X71" t="s">
        <v>86</v>
      </c>
      <c r="Y71" t="s">
        <v>291</v>
      </c>
      <c r="Z71">
        <v>10573652</v>
      </c>
      <c r="AA71" s="50">
        <v>46081</v>
      </c>
      <c r="AB71" s="87" t="s">
        <v>93</v>
      </c>
      <c r="AC71" s="86">
        <v>1206718.48</v>
      </c>
      <c r="AD71" t="s">
        <v>70</v>
      </c>
      <c r="AE71" s="85">
        <v>834.87</v>
      </c>
      <c r="AF71" s="85">
        <v>834.87</v>
      </c>
      <c r="AG71" s="85"/>
      <c r="AH71" s="85"/>
      <c r="AI71" s="85"/>
      <c r="AJ71" s="85"/>
      <c r="AK71" s="85"/>
      <c r="AL71" s="85"/>
      <c r="AM71" s="85"/>
      <c r="AN71" s="85"/>
      <c r="AO71" s="85"/>
      <c r="AP71" s="85"/>
      <c r="AQ71" s="85"/>
      <c r="AR71" s="85"/>
      <c r="AS71" s="85"/>
      <c r="AT71" s="85"/>
      <c r="AU71" s="85"/>
      <c r="AV71" s="85"/>
      <c r="AW71" s="85"/>
      <c r="AX71" s="85"/>
      <c r="AY71" s="85"/>
      <c r="AZ71" s="85"/>
      <c r="BA71" s="85"/>
      <c r="BB71" s="85"/>
      <c r="BC71" s="85"/>
      <c r="BD71" s="85"/>
      <c r="BE71" s="85">
        <v>0</v>
      </c>
      <c r="BF71" s="85">
        <v>0</v>
      </c>
      <c r="BG71" s="85">
        <v>0</v>
      </c>
      <c r="BH71" s="85">
        <v>1206718.48</v>
      </c>
      <c r="BI71" s="85">
        <v>834.87</v>
      </c>
      <c r="BJ71" s="85">
        <v>834.87</v>
      </c>
      <c r="BO71">
        <v>39.549999999999997</v>
      </c>
      <c r="BP71" s="86">
        <v>477287.33</v>
      </c>
      <c r="BQ71">
        <v>330.21</v>
      </c>
      <c r="BR71">
        <v>330.21</v>
      </c>
      <c r="BS71" s="85">
        <v>729431.15</v>
      </c>
      <c r="BT71" s="85">
        <v>504.66</v>
      </c>
      <c r="BU71" s="85">
        <v>504.66</v>
      </c>
      <c r="BX71" t="s">
        <v>1249</v>
      </c>
      <c r="BZ71">
        <v>1707491</v>
      </c>
      <c r="CA71">
        <v>1707491</v>
      </c>
      <c r="CB71" t="s">
        <v>72</v>
      </c>
      <c r="CC71" t="s">
        <v>250</v>
      </c>
      <c r="CE71" t="s">
        <v>530</v>
      </c>
    </row>
    <row r="72" spans="1:83" x14ac:dyDescent="0.35">
      <c r="A72" t="s">
        <v>242</v>
      </c>
      <c r="B72">
        <v>3050535</v>
      </c>
      <c r="C72">
        <v>41651</v>
      </c>
      <c r="D72" t="s">
        <v>554</v>
      </c>
      <c r="E72">
        <v>309496901</v>
      </c>
      <c r="F72" t="s">
        <v>582</v>
      </c>
      <c r="G72" s="60">
        <v>46054</v>
      </c>
      <c r="H72">
        <v>40930072</v>
      </c>
      <c r="I72" t="s">
        <v>1250</v>
      </c>
      <c r="J72" t="s">
        <v>260</v>
      </c>
      <c r="K72" t="s">
        <v>65</v>
      </c>
      <c r="L72">
        <v>0</v>
      </c>
      <c r="M72">
        <v>0</v>
      </c>
      <c r="N72" t="s">
        <v>370</v>
      </c>
      <c r="O72" t="s">
        <v>370</v>
      </c>
      <c r="P72" t="s">
        <v>111</v>
      </c>
      <c r="Q72">
        <v>124567</v>
      </c>
      <c r="R72">
        <v>2780000</v>
      </c>
      <c r="S72" s="50">
        <v>45806</v>
      </c>
      <c r="T72" s="50">
        <v>46081</v>
      </c>
      <c r="U72" t="s">
        <v>79</v>
      </c>
      <c r="V72" t="s">
        <v>249</v>
      </c>
      <c r="W72" t="s">
        <v>92</v>
      </c>
      <c r="X72" t="s">
        <v>86</v>
      </c>
      <c r="Y72" t="s">
        <v>291</v>
      </c>
      <c r="Z72">
        <v>10573701</v>
      </c>
      <c r="AA72" s="50">
        <v>46081</v>
      </c>
      <c r="AB72" s="87" t="s">
        <v>93</v>
      </c>
      <c r="AC72" s="86">
        <v>298461.32</v>
      </c>
      <c r="AD72" t="s">
        <v>70</v>
      </c>
      <c r="AE72" s="85">
        <v>206.49</v>
      </c>
      <c r="AF72" s="85">
        <v>206.49</v>
      </c>
      <c r="AG72" s="85"/>
      <c r="AH72" s="85"/>
      <c r="AI72" s="85"/>
      <c r="AJ72" s="85"/>
      <c r="AK72" s="85"/>
      <c r="AL72" s="85"/>
      <c r="AM72" s="85"/>
      <c r="AN72" s="85"/>
      <c r="AO72" s="85"/>
      <c r="AP72" s="85"/>
      <c r="AQ72" s="85"/>
      <c r="AR72" s="85"/>
      <c r="AS72" s="85"/>
      <c r="AT72" s="85"/>
      <c r="AU72" s="85"/>
      <c r="AV72" s="85"/>
      <c r="AW72" s="85"/>
      <c r="AX72" s="85"/>
      <c r="AY72" s="85"/>
      <c r="AZ72" s="85"/>
      <c r="BA72" s="85"/>
      <c r="BB72" s="85"/>
      <c r="BC72" s="85"/>
      <c r="BD72" s="85"/>
      <c r="BE72" s="85">
        <v>0</v>
      </c>
      <c r="BF72" s="85">
        <v>0</v>
      </c>
      <c r="BG72" s="85">
        <v>0</v>
      </c>
      <c r="BH72" s="85">
        <v>298461.32</v>
      </c>
      <c r="BI72" s="85">
        <v>206.49</v>
      </c>
      <c r="BJ72" s="85">
        <v>206.49</v>
      </c>
      <c r="BO72">
        <v>39.549999999999997</v>
      </c>
      <c r="BP72" s="86">
        <v>118048.92</v>
      </c>
      <c r="BQ72">
        <v>81.67</v>
      </c>
      <c r="BR72">
        <v>81.67</v>
      </c>
      <c r="BS72" s="85">
        <v>180412.4</v>
      </c>
      <c r="BT72" s="85">
        <v>124.82</v>
      </c>
      <c r="BU72" s="85">
        <v>124.82</v>
      </c>
      <c r="BX72" t="s">
        <v>587</v>
      </c>
      <c r="BZ72">
        <v>181584876</v>
      </c>
      <c r="CA72">
        <v>181584876</v>
      </c>
      <c r="CB72" t="s">
        <v>73</v>
      </c>
      <c r="CC72" t="s">
        <v>250</v>
      </c>
      <c r="CE72" t="s">
        <v>530</v>
      </c>
    </row>
    <row r="73" spans="1:83" x14ac:dyDescent="0.35">
      <c r="A73" t="s">
        <v>242</v>
      </c>
      <c r="B73">
        <v>3050535</v>
      </c>
      <c r="C73">
        <v>41651</v>
      </c>
      <c r="D73" t="s">
        <v>571</v>
      </c>
      <c r="E73">
        <v>275149001</v>
      </c>
      <c r="F73" t="s">
        <v>562</v>
      </c>
      <c r="G73" s="60">
        <v>46054</v>
      </c>
      <c r="H73">
        <v>40789966</v>
      </c>
      <c r="I73" t="s">
        <v>734</v>
      </c>
      <c r="J73" t="s">
        <v>260</v>
      </c>
      <c r="K73" t="s">
        <v>65</v>
      </c>
      <c r="L73">
        <v>0</v>
      </c>
      <c r="M73">
        <v>0</v>
      </c>
      <c r="N73" t="s">
        <v>566</v>
      </c>
      <c r="O73" t="s">
        <v>566</v>
      </c>
      <c r="P73" t="s">
        <v>563</v>
      </c>
      <c r="Q73">
        <v>5733116</v>
      </c>
      <c r="R73">
        <v>40600000</v>
      </c>
      <c r="S73" s="50">
        <v>45292</v>
      </c>
      <c r="T73" s="50">
        <v>46127</v>
      </c>
      <c r="U73" t="s">
        <v>66</v>
      </c>
      <c r="V73" t="s">
        <v>249</v>
      </c>
      <c r="W73" t="s">
        <v>92</v>
      </c>
      <c r="X73" t="s">
        <v>86</v>
      </c>
      <c r="Y73" t="s">
        <v>291</v>
      </c>
      <c r="Z73">
        <v>10573709</v>
      </c>
      <c r="AA73" s="50">
        <v>46081</v>
      </c>
      <c r="AB73" s="87" t="s">
        <v>93</v>
      </c>
      <c r="AC73" s="86">
        <v>411772.08</v>
      </c>
      <c r="AD73" t="s">
        <v>70</v>
      </c>
      <c r="AE73" s="85">
        <v>284.89</v>
      </c>
      <c r="AF73" s="85">
        <v>284.89</v>
      </c>
      <c r="AG73" s="85"/>
      <c r="AH73" s="85"/>
      <c r="AI73" s="85"/>
      <c r="AJ73" s="85"/>
      <c r="AK73" s="85"/>
      <c r="AL73" s="85"/>
      <c r="AM73" s="85"/>
      <c r="AN73" s="85"/>
      <c r="AO73" s="85"/>
      <c r="AP73" s="85"/>
      <c r="AQ73" s="85"/>
      <c r="AR73" s="85"/>
      <c r="AS73" s="85"/>
      <c r="AT73" s="85"/>
      <c r="AU73" s="85"/>
      <c r="AV73" s="85"/>
      <c r="AW73" s="85"/>
      <c r="AX73" s="85"/>
      <c r="AY73" s="85"/>
      <c r="AZ73" s="85"/>
      <c r="BA73" s="85"/>
      <c r="BB73" s="85"/>
      <c r="BC73" s="85"/>
      <c r="BD73" s="85"/>
      <c r="BE73" s="85">
        <v>0</v>
      </c>
      <c r="BF73" s="85">
        <v>0</v>
      </c>
      <c r="BG73" s="85">
        <v>0</v>
      </c>
      <c r="BH73" s="85">
        <v>411772.08</v>
      </c>
      <c r="BI73" s="85">
        <v>284.89</v>
      </c>
      <c r="BJ73" s="85">
        <v>284.89</v>
      </c>
      <c r="BO73">
        <v>39.549999999999997</v>
      </c>
      <c r="BP73" s="86">
        <v>162866.15</v>
      </c>
      <c r="BQ73">
        <v>112.68</v>
      </c>
      <c r="BR73">
        <v>112.68</v>
      </c>
      <c r="BS73" s="85">
        <v>248905.93</v>
      </c>
      <c r="BT73" s="85">
        <v>172.21</v>
      </c>
      <c r="BU73" s="85">
        <v>172.21</v>
      </c>
      <c r="BX73" t="s">
        <v>572</v>
      </c>
      <c r="BZ73">
        <v>47720819</v>
      </c>
      <c r="CA73">
        <v>47720819</v>
      </c>
      <c r="CB73" t="s">
        <v>73</v>
      </c>
      <c r="CC73" t="s">
        <v>250</v>
      </c>
      <c r="CE73" t="s">
        <v>530</v>
      </c>
    </row>
    <row r="74" spans="1:83" x14ac:dyDescent="0.35">
      <c r="A74" t="s">
        <v>242</v>
      </c>
      <c r="B74">
        <v>3050535</v>
      </c>
      <c r="C74">
        <v>41651</v>
      </c>
      <c r="D74" t="s">
        <v>571</v>
      </c>
      <c r="E74">
        <v>275149001</v>
      </c>
      <c r="F74" t="s">
        <v>562</v>
      </c>
      <c r="G74" s="60">
        <v>46054</v>
      </c>
      <c r="H74">
        <v>40888662</v>
      </c>
      <c r="I74" t="s">
        <v>1251</v>
      </c>
      <c r="J74" t="s">
        <v>260</v>
      </c>
      <c r="K74" t="s">
        <v>65</v>
      </c>
      <c r="L74">
        <v>0</v>
      </c>
      <c r="M74">
        <v>0</v>
      </c>
      <c r="N74" t="s">
        <v>566</v>
      </c>
      <c r="O74" t="s">
        <v>566</v>
      </c>
      <c r="P74" t="s">
        <v>563</v>
      </c>
      <c r="Q74">
        <v>5733116</v>
      </c>
      <c r="R74">
        <v>40600000</v>
      </c>
      <c r="S74" s="50">
        <v>45292</v>
      </c>
      <c r="T74" s="50">
        <v>46127</v>
      </c>
      <c r="U74" t="s">
        <v>66</v>
      </c>
      <c r="V74" t="s">
        <v>249</v>
      </c>
      <c r="W74" t="s">
        <v>92</v>
      </c>
      <c r="X74" t="s">
        <v>86</v>
      </c>
      <c r="Y74" t="s">
        <v>291</v>
      </c>
      <c r="Z74">
        <v>10573709</v>
      </c>
      <c r="AA74" s="50">
        <v>46081</v>
      </c>
      <c r="AB74" s="87" t="s">
        <v>93</v>
      </c>
      <c r="AC74" s="86">
        <v>51305.760000000002</v>
      </c>
      <c r="AD74" t="s">
        <v>70</v>
      </c>
      <c r="AE74" s="85">
        <v>35.5</v>
      </c>
      <c r="AF74" s="85">
        <v>35.5</v>
      </c>
      <c r="AG74" s="85"/>
      <c r="AH74" s="85"/>
      <c r="AI74" s="85"/>
      <c r="AJ74" s="85"/>
      <c r="AK74" s="85"/>
      <c r="AL74" s="85"/>
      <c r="AM74" s="85"/>
      <c r="AN74" s="85"/>
      <c r="AO74" s="85"/>
      <c r="AP74" s="85"/>
      <c r="AQ74" s="85"/>
      <c r="AR74" s="85"/>
      <c r="AS74" s="85"/>
      <c r="AT74" s="85"/>
      <c r="AU74" s="85"/>
      <c r="AV74" s="85"/>
      <c r="AW74" s="85"/>
      <c r="AX74" s="85"/>
      <c r="AY74" s="85"/>
      <c r="AZ74" s="85"/>
      <c r="BA74" s="85"/>
      <c r="BB74" s="85"/>
      <c r="BC74" s="85"/>
      <c r="BD74" s="85"/>
      <c r="BE74" s="85">
        <v>0</v>
      </c>
      <c r="BF74" s="85">
        <v>0</v>
      </c>
      <c r="BG74" s="85">
        <v>0</v>
      </c>
      <c r="BH74" s="85">
        <v>51305.760000000002</v>
      </c>
      <c r="BI74" s="85">
        <v>35.5</v>
      </c>
      <c r="BJ74" s="85">
        <v>35.5</v>
      </c>
      <c r="BO74">
        <v>39.549999999999997</v>
      </c>
      <c r="BP74" s="86">
        <v>20292.71</v>
      </c>
      <c r="BQ74">
        <v>14.04</v>
      </c>
      <c r="BR74">
        <v>14.04</v>
      </c>
      <c r="BS74" s="85">
        <v>31013.05</v>
      </c>
      <c r="BT74" s="85">
        <v>21.46</v>
      </c>
      <c r="BU74" s="85">
        <v>21.46</v>
      </c>
      <c r="BX74" t="s">
        <v>572</v>
      </c>
      <c r="BZ74">
        <v>47720819</v>
      </c>
      <c r="CA74">
        <v>47720819</v>
      </c>
      <c r="CB74" t="s">
        <v>73</v>
      </c>
      <c r="CC74" t="s">
        <v>250</v>
      </c>
      <c r="CE74" t="s">
        <v>530</v>
      </c>
    </row>
    <row r="75" spans="1:83" x14ac:dyDescent="0.35">
      <c r="A75" t="s">
        <v>242</v>
      </c>
      <c r="B75">
        <v>3050535</v>
      </c>
      <c r="C75">
        <v>41651</v>
      </c>
      <c r="D75" t="s">
        <v>571</v>
      </c>
      <c r="E75">
        <v>275149001</v>
      </c>
      <c r="F75" t="s">
        <v>562</v>
      </c>
      <c r="G75" s="60">
        <v>46054</v>
      </c>
      <c r="H75">
        <v>40855406</v>
      </c>
      <c r="I75" t="s">
        <v>759</v>
      </c>
      <c r="J75" t="s">
        <v>260</v>
      </c>
      <c r="K75" t="s">
        <v>65</v>
      </c>
      <c r="L75">
        <v>0</v>
      </c>
      <c r="M75">
        <v>0</v>
      </c>
      <c r="N75" t="s">
        <v>566</v>
      </c>
      <c r="O75" t="s">
        <v>566</v>
      </c>
      <c r="P75" t="s">
        <v>563</v>
      </c>
      <c r="Q75">
        <v>5733116</v>
      </c>
      <c r="R75">
        <v>40600000</v>
      </c>
      <c r="S75" s="50">
        <v>45292</v>
      </c>
      <c r="T75" s="50">
        <v>46127</v>
      </c>
      <c r="U75" t="s">
        <v>66</v>
      </c>
      <c r="V75" t="s">
        <v>249</v>
      </c>
      <c r="W75" t="s">
        <v>92</v>
      </c>
      <c r="X75" t="s">
        <v>86</v>
      </c>
      <c r="Y75" t="s">
        <v>291</v>
      </c>
      <c r="Z75">
        <v>10573709</v>
      </c>
      <c r="AA75" s="50">
        <v>46081</v>
      </c>
      <c r="AB75" s="87" t="s">
        <v>93</v>
      </c>
      <c r="AC75" s="86">
        <v>597587.04</v>
      </c>
      <c r="AD75" t="s">
        <v>70</v>
      </c>
      <c r="AE75" s="85">
        <v>413.44</v>
      </c>
      <c r="AF75" s="85">
        <v>413.44</v>
      </c>
      <c r="AG75" s="85"/>
      <c r="AH75" s="85"/>
      <c r="AI75" s="85"/>
      <c r="AJ75" s="85"/>
      <c r="AK75" s="85"/>
      <c r="AL75" s="85"/>
      <c r="AM75" s="85"/>
      <c r="AN75" s="85"/>
      <c r="AO75" s="85"/>
      <c r="AP75" s="85"/>
      <c r="AQ75" s="85"/>
      <c r="AR75" s="85"/>
      <c r="AS75" s="85"/>
      <c r="AT75" s="85"/>
      <c r="AU75" s="85"/>
      <c r="AV75" s="85"/>
      <c r="AW75" s="85"/>
      <c r="AX75" s="85"/>
      <c r="AY75" s="85"/>
      <c r="AZ75" s="85"/>
      <c r="BA75" s="85"/>
      <c r="BB75" s="85"/>
      <c r="BC75" s="85"/>
      <c r="BD75" s="85"/>
      <c r="BE75" s="85">
        <v>0</v>
      </c>
      <c r="BF75" s="85">
        <v>0</v>
      </c>
      <c r="BG75" s="85">
        <v>0</v>
      </c>
      <c r="BH75" s="85">
        <v>597587.04</v>
      </c>
      <c r="BI75" s="85">
        <v>413.44</v>
      </c>
      <c r="BJ75" s="85">
        <v>413.44</v>
      </c>
      <c r="BO75">
        <v>39.549999999999997</v>
      </c>
      <c r="BP75" s="86">
        <v>236360.61</v>
      </c>
      <c r="BQ75">
        <v>163.53</v>
      </c>
      <c r="BR75">
        <v>163.53</v>
      </c>
      <c r="BS75" s="85">
        <v>361226.43</v>
      </c>
      <c r="BT75" s="85">
        <v>249.91</v>
      </c>
      <c r="BU75" s="85">
        <v>249.91</v>
      </c>
      <c r="BX75" t="s">
        <v>572</v>
      </c>
      <c r="BZ75">
        <v>47720819</v>
      </c>
      <c r="CA75">
        <v>47720819</v>
      </c>
      <c r="CB75" t="s">
        <v>73</v>
      </c>
      <c r="CC75" t="s">
        <v>250</v>
      </c>
      <c r="CE75" t="s">
        <v>530</v>
      </c>
    </row>
    <row r="76" spans="1:83" x14ac:dyDescent="0.35">
      <c r="A76" t="s">
        <v>242</v>
      </c>
      <c r="B76">
        <v>3050535</v>
      </c>
      <c r="C76">
        <v>41651</v>
      </c>
      <c r="D76" t="s">
        <v>252</v>
      </c>
      <c r="E76">
        <v>322476101</v>
      </c>
      <c r="F76" t="s">
        <v>690</v>
      </c>
      <c r="G76" s="60">
        <v>46054</v>
      </c>
      <c r="H76">
        <v>40800029</v>
      </c>
      <c r="I76" t="s">
        <v>794</v>
      </c>
      <c r="J76" t="s">
        <v>260</v>
      </c>
      <c r="K76" t="s">
        <v>65</v>
      </c>
      <c r="L76">
        <v>0</v>
      </c>
      <c r="M76">
        <v>0</v>
      </c>
      <c r="N76" t="s">
        <v>259</v>
      </c>
      <c r="O76" t="s">
        <v>259</v>
      </c>
      <c r="P76" t="s">
        <v>98</v>
      </c>
      <c r="Q76">
        <v>80883</v>
      </c>
      <c r="R76">
        <v>43700000</v>
      </c>
      <c r="S76" s="50">
        <v>46038</v>
      </c>
      <c r="T76" s="50">
        <v>46081</v>
      </c>
      <c r="U76" t="s">
        <v>79</v>
      </c>
      <c r="V76" t="s">
        <v>249</v>
      </c>
      <c r="W76" t="s">
        <v>92</v>
      </c>
      <c r="X76" t="s">
        <v>86</v>
      </c>
      <c r="Y76" t="s">
        <v>291</v>
      </c>
      <c r="Z76">
        <v>10573630</v>
      </c>
      <c r="AA76" s="50">
        <v>46081</v>
      </c>
      <c r="AB76" s="87" t="s">
        <v>93</v>
      </c>
      <c r="AC76" s="86">
        <v>2772458.76</v>
      </c>
      <c r="AD76" t="s">
        <v>70</v>
      </c>
      <c r="AE76" s="85">
        <v>1918.13</v>
      </c>
      <c r="AF76" s="85">
        <v>1918.13</v>
      </c>
      <c r="AG76" s="85"/>
      <c r="AH76" s="85"/>
      <c r="AI76" s="85"/>
      <c r="AJ76" s="85"/>
      <c r="AK76" s="85"/>
      <c r="AL76" s="85"/>
      <c r="AM76" s="85"/>
      <c r="AN76" s="85"/>
      <c r="AO76" s="85"/>
      <c r="AP76" s="85"/>
      <c r="AQ76" s="85"/>
      <c r="AR76" s="85"/>
      <c r="AS76" s="85"/>
      <c r="AT76" s="85"/>
      <c r="AU76" s="85"/>
      <c r="AV76" s="85"/>
      <c r="AW76" s="85"/>
      <c r="AX76" s="85"/>
      <c r="AY76" s="85"/>
      <c r="AZ76" s="85"/>
      <c r="BA76" s="85"/>
      <c r="BB76" s="85"/>
      <c r="BC76" s="85"/>
      <c r="BD76" s="85"/>
      <c r="BE76" s="85">
        <v>0</v>
      </c>
      <c r="BF76" s="85">
        <v>0</v>
      </c>
      <c r="BG76" s="85">
        <v>0</v>
      </c>
      <c r="BH76" s="85">
        <v>2772458.76</v>
      </c>
      <c r="BI76" s="85">
        <v>1918.13</v>
      </c>
      <c r="BJ76" s="85">
        <v>1918.13</v>
      </c>
      <c r="BO76">
        <v>39.549999999999997</v>
      </c>
      <c r="BP76" s="86">
        <v>1096576.75</v>
      </c>
      <c r="BQ76">
        <v>758.67</v>
      </c>
      <c r="BR76">
        <v>758.67</v>
      </c>
      <c r="BS76" s="85">
        <v>1675882.01</v>
      </c>
      <c r="BT76" s="85">
        <v>1159.46</v>
      </c>
      <c r="BU76" s="85">
        <v>1159.46</v>
      </c>
      <c r="BX76" t="s">
        <v>785</v>
      </c>
      <c r="BZ76">
        <v>66013147</v>
      </c>
      <c r="CA76">
        <v>66013147</v>
      </c>
      <c r="CB76" t="s">
        <v>73</v>
      </c>
      <c r="CC76" t="s">
        <v>250</v>
      </c>
      <c r="CE76" t="s">
        <v>530</v>
      </c>
    </row>
    <row r="77" spans="1:83" x14ac:dyDescent="0.35">
      <c r="A77" t="s">
        <v>242</v>
      </c>
      <c r="B77">
        <v>3050535</v>
      </c>
      <c r="C77">
        <v>41651</v>
      </c>
      <c r="D77" t="s">
        <v>283</v>
      </c>
      <c r="E77">
        <v>321925201</v>
      </c>
      <c r="F77" t="s">
        <v>637</v>
      </c>
      <c r="G77" s="60">
        <v>46054</v>
      </c>
      <c r="H77">
        <v>40734151</v>
      </c>
      <c r="I77" t="s">
        <v>642</v>
      </c>
      <c r="J77" t="s">
        <v>260</v>
      </c>
      <c r="K77" t="s">
        <v>65</v>
      </c>
      <c r="L77">
        <v>0</v>
      </c>
      <c r="M77">
        <v>0</v>
      </c>
      <c r="N77" t="s">
        <v>108</v>
      </c>
      <c r="O77" t="s">
        <v>108</v>
      </c>
      <c r="P77" t="s">
        <v>104</v>
      </c>
      <c r="Q77">
        <v>292623</v>
      </c>
      <c r="R77">
        <v>6763550</v>
      </c>
      <c r="S77" s="50">
        <v>46017</v>
      </c>
      <c r="T77" s="50">
        <v>46081</v>
      </c>
      <c r="U77" t="s">
        <v>79</v>
      </c>
      <c r="V77" t="s">
        <v>249</v>
      </c>
      <c r="W77" t="s">
        <v>92</v>
      </c>
      <c r="X77" t="s">
        <v>86</v>
      </c>
      <c r="Y77" t="s">
        <v>291</v>
      </c>
      <c r="Z77">
        <v>10573736</v>
      </c>
      <c r="AA77" s="50">
        <v>46081</v>
      </c>
      <c r="AB77" s="87" t="s">
        <v>93</v>
      </c>
      <c r="AC77" s="86">
        <v>79981.11</v>
      </c>
      <c r="AD77" t="s">
        <v>70</v>
      </c>
      <c r="AE77" s="85">
        <v>55.34</v>
      </c>
      <c r="AF77" s="85">
        <v>55.34</v>
      </c>
      <c r="AG77" s="85"/>
      <c r="AH77" s="85"/>
      <c r="AI77" s="85"/>
      <c r="AJ77" s="85"/>
      <c r="AK77" s="85"/>
      <c r="AL77" s="85"/>
      <c r="AM77" s="85"/>
      <c r="AN77" s="85"/>
      <c r="AO77" s="85"/>
      <c r="AP77" s="85"/>
      <c r="AQ77" s="85"/>
      <c r="AR77" s="85"/>
      <c r="AS77" s="85"/>
      <c r="AT77" s="85"/>
      <c r="AU77" s="85"/>
      <c r="AV77" s="85"/>
      <c r="AW77" s="85"/>
      <c r="AX77" s="85"/>
      <c r="AY77" s="85"/>
      <c r="AZ77" s="85"/>
      <c r="BA77" s="85"/>
      <c r="BB77" s="85"/>
      <c r="BC77" s="85"/>
      <c r="BD77" s="85"/>
      <c r="BE77" s="85">
        <v>0</v>
      </c>
      <c r="BF77" s="85">
        <v>0</v>
      </c>
      <c r="BG77" s="85">
        <v>0</v>
      </c>
      <c r="BH77" s="85">
        <v>79981.11</v>
      </c>
      <c r="BI77" s="85">
        <v>55.34</v>
      </c>
      <c r="BJ77" s="85">
        <v>55.34</v>
      </c>
      <c r="BO77">
        <v>39.549999999999997</v>
      </c>
      <c r="BP77" s="86">
        <v>31634.53</v>
      </c>
      <c r="BQ77">
        <v>21.89</v>
      </c>
      <c r="BR77">
        <v>21.89</v>
      </c>
      <c r="BS77" s="85">
        <v>48346.58</v>
      </c>
      <c r="BT77" s="85">
        <v>33.450000000000003</v>
      </c>
      <c r="BU77" s="85">
        <v>33.450000000000003</v>
      </c>
      <c r="BX77" t="s">
        <v>643</v>
      </c>
      <c r="BZ77">
        <v>224529</v>
      </c>
      <c r="CA77">
        <v>224529</v>
      </c>
      <c r="CB77" t="s">
        <v>73</v>
      </c>
      <c r="CC77" t="s">
        <v>250</v>
      </c>
      <c r="CE77" t="s">
        <v>530</v>
      </c>
    </row>
    <row r="78" spans="1:83" x14ac:dyDescent="0.35">
      <c r="A78" t="s">
        <v>242</v>
      </c>
      <c r="B78">
        <v>3050535</v>
      </c>
      <c r="C78">
        <v>41651</v>
      </c>
      <c r="D78" t="s">
        <v>552</v>
      </c>
      <c r="E78">
        <v>322531401</v>
      </c>
      <c r="F78" t="s">
        <v>692</v>
      </c>
      <c r="G78" s="60">
        <v>46054</v>
      </c>
      <c r="H78">
        <v>40881358</v>
      </c>
      <c r="I78" t="s">
        <v>1252</v>
      </c>
      <c r="J78" t="s">
        <v>260</v>
      </c>
      <c r="K78" t="s">
        <v>65</v>
      </c>
      <c r="L78">
        <v>0</v>
      </c>
      <c r="M78">
        <v>0</v>
      </c>
      <c r="N78" t="s">
        <v>255</v>
      </c>
      <c r="O78" t="s">
        <v>255</v>
      </c>
      <c r="P78" t="s">
        <v>548</v>
      </c>
      <c r="Q78">
        <v>7000116</v>
      </c>
      <c r="R78">
        <v>12650000</v>
      </c>
      <c r="S78" s="50">
        <v>46035</v>
      </c>
      <c r="T78" s="50">
        <v>46081</v>
      </c>
      <c r="U78" t="s">
        <v>79</v>
      </c>
      <c r="V78" t="s">
        <v>249</v>
      </c>
      <c r="W78" t="s">
        <v>92</v>
      </c>
      <c r="X78" t="s">
        <v>86</v>
      </c>
      <c r="Y78" t="s">
        <v>291</v>
      </c>
      <c r="Z78">
        <v>10573696</v>
      </c>
      <c r="AA78" s="50">
        <v>46081</v>
      </c>
      <c r="AB78" s="87" t="s">
        <v>93</v>
      </c>
      <c r="AC78" s="86">
        <v>149435.07999999999</v>
      </c>
      <c r="AD78" t="s">
        <v>70</v>
      </c>
      <c r="AE78" s="85">
        <v>103.39</v>
      </c>
      <c r="AF78" s="85">
        <v>103.39</v>
      </c>
      <c r="AG78" s="85"/>
      <c r="AH78" s="85"/>
      <c r="AI78" s="85"/>
      <c r="AJ78" s="85"/>
      <c r="AK78" s="85"/>
      <c r="AL78" s="85"/>
      <c r="AM78" s="85"/>
      <c r="AN78" s="85"/>
      <c r="AO78" s="85"/>
      <c r="AP78" s="85"/>
      <c r="AQ78" s="85"/>
      <c r="AR78" s="85"/>
      <c r="AS78" s="85"/>
      <c r="AT78" s="85"/>
      <c r="AU78" s="85"/>
      <c r="AV78" s="85"/>
      <c r="AW78" s="85"/>
      <c r="AX78" s="85"/>
      <c r="AY78" s="85"/>
      <c r="AZ78" s="85"/>
      <c r="BA78" s="85"/>
      <c r="BB78" s="85"/>
      <c r="BC78" s="85"/>
      <c r="BD78" s="85"/>
      <c r="BE78" s="85">
        <v>0</v>
      </c>
      <c r="BF78" s="85">
        <v>0</v>
      </c>
      <c r="BG78" s="85">
        <v>0</v>
      </c>
      <c r="BH78" s="85">
        <v>149435.07999999999</v>
      </c>
      <c r="BI78" s="85">
        <v>103.39</v>
      </c>
      <c r="BJ78" s="85">
        <v>103.39</v>
      </c>
      <c r="BO78">
        <v>39.549999999999997</v>
      </c>
      <c r="BP78" s="86">
        <v>59105.31</v>
      </c>
      <c r="BQ78">
        <v>40.89</v>
      </c>
      <c r="BR78">
        <v>40.89</v>
      </c>
      <c r="BS78" s="85">
        <v>90329.77</v>
      </c>
      <c r="BT78" s="85">
        <v>62.5</v>
      </c>
      <c r="BU78" s="85">
        <v>62.5</v>
      </c>
      <c r="BX78" t="s">
        <v>731</v>
      </c>
      <c r="BZ78">
        <v>63304606</v>
      </c>
      <c r="CA78">
        <v>63304606</v>
      </c>
      <c r="CB78" t="s">
        <v>73</v>
      </c>
      <c r="CC78" t="s">
        <v>250</v>
      </c>
      <c r="CE78" t="s">
        <v>530</v>
      </c>
    </row>
    <row r="79" spans="1:83" x14ac:dyDescent="0.35">
      <c r="A79" t="s">
        <v>242</v>
      </c>
      <c r="B79">
        <v>3050535</v>
      </c>
      <c r="C79">
        <v>41651</v>
      </c>
      <c r="D79" t="s">
        <v>552</v>
      </c>
      <c r="E79">
        <v>322531401</v>
      </c>
      <c r="F79" t="s">
        <v>692</v>
      </c>
      <c r="G79" s="60">
        <v>46054</v>
      </c>
      <c r="H79">
        <v>40881172</v>
      </c>
      <c r="I79" t="s">
        <v>1253</v>
      </c>
      <c r="J79" t="s">
        <v>260</v>
      </c>
      <c r="K79" t="s">
        <v>65</v>
      </c>
      <c r="L79">
        <v>0</v>
      </c>
      <c r="M79">
        <v>0</v>
      </c>
      <c r="N79" t="s">
        <v>255</v>
      </c>
      <c r="O79" t="s">
        <v>255</v>
      </c>
      <c r="P79" t="s">
        <v>548</v>
      </c>
      <c r="Q79">
        <v>7000116</v>
      </c>
      <c r="R79">
        <v>12650000</v>
      </c>
      <c r="S79" s="50">
        <v>46035</v>
      </c>
      <c r="T79" s="50">
        <v>46081</v>
      </c>
      <c r="U79" t="s">
        <v>79</v>
      </c>
      <c r="V79" t="s">
        <v>249</v>
      </c>
      <c r="W79" t="s">
        <v>92</v>
      </c>
      <c r="X79" t="s">
        <v>86</v>
      </c>
      <c r="Y79" t="s">
        <v>291</v>
      </c>
      <c r="Z79">
        <v>10573696</v>
      </c>
      <c r="AA79" s="50">
        <v>46081</v>
      </c>
      <c r="AB79" s="87" t="s">
        <v>93</v>
      </c>
      <c r="AC79" s="86">
        <v>99993.63</v>
      </c>
      <c r="AD79" t="s">
        <v>70</v>
      </c>
      <c r="AE79" s="85">
        <v>69.180000000000007</v>
      </c>
      <c r="AF79" s="85">
        <v>69.180000000000007</v>
      </c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>
        <v>0</v>
      </c>
      <c r="BF79" s="85">
        <v>0</v>
      </c>
      <c r="BG79" s="85">
        <v>0</v>
      </c>
      <c r="BH79" s="85">
        <v>99993.63</v>
      </c>
      <c r="BI79" s="85">
        <v>69.180000000000007</v>
      </c>
      <c r="BJ79" s="85">
        <v>69.180000000000007</v>
      </c>
      <c r="BO79">
        <v>39.549999999999997</v>
      </c>
      <c r="BP79" s="86">
        <v>39549.980000000003</v>
      </c>
      <c r="BQ79">
        <v>27.36</v>
      </c>
      <c r="BR79">
        <v>27.36</v>
      </c>
      <c r="BS79" s="85">
        <v>60443.65</v>
      </c>
      <c r="BT79" s="85">
        <v>41.82</v>
      </c>
      <c r="BU79" s="85">
        <v>41.82</v>
      </c>
      <c r="BX79" t="s">
        <v>731</v>
      </c>
      <c r="BZ79">
        <v>63304606</v>
      </c>
      <c r="CA79">
        <v>63304606</v>
      </c>
      <c r="CB79" t="s">
        <v>72</v>
      </c>
      <c r="CC79" t="s">
        <v>250</v>
      </c>
      <c r="CE79" t="s">
        <v>530</v>
      </c>
    </row>
    <row r="80" spans="1:83" x14ac:dyDescent="0.35">
      <c r="A80" t="s">
        <v>242</v>
      </c>
      <c r="B80">
        <v>3050535</v>
      </c>
      <c r="C80">
        <v>41651</v>
      </c>
      <c r="D80" t="s">
        <v>552</v>
      </c>
      <c r="E80">
        <v>322531401</v>
      </c>
      <c r="F80" t="s">
        <v>692</v>
      </c>
      <c r="G80" s="60">
        <v>46054</v>
      </c>
      <c r="H80">
        <v>40881389</v>
      </c>
      <c r="I80" t="s">
        <v>1254</v>
      </c>
      <c r="J80" t="s">
        <v>260</v>
      </c>
      <c r="K80" t="s">
        <v>65</v>
      </c>
      <c r="L80">
        <v>0</v>
      </c>
      <c r="M80">
        <v>0</v>
      </c>
      <c r="N80" t="s">
        <v>255</v>
      </c>
      <c r="O80" t="s">
        <v>255</v>
      </c>
      <c r="P80" t="s">
        <v>548</v>
      </c>
      <c r="Q80">
        <v>7000116</v>
      </c>
      <c r="R80">
        <v>12650000</v>
      </c>
      <c r="S80" s="50">
        <v>46035</v>
      </c>
      <c r="T80" s="50">
        <v>46081</v>
      </c>
      <c r="U80" t="s">
        <v>79</v>
      </c>
      <c r="V80" t="s">
        <v>249</v>
      </c>
      <c r="W80" t="s">
        <v>92</v>
      </c>
      <c r="X80" t="s">
        <v>86</v>
      </c>
      <c r="Y80" t="s">
        <v>291</v>
      </c>
      <c r="Z80">
        <v>10573696</v>
      </c>
      <c r="AA80" s="50">
        <v>46081</v>
      </c>
      <c r="AB80" s="87" t="s">
        <v>93</v>
      </c>
      <c r="AC80" s="86">
        <v>299185.09000000003</v>
      </c>
      <c r="AD80" t="s">
        <v>70</v>
      </c>
      <c r="AE80" s="85">
        <v>206.99</v>
      </c>
      <c r="AF80" s="85">
        <v>206.99</v>
      </c>
      <c r="AG80" s="85"/>
      <c r="AH80" s="85"/>
      <c r="AI80" s="85"/>
      <c r="AJ80" s="85"/>
      <c r="AK80" s="85"/>
      <c r="AL80" s="85"/>
      <c r="AM80" s="85"/>
      <c r="AN80" s="85"/>
      <c r="AO80" s="85"/>
      <c r="AP80" s="85"/>
      <c r="AQ80" s="85"/>
      <c r="AR80" s="85"/>
      <c r="AS80" s="85"/>
      <c r="AT80" s="85"/>
      <c r="AU80" s="85"/>
      <c r="AV80" s="85"/>
      <c r="AW80" s="85"/>
      <c r="AX80" s="85"/>
      <c r="AY80" s="85"/>
      <c r="AZ80" s="85"/>
      <c r="BA80" s="85"/>
      <c r="BB80" s="85"/>
      <c r="BC80" s="85"/>
      <c r="BD80" s="85"/>
      <c r="BE80" s="85">
        <v>0</v>
      </c>
      <c r="BF80" s="85">
        <v>0</v>
      </c>
      <c r="BG80" s="85">
        <v>0</v>
      </c>
      <c r="BH80" s="85">
        <v>299185.09000000003</v>
      </c>
      <c r="BI80" s="85">
        <v>206.99</v>
      </c>
      <c r="BJ80" s="85">
        <v>206.99</v>
      </c>
      <c r="BO80">
        <v>39.549999999999997</v>
      </c>
      <c r="BP80" s="86">
        <v>118335.18</v>
      </c>
      <c r="BQ80">
        <v>81.87</v>
      </c>
      <c r="BR80">
        <v>81.87</v>
      </c>
      <c r="BS80" s="85">
        <v>180849.91</v>
      </c>
      <c r="BT80" s="85">
        <v>125.12</v>
      </c>
      <c r="BU80" s="85">
        <v>125.12</v>
      </c>
      <c r="BX80" t="s">
        <v>731</v>
      </c>
      <c r="BZ80">
        <v>63304606</v>
      </c>
      <c r="CA80">
        <v>63304606</v>
      </c>
      <c r="CB80" t="s">
        <v>72</v>
      </c>
      <c r="CC80" t="s">
        <v>250</v>
      </c>
      <c r="CE80" t="s">
        <v>530</v>
      </c>
    </row>
    <row r="81" spans="1:83" x14ac:dyDescent="0.35">
      <c r="A81" t="s">
        <v>242</v>
      </c>
      <c r="B81">
        <v>3050535</v>
      </c>
      <c r="C81">
        <v>41651</v>
      </c>
      <c r="D81" t="s">
        <v>552</v>
      </c>
      <c r="E81">
        <v>322531401</v>
      </c>
      <c r="F81" t="s">
        <v>692</v>
      </c>
      <c r="G81" s="60">
        <v>46054</v>
      </c>
      <c r="H81">
        <v>40881381</v>
      </c>
      <c r="I81" t="s">
        <v>1255</v>
      </c>
      <c r="J81" t="s">
        <v>260</v>
      </c>
      <c r="K81" t="s">
        <v>65</v>
      </c>
      <c r="L81">
        <v>0</v>
      </c>
      <c r="M81">
        <v>0</v>
      </c>
      <c r="N81" t="s">
        <v>255</v>
      </c>
      <c r="O81" t="s">
        <v>255</v>
      </c>
      <c r="P81" t="s">
        <v>548</v>
      </c>
      <c r="Q81">
        <v>7000116</v>
      </c>
      <c r="R81">
        <v>12650000</v>
      </c>
      <c r="S81" s="50">
        <v>46035</v>
      </c>
      <c r="T81" s="50">
        <v>46081</v>
      </c>
      <c r="U81" t="s">
        <v>79</v>
      </c>
      <c r="V81" t="s">
        <v>249</v>
      </c>
      <c r="W81" t="s">
        <v>92</v>
      </c>
      <c r="X81" t="s">
        <v>86</v>
      </c>
      <c r="Y81" t="s">
        <v>291</v>
      </c>
      <c r="Z81">
        <v>10573696</v>
      </c>
      <c r="AA81" s="50">
        <v>46081</v>
      </c>
      <c r="AB81" s="87" t="s">
        <v>93</v>
      </c>
      <c r="AC81" s="86">
        <v>149418.26</v>
      </c>
      <c r="AD81" t="s">
        <v>70</v>
      </c>
      <c r="AE81" s="85">
        <v>103.38</v>
      </c>
      <c r="AF81" s="85">
        <v>103.38</v>
      </c>
      <c r="AG81" s="85"/>
      <c r="AH81" s="85"/>
      <c r="AI81" s="85"/>
      <c r="AJ81" s="85"/>
      <c r="AK81" s="85"/>
      <c r="AL81" s="85"/>
      <c r="AM81" s="85"/>
      <c r="AN81" s="85"/>
      <c r="AO81" s="85"/>
      <c r="AP81" s="85"/>
      <c r="AQ81" s="85"/>
      <c r="AR81" s="85"/>
      <c r="AS81" s="85"/>
      <c r="AT81" s="85"/>
      <c r="AU81" s="85"/>
      <c r="AV81" s="85"/>
      <c r="AW81" s="85"/>
      <c r="AX81" s="85"/>
      <c r="AY81" s="85"/>
      <c r="AZ81" s="85"/>
      <c r="BA81" s="85"/>
      <c r="BB81" s="85"/>
      <c r="BC81" s="85"/>
      <c r="BD81" s="85"/>
      <c r="BE81" s="85">
        <v>0</v>
      </c>
      <c r="BF81" s="85">
        <v>0</v>
      </c>
      <c r="BG81" s="85">
        <v>0</v>
      </c>
      <c r="BH81" s="85">
        <v>149418.26</v>
      </c>
      <c r="BI81" s="85">
        <v>103.38</v>
      </c>
      <c r="BJ81" s="85">
        <v>103.38</v>
      </c>
      <c r="BO81">
        <v>39.549999999999997</v>
      </c>
      <c r="BP81" s="86">
        <v>59098.66</v>
      </c>
      <c r="BQ81">
        <v>40.89</v>
      </c>
      <c r="BR81">
        <v>40.89</v>
      </c>
      <c r="BS81" s="85">
        <v>90319.6</v>
      </c>
      <c r="BT81" s="85">
        <v>62.49</v>
      </c>
      <c r="BU81" s="85">
        <v>62.49</v>
      </c>
      <c r="BX81" t="s">
        <v>731</v>
      </c>
      <c r="BZ81">
        <v>63304606</v>
      </c>
      <c r="CA81">
        <v>63304606</v>
      </c>
      <c r="CB81" t="s">
        <v>73</v>
      </c>
      <c r="CC81" t="s">
        <v>250</v>
      </c>
      <c r="CE81" t="s">
        <v>530</v>
      </c>
    </row>
    <row r="82" spans="1:83" x14ac:dyDescent="0.35">
      <c r="A82" t="s">
        <v>242</v>
      </c>
      <c r="B82">
        <v>3050535</v>
      </c>
      <c r="C82">
        <v>41651</v>
      </c>
      <c r="D82" t="s">
        <v>552</v>
      </c>
      <c r="E82">
        <v>322531401</v>
      </c>
      <c r="F82" t="s">
        <v>692</v>
      </c>
      <c r="G82" s="60">
        <v>46054</v>
      </c>
      <c r="H82">
        <v>40916260</v>
      </c>
      <c r="I82" t="s">
        <v>1256</v>
      </c>
      <c r="J82" t="s">
        <v>260</v>
      </c>
      <c r="K82" t="s">
        <v>65</v>
      </c>
      <c r="L82">
        <v>0</v>
      </c>
      <c r="M82">
        <v>0</v>
      </c>
      <c r="N82" t="s">
        <v>255</v>
      </c>
      <c r="O82" t="s">
        <v>255</v>
      </c>
      <c r="P82" t="s">
        <v>548</v>
      </c>
      <c r="Q82">
        <v>7000116</v>
      </c>
      <c r="R82">
        <v>12650000</v>
      </c>
      <c r="S82" s="50">
        <v>46035</v>
      </c>
      <c r="T82" s="50">
        <v>46081</v>
      </c>
      <c r="U82" t="s">
        <v>79</v>
      </c>
      <c r="V82" t="s">
        <v>249</v>
      </c>
      <c r="W82" t="s">
        <v>92</v>
      </c>
      <c r="X82" t="s">
        <v>86</v>
      </c>
      <c r="Y82" t="s">
        <v>291</v>
      </c>
      <c r="Z82">
        <v>10573696</v>
      </c>
      <c r="AA82" s="50">
        <v>46081</v>
      </c>
      <c r="AB82" s="87" t="s">
        <v>93</v>
      </c>
      <c r="AC82" s="86">
        <v>400092.13</v>
      </c>
      <c r="AD82" t="s">
        <v>70</v>
      </c>
      <c r="AE82" s="85">
        <v>276.8</v>
      </c>
      <c r="AF82" s="85">
        <v>276.8</v>
      </c>
      <c r="AG82" s="85"/>
      <c r="AH82" s="85"/>
      <c r="AI82" s="85"/>
      <c r="AJ82" s="85"/>
      <c r="AK82" s="85"/>
      <c r="AL82" s="85"/>
      <c r="AM82" s="85"/>
      <c r="AN82" s="85"/>
      <c r="AO82" s="85"/>
      <c r="AP82" s="85"/>
      <c r="AQ82" s="85"/>
      <c r="AR82" s="85"/>
      <c r="AS82" s="85"/>
      <c r="AT82" s="85"/>
      <c r="AU82" s="85"/>
      <c r="AV82" s="85"/>
      <c r="AW82" s="85"/>
      <c r="AX82" s="85"/>
      <c r="AY82" s="85"/>
      <c r="AZ82" s="85"/>
      <c r="BA82" s="85"/>
      <c r="BB82" s="85"/>
      <c r="BC82" s="85"/>
      <c r="BD82" s="85"/>
      <c r="BE82" s="85">
        <v>0</v>
      </c>
      <c r="BF82" s="85">
        <v>0</v>
      </c>
      <c r="BG82" s="85">
        <v>0</v>
      </c>
      <c r="BH82" s="85">
        <v>400092.13</v>
      </c>
      <c r="BI82" s="85">
        <v>276.8</v>
      </c>
      <c r="BJ82" s="85">
        <v>276.8</v>
      </c>
      <c r="BO82">
        <v>39.549999999999997</v>
      </c>
      <c r="BP82" s="86">
        <v>158246.44</v>
      </c>
      <c r="BQ82">
        <v>109.48</v>
      </c>
      <c r="BR82">
        <v>109.48</v>
      </c>
      <c r="BS82" s="85">
        <v>241845.69</v>
      </c>
      <c r="BT82" s="85">
        <v>167.32</v>
      </c>
      <c r="BU82" s="85">
        <v>167.32</v>
      </c>
      <c r="BX82" t="s">
        <v>731</v>
      </c>
      <c r="BZ82">
        <v>63304606</v>
      </c>
      <c r="CA82">
        <v>63304606</v>
      </c>
      <c r="CB82" t="s">
        <v>72</v>
      </c>
      <c r="CC82" t="s">
        <v>250</v>
      </c>
      <c r="CE82" t="s">
        <v>530</v>
      </c>
    </row>
    <row r="83" spans="1:83" x14ac:dyDescent="0.35">
      <c r="A83" t="s">
        <v>242</v>
      </c>
      <c r="B83">
        <v>3050535</v>
      </c>
      <c r="C83">
        <v>41651</v>
      </c>
      <c r="D83" t="s">
        <v>552</v>
      </c>
      <c r="E83">
        <v>322531401</v>
      </c>
      <c r="F83" t="s">
        <v>692</v>
      </c>
      <c r="G83" s="60">
        <v>46054</v>
      </c>
      <c r="H83">
        <v>40925756</v>
      </c>
      <c r="I83" t="s">
        <v>1257</v>
      </c>
      <c r="J83" t="s">
        <v>260</v>
      </c>
      <c r="K83" t="s">
        <v>65</v>
      </c>
      <c r="L83">
        <v>0</v>
      </c>
      <c r="M83">
        <v>0</v>
      </c>
      <c r="N83" t="s">
        <v>255</v>
      </c>
      <c r="O83" t="s">
        <v>255</v>
      </c>
      <c r="P83" t="s">
        <v>548</v>
      </c>
      <c r="Q83">
        <v>7000116</v>
      </c>
      <c r="R83">
        <v>12650000</v>
      </c>
      <c r="S83" s="50">
        <v>46035</v>
      </c>
      <c r="T83" s="50">
        <v>46081</v>
      </c>
      <c r="U83" t="s">
        <v>79</v>
      </c>
      <c r="V83" t="s">
        <v>249</v>
      </c>
      <c r="W83" t="s">
        <v>92</v>
      </c>
      <c r="X83" t="s">
        <v>86</v>
      </c>
      <c r="Y83" t="s">
        <v>291</v>
      </c>
      <c r="Z83">
        <v>10573696</v>
      </c>
      <c r="AA83" s="50">
        <v>46081</v>
      </c>
      <c r="AB83" s="87" t="s">
        <v>93</v>
      </c>
      <c r="AC83" s="86">
        <v>401091.17</v>
      </c>
      <c r="AD83" t="s">
        <v>70</v>
      </c>
      <c r="AE83" s="85">
        <v>277.5</v>
      </c>
      <c r="AF83" s="85">
        <v>277.5</v>
      </c>
      <c r="AG83" s="85"/>
      <c r="AH83" s="85"/>
      <c r="AI83" s="85"/>
      <c r="AJ83" s="85"/>
      <c r="AK83" s="85"/>
      <c r="AL83" s="85"/>
      <c r="AM83" s="85"/>
      <c r="AN83" s="85"/>
      <c r="AO83" s="85"/>
      <c r="AP83" s="85"/>
      <c r="AQ83" s="85"/>
      <c r="AR83" s="85"/>
      <c r="AS83" s="85"/>
      <c r="AT83" s="85"/>
      <c r="AU83" s="85"/>
      <c r="AV83" s="85"/>
      <c r="AW83" s="85"/>
      <c r="AX83" s="85"/>
      <c r="AY83" s="85"/>
      <c r="AZ83" s="85"/>
      <c r="BA83" s="85"/>
      <c r="BB83" s="85"/>
      <c r="BC83" s="85"/>
      <c r="BD83" s="85"/>
      <c r="BE83" s="85">
        <v>0</v>
      </c>
      <c r="BF83" s="85">
        <v>0</v>
      </c>
      <c r="BG83" s="85">
        <v>0</v>
      </c>
      <c r="BH83" s="85">
        <v>401091.17</v>
      </c>
      <c r="BI83" s="85">
        <v>277.5</v>
      </c>
      <c r="BJ83" s="85">
        <v>277.5</v>
      </c>
      <c r="BO83">
        <v>39.549999999999997</v>
      </c>
      <c r="BP83" s="86">
        <v>158641.59</v>
      </c>
      <c r="BQ83">
        <v>109.76</v>
      </c>
      <c r="BR83">
        <v>109.76</v>
      </c>
      <c r="BS83" s="85">
        <v>242449.58</v>
      </c>
      <c r="BT83" s="85">
        <v>167.74</v>
      </c>
      <c r="BU83" s="85">
        <v>167.74</v>
      </c>
      <c r="BX83" t="s">
        <v>731</v>
      </c>
      <c r="BZ83">
        <v>63304606</v>
      </c>
      <c r="CA83">
        <v>63304606</v>
      </c>
      <c r="CB83" t="s">
        <v>73</v>
      </c>
      <c r="CC83" t="s">
        <v>250</v>
      </c>
      <c r="CE83" t="s">
        <v>530</v>
      </c>
    </row>
    <row r="84" spans="1:83" x14ac:dyDescent="0.35">
      <c r="A84" t="s">
        <v>242</v>
      </c>
      <c r="B84">
        <v>3050535</v>
      </c>
      <c r="C84">
        <v>41651</v>
      </c>
      <c r="D84" t="s">
        <v>552</v>
      </c>
      <c r="E84">
        <v>322531401</v>
      </c>
      <c r="F84" t="s">
        <v>692</v>
      </c>
      <c r="G84" s="60">
        <v>46054</v>
      </c>
      <c r="H84">
        <v>40881305</v>
      </c>
      <c r="I84" t="s">
        <v>1258</v>
      </c>
      <c r="J84" t="s">
        <v>260</v>
      </c>
      <c r="K84" t="s">
        <v>65</v>
      </c>
      <c r="L84">
        <v>0</v>
      </c>
      <c r="M84">
        <v>0</v>
      </c>
      <c r="N84" t="s">
        <v>255</v>
      </c>
      <c r="O84" t="s">
        <v>255</v>
      </c>
      <c r="P84" t="s">
        <v>548</v>
      </c>
      <c r="Q84">
        <v>7000116</v>
      </c>
      <c r="R84">
        <v>12650000</v>
      </c>
      <c r="S84" s="50">
        <v>46035</v>
      </c>
      <c r="T84" s="50">
        <v>46081</v>
      </c>
      <c r="U84" t="s">
        <v>79</v>
      </c>
      <c r="V84" t="s">
        <v>249</v>
      </c>
      <c r="W84" t="s">
        <v>92</v>
      </c>
      <c r="X84" t="s">
        <v>86</v>
      </c>
      <c r="Y84" t="s">
        <v>291</v>
      </c>
      <c r="Z84">
        <v>10573696</v>
      </c>
      <c r="AA84" s="50">
        <v>46081</v>
      </c>
      <c r="AB84" s="87" t="s">
        <v>93</v>
      </c>
      <c r="AC84" s="86">
        <v>89484.64</v>
      </c>
      <c r="AD84" t="s">
        <v>70</v>
      </c>
      <c r="AE84" s="85">
        <v>61.91</v>
      </c>
      <c r="AF84" s="85">
        <v>61.91</v>
      </c>
      <c r="AG84" s="85"/>
      <c r="AH84" s="85"/>
      <c r="AI84" s="85"/>
      <c r="AJ84" s="85"/>
      <c r="AK84" s="85"/>
      <c r="AL84" s="85"/>
      <c r="AM84" s="85"/>
      <c r="AN84" s="85"/>
      <c r="AO84" s="85"/>
      <c r="AP84" s="85"/>
      <c r="AQ84" s="85"/>
      <c r="AR84" s="85"/>
      <c r="AS84" s="85"/>
      <c r="AT84" s="85"/>
      <c r="AU84" s="85"/>
      <c r="AV84" s="85"/>
      <c r="AW84" s="85"/>
      <c r="AX84" s="85"/>
      <c r="AY84" s="85"/>
      <c r="AZ84" s="85"/>
      <c r="BA84" s="85"/>
      <c r="BB84" s="85"/>
      <c r="BC84" s="85"/>
      <c r="BD84" s="85"/>
      <c r="BE84" s="85">
        <v>0</v>
      </c>
      <c r="BF84" s="85">
        <v>0</v>
      </c>
      <c r="BG84" s="85">
        <v>0</v>
      </c>
      <c r="BH84" s="85">
        <v>89484.64</v>
      </c>
      <c r="BI84" s="85">
        <v>61.91</v>
      </c>
      <c r="BJ84" s="85">
        <v>61.91</v>
      </c>
      <c r="BO84">
        <v>39.549999999999997</v>
      </c>
      <c r="BP84" s="86">
        <v>35393.410000000003</v>
      </c>
      <c r="BQ84">
        <v>24.49</v>
      </c>
      <c r="BR84">
        <v>24.49</v>
      </c>
      <c r="BS84" s="85">
        <v>54091.23</v>
      </c>
      <c r="BT84" s="85">
        <v>37.42</v>
      </c>
      <c r="BU84" s="85">
        <v>37.42</v>
      </c>
      <c r="BX84" t="s">
        <v>731</v>
      </c>
      <c r="BZ84">
        <v>63304606</v>
      </c>
      <c r="CA84">
        <v>63304606</v>
      </c>
      <c r="CB84" t="s">
        <v>72</v>
      </c>
      <c r="CC84" t="s">
        <v>250</v>
      </c>
      <c r="CE84" t="s">
        <v>530</v>
      </c>
    </row>
    <row r="85" spans="1:83" x14ac:dyDescent="0.35">
      <c r="A85" t="s">
        <v>242</v>
      </c>
      <c r="B85">
        <v>3050535</v>
      </c>
      <c r="C85">
        <v>41651</v>
      </c>
      <c r="D85" t="s">
        <v>1259</v>
      </c>
      <c r="E85">
        <v>318698801</v>
      </c>
      <c r="F85" t="s">
        <v>618</v>
      </c>
      <c r="G85" s="60">
        <v>46054</v>
      </c>
      <c r="H85">
        <v>40497187</v>
      </c>
      <c r="I85" t="s">
        <v>625</v>
      </c>
      <c r="J85" t="s">
        <v>260</v>
      </c>
      <c r="K85" t="s">
        <v>65</v>
      </c>
      <c r="L85">
        <v>0</v>
      </c>
      <c r="M85">
        <v>0</v>
      </c>
      <c r="N85" t="s">
        <v>515</v>
      </c>
      <c r="O85" t="s">
        <v>515</v>
      </c>
      <c r="P85" t="s">
        <v>619</v>
      </c>
      <c r="Q85">
        <v>207572191</v>
      </c>
      <c r="R85">
        <v>12688415</v>
      </c>
      <c r="S85" s="50">
        <v>45971</v>
      </c>
      <c r="T85" s="50">
        <v>46081</v>
      </c>
      <c r="U85" t="s">
        <v>79</v>
      </c>
      <c r="V85" t="s">
        <v>249</v>
      </c>
      <c r="W85" t="s">
        <v>92</v>
      </c>
      <c r="X85" t="s">
        <v>86</v>
      </c>
      <c r="Y85" t="s">
        <v>291</v>
      </c>
      <c r="Z85">
        <v>10573662</v>
      </c>
      <c r="AA85" s="50">
        <v>46081</v>
      </c>
      <c r="AB85" s="87" t="s">
        <v>93</v>
      </c>
      <c r="AC85" s="86">
        <v>1066442.3899999999</v>
      </c>
      <c r="AD85" t="s">
        <v>70</v>
      </c>
      <c r="AE85" s="85">
        <v>737.82</v>
      </c>
      <c r="AF85" s="85">
        <v>737.82</v>
      </c>
      <c r="AG85" s="85"/>
      <c r="AH85" s="85"/>
      <c r="AI85" s="85"/>
      <c r="AJ85" s="85"/>
      <c r="AK85" s="85"/>
      <c r="AL85" s="85"/>
      <c r="AM85" s="85"/>
      <c r="AN85" s="85"/>
      <c r="AO85" s="85"/>
      <c r="AP85" s="85"/>
      <c r="AQ85" s="85"/>
      <c r="AR85" s="85"/>
      <c r="AS85" s="85"/>
      <c r="AT85" s="85"/>
      <c r="AU85" s="85"/>
      <c r="AV85" s="85"/>
      <c r="AW85" s="85"/>
      <c r="AX85" s="85"/>
      <c r="AY85" s="85"/>
      <c r="AZ85" s="85"/>
      <c r="BA85" s="85"/>
      <c r="BB85" s="85"/>
      <c r="BC85" s="85"/>
      <c r="BD85" s="85"/>
      <c r="BE85" s="85">
        <v>0</v>
      </c>
      <c r="BF85" s="85">
        <v>0</v>
      </c>
      <c r="BG85" s="85">
        <v>0</v>
      </c>
      <c r="BH85" s="85">
        <v>1066442.3899999999</v>
      </c>
      <c r="BI85" s="85">
        <v>737.82</v>
      </c>
      <c r="BJ85" s="85">
        <v>737.82</v>
      </c>
      <c r="BO85">
        <v>39.549999999999997</v>
      </c>
      <c r="BP85" s="86">
        <v>421804.63</v>
      </c>
      <c r="BQ85">
        <v>291.83</v>
      </c>
      <c r="BR85">
        <v>291.83</v>
      </c>
      <c r="BS85" s="85">
        <v>644637.76</v>
      </c>
      <c r="BT85" s="85">
        <v>445.99</v>
      </c>
      <c r="BU85" s="85">
        <v>445.99</v>
      </c>
      <c r="BX85" t="s">
        <v>624</v>
      </c>
      <c r="BZ85">
        <v>136433571</v>
      </c>
      <c r="CA85">
        <v>136433571</v>
      </c>
      <c r="CB85" t="s">
        <v>72</v>
      </c>
      <c r="CC85" t="s">
        <v>250</v>
      </c>
      <c r="CE85" t="s">
        <v>530</v>
      </c>
    </row>
    <row r="86" spans="1:83" x14ac:dyDescent="0.35">
      <c r="A86" t="s">
        <v>242</v>
      </c>
      <c r="B86">
        <v>3050535</v>
      </c>
      <c r="C86">
        <v>41651</v>
      </c>
      <c r="D86" t="s">
        <v>1259</v>
      </c>
      <c r="E86">
        <v>318698801</v>
      </c>
      <c r="F86" t="s">
        <v>618</v>
      </c>
      <c r="G86" s="60">
        <v>46054</v>
      </c>
      <c r="H86">
        <v>40497612</v>
      </c>
      <c r="I86" t="s">
        <v>623</v>
      </c>
      <c r="J86" t="s">
        <v>260</v>
      </c>
      <c r="K86" t="s">
        <v>65</v>
      </c>
      <c r="L86">
        <v>0</v>
      </c>
      <c r="M86">
        <v>0</v>
      </c>
      <c r="N86" t="s">
        <v>515</v>
      </c>
      <c r="O86" t="s">
        <v>515</v>
      </c>
      <c r="P86" t="s">
        <v>619</v>
      </c>
      <c r="Q86">
        <v>207572191</v>
      </c>
      <c r="R86">
        <v>12688415</v>
      </c>
      <c r="S86" s="50">
        <v>45971</v>
      </c>
      <c r="T86" s="50">
        <v>46142</v>
      </c>
      <c r="U86" t="s">
        <v>79</v>
      </c>
      <c r="V86" t="s">
        <v>249</v>
      </c>
      <c r="W86" t="s">
        <v>92</v>
      </c>
      <c r="X86" t="s">
        <v>86</v>
      </c>
      <c r="Y86" t="s">
        <v>291</v>
      </c>
      <c r="Z86">
        <v>10573662</v>
      </c>
      <c r="AA86" s="50">
        <v>46081</v>
      </c>
      <c r="AB86" s="87" t="s">
        <v>93</v>
      </c>
      <c r="AC86" s="86">
        <v>149590.85999999999</v>
      </c>
      <c r="AD86" t="s">
        <v>70</v>
      </c>
      <c r="AE86" s="85">
        <v>103.49</v>
      </c>
      <c r="AF86" s="85">
        <v>103.49</v>
      </c>
      <c r="AG86" s="85"/>
      <c r="AH86" s="85"/>
      <c r="AI86" s="85"/>
      <c r="AJ86" s="85"/>
      <c r="AK86" s="85"/>
      <c r="AL86" s="85"/>
      <c r="AM86" s="85"/>
      <c r="AN86" s="85"/>
      <c r="AO86" s="85"/>
      <c r="AP86" s="85"/>
      <c r="AQ86" s="85"/>
      <c r="AR86" s="85"/>
      <c r="AS86" s="85"/>
      <c r="AT86" s="85"/>
      <c r="AU86" s="85"/>
      <c r="AV86" s="85"/>
      <c r="AW86" s="85"/>
      <c r="AX86" s="85"/>
      <c r="AY86" s="85"/>
      <c r="AZ86" s="85"/>
      <c r="BA86" s="85"/>
      <c r="BB86" s="85"/>
      <c r="BC86" s="85"/>
      <c r="BD86" s="85"/>
      <c r="BE86" s="85">
        <v>0</v>
      </c>
      <c r="BF86" s="85">
        <v>0</v>
      </c>
      <c r="BG86" s="85">
        <v>0</v>
      </c>
      <c r="BH86" s="85">
        <v>149590.85999999999</v>
      </c>
      <c r="BI86" s="85">
        <v>103.49</v>
      </c>
      <c r="BJ86" s="85">
        <v>103.49</v>
      </c>
      <c r="BO86">
        <v>39.549999999999997</v>
      </c>
      <c r="BP86" s="86">
        <v>59166.92</v>
      </c>
      <c r="BQ86">
        <v>40.93</v>
      </c>
      <c r="BR86">
        <v>40.93</v>
      </c>
      <c r="BS86" s="85">
        <v>90423.94</v>
      </c>
      <c r="BT86" s="85">
        <v>62.56</v>
      </c>
      <c r="BU86" s="85">
        <v>62.56</v>
      </c>
      <c r="BX86" t="s">
        <v>624</v>
      </c>
      <c r="BZ86">
        <v>136433571</v>
      </c>
      <c r="CA86">
        <v>136433571</v>
      </c>
      <c r="CB86" t="s">
        <v>72</v>
      </c>
      <c r="CC86" t="s">
        <v>250</v>
      </c>
      <c r="CE86" t="s">
        <v>530</v>
      </c>
    </row>
    <row r="87" spans="1:83" x14ac:dyDescent="0.35">
      <c r="A87" t="s">
        <v>242</v>
      </c>
      <c r="B87">
        <v>3050535</v>
      </c>
      <c r="C87">
        <v>41651</v>
      </c>
      <c r="D87" t="s">
        <v>542</v>
      </c>
      <c r="E87">
        <v>322149901</v>
      </c>
      <c r="F87" t="s">
        <v>671</v>
      </c>
      <c r="G87" s="60">
        <v>46054</v>
      </c>
      <c r="H87">
        <v>40776297</v>
      </c>
      <c r="I87" t="s">
        <v>749</v>
      </c>
      <c r="J87" t="s">
        <v>260</v>
      </c>
      <c r="K87" t="s">
        <v>65</v>
      </c>
      <c r="L87">
        <v>0</v>
      </c>
      <c r="M87">
        <v>0</v>
      </c>
      <c r="N87" t="s">
        <v>259</v>
      </c>
      <c r="O87" t="s">
        <v>259</v>
      </c>
      <c r="P87" t="s">
        <v>524</v>
      </c>
      <c r="Q87">
        <v>292695</v>
      </c>
      <c r="R87">
        <v>8576000</v>
      </c>
      <c r="S87" s="50">
        <v>46023</v>
      </c>
      <c r="T87" s="50">
        <v>46081</v>
      </c>
      <c r="U87" t="s">
        <v>79</v>
      </c>
      <c r="V87" t="s">
        <v>249</v>
      </c>
      <c r="W87" t="s">
        <v>92</v>
      </c>
      <c r="X87" t="s">
        <v>86</v>
      </c>
      <c r="Y87" t="s">
        <v>291</v>
      </c>
      <c r="Z87">
        <v>10573693</v>
      </c>
      <c r="AA87" s="50">
        <v>46081</v>
      </c>
      <c r="AB87" s="87" t="s">
        <v>93</v>
      </c>
      <c r="AC87" s="86">
        <v>158098.96</v>
      </c>
      <c r="AD87" t="s">
        <v>70</v>
      </c>
      <c r="AE87" s="85">
        <v>109.38</v>
      </c>
      <c r="AF87" s="85">
        <v>109.38</v>
      </c>
      <c r="AG87" s="85"/>
      <c r="AH87" s="85"/>
      <c r="AI87" s="85"/>
      <c r="AJ87" s="85"/>
      <c r="AK87" s="85"/>
      <c r="AL87" s="85"/>
      <c r="AM87" s="85"/>
      <c r="AN87" s="85"/>
      <c r="AO87" s="85"/>
      <c r="AP87" s="85"/>
      <c r="AQ87" s="85"/>
      <c r="AR87" s="85"/>
      <c r="AS87" s="85"/>
      <c r="AT87" s="85"/>
      <c r="AU87" s="85"/>
      <c r="AV87" s="85"/>
      <c r="AW87" s="85"/>
      <c r="AX87" s="85"/>
      <c r="AY87" s="85"/>
      <c r="AZ87" s="85"/>
      <c r="BA87" s="85"/>
      <c r="BB87" s="85"/>
      <c r="BC87" s="85"/>
      <c r="BD87" s="85"/>
      <c r="BE87" s="85">
        <v>0</v>
      </c>
      <c r="BF87" s="85">
        <v>0</v>
      </c>
      <c r="BG87" s="85">
        <v>0</v>
      </c>
      <c r="BH87" s="85">
        <v>158098.96</v>
      </c>
      <c r="BI87" s="85">
        <v>109.38</v>
      </c>
      <c r="BJ87" s="85">
        <v>109.38</v>
      </c>
      <c r="BO87">
        <v>39.549999999999997</v>
      </c>
      <c r="BP87" s="86">
        <v>62532.09</v>
      </c>
      <c r="BQ87">
        <v>43.26</v>
      </c>
      <c r="BR87">
        <v>43.26</v>
      </c>
      <c r="BS87" s="85">
        <v>95566.87</v>
      </c>
      <c r="BT87" s="85">
        <v>66.12</v>
      </c>
      <c r="BU87" s="85">
        <v>66.12</v>
      </c>
      <c r="BX87" t="s">
        <v>725</v>
      </c>
      <c r="BZ87">
        <v>66013147</v>
      </c>
      <c r="CA87">
        <v>66013147</v>
      </c>
      <c r="CB87" t="s">
        <v>73</v>
      </c>
      <c r="CC87" t="s">
        <v>250</v>
      </c>
      <c r="CE87" t="s">
        <v>530</v>
      </c>
    </row>
    <row r="88" spans="1:83" x14ac:dyDescent="0.35">
      <c r="A88" t="s">
        <v>242</v>
      </c>
      <c r="B88">
        <v>3050535</v>
      </c>
      <c r="C88">
        <v>41651</v>
      </c>
      <c r="D88" t="s">
        <v>591</v>
      </c>
      <c r="E88">
        <v>322203301</v>
      </c>
      <c r="F88" t="s">
        <v>679</v>
      </c>
      <c r="G88" s="60">
        <v>46054</v>
      </c>
      <c r="H88">
        <v>40759179</v>
      </c>
      <c r="I88" t="s">
        <v>737</v>
      </c>
      <c r="J88" t="s">
        <v>260</v>
      </c>
      <c r="K88" t="s">
        <v>65</v>
      </c>
      <c r="L88">
        <v>0</v>
      </c>
      <c r="M88">
        <v>0</v>
      </c>
      <c r="N88" t="s">
        <v>522</v>
      </c>
      <c r="O88" t="s">
        <v>522</v>
      </c>
      <c r="P88" t="s">
        <v>287</v>
      </c>
      <c r="Q88">
        <v>148610446</v>
      </c>
      <c r="R88">
        <v>15550000</v>
      </c>
      <c r="S88" s="50">
        <v>46027</v>
      </c>
      <c r="T88" s="50">
        <v>46112</v>
      </c>
      <c r="U88" t="s">
        <v>69</v>
      </c>
      <c r="V88" t="s">
        <v>249</v>
      </c>
      <c r="W88" t="s">
        <v>92</v>
      </c>
      <c r="X88" t="s">
        <v>86</v>
      </c>
      <c r="Y88" t="s">
        <v>291</v>
      </c>
      <c r="Z88">
        <v>10573704</v>
      </c>
      <c r="AA88" s="50">
        <v>46081</v>
      </c>
      <c r="AB88" s="87" t="s">
        <v>93</v>
      </c>
      <c r="AC88" s="86">
        <v>100000</v>
      </c>
      <c r="AD88" t="s">
        <v>70</v>
      </c>
      <c r="AE88" s="85">
        <v>69.19</v>
      </c>
      <c r="AF88" s="85">
        <v>69.19</v>
      </c>
      <c r="AG88" s="85"/>
      <c r="AH88" s="85"/>
      <c r="AI88" s="85"/>
      <c r="AJ88" s="85"/>
      <c r="AK88" s="85"/>
      <c r="AL88" s="85"/>
      <c r="AM88" s="85"/>
      <c r="AN88" s="85"/>
      <c r="AO88" s="85"/>
      <c r="AP88" s="85"/>
      <c r="AQ88" s="85"/>
      <c r="AR88" s="85"/>
      <c r="AS88" s="85"/>
      <c r="AT88" s="85"/>
      <c r="AU88" s="85"/>
      <c r="AV88" s="85"/>
      <c r="AW88" s="85"/>
      <c r="AX88" s="85"/>
      <c r="AY88" s="85"/>
      <c r="AZ88" s="85"/>
      <c r="BA88" s="85"/>
      <c r="BB88" s="85"/>
      <c r="BC88" s="85"/>
      <c r="BD88" s="85"/>
      <c r="BE88" s="85">
        <v>0</v>
      </c>
      <c r="BF88" s="85">
        <v>0</v>
      </c>
      <c r="BG88" s="85">
        <v>0</v>
      </c>
      <c r="BH88" s="85">
        <v>100000</v>
      </c>
      <c r="BI88" s="85">
        <v>69.19</v>
      </c>
      <c r="BJ88" s="85">
        <v>69.19</v>
      </c>
      <c r="BO88">
        <v>39.549999999999997</v>
      </c>
      <c r="BP88" s="86">
        <v>39552.5</v>
      </c>
      <c r="BQ88">
        <v>27.36</v>
      </c>
      <c r="BR88">
        <v>27.36</v>
      </c>
      <c r="BS88" s="85">
        <v>60447.5</v>
      </c>
      <c r="BT88" s="85">
        <v>41.83</v>
      </c>
      <c r="BU88" s="85">
        <v>41.83</v>
      </c>
      <c r="BX88" t="s">
        <v>738</v>
      </c>
      <c r="BZ88">
        <v>192377147</v>
      </c>
      <c r="CA88">
        <v>192377147</v>
      </c>
      <c r="CB88" t="s">
        <v>73</v>
      </c>
      <c r="CC88" t="s">
        <v>250</v>
      </c>
      <c r="CE88" t="s">
        <v>530</v>
      </c>
    </row>
    <row r="89" spans="1:83" x14ac:dyDescent="0.35">
      <c r="A89" t="s">
        <v>242</v>
      </c>
      <c r="B89">
        <v>3050535</v>
      </c>
      <c r="C89">
        <v>41651</v>
      </c>
      <c r="D89" t="s">
        <v>262</v>
      </c>
      <c r="E89">
        <v>318406201</v>
      </c>
      <c r="F89" t="s">
        <v>617</v>
      </c>
      <c r="G89" s="60">
        <v>46054</v>
      </c>
      <c r="H89">
        <v>40459480</v>
      </c>
      <c r="I89" t="s">
        <v>626</v>
      </c>
      <c r="J89" t="s">
        <v>260</v>
      </c>
      <c r="K89" t="s">
        <v>65</v>
      </c>
      <c r="L89">
        <v>0</v>
      </c>
      <c r="M89">
        <v>0</v>
      </c>
      <c r="N89" t="s">
        <v>561</v>
      </c>
      <c r="O89" t="s">
        <v>561</v>
      </c>
      <c r="P89" t="s">
        <v>257</v>
      </c>
      <c r="Q89">
        <v>57936819</v>
      </c>
      <c r="R89">
        <v>6599999.4699999997</v>
      </c>
      <c r="S89" s="50">
        <v>45966</v>
      </c>
      <c r="T89" s="50">
        <v>46110</v>
      </c>
      <c r="U89" t="s">
        <v>69</v>
      </c>
      <c r="V89" t="s">
        <v>249</v>
      </c>
      <c r="W89" t="s">
        <v>92</v>
      </c>
      <c r="X89" t="s">
        <v>86</v>
      </c>
      <c r="Y89" t="s">
        <v>291</v>
      </c>
      <c r="Z89">
        <v>10573725</v>
      </c>
      <c r="AA89" s="50">
        <v>46081</v>
      </c>
      <c r="AB89" s="87" t="s">
        <v>93</v>
      </c>
      <c r="AC89" s="86">
        <v>115642.13</v>
      </c>
      <c r="AD89" t="s">
        <v>70</v>
      </c>
      <c r="AE89" s="85">
        <v>80.010000000000005</v>
      </c>
      <c r="AF89" s="85">
        <v>80.010000000000005</v>
      </c>
      <c r="AG89" s="85"/>
      <c r="AH89" s="85"/>
      <c r="AI89" s="85"/>
      <c r="AJ89" s="85"/>
      <c r="AK89" s="85"/>
      <c r="AL89" s="85"/>
      <c r="AM89" s="85"/>
      <c r="AN89" s="85"/>
      <c r="AO89" s="85"/>
      <c r="AP89" s="85"/>
      <c r="AQ89" s="85"/>
      <c r="AR89" s="85"/>
      <c r="AS89" s="85"/>
      <c r="AT89" s="85"/>
      <c r="AU89" s="85"/>
      <c r="AV89" s="85"/>
      <c r="AW89" s="85"/>
      <c r="AX89" s="85"/>
      <c r="AY89" s="85"/>
      <c r="AZ89" s="85"/>
      <c r="BA89" s="85"/>
      <c r="BB89" s="85"/>
      <c r="BC89" s="85"/>
      <c r="BD89" s="85"/>
      <c r="BE89" s="85">
        <v>0</v>
      </c>
      <c r="BF89" s="85">
        <v>0</v>
      </c>
      <c r="BG89" s="85">
        <v>0</v>
      </c>
      <c r="BH89" s="85">
        <v>115642.13</v>
      </c>
      <c r="BI89" s="85">
        <v>80.010000000000005</v>
      </c>
      <c r="BJ89" s="85">
        <v>80.010000000000005</v>
      </c>
      <c r="BO89">
        <v>39.549999999999997</v>
      </c>
      <c r="BP89" s="86">
        <v>45739.35</v>
      </c>
      <c r="BQ89">
        <v>31.64</v>
      </c>
      <c r="BR89">
        <v>31.64</v>
      </c>
      <c r="BS89" s="85">
        <v>69902.78</v>
      </c>
      <c r="BT89" s="85">
        <v>48.37</v>
      </c>
      <c r="BU89" s="85">
        <v>48.37</v>
      </c>
      <c r="BX89" t="s">
        <v>627</v>
      </c>
      <c r="BZ89">
        <v>224573</v>
      </c>
      <c r="CA89">
        <v>224573</v>
      </c>
      <c r="CB89" t="s">
        <v>73</v>
      </c>
      <c r="CC89" t="s">
        <v>250</v>
      </c>
      <c r="CE89" t="s">
        <v>530</v>
      </c>
    </row>
    <row r="90" spans="1:83" x14ac:dyDescent="0.35">
      <c r="A90" t="s">
        <v>242</v>
      </c>
      <c r="B90">
        <v>3050535</v>
      </c>
      <c r="C90">
        <v>41651</v>
      </c>
      <c r="D90" t="s">
        <v>1232</v>
      </c>
      <c r="E90">
        <v>321793002</v>
      </c>
      <c r="F90" t="s">
        <v>915</v>
      </c>
      <c r="G90" s="60">
        <v>46054</v>
      </c>
      <c r="H90">
        <v>40888510</v>
      </c>
      <c r="I90" t="s">
        <v>1260</v>
      </c>
      <c r="J90" t="s">
        <v>482</v>
      </c>
      <c r="K90" t="s">
        <v>65</v>
      </c>
      <c r="L90">
        <v>0</v>
      </c>
      <c r="M90">
        <v>0</v>
      </c>
      <c r="P90" t="s">
        <v>917</v>
      </c>
      <c r="Q90">
        <v>294134</v>
      </c>
      <c r="R90">
        <v>891000</v>
      </c>
      <c r="S90" s="50">
        <v>46061</v>
      </c>
      <c r="T90" s="50">
        <v>46061</v>
      </c>
      <c r="U90" t="s">
        <v>79</v>
      </c>
      <c r="V90" t="s">
        <v>249</v>
      </c>
      <c r="W90" t="s">
        <v>92</v>
      </c>
      <c r="X90" t="s">
        <v>86</v>
      </c>
      <c r="Y90" t="s">
        <v>291</v>
      </c>
      <c r="Z90">
        <v>10573627</v>
      </c>
      <c r="AA90" s="50">
        <v>46081</v>
      </c>
      <c r="AB90" s="87" t="s">
        <v>93</v>
      </c>
      <c r="AC90" s="86">
        <v>891000</v>
      </c>
      <c r="AD90" t="s">
        <v>70</v>
      </c>
      <c r="AE90" s="85">
        <v>616.44000000000005</v>
      </c>
      <c r="AF90" s="85">
        <v>616.44000000000005</v>
      </c>
      <c r="AG90" s="85"/>
      <c r="AH90" s="85"/>
      <c r="AI90" s="85"/>
      <c r="AJ90" s="85"/>
      <c r="AK90" s="85"/>
      <c r="AL90" s="85"/>
      <c r="AM90" s="85"/>
      <c r="AN90" s="85"/>
      <c r="AO90" s="85"/>
      <c r="AP90" s="85"/>
      <c r="AQ90" s="85"/>
      <c r="AR90" s="85"/>
      <c r="AS90" s="85"/>
      <c r="AT90" s="85"/>
      <c r="AU90" s="85"/>
      <c r="AV90" s="85"/>
      <c r="AW90" s="85"/>
      <c r="AX90" s="85"/>
      <c r="AY90" s="85"/>
      <c r="AZ90" s="85"/>
      <c r="BA90" s="85"/>
      <c r="BB90" s="85"/>
      <c r="BC90" s="85"/>
      <c r="BD90" s="85"/>
      <c r="BE90" s="85">
        <v>0</v>
      </c>
      <c r="BF90" s="85">
        <v>0</v>
      </c>
      <c r="BG90" s="85">
        <v>0</v>
      </c>
      <c r="BH90" s="85">
        <v>891000</v>
      </c>
      <c r="BI90" s="85">
        <v>616.44000000000005</v>
      </c>
      <c r="BJ90" s="85">
        <v>616.44000000000005</v>
      </c>
      <c r="BO90">
        <v>39.549999999999997</v>
      </c>
      <c r="BP90" s="86">
        <v>352412.78</v>
      </c>
      <c r="BQ90">
        <v>243.82</v>
      </c>
      <c r="BR90">
        <v>243.82</v>
      </c>
      <c r="BS90" s="85">
        <v>538587.22</v>
      </c>
      <c r="BT90" s="85">
        <v>372.62</v>
      </c>
      <c r="BU90" s="85">
        <v>372.62</v>
      </c>
      <c r="BW90" t="s">
        <v>527</v>
      </c>
      <c r="BX90" t="s">
        <v>1234</v>
      </c>
      <c r="CB90" t="s">
        <v>76</v>
      </c>
      <c r="CC90" t="s">
        <v>250</v>
      </c>
      <c r="CE90" t="s">
        <v>530</v>
      </c>
    </row>
    <row r="91" spans="1:83" x14ac:dyDescent="0.35">
      <c r="A91" t="s">
        <v>242</v>
      </c>
      <c r="B91">
        <v>3050535</v>
      </c>
      <c r="C91">
        <v>41651</v>
      </c>
      <c r="D91" t="s">
        <v>262</v>
      </c>
      <c r="E91">
        <v>322158401</v>
      </c>
      <c r="F91" t="s">
        <v>676</v>
      </c>
      <c r="G91" s="60">
        <v>46054</v>
      </c>
      <c r="H91">
        <v>40887371</v>
      </c>
      <c r="I91" t="s">
        <v>1261</v>
      </c>
      <c r="J91" t="s">
        <v>260</v>
      </c>
      <c r="K91" t="s">
        <v>65</v>
      </c>
      <c r="L91">
        <v>0</v>
      </c>
      <c r="M91">
        <v>0</v>
      </c>
      <c r="N91" t="s">
        <v>561</v>
      </c>
      <c r="O91" t="s">
        <v>561</v>
      </c>
      <c r="P91" t="s">
        <v>257</v>
      </c>
      <c r="Q91">
        <v>57936819</v>
      </c>
      <c r="R91">
        <v>9869791.9600000009</v>
      </c>
      <c r="S91" s="50">
        <v>46024</v>
      </c>
      <c r="T91" s="50">
        <v>46081</v>
      </c>
      <c r="U91" t="s">
        <v>69</v>
      </c>
      <c r="V91" t="s">
        <v>249</v>
      </c>
      <c r="W91" t="s">
        <v>92</v>
      </c>
      <c r="X91" t="s">
        <v>86</v>
      </c>
      <c r="Y91" t="s">
        <v>291</v>
      </c>
      <c r="Z91">
        <v>10573703</v>
      </c>
      <c r="AA91" s="50">
        <v>46081</v>
      </c>
      <c r="AB91" s="87" t="s">
        <v>93</v>
      </c>
      <c r="AC91" s="86">
        <v>206343.56</v>
      </c>
      <c r="AD91" t="s">
        <v>70</v>
      </c>
      <c r="AE91" s="85">
        <v>142.76</v>
      </c>
      <c r="AF91" s="85">
        <v>142.76</v>
      </c>
      <c r="AG91" s="85"/>
      <c r="AH91" s="85"/>
      <c r="AI91" s="85"/>
      <c r="AJ91" s="85"/>
      <c r="AK91" s="85"/>
      <c r="AL91" s="85"/>
      <c r="AM91" s="85"/>
      <c r="AN91" s="85"/>
      <c r="AO91" s="85"/>
      <c r="AP91" s="85"/>
      <c r="AQ91" s="85"/>
      <c r="AR91" s="85"/>
      <c r="AS91" s="85"/>
      <c r="AT91" s="85"/>
      <c r="AU91" s="85"/>
      <c r="AV91" s="85"/>
      <c r="AW91" s="85"/>
      <c r="AX91" s="85"/>
      <c r="AY91" s="85"/>
      <c r="AZ91" s="85"/>
      <c r="BA91" s="85"/>
      <c r="BB91" s="85"/>
      <c r="BC91" s="85"/>
      <c r="BD91" s="85"/>
      <c r="BE91" s="85">
        <v>0</v>
      </c>
      <c r="BF91" s="85">
        <v>0</v>
      </c>
      <c r="BG91" s="85">
        <v>0</v>
      </c>
      <c r="BH91" s="85">
        <v>206343.56</v>
      </c>
      <c r="BI91" s="85">
        <v>142.76</v>
      </c>
      <c r="BJ91" s="85">
        <v>142.76</v>
      </c>
      <c r="BO91">
        <v>39.549999999999997</v>
      </c>
      <c r="BP91" s="86">
        <v>81614.039999999994</v>
      </c>
      <c r="BQ91">
        <v>56.46</v>
      </c>
      <c r="BR91">
        <v>56.46</v>
      </c>
      <c r="BS91" s="85">
        <v>124729.52</v>
      </c>
      <c r="BT91" s="85">
        <v>86.3</v>
      </c>
      <c r="BU91" s="85">
        <v>86.3</v>
      </c>
      <c r="BX91" t="s">
        <v>723</v>
      </c>
      <c r="BZ91">
        <v>224573</v>
      </c>
      <c r="CA91">
        <v>224573</v>
      </c>
      <c r="CB91" t="s">
        <v>251</v>
      </c>
      <c r="CC91" t="s">
        <v>250</v>
      </c>
      <c r="CE91" t="s">
        <v>530</v>
      </c>
    </row>
    <row r="92" spans="1:83" x14ac:dyDescent="0.35">
      <c r="A92" t="s">
        <v>242</v>
      </c>
      <c r="B92">
        <v>3050535</v>
      </c>
      <c r="C92">
        <v>41651</v>
      </c>
      <c r="D92" t="s">
        <v>503</v>
      </c>
      <c r="E92">
        <v>298538101</v>
      </c>
      <c r="F92" t="s">
        <v>540</v>
      </c>
      <c r="G92" s="60">
        <v>46054</v>
      </c>
      <c r="H92">
        <v>40720217</v>
      </c>
      <c r="I92" t="s">
        <v>649</v>
      </c>
      <c r="J92" t="s">
        <v>260</v>
      </c>
      <c r="K92" t="s">
        <v>65</v>
      </c>
      <c r="L92">
        <v>0</v>
      </c>
      <c r="M92">
        <v>0</v>
      </c>
      <c r="P92" t="s">
        <v>494</v>
      </c>
      <c r="Q92">
        <v>186932207</v>
      </c>
      <c r="R92">
        <v>69550831</v>
      </c>
      <c r="S92" s="50">
        <v>45644</v>
      </c>
      <c r="T92" s="50">
        <v>46081</v>
      </c>
      <c r="U92" t="s">
        <v>79</v>
      </c>
      <c r="V92" t="s">
        <v>249</v>
      </c>
      <c r="W92" t="s">
        <v>92</v>
      </c>
      <c r="X92" t="s">
        <v>86</v>
      </c>
      <c r="Y92" t="s">
        <v>291</v>
      </c>
      <c r="Z92">
        <v>10573629</v>
      </c>
      <c r="AA92" s="50">
        <v>46081</v>
      </c>
      <c r="AB92" s="87" t="s">
        <v>93</v>
      </c>
      <c r="AC92" s="86">
        <v>39026.83</v>
      </c>
      <c r="AD92" t="s">
        <v>70</v>
      </c>
      <c r="AE92" s="85">
        <v>27</v>
      </c>
      <c r="AF92" s="85">
        <v>27</v>
      </c>
      <c r="AG92" s="85"/>
      <c r="AH92" s="85"/>
      <c r="AI92" s="85"/>
      <c r="AJ92" s="85"/>
      <c r="AK92" s="85"/>
      <c r="AL92" s="85"/>
      <c r="AM92" s="85"/>
      <c r="AN92" s="85"/>
      <c r="AO92" s="85"/>
      <c r="AP92" s="85"/>
      <c r="AQ92" s="85"/>
      <c r="AR92" s="85"/>
      <c r="AS92" s="85"/>
      <c r="AT92" s="85"/>
      <c r="AU92" s="85"/>
      <c r="AV92" s="85"/>
      <c r="AW92" s="85"/>
      <c r="AX92" s="85"/>
      <c r="AY92" s="85"/>
      <c r="AZ92" s="85"/>
      <c r="BA92" s="85"/>
      <c r="BB92" s="85"/>
      <c r="BC92" s="85"/>
      <c r="BD92" s="85"/>
      <c r="BE92" s="85">
        <v>0</v>
      </c>
      <c r="BF92" s="85">
        <v>0</v>
      </c>
      <c r="BG92" s="85">
        <v>0</v>
      </c>
      <c r="BH92" s="85">
        <v>39026.83</v>
      </c>
      <c r="BI92" s="85">
        <v>27</v>
      </c>
      <c r="BJ92" s="85">
        <v>27</v>
      </c>
      <c r="BO92">
        <v>39.549999999999997</v>
      </c>
      <c r="BP92" s="86">
        <v>15436.09</v>
      </c>
      <c r="BQ92">
        <v>10.68</v>
      </c>
      <c r="BR92">
        <v>10.68</v>
      </c>
      <c r="BS92" s="85">
        <v>23590.74</v>
      </c>
      <c r="BT92" s="85">
        <v>16.32</v>
      </c>
      <c r="BU92" s="85">
        <v>16.32</v>
      </c>
      <c r="BX92" t="s">
        <v>541</v>
      </c>
      <c r="CB92" t="s">
        <v>73</v>
      </c>
      <c r="CC92" t="s">
        <v>250</v>
      </c>
      <c r="CE92" t="s">
        <v>530</v>
      </c>
    </row>
    <row r="93" spans="1:83" x14ac:dyDescent="0.35">
      <c r="A93" t="s">
        <v>242</v>
      </c>
      <c r="B93">
        <v>3050535</v>
      </c>
      <c r="C93">
        <v>41651</v>
      </c>
      <c r="D93" t="s">
        <v>262</v>
      </c>
      <c r="E93">
        <v>323164701</v>
      </c>
      <c r="F93" t="s">
        <v>703</v>
      </c>
      <c r="G93" s="60">
        <v>46054</v>
      </c>
      <c r="H93">
        <v>40822591</v>
      </c>
      <c r="I93" t="s">
        <v>1262</v>
      </c>
      <c r="J93" t="s">
        <v>260</v>
      </c>
      <c r="K93" t="s">
        <v>65</v>
      </c>
      <c r="L93">
        <v>0</v>
      </c>
      <c r="M93">
        <v>0</v>
      </c>
      <c r="N93" t="s">
        <v>561</v>
      </c>
      <c r="O93" t="s">
        <v>561</v>
      </c>
      <c r="P93" t="s">
        <v>257</v>
      </c>
      <c r="Q93">
        <v>57936819</v>
      </c>
      <c r="R93">
        <v>8949933.4199999999</v>
      </c>
      <c r="S93" s="50">
        <v>46042</v>
      </c>
      <c r="T93" s="50">
        <v>46112</v>
      </c>
      <c r="U93" t="s">
        <v>69</v>
      </c>
      <c r="V93" t="s">
        <v>249</v>
      </c>
      <c r="W93" t="s">
        <v>92</v>
      </c>
      <c r="X93" t="s">
        <v>86</v>
      </c>
      <c r="Y93" t="s">
        <v>291</v>
      </c>
      <c r="Z93">
        <v>10573633</v>
      </c>
      <c r="AA93" s="50">
        <v>46081</v>
      </c>
      <c r="AB93" s="87" t="s">
        <v>93</v>
      </c>
      <c r="AC93" s="86">
        <v>911075.11</v>
      </c>
      <c r="AD93" t="s">
        <v>70</v>
      </c>
      <c r="AE93" s="85">
        <v>630.33000000000004</v>
      </c>
      <c r="AF93" s="85">
        <v>630.33000000000004</v>
      </c>
      <c r="AG93" s="85"/>
      <c r="AH93" s="85"/>
      <c r="AI93" s="85"/>
      <c r="AJ93" s="85"/>
      <c r="AK93" s="85"/>
      <c r="AL93" s="85"/>
      <c r="AM93" s="85"/>
      <c r="AN93" s="85"/>
      <c r="AO93" s="85"/>
      <c r="AP93" s="85"/>
      <c r="AQ93" s="85"/>
      <c r="AR93" s="85"/>
      <c r="AS93" s="85"/>
      <c r="AT93" s="85"/>
      <c r="AU93" s="85"/>
      <c r="AV93" s="85"/>
      <c r="AW93" s="85"/>
      <c r="AX93" s="85"/>
      <c r="AY93" s="85"/>
      <c r="AZ93" s="85"/>
      <c r="BA93" s="85"/>
      <c r="BB93" s="85"/>
      <c r="BC93" s="85"/>
      <c r="BD93" s="85"/>
      <c r="BE93" s="85">
        <v>0</v>
      </c>
      <c r="BF93" s="85">
        <v>0</v>
      </c>
      <c r="BG93" s="85">
        <v>0</v>
      </c>
      <c r="BH93" s="85">
        <v>911075.11</v>
      </c>
      <c r="BI93" s="85">
        <v>630.33000000000004</v>
      </c>
      <c r="BJ93" s="85">
        <v>630.33000000000004</v>
      </c>
      <c r="BO93">
        <v>39.549999999999997</v>
      </c>
      <c r="BP93" s="86">
        <v>360352.98</v>
      </c>
      <c r="BQ93">
        <v>249.31</v>
      </c>
      <c r="BR93">
        <v>249.31</v>
      </c>
      <c r="BS93" s="85">
        <v>550722.13</v>
      </c>
      <c r="BT93" s="85">
        <v>381.02</v>
      </c>
      <c r="BU93" s="85">
        <v>381.02</v>
      </c>
      <c r="BX93" t="s">
        <v>765</v>
      </c>
      <c r="BZ93">
        <v>224573</v>
      </c>
      <c r="CA93">
        <v>224573</v>
      </c>
      <c r="CB93" t="s">
        <v>73</v>
      </c>
      <c r="CC93" t="s">
        <v>250</v>
      </c>
      <c r="CE93" t="s">
        <v>530</v>
      </c>
    </row>
    <row r="94" spans="1:83" x14ac:dyDescent="0.35">
      <c r="A94" t="s">
        <v>242</v>
      </c>
      <c r="B94">
        <v>3050535</v>
      </c>
      <c r="C94">
        <v>41651</v>
      </c>
      <c r="D94" t="s">
        <v>583</v>
      </c>
      <c r="E94">
        <v>324930701</v>
      </c>
      <c r="F94" t="s">
        <v>1139</v>
      </c>
      <c r="G94" s="60">
        <v>46054</v>
      </c>
      <c r="H94">
        <v>40938204</v>
      </c>
      <c r="I94" t="s">
        <v>1263</v>
      </c>
      <c r="J94" t="s">
        <v>260</v>
      </c>
      <c r="K94" t="s">
        <v>65</v>
      </c>
      <c r="L94">
        <v>0</v>
      </c>
      <c r="M94">
        <v>0</v>
      </c>
      <c r="N94" t="s">
        <v>108</v>
      </c>
      <c r="O94" t="s">
        <v>108</v>
      </c>
      <c r="P94" t="s">
        <v>104</v>
      </c>
      <c r="Q94">
        <v>292623</v>
      </c>
      <c r="R94">
        <v>249000.75</v>
      </c>
      <c r="S94" s="50">
        <v>46067</v>
      </c>
      <c r="T94" s="50">
        <v>46074</v>
      </c>
      <c r="U94" t="s">
        <v>79</v>
      </c>
      <c r="V94" t="s">
        <v>249</v>
      </c>
      <c r="W94" t="s">
        <v>92</v>
      </c>
      <c r="X94" t="s">
        <v>86</v>
      </c>
      <c r="Y94" t="s">
        <v>291</v>
      </c>
      <c r="Z94">
        <v>10573684</v>
      </c>
      <c r="AA94" s="50">
        <v>46081</v>
      </c>
      <c r="AB94" s="87" t="s">
        <v>93</v>
      </c>
      <c r="AC94" s="86">
        <v>140039.85999999999</v>
      </c>
      <c r="AD94" t="s">
        <v>70</v>
      </c>
      <c r="AE94" s="85">
        <v>96.89</v>
      </c>
      <c r="AF94" s="85">
        <v>96.89</v>
      </c>
      <c r="AG94" s="85"/>
      <c r="AH94" s="85"/>
      <c r="AI94" s="85"/>
      <c r="AJ94" s="85"/>
      <c r="AK94" s="85"/>
      <c r="AL94" s="85"/>
      <c r="AM94" s="85"/>
      <c r="AN94" s="85"/>
      <c r="AO94" s="85"/>
      <c r="AP94" s="85"/>
      <c r="AQ94" s="85"/>
      <c r="AR94" s="85"/>
      <c r="AS94" s="85"/>
      <c r="AT94" s="85"/>
      <c r="AU94" s="85"/>
      <c r="AV94" s="85"/>
      <c r="AW94" s="85"/>
      <c r="AX94" s="85"/>
      <c r="AY94" s="85"/>
      <c r="AZ94" s="85"/>
      <c r="BA94" s="85"/>
      <c r="BB94" s="85"/>
      <c r="BC94" s="85"/>
      <c r="BD94" s="85"/>
      <c r="BE94" s="85">
        <v>0</v>
      </c>
      <c r="BF94" s="85">
        <v>0</v>
      </c>
      <c r="BG94" s="85">
        <v>0</v>
      </c>
      <c r="BH94" s="85">
        <v>140039.85999999999</v>
      </c>
      <c r="BI94" s="85">
        <v>96.89</v>
      </c>
      <c r="BJ94" s="85">
        <v>96.89</v>
      </c>
      <c r="BO94">
        <v>22</v>
      </c>
      <c r="BP94" s="86">
        <v>30808.77</v>
      </c>
      <c r="BQ94">
        <v>21.32</v>
      </c>
      <c r="BR94">
        <v>21.32</v>
      </c>
      <c r="BS94" s="85">
        <v>109231.09</v>
      </c>
      <c r="BT94" s="85">
        <v>75.569999999999993</v>
      </c>
      <c r="BU94" s="85">
        <v>75.569999999999993</v>
      </c>
      <c r="BX94" t="s">
        <v>1264</v>
      </c>
      <c r="BZ94">
        <v>224529</v>
      </c>
      <c r="CA94">
        <v>224529</v>
      </c>
      <c r="CB94" t="s">
        <v>73</v>
      </c>
      <c r="CC94" t="s">
        <v>250</v>
      </c>
      <c r="CE94" t="s">
        <v>530</v>
      </c>
    </row>
    <row r="95" spans="1:83" x14ac:dyDescent="0.35">
      <c r="A95" t="s">
        <v>242</v>
      </c>
      <c r="B95">
        <v>3050535</v>
      </c>
      <c r="C95">
        <v>41651</v>
      </c>
      <c r="D95" t="s">
        <v>248</v>
      </c>
      <c r="E95">
        <v>324284201</v>
      </c>
      <c r="F95" t="s">
        <v>1079</v>
      </c>
      <c r="G95" s="60">
        <v>46054</v>
      </c>
      <c r="H95">
        <v>40915859</v>
      </c>
      <c r="I95" t="s">
        <v>1265</v>
      </c>
      <c r="J95" t="s">
        <v>260</v>
      </c>
      <c r="K95" t="s">
        <v>65</v>
      </c>
      <c r="L95">
        <v>0</v>
      </c>
      <c r="M95">
        <v>0</v>
      </c>
      <c r="N95" t="s">
        <v>100</v>
      </c>
      <c r="O95" t="s">
        <v>100</v>
      </c>
      <c r="P95" t="s">
        <v>107</v>
      </c>
      <c r="Q95">
        <v>72805</v>
      </c>
      <c r="R95">
        <v>2400000</v>
      </c>
      <c r="S95" s="50">
        <v>46057</v>
      </c>
      <c r="T95" s="50">
        <v>46082</v>
      </c>
      <c r="U95" t="s">
        <v>69</v>
      </c>
      <c r="V95" t="s">
        <v>249</v>
      </c>
      <c r="W95" t="s">
        <v>92</v>
      </c>
      <c r="X95" t="s">
        <v>86</v>
      </c>
      <c r="Y95" t="s">
        <v>291</v>
      </c>
      <c r="Z95">
        <v>10573646</v>
      </c>
      <c r="AA95" s="50">
        <v>46081</v>
      </c>
      <c r="AB95" s="87" t="s">
        <v>93</v>
      </c>
      <c r="AC95" s="86">
        <v>2327584.0699999998</v>
      </c>
      <c r="AD95" t="s">
        <v>70</v>
      </c>
      <c r="AE95" s="85">
        <v>1610.34</v>
      </c>
      <c r="AF95" s="85">
        <v>1610.34</v>
      </c>
      <c r="AG95" s="85"/>
      <c r="AH95" s="85"/>
      <c r="AI95" s="85"/>
      <c r="AJ95" s="85"/>
      <c r="AK95" s="85"/>
      <c r="AL95" s="85"/>
      <c r="AM95" s="85"/>
      <c r="AN95" s="85"/>
      <c r="AO95" s="85"/>
      <c r="AP95" s="85"/>
      <c r="AQ95" s="85"/>
      <c r="AR95" s="85"/>
      <c r="AS95" s="85"/>
      <c r="AT95" s="85"/>
      <c r="AU95" s="85"/>
      <c r="AV95" s="85"/>
      <c r="AW95" s="85"/>
      <c r="AX95" s="85"/>
      <c r="AY95" s="85"/>
      <c r="AZ95" s="85"/>
      <c r="BA95" s="85"/>
      <c r="BB95" s="85"/>
      <c r="BC95" s="85"/>
      <c r="BD95" s="85"/>
      <c r="BE95" s="85">
        <v>0</v>
      </c>
      <c r="BF95" s="85">
        <v>0</v>
      </c>
      <c r="BG95" s="85">
        <v>0</v>
      </c>
      <c r="BH95" s="85">
        <v>2327584.0699999998</v>
      </c>
      <c r="BI95" s="85">
        <v>1610.34</v>
      </c>
      <c r="BJ95" s="85">
        <v>1610.34</v>
      </c>
      <c r="BO95">
        <v>22</v>
      </c>
      <c r="BP95" s="86">
        <v>512068.5</v>
      </c>
      <c r="BQ95">
        <v>354.28</v>
      </c>
      <c r="BR95">
        <v>354.28</v>
      </c>
      <c r="BS95" s="85">
        <v>1815515.57</v>
      </c>
      <c r="BT95" s="85">
        <v>1256.06</v>
      </c>
      <c r="BU95" s="85">
        <v>1256.06</v>
      </c>
      <c r="BX95" t="s">
        <v>1266</v>
      </c>
      <c r="BZ95">
        <v>224581</v>
      </c>
      <c r="CA95">
        <v>224581</v>
      </c>
      <c r="CB95" t="s">
        <v>73</v>
      </c>
      <c r="CC95" t="s">
        <v>250</v>
      </c>
      <c r="CE95" t="s">
        <v>530</v>
      </c>
    </row>
    <row r="96" spans="1:83" x14ac:dyDescent="0.35">
      <c r="A96" t="s">
        <v>242</v>
      </c>
      <c r="B96">
        <v>3050535</v>
      </c>
      <c r="C96">
        <v>41651</v>
      </c>
      <c r="D96" t="s">
        <v>560</v>
      </c>
      <c r="E96">
        <v>323167301</v>
      </c>
      <c r="F96" t="s">
        <v>704</v>
      </c>
      <c r="G96" s="60">
        <v>46054</v>
      </c>
      <c r="H96">
        <v>40969658</v>
      </c>
      <c r="I96" t="s">
        <v>1267</v>
      </c>
      <c r="J96" t="s">
        <v>260</v>
      </c>
      <c r="K96" t="s">
        <v>65</v>
      </c>
      <c r="L96">
        <v>0</v>
      </c>
      <c r="M96">
        <v>0</v>
      </c>
      <c r="N96" t="s">
        <v>509</v>
      </c>
      <c r="O96" t="s">
        <v>509</v>
      </c>
      <c r="P96" t="s">
        <v>506</v>
      </c>
      <c r="Q96">
        <v>530773</v>
      </c>
      <c r="R96">
        <v>12000000</v>
      </c>
      <c r="S96" s="50">
        <v>46042</v>
      </c>
      <c r="T96" s="50">
        <v>46387</v>
      </c>
      <c r="U96" t="s">
        <v>79</v>
      </c>
      <c r="V96" t="s">
        <v>249</v>
      </c>
      <c r="W96" t="s">
        <v>92</v>
      </c>
      <c r="X96" t="s">
        <v>86</v>
      </c>
      <c r="Y96" t="s">
        <v>291</v>
      </c>
      <c r="Z96">
        <v>10573655</v>
      </c>
      <c r="AA96" s="50">
        <v>46081</v>
      </c>
      <c r="AB96" s="87" t="s">
        <v>93</v>
      </c>
      <c r="AC96" s="86">
        <v>6895.5</v>
      </c>
      <c r="AD96" t="s">
        <v>70</v>
      </c>
      <c r="AE96" s="85">
        <v>4.7699999999999996</v>
      </c>
      <c r="AF96" s="85">
        <v>4.7699999999999996</v>
      </c>
      <c r="AG96" s="85"/>
      <c r="AH96" s="85"/>
      <c r="AI96" s="85"/>
      <c r="AJ96" s="85"/>
      <c r="AK96" s="85"/>
      <c r="AL96" s="85"/>
      <c r="AM96" s="85"/>
      <c r="AN96" s="85"/>
      <c r="AO96" s="85"/>
      <c r="AP96" s="85"/>
      <c r="AQ96" s="85"/>
      <c r="AR96" s="85"/>
      <c r="AS96" s="85"/>
      <c r="AT96" s="85"/>
      <c r="AU96" s="85"/>
      <c r="AV96" s="85"/>
      <c r="AW96" s="85"/>
      <c r="AX96" s="85"/>
      <c r="AY96" s="85"/>
      <c r="AZ96" s="85"/>
      <c r="BA96" s="85"/>
      <c r="BB96" s="85"/>
      <c r="BC96" s="85"/>
      <c r="BD96" s="85"/>
      <c r="BE96" s="85">
        <v>0</v>
      </c>
      <c r="BF96" s="85">
        <v>0</v>
      </c>
      <c r="BG96" s="85">
        <v>0</v>
      </c>
      <c r="BH96" s="85">
        <v>6895.5</v>
      </c>
      <c r="BI96" s="85">
        <v>4.7699999999999996</v>
      </c>
      <c r="BJ96" s="85">
        <v>4.7699999999999996</v>
      </c>
      <c r="BO96">
        <v>39.549999999999997</v>
      </c>
      <c r="BP96" s="86">
        <v>2727.34</v>
      </c>
      <c r="BQ96">
        <v>1.89</v>
      </c>
      <c r="BR96">
        <v>1.89</v>
      </c>
      <c r="BS96" s="85">
        <v>4168.16</v>
      </c>
      <c r="BT96" s="85">
        <v>2.88</v>
      </c>
      <c r="BU96" s="85">
        <v>2.88</v>
      </c>
      <c r="BX96" t="s">
        <v>732</v>
      </c>
      <c r="BZ96">
        <v>530772</v>
      </c>
      <c r="CA96">
        <v>530772</v>
      </c>
      <c r="CB96" t="s">
        <v>72</v>
      </c>
      <c r="CC96" t="s">
        <v>250</v>
      </c>
      <c r="CE96" t="s">
        <v>530</v>
      </c>
    </row>
    <row r="97" spans="1:83" x14ac:dyDescent="0.35">
      <c r="A97" t="s">
        <v>242</v>
      </c>
      <c r="B97">
        <v>3050535</v>
      </c>
      <c r="C97">
        <v>41651</v>
      </c>
      <c r="D97" t="s">
        <v>612</v>
      </c>
      <c r="E97">
        <v>299384801</v>
      </c>
      <c r="F97" t="s">
        <v>604</v>
      </c>
      <c r="G97" s="60">
        <v>46054</v>
      </c>
      <c r="H97">
        <v>40915021</v>
      </c>
      <c r="I97" t="s">
        <v>1268</v>
      </c>
      <c r="J97" t="s">
        <v>260</v>
      </c>
      <c r="K97" t="s">
        <v>65</v>
      </c>
      <c r="L97">
        <v>0</v>
      </c>
      <c r="M97">
        <v>0</v>
      </c>
      <c r="P97" t="s">
        <v>605</v>
      </c>
      <c r="Q97">
        <v>183777845</v>
      </c>
      <c r="R97">
        <v>12000000</v>
      </c>
      <c r="S97" s="50">
        <v>45666</v>
      </c>
      <c r="T97" s="50">
        <v>46112</v>
      </c>
      <c r="U97" t="s">
        <v>79</v>
      </c>
      <c r="V97" t="s">
        <v>249</v>
      </c>
      <c r="W97" t="s">
        <v>92</v>
      </c>
      <c r="X97" t="s">
        <v>86</v>
      </c>
      <c r="Y97" t="s">
        <v>291</v>
      </c>
      <c r="Z97">
        <v>10573656</v>
      </c>
      <c r="AA97" s="50">
        <v>46081</v>
      </c>
      <c r="AB97" s="87" t="s">
        <v>93</v>
      </c>
      <c r="AC97" s="86">
        <v>350.57</v>
      </c>
      <c r="AD97" t="s">
        <v>70</v>
      </c>
      <c r="AE97" s="85">
        <v>0.24</v>
      </c>
      <c r="AF97" s="85">
        <v>0.24</v>
      </c>
      <c r="AG97" s="85"/>
      <c r="AH97" s="85"/>
      <c r="AI97" s="85"/>
      <c r="AJ97" s="85"/>
      <c r="AK97" s="85"/>
      <c r="AL97" s="85"/>
      <c r="AM97" s="85"/>
      <c r="AN97" s="85"/>
      <c r="AO97" s="85"/>
      <c r="AP97" s="85"/>
      <c r="AQ97" s="85"/>
      <c r="AR97" s="85"/>
      <c r="AS97" s="85"/>
      <c r="AT97" s="85"/>
      <c r="AU97" s="85"/>
      <c r="AV97" s="85"/>
      <c r="AW97" s="85"/>
      <c r="AX97" s="85"/>
      <c r="AY97" s="85"/>
      <c r="AZ97" s="85"/>
      <c r="BA97" s="85"/>
      <c r="BB97" s="85"/>
      <c r="BC97" s="85"/>
      <c r="BD97" s="85"/>
      <c r="BE97" s="85">
        <v>0</v>
      </c>
      <c r="BF97" s="85">
        <v>0</v>
      </c>
      <c r="BG97" s="85">
        <v>0</v>
      </c>
      <c r="BH97" s="85">
        <v>350.57</v>
      </c>
      <c r="BI97" s="85">
        <v>0.24</v>
      </c>
      <c r="BJ97" s="85">
        <v>0.24</v>
      </c>
      <c r="BO97">
        <v>39.549999999999997</v>
      </c>
      <c r="BP97" s="86">
        <v>138.66</v>
      </c>
      <c r="BQ97">
        <v>0.1</v>
      </c>
      <c r="BR97">
        <v>0.1</v>
      </c>
      <c r="BS97" s="85">
        <v>211.91</v>
      </c>
      <c r="BT97" s="85">
        <v>0.14000000000000001</v>
      </c>
      <c r="BU97" s="85">
        <v>0.14000000000000001</v>
      </c>
      <c r="BX97" t="s">
        <v>613</v>
      </c>
      <c r="CB97" t="s">
        <v>72</v>
      </c>
      <c r="CC97" t="s">
        <v>250</v>
      </c>
      <c r="CE97" t="s">
        <v>530</v>
      </c>
    </row>
    <row r="98" spans="1:83" x14ac:dyDescent="0.35">
      <c r="A98" t="s">
        <v>242</v>
      </c>
      <c r="B98">
        <v>3050535</v>
      </c>
      <c r="C98">
        <v>41651</v>
      </c>
      <c r="D98" t="s">
        <v>612</v>
      </c>
      <c r="E98">
        <v>299384801</v>
      </c>
      <c r="F98" t="s">
        <v>604</v>
      </c>
      <c r="G98" s="60">
        <v>46054</v>
      </c>
      <c r="H98">
        <v>40915315</v>
      </c>
      <c r="I98" t="s">
        <v>1269</v>
      </c>
      <c r="J98" t="s">
        <v>260</v>
      </c>
      <c r="K98" t="s">
        <v>65</v>
      </c>
      <c r="L98">
        <v>0</v>
      </c>
      <c r="M98">
        <v>0</v>
      </c>
      <c r="P98" t="s">
        <v>605</v>
      </c>
      <c r="Q98">
        <v>183777845</v>
      </c>
      <c r="R98">
        <v>12000000</v>
      </c>
      <c r="S98" s="50">
        <v>45666</v>
      </c>
      <c r="T98" s="50">
        <v>46112</v>
      </c>
      <c r="U98" t="s">
        <v>79</v>
      </c>
      <c r="V98" t="s">
        <v>249</v>
      </c>
      <c r="W98" t="s">
        <v>92</v>
      </c>
      <c r="X98" t="s">
        <v>86</v>
      </c>
      <c r="Y98" t="s">
        <v>291</v>
      </c>
      <c r="Z98">
        <v>10573656</v>
      </c>
      <c r="AA98" s="50">
        <v>46081</v>
      </c>
      <c r="AB98" s="87" t="s">
        <v>93</v>
      </c>
      <c r="AC98" s="86">
        <v>15000</v>
      </c>
      <c r="AD98" t="s">
        <v>70</v>
      </c>
      <c r="AE98" s="85">
        <v>10.38</v>
      </c>
      <c r="AF98" s="85">
        <v>10.38</v>
      </c>
      <c r="AG98" s="85"/>
      <c r="AH98" s="85"/>
      <c r="AI98" s="85"/>
      <c r="AJ98" s="85"/>
      <c r="AK98" s="85"/>
      <c r="AL98" s="85"/>
      <c r="AM98" s="85"/>
      <c r="AN98" s="85"/>
      <c r="AO98" s="85"/>
      <c r="AP98" s="85"/>
      <c r="AQ98" s="85"/>
      <c r="AR98" s="85"/>
      <c r="AS98" s="85"/>
      <c r="AT98" s="85"/>
      <c r="AU98" s="85"/>
      <c r="AV98" s="85"/>
      <c r="AW98" s="85"/>
      <c r="AX98" s="85"/>
      <c r="AY98" s="85"/>
      <c r="AZ98" s="85"/>
      <c r="BA98" s="85"/>
      <c r="BB98" s="85"/>
      <c r="BC98" s="85"/>
      <c r="BD98" s="85"/>
      <c r="BE98" s="85">
        <v>0</v>
      </c>
      <c r="BF98" s="85">
        <v>0</v>
      </c>
      <c r="BG98" s="85">
        <v>0</v>
      </c>
      <c r="BH98" s="85">
        <v>15000</v>
      </c>
      <c r="BI98" s="85">
        <v>10.38</v>
      </c>
      <c r="BJ98" s="85">
        <v>10.38</v>
      </c>
      <c r="BO98">
        <v>39.549999999999997</v>
      </c>
      <c r="BP98" s="86">
        <v>5932.88</v>
      </c>
      <c r="BQ98">
        <v>4.0999999999999996</v>
      </c>
      <c r="BR98">
        <v>4.0999999999999996</v>
      </c>
      <c r="BS98" s="85">
        <v>9067.1200000000008</v>
      </c>
      <c r="BT98" s="85">
        <v>6.28</v>
      </c>
      <c r="BU98" s="85">
        <v>6.28</v>
      </c>
      <c r="BX98" t="s">
        <v>613</v>
      </c>
      <c r="CB98" t="s">
        <v>72</v>
      </c>
      <c r="CC98" t="s">
        <v>250</v>
      </c>
      <c r="CE98" t="s">
        <v>530</v>
      </c>
    </row>
    <row r="99" spans="1:83" x14ac:dyDescent="0.35">
      <c r="A99" t="s">
        <v>242</v>
      </c>
      <c r="B99">
        <v>3050535</v>
      </c>
      <c r="C99">
        <v>41651</v>
      </c>
      <c r="D99" t="s">
        <v>288</v>
      </c>
      <c r="E99">
        <v>3163143010</v>
      </c>
      <c r="F99" t="s">
        <v>658</v>
      </c>
      <c r="G99" s="60">
        <v>46054</v>
      </c>
      <c r="H99">
        <v>40884277</v>
      </c>
      <c r="I99" t="s">
        <v>1270</v>
      </c>
      <c r="J99" t="s">
        <v>482</v>
      </c>
      <c r="K99" t="s">
        <v>65</v>
      </c>
      <c r="L99">
        <v>0</v>
      </c>
      <c r="M99">
        <v>0</v>
      </c>
      <c r="N99" t="s">
        <v>522</v>
      </c>
      <c r="O99" t="s">
        <v>522</v>
      </c>
      <c r="P99" t="s">
        <v>287</v>
      </c>
      <c r="Q99">
        <v>148610446</v>
      </c>
      <c r="R99">
        <v>2308500</v>
      </c>
      <c r="S99" s="50">
        <v>46056</v>
      </c>
      <c r="T99" s="50">
        <v>46056</v>
      </c>
      <c r="U99" t="s">
        <v>69</v>
      </c>
      <c r="V99" t="s">
        <v>249</v>
      </c>
      <c r="W99" t="s">
        <v>92</v>
      </c>
      <c r="X99" t="s">
        <v>86</v>
      </c>
      <c r="Y99" t="s">
        <v>291</v>
      </c>
      <c r="Z99">
        <v>10573720</v>
      </c>
      <c r="AA99" s="50">
        <v>46081</v>
      </c>
      <c r="AB99" s="87" t="s">
        <v>93</v>
      </c>
      <c r="AC99" s="86">
        <v>2308500</v>
      </c>
      <c r="AD99" t="s">
        <v>70</v>
      </c>
      <c r="AE99" s="85">
        <v>1597.14</v>
      </c>
      <c r="AF99" s="85">
        <v>1597.14</v>
      </c>
      <c r="AG99" s="85"/>
      <c r="AH99" s="85"/>
      <c r="AI99" s="85"/>
      <c r="AJ99" s="85"/>
      <c r="AK99" s="85"/>
      <c r="AL99" s="85"/>
      <c r="AM99" s="85"/>
      <c r="AN99" s="85"/>
      <c r="AO99" s="85"/>
      <c r="AP99" s="85"/>
      <c r="AQ99" s="85"/>
      <c r="AR99" s="85"/>
      <c r="AS99" s="85"/>
      <c r="AT99" s="85"/>
      <c r="AU99" s="85"/>
      <c r="AV99" s="85"/>
      <c r="AW99" s="85"/>
      <c r="AX99" s="85"/>
      <c r="AY99" s="85"/>
      <c r="AZ99" s="85"/>
      <c r="BA99" s="85"/>
      <c r="BB99" s="85"/>
      <c r="BC99" s="85"/>
      <c r="BD99" s="85"/>
      <c r="BE99" s="85">
        <v>0</v>
      </c>
      <c r="BF99" s="85">
        <v>0</v>
      </c>
      <c r="BG99" s="85">
        <v>0</v>
      </c>
      <c r="BH99" s="85">
        <v>2308500</v>
      </c>
      <c r="BI99" s="85">
        <v>1597.14</v>
      </c>
      <c r="BJ99" s="85">
        <v>1597.14</v>
      </c>
      <c r="BO99">
        <v>39.549999999999997</v>
      </c>
      <c r="BP99" s="86">
        <v>913069.46</v>
      </c>
      <c r="BQ99">
        <v>631.71</v>
      </c>
      <c r="BR99">
        <v>631.71</v>
      </c>
      <c r="BS99" s="85">
        <v>1395430.54</v>
      </c>
      <c r="BT99" s="85">
        <v>965.43</v>
      </c>
      <c r="BU99" s="85">
        <v>965.43</v>
      </c>
      <c r="BW99" t="s">
        <v>286</v>
      </c>
      <c r="BX99" t="s">
        <v>735</v>
      </c>
      <c r="BZ99">
        <v>192377147</v>
      </c>
      <c r="CA99">
        <v>192377147</v>
      </c>
      <c r="CB99" t="s">
        <v>76</v>
      </c>
      <c r="CC99" t="s">
        <v>250</v>
      </c>
      <c r="CE99" t="s">
        <v>530</v>
      </c>
    </row>
    <row r="100" spans="1:83" x14ac:dyDescent="0.35">
      <c r="A100" t="s">
        <v>242</v>
      </c>
      <c r="B100">
        <v>3050535</v>
      </c>
      <c r="C100">
        <v>41651</v>
      </c>
      <c r="D100" t="s">
        <v>553</v>
      </c>
      <c r="E100">
        <v>320381103</v>
      </c>
      <c r="F100" t="s">
        <v>662</v>
      </c>
      <c r="G100" s="60">
        <v>46054</v>
      </c>
      <c r="H100">
        <v>40790186</v>
      </c>
      <c r="I100" t="s">
        <v>1271</v>
      </c>
      <c r="J100" t="s">
        <v>482</v>
      </c>
      <c r="K100" t="s">
        <v>65</v>
      </c>
      <c r="L100">
        <v>0</v>
      </c>
      <c r="M100">
        <v>0</v>
      </c>
      <c r="N100" t="s">
        <v>94</v>
      </c>
      <c r="P100" t="s">
        <v>544</v>
      </c>
      <c r="Q100">
        <v>821027</v>
      </c>
      <c r="R100">
        <v>594000</v>
      </c>
      <c r="S100" s="50">
        <v>46057</v>
      </c>
      <c r="T100" s="50">
        <v>46057</v>
      </c>
      <c r="U100" t="s">
        <v>69</v>
      </c>
      <c r="V100" t="s">
        <v>249</v>
      </c>
      <c r="W100" t="s">
        <v>92</v>
      </c>
      <c r="X100" t="s">
        <v>86</v>
      </c>
      <c r="Y100" t="s">
        <v>291</v>
      </c>
      <c r="Z100">
        <v>10573677</v>
      </c>
      <c r="AA100" s="50">
        <v>46081</v>
      </c>
      <c r="AB100" s="87" t="s">
        <v>93</v>
      </c>
      <c r="AC100" s="86">
        <v>594000</v>
      </c>
      <c r="AD100" t="s">
        <v>70</v>
      </c>
      <c r="AE100" s="85">
        <v>410.96</v>
      </c>
      <c r="AF100" s="85">
        <v>410.96</v>
      </c>
      <c r="AG100" s="85"/>
      <c r="AH100" s="85"/>
      <c r="AI100" s="85"/>
      <c r="AJ100" s="85"/>
      <c r="AK100" s="85"/>
      <c r="AL100" s="85"/>
      <c r="AM100" s="85"/>
      <c r="AN100" s="85"/>
      <c r="AO100" s="85"/>
      <c r="AP100" s="85"/>
      <c r="AQ100" s="85"/>
      <c r="AR100" s="85"/>
      <c r="AS100" s="85"/>
      <c r="AT100" s="85"/>
      <c r="AU100" s="85"/>
      <c r="AV100" s="85"/>
      <c r="AW100" s="85"/>
      <c r="AX100" s="85"/>
      <c r="AY100" s="85"/>
      <c r="AZ100" s="85"/>
      <c r="BA100" s="85"/>
      <c r="BB100" s="85"/>
      <c r="BC100" s="85"/>
      <c r="BD100" s="85"/>
      <c r="BE100" s="85">
        <v>0</v>
      </c>
      <c r="BF100" s="85">
        <v>0</v>
      </c>
      <c r="BG100" s="85">
        <v>0</v>
      </c>
      <c r="BH100" s="85">
        <v>594000</v>
      </c>
      <c r="BI100" s="85">
        <v>410.96</v>
      </c>
      <c r="BJ100" s="85">
        <v>410.96</v>
      </c>
      <c r="BO100">
        <v>34</v>
      </c>
      <c r="BP100" s="86">
        <v>201948.12</v>
      </c>
      <c r="BQ100">
        <v>139.72</v>
      </c>
      <c r="BR100">
        <v>139.72</v>
      </c>
      <c r="BS100" s="85">
        <v>392051.88</v>
      </c>
      <c r="BT100" s="85">
        <v>271.24</v>
      </c>
      <c r="BU100" s="85">
        <v>271.24</v>
      </c>
      <c r="BW100" t="s">
        <v>527</v>
      </c>
      <c r="BX100" t="s">
        <v>1272</v>
      </c>
      <c r="BZ100">
        <v>224554</v>
      </c>
      <c r="CB100" t="s">
        <v>76</v>
      </c>
      <c r="CC100" t="s">
        <v>250</v>
      </c>
      <c r="CE100" t="s">
        <v>530</v>
      </c>
    </row>
    <row r="101" spans="1:83" x14ac:dyDescent="0.35">
      <c r="A101" t="s">
        <v>242</v>
      </c>
      <c r="B101">
        <v>3050535</v>
      </c>
      <c r="C101">
        <v>41651</v>
      </c>
      <c r="D101" t="s">
        <v>596</v>
      </c>
      <c r="E101">
        <v>321036001</v>
      </c>
      <c r="F101" t="s">
        <v>663</v>
      </c>
      <c r="G101" s="60">
        <v>46054</v>
      </c>
      <c r="H101">
        <v>40676315</v>
      </c>
      <c r="I101" t="s">
        <v>747</v>
      </c>
      <c r="J101" t="s">
        <v>260</v>
      </c>
      <c r="K101" t="s">
        <v>65</v>
      </c>
      <c r="L101">
        <v>0</v>
      </c>
      <c r="M101">
        <v>0</v>
      </c>
      <c r="N101" t="s">
        <v>259</v>
      </c>
      <c r="P101" t="s">
        <v>592</v>
      </c>
      <c r="Q101">
        <v>109915</v>
      </c>
      <c r="R101">
        <v>8133235</v>
      </c>
      <c r="S101" s="50">
        <v>46023</v>
      </c>
      <c r="T101" s="50">
        <v>46081</v>
      </c>
      <c r="U101" t="s">
        <v>79</v>
      </c>
      <c r="V101" t="s">
        <v>249</v>
      </c>
      <c r="W101" t="s">
        <v>92</v>
      </c>
      <c r="X101" t="s">
        <v>86</v>
      </c>
      <c r="Y101" t="s">
        <v>291</v>
      </c>
      <c r="Z101">
        <v>10573679</v>
      </c>
      <c r="AA101" s="50">
        <v>46081</v>
      </c>
      <c r="AB101" s="87" t="s">
        <v>93</v>
      </c>
      <c r="AC101" s="86">
        <v>1412281.82</v>
      </c>
      <c r="AD101" t="s">
        <v>70</v>
      </c>
      <c r="AE101" s="85">
        <v>977.09</v>
      </c>
      <c r="AF101" s="85">
        <v>977.09</v>
      </c>
      <c r="AG101" s="85"/>
      <c r="AH101" s="85"/>
      <c r="AI101" s="85"/>
      <c r="AJ101" s="85"/>
      <c r="AK101" s="85"/>
      <c r="AL101" s="85"/>
      <c r="AM101" s="85"/>
      <c r="AN101" s="85"/>
      <c r="AO101" s="85"/>
      <c r="AP101" s="85"/>
      <c r="AQ101" s="85"/>
      <c r="AR101" s="85"/>
      <c r="AS101" s="85"/>
      <c r="AT101" s="85"/>
      <c r="AU101" s="85"/>
      <c r="AV101" s="85"/>
      <c r="AW101" s="85"/>
      <c r="AX101" s="85"/>
      <c r="AY101" s="85"/>
      <c r="AZ101" s="85"/>
      <c r="BA101" s="85"/>
      <c r="BB101" s="85"/>
      <c r="BC101" s="85"/>
      <c r="BD101" s="85"/>
      <c r="BE101" s="85">
        <v>0</v>
      </c>
      <c r="BF101" s="85">
        <v>0</v>
      </c>
      <c r="BG101" s="85">
        <v>0</v>
      </c>
      <c r="BH101" s="85">
        <v>1412281.82</v>
      </c>
      <c r="BI101" s="85">
        <v>977.09</v>
      </c>
      <c r="BJ101" s="85">
        <v>977.09</v>
      </c>
      <c r="BO101">
        <v>39.549999999999997</v>
      </c>
      <c r="BP101" s="86">
        <v>558592.77</v>
      </c>
      <c r="BQ101">
        <v>386.46</v>
      </c>
      <c r="BR101">
        <v>386.46</v>
      </c>
      <c r="BS101" s="85">
        <v>853689.05</v>
      </c>
      <c r="BT101" s="85">
        <v>590.63</v>
      </c>
      <c r="BU101" s="85">
        <v>590.63</v>
      </c>
      <c r="BX101" t="s">
        <v>748</v>
      </c>
      <c r="BZ101">
        <v>66013147</v>
      </c>
      <c r="CB101" t="s">
        <v>73</v>
      </c>
      <c r="CC101" t="s">
        <v>250</v>
      </c>
      <c r="CE101" t="s">
        <v>530</v>
      </c>
    </row>
    <row r="102" spans="1:83" x14ac:dyDescent="0.35">
      <c r="A102" t="s">
        <v>242</v>
      </c>
      <c r="B102">
        <v>3050535</v>
      </c>
      <c r="C102">
        <v>41651</v>
      </c>
      <c r="D102" t="s">
        <v>1232</v>
      </c>
      <c r="E102">
        <v>325197801</v>
      </c>
      <c r="F102" t="s">
        <v>1150</v>
      </c>
      <c r="G102" s="60">
        <v>46054</v>
      </c>
      <c r="H102">
        <v>41001099</v>
      </c>
      <c r="I102" t="s">
        <v>1242</v>
      </c>
      <c r="J102" t="s">
        <v>260</v>
      </c>
      <c r="K102" t="s">
        <v>65</v>
      </c>
      <c r="L102">
        <v>0</v>
      </c>
      <c r="M102">
        <v>0</v>
      </c>
      <c r="P102" t="s">
        <v>917</v>
      </c>
      <c r="Q102">
        <v>294134</v>
      </c>
      <c r="R102">
        <v>12400000</v>
      </c>
      <c r="S102" s="50">
        <v>46073</v>
      </c>
      <c r="T102" s="50">
        <v>46112</v>
      </c>
      <c r="U102" t="s">
        <v>79</v>
      </c>
      <c r="V102" t="s">
        <v>249</v>
      </c>
      <c r="W102" t="s">
        <v>92</v>
      </c>
      <c r="X102" t="s">
        <v>86</v>
      </c>
      <c r="Y102" t="s">
        <v>291</v>
      </c>
      <c r="Z102">
        <v>10573697</v>
      </c>
      <c r="AA102" s="50">
        <v>46081</v>
      </c>
      <c r="AB102" s="87" t="s">
        <v>93</v>
      </c>
      <c r="AC102" s="86">
        <v>174.53</v>
      </c>
      <c r="AD102" t="s">
        <v>70</v>
      </c>
      <c r="AE102" s="85">
        <v>0.12</v>
      </c>
      <c r="AF102" s="85">
        <v>0.12</v>
      </c>
      <c r="AG102" s="85"/>
      <c r="AH102" s="85"/>
      <c r="AI102" s="85"/>
      <c r="AJ102" s="85"/>
      <c r="AK102" s="85"/>
      <c r="AL102" s="85"/>
      <c r="AM102" s="85"/>
      <c r="AN102" s="85"/>
      <c r="AO102" s="85"/>
      <c r="AP102" s="85"/>
      <c r="AQ102" s="85"/>
      <c r="AR102" s="85"/>
      <c r="AS102" s="85"/>
      <c r="AT102" s="85"/>
      <c r="AU102" s="85"/>
      <c r="AV102" s="85"/>
      <c r="AW102" s="85"/>
      <c r="AX102" s="85"/>
      <c r="AY102" s="85"/>
      <c r="AZ102" s="85"/>
      <c r="BA102" s="85"/>
      <c r="BB102" s="85"/>
      <c r="BC102" s="85"/>
      <c r="BD102" s="85"/>
      <c r="BE102" s="85">
        <v>0</v>
      </c>
      <c r="BF102" s="85">
        <v>0</v>
      </c>
      <c r="BG102" s="85">
        <v>0</v>
      </c>
      <c r="BH102" s="85">
        <v>174.53</v>
      </c>
      <c r="BI102" s="85">
        <v>0.12</v>
      </c>
      <c r="BJ102" s="85">
        <v>0.12</v>
      </c>
      <c r="BO102">
        <v>22</v>
      </c>
      <c r="BP102" s="86">
        <v>38.4</v>
      </c>
      <c r="BQ102">
        <v>0.03</v>
      </c>
      <c r="BR102">
        <v>0.03</v>
      </c>
      <c r="BS102" s="85">
        <v>136.13</v>
      </c>
      <c r="BT102" s="85">
        <v>0.09</v>
      </c>
      <c r="BU102" s="85">
        <v>0.09</v>
      </c>
      <c r="BX102" t="s">
        <v>1243</v>
      </c>
      <c r="CB102" t="s">
        <v>73</v>
      </c>
      <c r="CC102" t="s">
        <v>250</v>
      </c>
      <c r="CE102" t="s">
        <v>530</v>
      </c>
    </row>
    <row r="103" spans="1:83" x14ac:dyDescent="0.35">
      <c r="A103" t="s">
        <v>242</v>
      </c>
      <c r="B103">
        <v>3050535</v>
      </c>
      <c r="C103">
        <v>41651</v>
      </c>
      <c r="D103" t="s">
        <v>479</v>
      </c>
      <c r="E103">
        <v>302594801</v>
      </c>
      <c r="F103" t="s">
        <v>557</v>
      </c>
      <c r="G103" s="60">
        <v>46054</v>
      </c>
      <c r="H103">
        <v>40045288</v>
      </c>
      <c r="I103" t="s">
        <v>601</v>
      </c>
      <c r="J103" t="s">
        <v>260</v>
      </c>
      <c r="K103" t="s">
        <v>65</v>
      </c>
      <c r="L103">
        <v>0</v>
      </c>
      <c r="M103">
        <v>0</v>
      </c>
      <c r="P103" t="s">
        <v>519</v>
      </c>
      <c r="Q103">
        <v>9663269</v>
      </c>
      <c r="R103">
        <v>310000000</v>
      </c>
      <c r="S103" s="50">
        <v>45730</v>
      </c>
      <c r="T103" s="50">
        <v>46418</v>
      </c>
      <c r="U103" t="s">
        <v>69</v>
      </c>
      <c r="V103" t="s">
        <v>249</v>
      </c>
      <c r="W103" t="s">
        <v>92</v>
      </c>
      <c r="X103" t="s">
        <v>86</v>
      </c>
      <c r="Y103" t="s">
        <v>291</v>
      </c>
      <c r="Z103">
        <v>10573738</v>
      </c>
      <c r="AA103" s="50">
        <v>46081</v>
      </c>
      <c r="AB103" s="87" t="s">
        <v>93</v>
      </c>
      <c r="AC103" s="86">
        <v>523174.23</v>
      </c>
      <c r="AD103" t="s">
        <v>70</v>
      </c>
      <c r="AE103" s="85">
        <v>361.96</v>
      </c>
      <c r="AF103" s="85">
        <v>361.96</v>
      </c>
      <c r="AG103" s="85"/>
      <c r="AH103" s="85"/>
      <c r="AI103" s="85"/>
      <c r="AJ103" s="85"/>
      <c r="AK103" s="85"/>
      <c r="AL103" s="85"/>
      <c r="AM103" s="85"/>
      <c r="AN103" s="85"/>
      <c r="AO103" s="85"/>
      <c r="AP103" s="85"/>
      <c r="AQ103" s="85"/>
      <c r="AR103" s="85"/>
      <c r="AS103" s="85"/>
      <c r="AT103" s="85"/>
      <c r="AU103" s="85"/>
      <c r="AV103" s="85"/>
      <c r="AW103" s="85"/>
      <c r="AX103" s="85"/>
      <c r="AY103" s="85"/>
      <c r="AZ103" s="85"/>
      <c r="BA103" s="85"/>
      <c r="BB103" s="85"/>
      <c r="BC103" s="85"/>
      <c r="BD103" s="85"/>
      <c r="BE103" s="85">
        <v>0</v>
      </c>
      <c r="BF103" s="85">
        <v>0</v>
      </c>
      <c r="BG103" s="85">
        <v>0</v>
      </c>
      <c r="BH103" s="85">
        <v>523174.23</v>
      </c>
      <c r="BI103" s="85">
        <v>361.96</v>
      </c>
      <c r="BJ103" s="85">
        <v>361.96</v>
      </c>
      <c r="BO103">
        <v>34</v>
      </c>
      <c r="BP103" s="86">
        <v>177868.77</v>
      </c>
      <c r="BQ103">
        <v>123.06</v>
      </c>
      <c r="BR103">
        <v>123.06</v>
      </c>
      <c r="BS103" s="85">
        <v>345305.46</v>
      </c>
      <c r="BT103" s="85">
        <v>238.9</v>
      </c>
      <c r="BU103" s="85">
        <v>238.9</v>
      </c>
      <c r="BX103" t="s">
        <v>559</v>
      </c>
      <c r="CB103" t="s">
        <v>78</v>
      </c>
      <c r="CC103" t="s">
        <v>250</v>
      </c>
      <c r="CE103" t="s">
        <v>530</v>
      </c>
    </row>
    <row r="104" spans="1:83" x14ac:dyDescent="0.35">
      <c r="A104" t="s">
        <v>242</v>
      </c>
      <c r="B104">
        <v>3050535</v>
      </c>
      <c r="C104">
        <v>41651</v>
      </c>
      <c r="D104" t="s">
        <v>538</v>
      </c>
      <c r="E104">
        <v>322467801</v>
      </c>
      <c r="F104" t="s">
        <v>688</v>
      </c>
      <c r="G104" s="60">
        <v>46054</v>
      </c>
      <c r="H104">
        <v>40805823</v>
      </c>
      <c r="I104" t="s">
        <v>586</v>
      </c>
      <c r="J104" t="s">
        <v>260</v>
      </c>
      <c r="K104" t="s">
        <v>65</v>
      </c>
      <c r="L104">
        <v>0</v>
      </c>
      <c r="M104">
        <v>0</v>
      </c>
      <c r="P104" t="s">
        <v>576</v>
      </c>
      <c r="Q104">
        <v>5134575</v>
      </c>
      <c r="R104">
        <v>29815800</v>
      </c>
      <c r="S104" s="50">
        <v>46031</v>
      </c>
      <c r="T104" s="50">
        <v>46203</v>
      </c>
      <c r="U104" t="s">
        <v>79</v>
      </c>
      <c r="V104" t="s">
        <v>249</v>
      </c>
      <c r="W104" t="s">
        <v>92</v>
      </c>
      <c r="X104" t="s">
        <v>86</v>
      </c>
      <c r="Y104" t="s">
        <v>291</v>
      </c>
      <c r="Z104">
        <v>10573666</v>
      </c>
      <c r="AA104" s="50">
        <v>46081</v>
      </c>
      <c r="AB104" s="87" t="s">
        <v>93</v>
      </c>
      <c r="AC104" s="86">
        <v>894356.52</v>
      </c>
      <c r="AD104" t="s">
        <v>70</v>
      </c>
      <c r="AE104" s="85">
        <v>618.76</v>
      </c>
      <c r="AF104" s="85">
        <v>618.76</v>
      </c>
      <c r="AG104" s="85"/>
      <c r="AH104" s="85"/>
      <c r="AI104" s="85"/>
      <c r="AJ104" s="85"/>
      <c r="AK104" s="85"/>
      <c r="AL104" s="85"/>
      <c r="AM104" s="85"/>
      <c r="AN104" s="85"/>
      <c r="AO104" s="85"/>
      <c r="AP104" s="85"/>
      <c r="AQ104" s="85"/>
      <c r="AR104" s="85"/>
      <c r="AS104" s="85"/>
      <c r="AT104" s="85"/>
      <c r="AU104" s="85"/>
      <c r="AV104" s="85"/>
      <c r="AW104" s="85"/>
      <c r="AX104" s="85"/>
      <c r="AY104" s="85"/>
      <c r="AZ104" s="85"/>
      <c r="BA104" s="85"/>
      <c r="BB104" s="85"/>
      <c r="BC104" s="85"/>
      <c r="BD104" s="85"/>
      <c r="BE104" s="85">
        <v>0</v>
      </c>
      <c r="BF104" s="85">
        <v>0</v>
      </c>
      <c r="BG104" s="85">
        <v>0</v>
      </c>
      <c r="BH104" s="85">
        <v>894356.52</v>
      </c>
      <c r="BI104" s="85">
        <v>618.76</v>
      </c>
      <c r="BJ104" s="85">
        <v>618.76</v>
      </c>
      <c r="BO104">
        <v>39.549999999999997</v>
      </c>
      <c r="BP104" s="86">
        <v>353740.36</v>
      </c>
      <c r="BQ104">
        <v>244.74</v>
      </c>
      <c r="BR104">
        <v>244.74</v>
      </c>
      <c r="BS104" s="85">
        <v>540616.16</v>
      </c>
      <c r="BT104" s="85">
        <v>374.02</v>
      </c>
      <c r="BU104" s="85">
        <v>374.02</v>
      </c>
      <c r="BX104" t="s">
        <v>787</v>
      </c>
      <c r="CB104" t="s">
        <v>72</v>
      </c>
      <c r="CC104" t="s">
        <v>250</v>
      </c>
      <c r="CE104" t="s">
        <v>530</v>
      </c>
    </row>
    <row r="105" spans="1:83" x14ac:dyDescent="0.35">
      <c r="A105" t="s">
        <v>242</v>
      </c>
      <c r="B105">
        <v>3050535</v>
      </c>
      <c r="C105">
        <v>41651</v>
      </c>
      <c r="D105" t="s">
        <v>571</v>
      </c>
      <c r="E105">
        <v>275149001</v>
      </c>
      <c r="F105" t="s">
        <v>562</v>
      </c>
      <c r="G105" s="60">
        <v>46054</v>
      </c>
      <c r="H105">
        <v>40931692</v>
      </c>
      <c r="I105" t="s">
        <v>1273</v>
      </c>
      <c r="J105" t="s">
        <v>260</v>
      </c>
      <c r="K105" t="s">
        <v>65</v>
      </c>
      <c r="L105">
        <v>0</v>
      </c>
      <c r="M105">
        <v>0</v>
      </c>
      <c r="N105" t="s">
        <v>566</v>
      </c>
      <c r="O105" t="s">
        <v>566</v>
      </c>
      <c r="P105" t="s">
        <v>563</v>
      </c>
      <c r="Q105">
        <v>5733116</v>
      </c>
      <c r="R105">
        <v>40600000</v>
      </c>
      <c r="S105" s="50">
        <v>45292</v>
      </c>
      <c r="T105" s="50">
        <v>46127</v>
      </c>
      <c r="U105" t="s">
        <v>66</v>
      </c>
      <c r="V105" t="s">
        <v>249</v>
      </c>
      <c r="W105" t="s">
        <v>92</v>
      </c>
      <c r="X105" t="s">
        <v>86</v>
      </c>
      <c r="Y105" t="s">
        <v>291</v>
      </c>
      <c r="Z105">
        <v>10573709</v>
      </c>
      <c r="AA105" s="50">
        <v>46081</v>
      </c>
      <c r="AB105" s="87" t="s">
        <v>93</v>
      </c>
      <c r="AC105" s="86">
        <v>298881.34000000003</v>
      </c>
      <c r="AD105" t="s">
        <v>70</v>
      </c>
      <c r="AE105" s="85">
        <v>206.78</v>
      </c>
      <c r="AF105" s="85">
        <v>206.78</v>
      </c>
      <c r="AG105" s="85"/>
      <c r="AH105" s="85"/>
      <c r="AI105" s="85"/>
      <c r="AJ105" s="85"/>
      <c r="AK105" s="85"/>
      <c r="AL105" s="85"/>
      <c r="AM105" s="85"/>
      <c r="AN105" s="85"/>
      <c r="AO105" s="85"/>
      <c r="AP105" s="85"/>
      <c r="AQ105" s="85"/>
      <c r="AR105" s="85"/>
      <c r="AS105" s="85"/>
      <c r="AT105" s="85"/>
      <c r="AU105" s="85"/>
      <c r="AV105" s="85"/>
      <c r="AW105" s="85"/>
      <c r="AX105" s="85"/>
      <c r="AY105" s="85"/>
      <c r="AZ105" s="85"/>
      <c r="BA105" s="85"/>
      <c r="BB105" s="85"/>
      <c r="BC105" s="85"/>
      <c r="BD105" s="85"/>
      <c r="BE105" s="85">
        <v>0</v>
      </c>
      <c r="BF105" s="85">
        <v>0</v>
      </c>
      <c r="BG105" s="85">
        <v>0</v>
      </c>
      <c r="BH105" s="85">
        <v>298881.34000000003</v>
      </c>
      <c r="BI105" s="85">
        <v>206.78</v>
      </c>
      <c r="BJ105" s="85">
        <v>206.78</v>
      </c>
      <c r="BO105">
        <v>39.549999999999997</v>
      </c>
      <c r="BP105" s="86">
        <v>118215.03999999999</v>
      </c>
      <c r="BQ105">
        <v>81.790000000000006</v>
      </c>
      <c r="BR105">
        <v>81.790000000000006</v>
      </c>
      <c r="BS105" s="85">
        <v>180666.3</v>
      </c>
      <c r="BT105" s="85">
        <v>124.99</v>
      </c>
      <c r="BU105" s="85">
        <v>124.99</v>
      </c>
      <c r="BX105" t="s">
        <v>572</v>
      </c>
      <c r="BZ105">
        <v>47720819</v>
      </c>
      <c r="CA105">
        <v>47720819</v>
      </c>
      <c r="CB105" t="s">
        <v>73</v>
      </c>
      <c r="CC105" t="s">
        <v>250</v>
      </c>
      <c r="CE105" t="s">
        <v>530</v>
      </c>
    </row>
    <row r="106" spans="1:83" x14ac:dyDescent="0.35">
      <c r="A106" t="s">
        <v>242</v>
      </c>
      <c r="B106">
        <v>3050535</v>
      </c>
      <c r="C106">
        <v>41651</v>
      </c>
      <c r="D106" t="s">
        <v>571</v>
      </c>
      <c r="E106">
        <v>275149001</v>
      </c>
      <c r="F106" t="s">
        <v>562</v>
      </c>
      <c r="G106" s="60">
        <v>46054</v>
      </c>
      <c r="H106">
        <v>40888605</v>
      </c>
      <c r="I106" t="s">
        <v>1228</v>
      </c>
      <c r="J106" t="s">
        <v>260</v>
      </c>
      <c r="K106" t="s">
        <v>65</v>
      </c>
      <c r="L106">
        <v>0</v>
      </c>
      <c r="M106">
        <v>0</v>
      </c>
      <c r="N106" t="s">
        <v>566</v>
      </c>
      <c r="O106" t="s">
        <v>566</v>
      </c>
      <c r="P106" t="s">
        <v>563</v>
      </c>
      <c r="Q106">
        <v>5733116</v>
      </c>
      <c r="R106">
        <v>40600000</v>
      </c>
      <c r="S106" s="50">
        <v>45292</v>
      </c>
      <c r="T106" s="50">
        <v>46127</v>
      </c>
      <c r="U106" t="s">
        <v>66</v>
      </c>
      <c r="V106" t="s">
        <v>249</v>
      </c>
      <c r="W106" t="s">
        <v>92</v>
      </c>
      <c r="X106" t="s">
        <v>86</v>
      </c>
      <c r="Y106" t="s">
        <v>291</v>
      </c>
      <c r="Z106">
        <v>10573709</v>
      </c>
      <c r="AA106" s="50">
        <v>46081</v>
      </c>
      <c r="AB106" s="87" t="s">
        <v>93</v>
      </c>
      <c r="AC106" s="86">
        <v>221860.86</v>
      </c>
      <c r="AD106" t="s">
        <v>70</v>
      </c>
      <c r="AE106" s="85">
        <v>153.49</v>
      </c>
      <c r="AF106" s="85">
        <v>153.49</v>
      </c>
      <c r="AG106" s="85"/>
      <c r="AH106" s="85"/>
      <c r="AI106" s="85"/>
      <c r="AJ106" s="85"/>
      <c r="AK106" s="85"/>
      <c r="AL106" s="85"/>
      <c r="AM106" s="85"/>
      <c r="AN106" s="85"/>
      <c r="AO106" s="85"/>
      <c r="AP106" s="85"/>
      <c r="AQ106" s="85"/>
      <c r="AR106" s="85"/>
      <c r="AS106" s="85"/>
      <c r="AT106" s="85"/>
      <c r="AU106" s="85"/>
      <c r="AV106" s="85"/>
      <c r="AW106" s="85"/>
      <c r="AX106" s="85"/>
      <c r="AY106" s="85"/>
      <c r="AZ106" s="85"/>
      <c r="BA106" s="85"/>
      <c r="BB106" s="85"/>
      <c r="BC106" s="85"/>
      <c r="BD106" s="85"/>
      <c r="BE106" s="85">
        <v>0</v>
      </c>
      <c r="BF106" s="85">
        <v>0</v>
      </c>
      <c r="BG106" s="85">
        <v>0</v>
      </c>
      <c r="BH106" s="85">
        <v>221860.86</v>
      </c>
      <c r="BI106" s="85">
        <v>153.49</v>
      </c>
      <c r="BJ106" s="85">
        <v>153.49</v>
      </c>
      <c r="BO106">
        <v>39.549999999999997</v>
      </c>
      <c r="BP106" s="86">
        <v>87751.51</v>
      </c>
      <c r="BQ106">
        <v>60.71</v>
      </c>
      <c r="BR106">
        <v>60.71</v>
      </c>
      <c r="BS106" s="85">
        <v>134109.35</v>
      </c>
      <c r="BT106" s="85">
        <v>92.78</v>
      </c>
      <c r="BU106" s="85">
        <v>92.78</v>
      </c>
      <c r="BX106" t="s">
        <v>572</v>
      </c>
      <c r="BZ106">
        <v>47720819</v>
      </c>
      <c r="CA106">
        <v>47720819</v>
      </c>
      <c r="CB106" t="s">
        <v>73</v>
      </c>
      <c r="CC106" t="s">
        <v>250</v>
      </c>
      <c r="CE106" t="s">
        <v>530</v>
      </c>
    </row>
    <row r="107" spans="1:83" x14ac:dyDescent="0.35">
      <c r="A107" t="s">
        <v>242</v>
      </c>
      <c r="B107">
        <v>3050535</v>
      </c>
      <c r="C107">
        <v>41651</v>
      </c>
      <c r="D107" t="s">
        <v>1229</v>
      </c>
      <c r="E107">
        <v>320312001</v>
      </c>
      <c r="F107" t="s">
        <v>885</v>
      </c>
      <c r="G107" s="60">
        <v>46054</v>
      </c>
      <c r="H107">
        <v>40921344</v>
      </c>
      <c r="I107" t="s">
        <v>1274</v>
      </c>
      <c r="J107" t="s">
        <v>482</v>
      </c>
      <c r="K107" t="s">
        <v>65</v>
      </c>
      <c r="L107">
        <v>0</v>
      </c>
      <c r="M107">
        <v>0</v>
      </c>
      <c r="N107" t="s">
        <v>893</v>
      </c>
      <c r="O107" t="s">
        <v>893</v>
      </c>
      <c r="P107" t="s">
        <v>887</v>
      </c>
      <c r="Q107">
        <v>268721</v>
      </c>
      <c r="R107">
        <v>1755000</v>
      </c>
      <c r="S107" s="50">
        <v>46064</v>
      </c>
      <c r="T107" s="50">
        <v>46064</v>
      </c>
      <c r="U107" t="s">
        <v>79</v>
      </c>
      <c r="V107" t="s">
        <v>249</v>
      </c>
      <c r="W107" t="s">
        <v>92</v>
      </c>
      <c r="X107" t="s">
        <v>86</v>
      </c>
      <c r="Y107" t="s">
        <v>291</v>
      </c>
      <c r="Z107">
        <v>10573626</v>
      </c>
      <c r="AA107" s="50">
        <v>46081</v>
      </c>
      <c r="AB107" s="87" t="s">
        <v>93</v>
      </c>
      <c r="AC107" s="86">
        <v>1755000</v>
      </c>
      <c r="AD107" t="s">
        <v>70</v>
      </c>
      <c r="AE107" s="85">
        <v>1214.2</v>
      </c>
      <c r="AF107" s="85">
        <v>1214.2</v>
      </c>
      <c r="AG107" s="85"/>
      <c r="AH107" s="85"/>
      <c r="AI107" s="85"/>
      <c r="AJ107" s="85"/>
      <c r="AK107" s="85"/>
      <c r="AL107" s="85"/>
      <c r="AM107" s="85"/>
      <c r="AN107" s="85"/>
      <c r="AO107" s="85"/>
      <c r="AP107" s="85"/>
      <c r="AQ107" s="85"/>
      <c r="AR107" s="85"/>
      <c r="AS107" s="85"/>
      <c r="AT107" s="85"/>
      <c r="AU107" s="85"/>
      <c r="AV107" s="85"/>
      <c r="AW107" s="85"/>
      <c r="AX107" s="85"/>
      <c r="AY107" s="85"/>
      <c r="AZ107" s="85"/>
      <c r="BA107" s="85"/>
      <c r="BB107" s="85"/>
      <c r="BC107" s="85"/>
      <c r="BD107" s="85"/>
      <c r="BE107" s="85">
        <v>0</v>
      </c>
      <c r="BF107" s="85">
        <v>0</v>
      </c>
      <c r="BG107" s="85">
        <v>0</v>
      </c>
      <c r="BH107" s="85">
        <v>1755000</v>
      </c>
      <c r="BI107" s="85">
        <v>1214.2</v>
      </c>
      <c r="BJ107" s="85">
        <v>1214.2</v>
      </c>
      <c r="BO107">
        <v>34</v>
      </c>
      <c r="BP107" s="86">
        <v>596664.9</v>
      </c>
      <c r="BQ107">
        <v>412.8</v>
      </c>
      <c r="BR107">
        <v>412.8</v>
      </c>
      <c r="BS107" s="85">
        <v>1158335.1000000001</v>
      </c>
      <c r="BT107" s="85">
        <v>801.4</v>
      </c>
      <c r="BU107" s="85">
        <v>801.4</v>
      </c>
      <c r="BW107" t="s">
        <v>527</v>
      </c>
      <c r="BX107" t="s">
        <v>1231</v>
      </c>
      <c r="BZ107">
        <v>262319</v>
      </c>
      <c r="CA107">
        <v>262319</v>
      </c>
      <c r="CB107" t="s">
        <v>76</v>
      </c>
      <c r="CC107" t="s">
        <v>250</v>
      </c>
      <c r="CE107" t="s">
        <v>530</v>
      </c>
    </row>
    <row r="108" spans="1:83" x14ac:dyDescent="0.35">
      <c r="A108" t="s">
        <v>242</v>
      </c>
      <c r="B108">
        <v>3050535</v>
      </c>
      <c r="C108">
        <v>41651</v>
      </c>
      <c r="D108" t="s">
        <v>551</v>
      </c>
      <c r="E108">
        <v>323817301</v>
      </c>
      <c r="F108" t="s">
        <v>1030</v>
      </c>
      <c r="G108" s="60">
        <v>46054</v>
      </c>
      <c r="H108">
        <v>40989141</v>
      </c>
      <c r="I108" t="s">
        <v>1275</v>
      </c>
      <c r="J108" t="s">
        <v>482</v>
      </c>
      <c r="K108" t="s">
        <v>65</v>
      </c>
      <c r="L108">
        <v>0</v>
      </c>
      <c r="M108">
        <v>0</v>
      </c>
      <c r="N108" t="s">
        <v>259</v>
      </c>
      <c r="O108" t="s">
        <v>259</v>
      </c>
      <c r="P108" t="s">
        <v>98</v>
      </c>
      <c r="Q108">
        <v>80883</v>
      </c>
      <c r="R108">
        <v>3625356</v>
      </c>
      <c r="S108" s="50">
        <v>46080</v>
      </c>
      <c r="T108" s="50">
        <v>46080</v>
      </c>
      <c r="U108" t="s">
        <v>79</v>
      </c>
      <c r="V108" t="s">
        <v>249</v>
      </c>
      <c r="W108" t="s">
        <v>92</v>
      </c>
      <c r="X108" t="s">
        <v>86</v>
      </c>
      <c r="Y108" t="s">
        <v>291</v>
      </c>
      <c r="Z108">
        <v>10573673</v>
      </c>
      <c r="AA108" s="50">
        <v>46081</v>
      </c>
      <c r="AB108" s="87" t="s">
        <v>93</v>
      </c>
      <c r="AC108" s="86">
        <v>3625356</v>
      </c>
      <c r="AD108" t="s">
        <v>70</v>
      </c>
      <c r="AE108" s="85">
        <v>2508.21</v>
      </c>
      <c r="AF108" s="85">
        <v>2508.21</v>
      </c>
      <c r="AG108" s="85"/>
      <c r="AH108" s="85"/>
      <c r="AI108" s="85"/>
      <c r="AJ108" s="85"/>
      <c r="AK108" s="85"/>
      <c r="AL108" s="85"/>
      <c r="AM108" s="85"/>
      <c r="AN108" s="85"/>
      <c r="AO108" s="85"/>
      <c r="AP108" s="85"/>
      <c r="AQ108" s="85"/>
      <c r="AR108" s="85"/>
      <c r="AS108" s="85"/>
      <c r="AT108" s="85"/>
      <c r="AU108" s="85"/>
      <c r="AV108" s="85"/>
      <c r="AW108" s="85"/>
      <c r="AX108" s="85"/>
      <c r="AY108" s="85"/>
      <c r="AZ108" s="85"/>
      <c r="BA108" s="85"/>
      <c r="BB108" s="85"/>
      <c r="BC108" s="85"/>
      <c r="BD108" s="85"/>
      <c r="BE108" s="85">
        <v>0</v>
      </c>
      <c r="BF108" s="85">
        <v>0</v>
      </c>
      <c r="BG108" s="85">
        <v>0</v>
      </c>
      <c r="BH108" s="85">
        <v>3625356</v>
      </c>
      <c r="BI108" s="85">
        <v>2508.21</v>
      </c>
      <c r="BJ108" s="85">
        <v>2508.21</v>
      </c>
      <c r="BO108">
        <v>39.549999999999997</v>
      </c>
      <c r="BP108" s="86">
        <v>1433918.93</v>
      </c>
      <c r="BQ108">
        <v>992.06</v>
      </c>
      <c r="BR108">
        <v>992.06</v>
      </c>
      <c r="BS108" s="85">
        <v>2191437.0699999998</v>
      </c>
      <c r="BT108" s="85">
        <v>1516.15</v>
      </c>
      <c r="BU108" s="85">
        <v>1516.15</v>
      </c>
      <c r="BW108" t="s">
        <v>286</v>
      </c>
      <c r="BX108" t="s">
        <v>1276</v>
      </c>
      <c r="BZ108">
        <v>66013147</v>
      </c>
      <c r="CA108">
        <v>66013147</v>
      </c>
      <c r="CB108" t="s">
        <v>76</v>
      </c>
      <c r="CC108" t="s">
        <v>250</v>
      </c>
      <c r="CE108" t="s">
        <v>530</v>
      </c>
    </row>
    <row r="109" spans="1:83" x14ac:dyDescent="0.35">
      <c r="A109" t="s">
        <v>242</v>
      </c>
      <c r="B109">
        <v>3050535</v>
      </c>
      <c r="C109">
        <v>41651</v>
      </c>
      <c r="D109" t="s">
        <v>480</v>
      </c>
      <c r="E109">
        <v>276783201</v>
      </c>
      <c r="F109" t="s">
        <v>475</v>
      </c>
      <c r="G109" s="60">
        <v>46054</v>
      </c>
      <c r="H109">
        <v>37183205</v>
      </c>
      <c r="I109" t="s">
        <v>597</v>
      </c>
      <c r="J109" t="s">
        <v>260</v>
      </c>
      <c r="K109" t="s">
        <v>65</v>
      </c>
      <c r="L109">
        <v>0</v>
      </c>
      <c r="M109">
        <v>0</v>
      </c>
      <c r="P109" t="s">
        <v>476</v>
      </c>
      <c r="Q109">
        <v>184672459</v>
      </c>
      <c r="R109">
        <v>135550000</v>
      </c>
      <c r="S109" s="50">
        <v>45328</v>
      </c>
      <c r="T109" s="50">
        <v>46112</v>
      </c>
      <c r="U109" t="s">
        <v>79</v>
      </c>
      <c r="V109" t="s">
        <v>249</v>
      </c>
      <c r="W109" t="s">
        <v>92</v>
      </c>
      <c r="X109" t="s">
        <v>86</v>
      </c>
      <c r="Y109" t="s">
        <v>291</v>
      </c>
      <c r="Z109">
        <v>10573710</v>
      </c>
      <c r="AA109" s="50">
        <v>46081</v>
      </c>
      <c r="AB109" s="87" t="s">
        <v>93</v>
      </c>
      <c r="AC109" s="86">
        <v>69366.92</v>
      </c>
      <c r="AD109" t="s">
        <v>70</v>
      </c>
      <c r="AE109" s="85">
        <v>47.99</v>
      </c>
      <c r="AF109" s="85">
        <v>47.99</v>
      </c>
      <c r="AG109" s="85"/>
      <c r="AH109" s="85"/>
      <c r="AI109" s="85"/>
      <c r="AJ109" s="85"/>
      <c r="AK109" s="85"/>
      <c r="AL109" s="85"/>
      <c r="AM109" s="85"/>
      <c r="AN109" s="85"/>
      <c r="AO109" s="85"/>
      <c r="AP109" s="85"/>
      <c r="AQ109" s="85"/>
      <c r="AR109" s="85"/>
      <c r="AS109" s="85"/>
      <c r="AT109" s="85"/>
      <c r="AU109" s="85"/>
      <c r="AV109" s="85"/>
      <c r="AW109" s="85"/>
      <c r="AX109" s="85"/>
      <c r="AY109" s="85"/>
      <c r="AZ109" s="85"/>
      <c r="BA109" s="85"/>
      <c r="BB109" s="85"/>
      <c r="BC109" s="85"/>
      <c r="BD109" s="85"/>
      <c r="BE109" s="85">
        <v>0</v>
      </c>
      <c r="BF109" s="85">
        <v>0</v>
      </c>
      <c r="BG109" s="85">
        <v>0</v>
      </c>
      <c r="BH109" s="85">
        <v>69366.92</v>
      </c>
      <c r="BI109" s="85">
        <v>47.99</v>
      </c>
      <c r="BJ109" s="85">
        <v>47.99</v>
      </c>
      <c r="BO109">
        <v>39.549999999999997</v>
      </c>
      <c r="BP109" s="86">
        <v>27436.35</v>
      </c>
      <c r="BQ109">
        <v>18.98</v>
      </c>
      <c r="BR109">
        <v>18.98</v>
      </c>
      <c r="BS109" s="85">
        <v>41930.57</v>
      </c>
      <c r="BT109" s="85">
        <v>29.01</v>
      </c>
      <c r="BU109" s="85">
        <v>29.01</v>
      </c>
      <c r="BX109" t="s">
        <v>481</v>
      </c>
      <c r="CB109" t="s">
        <v>72</v>
      </c>
      <c r="CC109" t="s">
        <v>250</v>
      </c>
      <c r="CE109" t="s">
        <v>530</v>
      </c>
    </row>
    <row r="110" spans="1:83" x14ac:dyDescent="0.35">
      <c r="A110" t="s">
        <v>242</v>
      </c>
      <c r="B110">
        <v>3050535</v>
      </c>
      <c r="C110">
        <v>41651</v>
      </c>
      <c r="D110" t="s">
        <v>502</v>
      </c>
      <c r="E110">
        <v>324261501</v>
      </c>
      <c r="F110" t="s">
        <v>1070</v>
      </c>
      <c r="G110" s="60">
        <v>46054</v>
      </c>
      <c r="H110">
        <v>40920286</v>
      </c>
      <c r="I110" t="s">
        <v>1277</v>
      </c>
      <c r="J110" t="s">
        <v>260</v>
      </c>
      <c r="K110" t="s">
        <v>65</v>
      </c>
      <c r="L110">
        <v>0</v>
      </c>
      <c r="M110">
        <v>0</v>
      </c>
      <c r="N110" t="s">
        <v>264</v>
      </c>
      <c r="O110" t="s">
        <v>264</v>
      </c>
      <c r="P110" t="s">
        <v>498</v>
      </c>
      <c r="Q110">
        <v>265630</v>
      </c>
      <c r="R110">
        <v>1000000</v>
      </c>
      <c r="S110" s="50">
        <v>46056</v>
      </c>
      <c r="T110" s="50">
        <v>46081</v>
      </c>
      <c r="U110" t="s">
        <v>79</v>
      </c>
      <c r="V110" t="s">
        <v>249</v>
      </c>
      <c r="W110" t="s">
        <v>92</v>
      </c>
      <c r="X110" t="s">
        <v>86</v>
      </c>
      <c r="Y110" t="s">
        <v>291</v>
      </c>
      <c r="Z110">
        <v>10573712</v>
      </c>
      <c r="AA110" s="50">
        <v>46081</v>
      </c>
      <c r="AB110" s="87" t="s">
        <v>93</v>
      </c>
      <c r="AC110" s="86">
        <v>370590.42</v>
      </c>
      <c r="AD110" t="s">
        <v>70</v>
      </c>
      <c r="AE110" s="85">
        <v>256.39</v>
      </c>
      <c r="AF110" s="85">
        <v>256.39</v>
      </c>
      <c r="AG110" s="85"/>
      <c r="AH110" s="85"/>
      <c r="AI110" s="85"/>
      <c r="AJ110" s="85"/>
      <c r="AK110" s="85"/>
      <c r="AL110" s="85"/>
      <c r="AM110" s="85"/>
      <c r="AN110" s="85"/>
      <c r="AO110" s="85"/>
      <c r="AP110" s="85"/>
      <c r="AQ110" s="85"/>
      <c r="AR110" s="85"/>
      <c r="AS110" s="85"/>
      <c r="AT110" s="85"/>
      <c r="AU110" s="85"/>
      <c r="AV110" s="85"/>
      <c r="AW110" s="85"/>
      <c r="AX110" s="85"/>
      <c r="AY110" s="85"/>
      <c r="AZ110" s="85"/>
      <c r="BA110" s="85"/>
      <c r="BB110" s="85"/>
      <c r="BC110" s="85"/>
      <c r="BD110" s="85"/>
      <c r="BE110" s="85">
        <v>0</v>
      </c>
      <c r="BF110" s="85">
        <v>0</v>
      </c>
      <c r="BG110" s="85">
        <v>0</v>
      </c>
      <c r="BH110" s="85">
        <v>370590.42</v>
      </c>
      <c r="BI110" s="85">
        <v>256.39</v>
      </c>
      <c r="BJ110" s="85">
        <v>256.39</v>
      </c>
      <c r="BO110">
        <v>22</v>
      </c>
      <c r="BP110" s="86">
        <v>81529.89</v>
      </c>
      <c r="BQ110">
        <v>56.41</v>
      </c>
      <c r="BR110">
        <v>56.41</v>
      </c>
      <c r="BS110" s="85">
        <v>289060.53000000003</v>
      </c>
      <c r="BT110" s="85">
        <v>199.98</v>
      </c>
      <c r="BU110" s="85">
        <v>199.98</v>
      </c>
      <c r="BX110" t="s">
        <v>1278</v>
      </c>
      <c r="BZ110">
        <v>224574</v>
      </c>
      <c r="CA110">
        <v>224574</v>
      </c>
      <c r="CB110" t="s">
        <v>73</v>
      </c>
      <c r="CC110" t="s">
        <v>250</v>
      </c>
      <c r="CE110" t="s">
        <v>530</v>
      </c>
    </row>
    <row r="111" spans="1:83" x14ac:dyDescent="0.35">
      <c r="A111" t="s">
        <v>242</v>
      </c>
      <c r="B111">
        <v>3050535</v>
      </c>
      <c r="C111">
        <v>41651</v>
      </c>
      <c r="D111" t="s">
        <v>1218</v>
      </c>
      <c r="E111">
        <v>324900003</v>
      </c>
      <c r="F111" t="s">
        <v>1116</v>
      </c>
      <c r="G111" s="60">
        <v>46054</v>
      </c>
      <c r="H111">
        <v>40936703</v>
      </c>
      <c r="I111" t="s">
        <v>1279</v>
      </c>
      <c r="J111" t="s">
        <v>482</v>
      </c>
      <c r="K111" t="s">
        <v>65</v>
      </c>
      <c r="L111">
        <v>0</v>
      </c>
      <c r="M111">
        <v>0</v>
      </c>
      <c r="N111" t="s">
        <v>94</v>
      </c>
      <c r="O111" t="s">
        <v>94</v>
      </c>
      <c r="P111" t="s">
        <v>1117</v>
      </c>
      <c r="Q111">
        <v>110597037</v>
      </c>
      <c r="R111">
        <v>1259410</v>
      </c>
      <c r="S111" s="50">
        <v>46068</v>
      </c>
      <c r="T111" s="50">
        <v>46068</v>
      </c>
      <c r="U111" t="s">
        <v>69</v>
      </c>
      <c r="V111" t="s">
        <v>249</v>
      </c>
      <c r="W111" t="s">
        <v>92</v>
      </c>
      <c r="X111" t="s">
        <v>86</v>
      </c>
      <c r="Y111" t="s">
        <v>291</v>
      </c>
      <c r="Z111">
        <v>10573719</v>
      </c>
      <c r="AA111" s="50">
        <v>46081</v>
      </c>
      <c r="AB111" s="87" t="s">
        <v>93</v>
      </c>
      <c r="AC111" s="86">
        <v>1259410</v>
      </c>
      <c r="AD111" t="s">
        <v>70</v>
      </c>
      <c r="AE111" s="85">
        <v>871.32</v>
      </c>
      <c r="AF111" s="85">
        <v>871.32</v>
      </c>
      <c r="AG111" s="85"/>
      <c r="AH111" s="85"/>
      <c r="AI111" s="85"/>
      <c r="AJ111" s="85"/>
      <c r="AK111" s="85"/>
      <c r="AL111" s="85"/>
      <c r="AM111" s="85"/>
      <c r="AN111" s="85"/>
      <c r="AO111" s="85"/>
      <c r="AP111" s="85"/>
      <c r="AQ111" s="85"/>
      <c r="AR111" s="85"/>
      <c r="AS111" s="85"/>
      <c r="AT111" s="85"/>
      <c r="AU111" s="85"/>
      <c r="AV111" s="85"/>
      <c r="AW111" s="85"/>
      <c r="AX111" s="85"/>
      <c r="AY111" s="85"/>
      <c r="AZ111" s="85"/>
      <c r="BA111" s="85"/>
      <c r="BB111" s="85"/>
      <c r="BC111" s="85"/>
      <c r="BD111" s="85"/>
      <c r="BE111" s="85">
        <v>0</v>
      </c>
      <c r="BF111" s="85">
        <v>0</v>
      </c>
      <c r="BG111" s="85">
        <v>0</v>
      </c>
      <c r="BH111" s="85">
        <v>1259410</v>
      </c>
      <c r="BI111" s="85">
        <v>871.32</v>
      </c>
      <c r="BJ111" s="85">
        <v>871.32</v>
      </c>
      <c r="BO111">
        <v>22</v>
      </c>
      <c r="BP111" s="86">
        <v>277070.2</v>
      </c>
      <c r="BQ111">
        <v>191.69</v>
      </c>
      <c r="BR111">
        <v>191.69</v>
      </c>
      <c r="BS111" s="85">
        <v>982339.8</v>
      </c>
      <c r="BT111" s="85">
        <v>679.63</v>
      </c>
      <c r="BU111" s="85">
        <v>679.63</v>
      </c>
      <c r="BW111" t="s">
        <v>527</v>
      </c>
      <c r="BX111" t="s">
        <v>1280</v>
      </c>
      <c r="BZ111">
        <v>224554</v>
      </c>
      <c r="CA111">
        <v>224554</v>
      </c>
      <c r="CB111" t="s">
        <v>76</v>
      </c>
      <c r="CC111" t="s">
        <v>250</v>
      </c>
      <c r="CE111" t="s">
        <v>530</v>
      </c>
    </row>
    <row r="112" spans="1:83" x14ac:dyDescent="0.35">
      <c r="A112" t="s">
        <v>242</v>
      </c>
      <c r="B112">
        <v>3050535</v>
      </c>
      <c r="C112">
        <v>41651</v>
      </c>
      <c r="D112" t="s">
        <v>283</v>
      </c>
      <c r="E112">
        <v>321925201</v>
      </c>
      <c r="F112" t="s">
        <v>637</v>
      </c>
      <c r="G112" s="60">
        <v>46054</v>
      </c>
      <c r="H112">
        <v>40734032</v>
      </c>
      <c r="I112" t="s">
        <v>648</v>
      </c>
      <c r="J112" t="s">
        <v>260</v>
      </c>
      <c r="K112" t="s">
        <v>65</v>
      </c>
      <c r="L112">
        <v>0</v>
      </c>
      <c r="M112">
        <v>0</v>
      </c>
      <c r="N112" t="s">
        <v>108</v>
      </c>
      <c r="O112" t="s">
        <v>108</v>
      </c>
      <c r="P112" t="s">
        <v>104</v>
      </c>
      <c r="Q112">
        <v>292623</v>
      </c>
      <c r="R112">
        <v>6763550</v>
      </c>
      <c r="S112" s="50">
        <v>46017</v>
      </c>
      <c r="T112" s="50">
        <v>46068</v>
      </c>
      <c r="U112" t="s">
        <v>79</v>
      </c>
      <c r="V112" t="s">
        <v>249</v>
      </c>
      <c r="W112" t="s">
        <v>92</v>
      </c>
      <c r="X112" t="s">
        <v>86</v>
      </c>
      <c r="Y112" t="s">
        <v>291</v>
      </c>
      <c r="Z112">
        <v>10573736</v>
      </c>
      <c r="AA112" s="50">
        <v>46081</v>
      </c>
      <c r="AB112" s="87" t="s">
        <v>93</v>
      </c>
      <c r="AC112" s="86">
        <v>1010258.42</v>
      </c>
      <c r="AD112" t="s">
        <v>70</v>
      </c>
      <c r="AE112" s="85">
        <v>698.95</v>
      </c>
      <c r="AF112" s="85">
        <v>698.95</v>
      </c>
      <c r="AG112" s="85"/>
      <c r="AH112" s="85"/>
      <c r="AI112" s="85"/>
      <c r="AJ112" s="85"/>
      <c r="AK112" s="85"/>
      <c r="AL112" s="85"/>
      <c r="AM112" s="85"/>
      <c r="AN112" s="85"/>
      <c r="AO112" s="85"/>
      <c r="AP112" s="85"/>
      <c r="AQ112" s="85"/>
      <c r="AR112" s="85"/>
      <c r="AS112" s="85"/>
      <c r="AT112" s="85"/>
      <c r="AU112" s="85"/>
      <c r="AV112" s="85"/>
      <c r="AW112" s="85"/>
      <c r="AX112" s="85"/>
      <c r="AY112" s="85"/>
      <c r="AZ112" s="85"/>
      <c r="BA112" s="85"/>
      <c r="BB112" s="85"/>
      <c r="BC112" s="85"/>
      <c r="BD112" s="85"/>
      <c r="BE112" s="85">
        <v>0</v>
      </c>
      <c r="BF112" s="85">
        <v>0</v>
      </c>
      <c r="BG112" s="85">
        <v>0</v>
      </c>
      <c r="BH112" s="85">
        <v>1010258.42</v>
      </c>
      <c r="BI112" s="85">
        <v>698.95</v>
      </c>
      <c r="BJ112" s="85">
        <v>698.95</v>
      </c>
      <c r="BO112">
        <v>39.549999999999997</v>
      </c>
      <c r="BP112" s="86">
        <v>399582.46</v>
      </c>
      <c r="BQ112">
        <v>276.45</v>
      </c>
      <c r="BR112">
        <v>276.45</v>
      </c>
      <c r="BS112" s="85">
        <v>610675.96</v>
      </c>
      <c r="BT112" s="85">
        <v>422.5</v>
      </c>
      <c r="BU112" s="85">
        <v>422.5</v>
      </c>
      <c r="BX112" t="s">
        <v>643</v>
      </c>
      <c r="BZ112">
        <v>224529</v>
      </c>
      <c r="CA112">
        <v>224529</v>
      </c>
      <c r="CB112" t="s">
        <v>73</v>
      </c>
      <c r="CC112" t="s">
        <v>250</v>
      </c>
      <c r="CE112" t="s">
        <v>530</v>
      </c>
    </row>
    <row r="113" spans="1:83" x14ac:dyDescent="0.35">
      <c r="A113" t="s">
        <v>242</v>
      </c>
      <c r="B113">
        <v>3050535</v>
      </c>
      <c r="C113">
        <v>41651</v>
      </c>
      <c r="D113" t="s">
        <v>1232</v>
      </c>
      <c r="E113">
        <v>321793003</v>
      </c>
      <c r="F113" t="s">
        <v>915</v>
      </c>
      <c r="G113" s="60">
        <v>46054</v>
      </c>
      <c r="H113">
        <v>40888507</v>
      </c>
      <c r="I113" t="s">
        <v>1281</v>
      </c>
      <c r="J113" t="s">
        <v>482</v>
      </c>
      <c r="K113" t="s">
        <v>65</v>
      </c>
      <c r="L113">
        <v>0</v>
      </c>
      <c r="M113">
        <v>0</v>
      </c>
      <c r="P113" t="s">
        <v>917</v>
      </c>
      <c r="Q113">
        <v>294134</v>
      </c>
      <c r="R113">
        <v>2565000</v>
      </c>
      <c r="S113" s="50">
        <v>46061</v>
      </c>
      <c r="T113" s="50">
        <v>46061</v>
      </c>
      <c r="U113" t="s">
        <v>79</v>
      </c>
      <c r="V113" t="s">
        <v>249</v>
      </c>
      <c r="W113" t="s">
        <v>92</v>
      </c>
      <c r="X113" t="s">
        <v>86</v>
      </c>
      <c r="Y113" t="s">
        <v>291</v>
      </c>
      <c r="Z113">
        <v>10573627</v>
      </c>
      <c r="AA113" s="50">
        <v>46081</v>
      </c>
      <c r="AB113" s="87" t="s">
        <v>93</v>
      </c>
      <c r="AC113" s="86">
        <v>2565000</v>
      </c>
      <c r="AD113" t="s">
        <v>70</v>
      </c>
      <c r="AE113" s="85">
        <v>1774.6</v>
      </c>
      <c r="AF113" s="85">
        <v>1774.6</v>
      </c>
      <c r="AG113" s="85"/>
      <c r="AH113" s="85"/>
      <c r="AI113" s="85"/>
      <c r="AJ113" s="85"/>
      <c r="AK113" s="85"/>
      <c r="AL113" s="85"/>
      <c r="AM113" s="85"/>
      <c r="AN113" s="85"/>
      <c r="AO113" s="85"/>
      <c r="AP113" s="85"/>
      <c r="AQ113" s="85"/>
      <c r="AR113" s="85"/>
      <c r="AS113" s="85"/>
      <c r="AT113" s="85"/>
      <c r="AU113" s="85"/>
      <c r="AV113" s="85"/>
      <c r="AW113" s="85"/>
      <c r="AX113" s="85"/>
      <c r="AY113" s="85"/>
      <c r="AZ113" s="85"/>
      <c r="BA113" s="85"/>
      <c r="BB113" s="85"/>
      <c r="BC113" s="85"/>
      <c r="BD113" s="85"/>
      <c r="BE113" s="85">
        <v>0</v>
      </c>
      <c r="BF113" s="85">
        <v>0</v>
      </c>
      <c r="BG113" s="85">
        <v>0</v>
      </c>
      <c r="BH113" s="85">
        <v>2565000</v>
      </c>
      <c r="BI113" s="85">
        <v>1774.6</v>
      </c>
      <c r="BJ113" s="85">
        <v>1774.6</v>
      </c>
      <c r="BO113">
        <v>39.549999999999997</v>
      </c>
      <c r="BP113" s="86">
        <v>1014521.63</v>
      </c>
      <c r="BQ113">
        <v>701.9</v>
      </c>
      <c r="BR113">
        <v>701.9</v>
      </c>
      <c r="BS113" s="85">
        <v>1550478.37</v>
      </c>
      <c r="BT113" s="85">
        <v>1072.7</v>
      </c>
      <c r="BU113" s="85">
        <v>1072.7</v>
      </c>
      <c r="BW113" t="s">
        <v>286</v>
      </c>
      <c r="BX113" t="s">
        <v>1234</v>
      </c>
      <c r="CB113" t="s">
        <v>76</v>
      </c>
      <c r="CC113" t="s">
        <v>250</v>
      </c>
      <c r="CE113" t="s">
        <v>530</v>
      </c>
    </row>
    <row r="114" spans="1:83" x14ac:dyDescent="0.35">
      <c r="A114" t="s">
        <v>242</v>
      </c>
      <c r="B114">
        <v>3050535</v>
      </c>
      <c r="C114">
        <v>41651</v>
      </c>
      <c r="D114" t="s">
        <v>262</v>
      </c>
      <c r="E114">
        <v>320938401</v>
      </c>
      <c r="F114" t="s">
        <v>632</v>
      </c>
      <c r="G114" s="60">
        <v>46054</v>
      </c>
      <c r="H114">
        <v>40617267</v>
      </c>
      <c r="I114" t="s">
        <v>651</v>
      </c>
      <c r="J114" t="s">
        <v>260</v>
      </c>
      <c r="K114" t="s">
        <v>65</v>
      </c>
      <c r="L114">
        <v>0</v>
      </c>
      <c r="M114">
        <v>0</v>
      </c>
      <c r="N114" t="s">
        <v>561</v>
      </c>
      <c r="O114" t="s">
        <v>561</v>
      </c>
      <c r="P114" t="s">
        <v>257</v>
      </c>
      <c r="Q114">
        <v>57936819</v>
      </c>
      <c r="R114">
        <v>19250000.57</v>
      </c>
      <c r="S114" s="50">
        <v>45995</v>
      </c>
      <c r="T114" s="50">
        <v>46081</v>
      </c>
      <c r="U114" t="s">
        <v>69</v>
      </c>
      <c r="V114" t="s">
        <v>249</v>
      </c>
      <c r="W114" t="s">
        <v>92</v>
      </c>
      <c r="X114" t="s">
        <v>86</v>
      </c>
      <c r="Y114" t="s">
        <v>291</v>
      </c>
      <c r="Z114">
        <v>10573653</v>
      </c>
      <c r="AA114" s="50">
        <v>46081</v>
      </c>
      <c r="AB114" s="87" t="s">
        <v>93</v>
      </c>
      <c r="AC114" s="86">
        <v>2515517.34</v>
      </c>
      <c r="AD114" t="s">
        <v>70</v>
      </c>
      <c r="AE114" s="85">
        <v>1740.36</v>
      </c>
      <c r="AF114" s="85">
        <v>1740.36</v>
      </c>
      <c r="AG114" s="85"/>
      <c r="AH114" s="85"/>
      <c r="AI114" s="85"/>
      <c r="AJ114" s="85"/>
      <c r="AK114" s="85"/>
      <c r="AL114" s="85"/>
      <c r="AM114" s="85"/>
      <c r="AN114" s="85"/>
      <c r="AO114" s="85"/>
      <c r="AP114" s="85"/>
      <c r="AQ114" s="85"/>
      <c r="AR114" s="85"/>
      <c r="AS114" s="85"/>
      <c r="AT114" s="85"/>
      <c r="AU114" s="85"/>
      <c r="AV114" s="85"/>
      <c r="AW114" s="85"/>
      <c r="AX114" s="85"/>
      <c r="AY114" s="85"/>
      <c r="AZ114" s="85"/>
      <c r="BA114" s="85"/>
      <c r="BB114" s="85"/>
      <c r="BC114" s="85"/>
      <c r="BD114" s="85"/>
      <c r="BE114" s="85">
        <v>0</v>
      </c>
      <c r="BF114" s="85">
        <v>0</v>
      </c>
      <c r="BG114" s="85">
        <v>0</v>
      </c>
      <c r="BH114" s="85">
        <v>2515517.34</v>
      </c>
      <c r="BI114" s="85">
        <v>1740.36</v>
      </c>
      <c r="BJ114" s="85">
        <v>1740.36</v>
      </c>
      <c r="BO114">
        <v>39.549999999999997</v>
      </c>
      <c r="BP114" s="86">
        <v>994950</v>
      </c>
      <c r="BQ114">
        <v>688.36</v>
      </c>
      <c r="BR114">
        <v>688.36</v>
      </c>
      <c r="BS114" s="85">
        <v>1520567.34</v>
      </c>
      <c r="BT114" s="85">
        <v>1052</v>
      </c>
      <c r="BU114" s="85">
        <v>1052</v>
      </c>
      <c r="BX114" t="s">
        <v>641</v>
      </c>
      <c r="BZ114">
        <v>224573</v>
      </c>
      <c r="CA114">
        <v>224573</v>
      </c>
      <c r="CB114" t="s">
        <v>73</v>
      </c>
      <c r="CC114" t="s">
        <v>250</v>
      </c>
      <c r="CE114" t="s">
        <v>530</v>
      </c>
    </row>
    <row r="115" spans="1:83" x14ac:dyDescent="0.35">
      <c r="A115" t="s">
        <v>242</v>
      </c>
      <c r="B115">
        <v>3050535</v>
      </c>
      <c r="C115">
        <v>41651</v>
      </c>
      <c r="D115" t="s">
        <v>552</v>
      </c>
      <c r="E115">
        <v>322531401</v>
      </c>
      <c r="F115" t="s">
        <v>692</v>
      </c>
      <c r="G115" s="60">
        <v>46054</v>
      </c>
      <c r="H115">
        <v>40881162</v>
      </c>
      <c r="I115" t="s">
        <v>1282</v>
      </c>
      <c r="J115" t="s">
        <v>260</v>
      </c>
      <c r="K115" t="s">
        <v>65</v>
      </c>
      <c r="L115">
        <v>0</v>
      </c>
      <c r="M115">
        <v>0</v>
      </c>
      <c r="N115" t="s">
        <v>255</v>
      </c>
      <c r="O115" t="s">
        <v>255</v>
      </c>
      <c r="P115" t="s">
        <v>548</v>
      </c>
      <c r="Q115">
        <v>7000116</v>
      </c>
      <c r="R115">
        <v>12650000</v>
      </c>
      <c r="S115" s="50">
        <v>46035</v>
      </c>
      <c r="T115" s="50">
        <v>46081</v>
      </c>
      <c r="U115" t="s">
        <v>79</v>
      </c>
      <c r="V115" t="s">
        <v>249</v>
      </c>
      <c r="W115" t="s">
        <v>92</v>
      </c>
      <c r="X115" t="s">
        <v>86</v>
      </c>
      <c r="Y115" t="s">
        <v>291</v>
      </c>
      <c r="Z115">
        <v>10573696</v>
      </c>
      <c r="AA115" s="50">
        <v>46081</v>
      </c>
      <c r="AB115" s="87" t="s">
        <v>93</v>
      </c>
      <c r="AC115" s="86">
        <v>672.64</v>
      </c>
      <c r="AD115" t="s">
        <v>70</v>
      </c>
      <c r="AE115" s="85">
        <v>0.47</v>
      </c>
      <c r="AF115" s="85">
        <v>0.47</v>
      </c>
      <c r="AG115" s="85"/>
      <c r="AH115" s="85"/>
      <c r="AI115" s="85"/>
      <c r="AJ115" s="85"/>
      <c r="AK115" s="85"/>
      <c r="AL115" s="85"/>
      <c r="AM115" s="85"/>
      <c r="AN115" s="85"/>
      <c r="AO115" s="85"/>
      <c r="AP115" s="85"/>
      <c r="AQ115" s="85"/>
      <c r="AR115" s="85"/>
      <c r="AS115" s="85"/>
      <c r="AT115" s="85"/>
      <c r="AU115" s="85"/>
      <c r="AV115" s="85"/>
      <c r="AW115" s="85"/>
      <c r="AX115" s="85"/>
      <c r="AY115" s="85"/>
      <c r="AZ115" s="85"/>
      <c r="BA115" s="85"/>
      <c r="BB115" s="85"/>
      <c r="BC115" s="85"/>
      <c r="BD115" s="85"/>
      <c r="BE115" s="85">
        <v>0</v>
      </c>
      <c r="BF115" s="85">
        <v>0</v>
      </c>
      <c r="BG115" s="85">
        <v>0</v>
      </c>
      <c r="BH115" s="85">
        <v>672.64</v>
      </c>
      <c r="BI115" s="85">
        <v>0.47</v>
      </c>
      <c r="BJ115" s="85">
        <v>0.47</v>
      </c>
      <c r="BO115">
        <v>39.549999999999997</v>
      </c>
      <c r="BP115" s="86">
        <v>266.05</v>
      </c>
      <c r="BQ115">
        <v>0.18</v>
      </c>
      <c r="BR115">
        <v>0.18</v>
      </c>
      <c r="BS115" s="85">
        <v>406.59</v>
      </c>
      <c r="BT115" s="85">
        <v>0.28999999999999998</v>
      </c>
      <c r="BU115" s="85">
        <v>0.28999999999999998</v>
      </c>
      <c r="BX115" t="s">
        <v>731</v>
      </c>
      <c r="BZ115">
        <v>63304606</v>
      </c>
      <c r="CA115">
        <v>63304606</v>
      </c>
      <c r="CB115" t="s">
        <v>73</v>
      </c>
      <c r="CC115" t="s">
        <v>250</v>
      </c>
      <c r="CE115" t="s">
        <v>530</v>
      </c>
    </row>
    <row r="116" spans="1:83" x14ac:dyDescent="0.35">
      <c r="A116" t="s">
        <v>242</v>
      </c>
      <c r="B116">
        <v>3050535</v>
      </c>
      <c r="C116">
        <v>41651</v>
      </c>
      <c r="D116" t="s">
        <v>552</v>
      </c>
      <c r="E116">
        <v>322531401</v>
      </c>
      <c r="F116" t="s">
        <v>692</v>
      </c>
      <c r="G116" s="60">
        <v>46054</v>
      </c>
      <c r="H116">
        <v>40958403</v>
      </c>
      <c r="I116" t="s">
        <v>1283</v>
      </c>
      <c r="J116" t="s">
        <v>260</v>
      </c>
      <c r="K116" t="s">
        <v>65</v>
      </c>
      <c r="L116">
        <v>0</v>
      </c>
      <c r="M116">
        <v>0</v>
      </c>
      <c r="N116" t="s">
        <v>255</v>
      </c>
      <c r="O116" t="s">
        <v>255</v>
      </c>
      <c r="P116" t="s">
        <v>548</v>
      </c>
      <c r="Q116">
        <v>7000116</v>
      </c>
      <c r="R116">
        <v>12650000</v>
      </c>
      <c r="S116" s="50">
        <v>46035</v>
      </c>
      <c r="T116" s="50">
        <v>46081</v>
      </c>
      <c r="U116" t="s">
        <v>79</v>
      </c>
      <c r="V116" t="s">
        <v>249</v>
      </c>
      <c r="W116" t="s">
        <v>92</v>
      </c>
      <c r="X116" t="s">
        <v>86</v>
      </c>
      <c r="Y116" t="s">
        <v>291</v>
      </c>
      <c r="Z116">
        <v>10573696</v>
      </c>
      <c r="AA116" s="50">
        <v>46081</v>
      </c>
      <c r="AB116" s="87" t="s">
        <v>93</v>
      </c>
      <c r="AC116" s="86">
        <v>47860.88</v>
      </c>
      <c r="AD116" t="s">
        <v>70</v>
      </c>
      <c r="AE116" s="85">
        <v>33.11</v>
      </c>
      <c r="AF116" s="85">
        <v>33.11</v>
      </c>
      <c r="AG116" s="85"/>
      <c r="AH116" s="85"/>
      <c r="AI116" s="85"/>
      <c r="AJ116" s="85"/>
      <c r="AK116" s="85"/>
      <c r="AL116" s="85"/>
      <c r="AM116" s="85"/>
      <c r="AN116" s="85"/>
      <c r="AO116" s="85"/>
      <c r="AP116" s="85"/>
      <c r="AQ116" s="85"/>
      <c r="AR116" s="85"/>
      <c r="AS116" s="85"/>
      <c r="AT116" s="85"/>
      <c r="AU116" s="85"/>
      <c r="AV116" s="85"/>
      <c r="AW116" s="85"/>
      <c r="AX116" s="85"/>
      <c r="AY116" s="85"/>
      <c r="AZ116" s="85"/>
      <c r="BA116" s="85"/>
      <c r="BB116" s="85"/>
      <c r="BC116" s="85"/>
      <c r="BD116" s="85"/>
      <c r="BE116" s="85">
        <v>0</v>
      </c>
      <c r="BF116" s="85">
        <v>0</v>
      </c>
      <c r="BG116" s="85">
        <v>0</v>
      </c>
      <c r="BH116" s="85">
        <v>47860.88</v>
      </c>
      <c r="BI116" s="85">
        <v>33.11</v>
      </c>
      <c r="BJ116" s="85">
        <v>33.11</v>
      </c>
      <c r="BO116">
        <v>39.549999999999997</v>
      </c>
      <c r="BP116" s="86">
        <v>18930.18</v>
      </c>
      <c r="BQ116">
        <v>13.1</v>
      </c>
      <c r="BR116">
        <v>13.1</v>
      </c>
      <c r="BS116" s="85">
        <v>28930.7</v>
      </c>
      <c r="BT116" s="85">
        <v>20.010000000000002</v>
      </c>
      <c r="BU116" s="85">
        <v>20.010000000000002</v>
      </c>
      <c r="BX116" t="s">
        <v>731</v>
      </c>
      <c r="BZ116">
        <v>63304606</v>
      </c>
      <c r="CA116">
        <v>63304606</v>
      </c>
      <c r="CB116" t="s">
        <v>73</v>
      </c>
      <c r="CC116" t="s">
        <v>250</v>
      </c>
      <c r="CE116" t="s">
        <v>530</v>
      </c>
    </row>
    <row r="117" spans="1:83" x14ac:dyDescent="0.35">
      <c r="A117" t="s">
        <v>242</v>
      </c>
      <c r="B117">
        <v>3050535</v>
      </c>
      <c r="C117">
        <v>41651</v>
      </c>
      <c r="D117" t="s">
        <v>552</v>
      </c>
      <c r="E117">
        <v>322531401</v>
      </c>
      <c r="F117" t="s">
        <v>692</v>
      </c>
      <c r="G117" s="60">
        <v>46054</v>
      </c>
      <c r="H117">
        <v>40881162</v>
      </c>
      <c r="I117" t="s">
        <v>1282</v>
      </c>
      <c r="J117" t="s">
        <v>260</v>
      </c>
      <c r="K117" t="s">
        <v>65</v>
      </c>
      <c r="L117">
        <v>0</v>
      </c>
      <c r="M117">
        <v>0</v>
      </c>
      <c r="N117" t="s">
        <v>255</v>
      </c>
      <c r="O117" t="s">
        <v>255</v>
      </c>
      <c r="P117" t="s">
        <v>548</v>
      </c>
      <c r="Q117">
        <v>7000116</v>
      </c>
      <c r="R117">
        <v>12650000</v>
      </c>
      <c r="S117" s="50">
        <v>46035</v>
      </c>
      <c r="T117" s="50">
        <v>46081</v>
      </c>
      <c r="U117" t="s">
        <v>79</v>
      </c>
      <c r="V117" t="s">
        <v>249</v>
      </c>
      <c r="W117" t="s">
        <v>92</v>
      </c>
      <c r="X117" t="s">
        <v>86</v>
      </c>
      <c r="Y117" t="s">
        <v>291</v>
      </c>
      <c r="Z117">
        <v>10573696</v>
      </c>
      <c r="AA117" s="50">
        <v>46081</v>
      </c>
      <c r="AB117" s="87" t="s">
        <v>93</v>
      </c>
      <c r="AC117" s="86">
        <v>149410.04</v>
      </c>
      <c r="AD117" t="s">
        <v>70</v>
      </c>
      <c r="AE117" s="85">
        <v>103.37</v>
      </c>
      <c r="AF117" s="85">
        <v>103.37</v>
      </c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>
        <v>0</v>
      </c>
      <c r="BF117" s="85">
        <v>0</v>
      </c>
      <c r="BG117" s="85">
        <v>0</v>
      </c>
      <c r="BH117" s="85">
        <v>149410.04</v>
      </c>
      <c r="BI117" s="85">
        <v>103.37</v>
      </c>
      <c r="BJ117" s="85">
        <v>103.37</v>
      </c>
      <c r="BO117">
        <v>39.549999999999997</v>
      </c>
      <c r="BP117" s="86">
        <v>59095.41</v>
      </c>
      <c r="BQ117">
        <v>40.89</v>
      </c>
      <c r="BR117">
        <v>40.89</v>
      </c>
      <c r="BS117" s="85">
        <v>90314.63</v>
      </c>
      <c r="BT117" s="85">
        <v>62.48</v>
      </c>
      <c r="BU117" s="85">
        <v>62.48</v>
      </c>
      <c r="BX117" t="s">
        <v>731</v>
      </c>
      <c r="BZ117">
        <v>63304606</v>
      </c>
      <c r="CA117">
        <v>63304606</v>
      </c>
      <c r="CB117" t="s">
        <v>73</v>
      </c>
      <c r="CC117" t="s">
        <v>250</v>
      </c>
      <c r="CE117" t="s">
        <v>530</v>
      </c>
    </row>
    <row r="118" spans="1:83" x14ac:dyDescent="0.35">
      <c r="A118" t="s">
        <v>242</v>
      </c>
      <c r="B118">
        <v>3050535</v>
      </c>
      <c r="C118">
        <v>41651</v>
      </c>
      <c r="D118" t="s">
        <v>591</v>
      </c>
      <c r="E118">
        <v>316315701</v>
      </c>
      <c r="F118" t="s">
        <v>854</v>
      </c>
      <c r="G118" s="60">
        <v>46054</v>
      </c>
      <c r="H118">
        <v>40921482</v>
      </c>
      <c r="I118" t="s">
        <v>1284</v>
      </c>
      <c r="J118" t="s">
        <v>482</v>
      </c>
      <c r="K118" t="s">
        <v>65</v>
      </c>
      <c r="L118">
        <v>0</v>
      </c>
      <c r="M118">
        <v>0</v>
      </c>
      <c r="N118" t="s">
        <v>522</v>
      </c>
      <c r="O118" t="s">
        <v>522</v>
      </c>
      <c r="P118" t="s">
        <v>287</v>
      </c>
      <c r="Q118">
        <v>148610446</v>
      </c>
      <c r="R118">
        <v>801900</v>
      </c>
      <c r="S118" s="50">
        <v>46066</v>
      </c>
      <c r="T118" s="50">
        <v>46066</v>
      </c>
      <c r="U118" t="s">
        <v>69</v>
      </c>
      <c r="V118" t="s">
        <v>249</v>
      </c>
      <c r="W118" t="s">
        <v>92</v>
      </c>
      <c r="X118" t="s">
        <v>86</v>
      </c>
      <c r="Y118" t="s">
        <v>291</v>
      </c>
      <c r="Z118">
        <v>10573735</v>
      </c>
      <c r="AA118" s="50">
        <v>46081</v>
      </c>
      <c r="AB118" s="87" t="s">
        <v>93</v>
      </c>
      <c r="AC118" s="86">
        <v>801900</v>
      </c>
      <c r="AD118" t="s">
        <v>70</v>
      </c>
      <c r="AE118" s="85">
        <v>554.79999999999995</v>
      </c>
      <c r="AF118" s="85">
        <v>554.79999999999995</v>
      </c>
      <c r="AG118" s="85"/>
      <c r="AH118" s="85"/>
      <c r="AI118" s="85"/>
      <c r="AJ118" s="85"/>
      <c r="AK118" s="85"/>
      <c r="AL118" s="85"/>
      <c r="AM118" s="85"/>
      <c r="AN118" s="85"/>
      <c r="AO118" s="85"/>
      <c r="AP118" s="85"/>
      <c r="AQ118" s="85"/>
      <c r="AR118" s="85"/>
      <c r="AS118" s="85"/>
      <c r="AT118" s="85"/>
      <c r="AU118" s="85"/>
      <c r="AV118" s="85"/>
      <c r="AW118" s="85"/>
      <c r="AX118" s="85"/>
      <c r="AY118" s="85"/>
      <c r="AZ118" s="85"/>
      <c r="BA118" s="85"/>
      <c r="BB118" s="85"/>
      <c r="BC118" s="85"/>
      <c r="BD118" s="85"/>
      <c r="BE118" s="85">
        <v>0</v>
      </c>
      <c r="BF118" s="85">
        <v>0</v>
      </c>
      <c r="BG118" s="85">
        <v>0</v>
      </c>
      <c r="BH118" s="85">
        <v>801900</v>
      </c>
      <c r="BI118" s="85">
        <v>554.79999999999995</v>
      </c>
      <c r="BJ118" s="85">
        <v>554.79999999999995</v>
      </c>
      <c r="BO118">
        <v>39.549999999999997</v>
      </c>
      <c r="BP118" s="86">
        <v>317171.5</v>
      </c>
      <c r="BQ118">
        <v>219.44</v>
      </c>
      <c r="BR118">
        <v>219.44</v>
      </c>
      <c r="BS118" s="85">
        <v>484728.5</v>
      </c>
      <c r="BT118" s="85">
        <v>335.36</v>
      </c>
      <c r="BU118" s="85">
        <v>335.36</v>
      </c>
      <c r="BW118" t="s">
        <v>527</v>
      </c>
      <c r="BX118" t="s">
        <v>1285</v>
      </c>
      <c r="BZ118">
        <v>192377147</v>
      </c>
      <c r="CA118">
        <v>192377147</v>
      </c>
      <c r="CB118" t="s">
        <v>76</v>
      </c>
      <c r="CC118" t="s">
        <v>250</v>
      </c>
      <c r="CE118" t="s">
        <v>530</v>
      </c>
    </row>
    <row r="119" spans="1:83" x14ac:dyDescent="0.35">
      <c r="A119" t="s">
        <v>242</v>
      </c>
      <c r="B119">
        <v>3050535</v>
      </c>
      <c r="C119">
        <v>41651</v>
      </c>
      <c r="D119" t="s">
        <v>591</v>
      </c>
      <c r="E119">
        <v>316315702</v>
      </c>
      <c r="F119" t="s">
        <v>854</v>
      </c>
      <c r="G119" s="60">
        <v>46054</v>
      </c>
      <c r="H119">
        <v>40921478</v>
      </c>
      <c r="I119" t="s">
        <v>1286</v>
      </c>
      <c r="J119" t="s">
        <v>482</v>
      </c>
      <c r="K119" t="s">
        <v>65</v>
      </c>
      <c r="L119">
        <v>0</v>
      </c>
      <c r="M119">
        <v>0</v>
      </c>
      <c r="N119" t="s">
        <v>522</v>
      </c>
      <c r="O119" t="s">
        <v>522</v>
      </c>
      <c r="P119" t="s">
        <v>287</v>
      </c>
      <c r="Q119">
        <v>148610446</v>
      </c>
      <c r="R119">
        <v>2308500</v>
      </c>
      <c r="S119" s="50">
        <v>46066</v>
      </c>
      <c r="T119" s="50">
        <v>46066</v>
      </c>
      <c r="U119" t="s">
        <v>69</v>
      </c>
      <c r="V119" t="s">
        <v>249</v>
      </c>
      <c r="W119" t="s">
        <v>92</v>
      </c>
      <c r="X119" t="s">
        <v>86</v>
      </c>
      <c r="Y119" t="s">
        <v>291</v>
      </c>
      <c r="Z119">
        <v>10573735</v>
      </c>
      <c r="AA119" s="50">
        <v>46081</v>
      </c>
      <c r="AB119" s="87" t="s">
        <v>93</v>
      </c>
      <c r="AC119" s="86">
        <v>2308500</v>
      </c>
      <c r="AD119" t="s">
        <v>70</v>
      </c>
      <c r="AE119" s="85">
        <v>1597.14</v>
      </c>
      <c r="AF119" s="85">
        <v>1597.14</v>
      </c>
      <c r="AG119" s="85"/>
      <c r="AH119" s="85"/>
      <c r="AI119" s="85"/>
      <c r="AJ119" s="85"/>
      <c r="AK119" s="85"/>
      <c r="AL119" s="85"/>
      <c r="AM119" s="85"/>
      <c r="AN119" s="85"/>
      <c r="AO119" s="85"/>
      <c r="AP119" s="85"/>
      <c r="AQ119" s="85"/>
      <c r="AR119" s="85"/>
      <c r="AS119" s="85"/>
      <c r="AT119" s="85"/>
      <c r="AU119" s="85"/>
      <c r="AV119" s="85"/>
      <c r="AW119" s="85"/>
      <c r="AX119" s="85"/>
      <c r="AY119" s="85"/>
      <c r="AZ119" s="85"/>
      <c r="BA119" s="85"/>
      <c r="BB119" s="85"/>
      <c r="BC119" s="85"/>
      <c r="BD119" s="85"/>
      <c r="BE119" s="85">
        <v>0</v>
      </c>
      <c r="BF119" s="85">
        <v>0</v>
      </c>
      <c r="BG119" s="85">
        <v>0</v>
      </c>
      <c r="BH119" s="85">
        <v>2308500</v>
      </c>
      <c r="BI119" s="85">
        <v>1597.14</v>
      </c>
      <c r="BJ119" s="85">
        <v>1597.14</v>
      </c>
      <c r="BO119">
        <v>39.549999999999997</v>
      </c>
      <c r="BP119" s="86">
        <v>913069.46</v>
      </c>
      <c r="BQ119">
        <v>631.71</v>
      </c>
      <c r="BR119">
        <v>631.71</v>
      </c>
      <c r="BS119" s="85">
        <v>1395430.54</v>
      </c>
      <c r="BT119" s="85">
        <v>965.43</v>
      </c>
      <c r="BU119" s="85">
        <v>965.43</v>
      </c>
      <c r="BW119" t="s">
        <v>286</v>
      </c>
      <c r="BX119" t="s">
        <v>1285</v>
      </c>
      <c r="BZ119">
        <v>192377147</v>
      </c>
      <c r="CA119">
        <v>192377147</v>
      </c>
      <c r="CB119" t="s">
        <v>76</v>
      </c>
      <c r="CC119" t="s">
        <v>250</v>
      </c>
      <c r="CE119" t="s">
        <v>530</v>
      </c>
    </row>
    <row r="120" spans="1:83" x14ac:dyDescent="0.35">
      <c r="A120" t="s">
        <v>242</v>
      </c>
      <c r="B120">
        <v>3050535</v>
      </c>
      <c r="C120">
        <v>41651</v>
      </c>
      <c r="D120" t="s">
        <v>591</v>
      </c>
      <c r="E120">
        <v>322203301</v>
      </c>
      <c r="F120" t="s">
        <v>679</v>
      </c>
      <c r="G120" s="60">
        <v>46054</v>
      </c>
      <c r="H120">
        <v>40881965</v>
      </c>
      <c r="I120" t="s">
        <v>1287</v>
      </c>
      <c r="J120" t="s">
        <v>260</v>
      </c>
      <c r="K120" t="s">
        <v>65</v>
      </c>
      <c r="L120">
        <v>0</v>
      </c>
      <c r="M120">
        <v>0</v>
      </c>
      <c r="N120" t="s">
        <v>522</v>
      </c>
      <c r="O120" t="s">
        <v>522</v>
      </c>
      <c r="P120" t="s">
        <v>287</v>
      </c>
      <c r="Q120">
        <v>148610446</v>
      </c>
      <c r="R120">
        <v>15550000</v>
      </c>
      <c r="S120" s="50">
        <v>46027</v>
      </c>
      <c r="T120" s="50">
        <v>46081</v>
      </c>
      <c r="U120" t="s">
        <v>69</v>
      </c>
      <c r="V120" t="s">
        <v>249</v>
      </c>
      <c r="W120" t="s">
        <v>92</v>
      </c>
      <c r="X120" t="s">
        <v>86</v>
      </c>
      <c r="Y120" t="s">
        <v>291</v>
      </c>
      <c r="Z120">
        <v>10573704</v>
      </c>
      <c r="AA120" s="50">
        <v>46081</v>
      </c>
      <c r="AB120" s="87" t="s">
        <v>93</v>
      </c>
      <c r="AC120" s="86">
        <v>1372869.67</v>
      </c>
      <c r="AD120" t="s">
        <v>70</v>
      </c>
      <c r="AE120" s="85">
        <v>949.82</v>
      </c>
      <c r="AF120" s="85">
        <v>949.82</v>
      </c>
      <c r="AG120" s="85"/>
      <c r="AH120" s="85"/>
      <c r="AI120" s="85"/>
      <c r="AJ120" s="85"/>
      <c r="AK120" s="85"/>
      <c r="AL120" s="85"/>
      <c r="AM120" s="85"/>
      <c r="AN120" s="85"/>
      <c r="AO120" s="85"/>
      <c r="AP120" s="85"/>
      <c r="AQ120" s="85"/>
      <c r="AR120" s="85"/>
      <c r="AS120" s="85"/>
      <c r="AT120" s="85"/>
      <c r="AU120" s="85"/>
      <c r="AV120" s="85"/>
      <c r="AW120" s="85"/>
      <c r="AX120" s="85"/>
      <c r="AY120" s="85"/>
      <c r="AZ120" s="85"/>
      <c r="BA120" s="85"/>
      <c r="BB120" s="85"/>
      <c r="BC120" s="85"/>
      <c r="BD120" s="85"/>
      <c r="BE120" s="85">
        <v>0</v>
      </c>
      <c r="BF120" s="85">
        <v>0</v>
      </c>
      <c r="BG120" s="85">
        <v>0</v>
      </c>
      <c r="BH120" s="85">
        <v>1372869.67</v>
      </c>
      <c r="BI120" s="85">
        <v>949.82</v>
      </c>
      <c r="BJ120" s="85">
        <v>949.82</v>
      </c>
      <c r="BO120">
        <v>39.549999999999997</v>
      </c>
      <c r="BP120" s="86">
        <v>543004.28</v>
      </c>
      <c r="BQ120">
        <v>375.68</v>
      </c>
      <c r="BR120">
        <v>375.68</v>
      </c>
      <c r="BS120" s="85">
        <v>829865.39</v>
      </c>
      <c r="BT120" s="85">
        <v>574.14</v>
      </c>
      <c r="BU120" s="85">
        <v>574.14</v>
      </c>
      <c r="BX120" t="s">
        <v>738</v>
      </c>
      <c r="BZ120">
        <v>192377147</v>
      </c>
      <c r="CA120">
        <v>192377147</v>
      </c>
      <c r="CB120" t="s">
        <v>72</v>
      </c>
      <c r="CC120" t="s">
        <v>250</v>
      </c>
      <c r="CE120" t="s">
        <v>530</v>
      </c>
    </row>
    <row r="121" spans="1:83" x14ac:dyDescent="0.35">
      <c r="A121" t="s">
        <v>242</v>
      </c>
      <c r="B121">
        <v>3050535</v>
      </c>
      <c r="C121">
        <v>41651</v>
      </c>
      <c r="E121">
        <v>322257401</v>
      </c>
      <c r="F121" t="s">
        <v>684</v>
      </c>
      <c r="G121" s="60">
        <v>46054</v>
      </c>
      <c r="I121" t="s">
        <v>1214</v>
      </c>
      <c r="J121" t="s">
        <v>260</v>
      </c>
      <c r="K121" t="s">
        <v>65</v>
      </c>
      <c r="N121" t="s">
        <v>100</v>
      </c>
      <c r="O121" t="s">
        <v>100</v>
      </c>
      <c r="P121" t="s">
        <v>115</v>
      </c>
      <c r="Q121">
        <v>100986</v>
      </c>
      <c r="R121">
        <v>5500000</v>
      </c>
      <c r="S121" s="50"/>
      <c r="T121" s="50"/>
      <c r="U121" t="s">
        <v>69</v>
      </c>
      <c r="V121" t="s">
        <v>249</v>
      </c>
      <c r="W121" t="s">
        <v>92</v>
      </c>
      <c r="X121" t="s">
        <v>86</v>
      </c>
      <c r="Y121" t="s">
        <v>291</v>
      </c>
      <c r="Z121">
        <v>10573648</v>
      </c>
      <c r="AA121" s="50">
        <v>46081</v>
      </c>
      <c r="AB121" s="87" t="s">
        <v>93</v>
      </c>
      <c r="AC121" s="86">
        <v>-5266.59</v>
      </c>
      <c r="AD121" t="s">
        <v>70</v>
      </c>
      <c r="AE121" s="85">
        <v>-3.64</v>
      </c>
      <c r="AF121" s="85">
        <v>-3.64</v>
      </c>
      <c r="AG121" s="85"/>
      <c r="AH121" s="85"/>
      <c r="AI121" s="85"/>
      <c r="AJ121" s="85"/>
      <c r="AK121" s="85"/>
      <c r="AL121" s="85"/>
      <c r="AM121" s="85"/>
      <c r="AN121" s="85"/>
      <c r="AO121" s="85"/>
      <c r="AP121" s="85"/>
      <c r="AQ121" s="85"/>
      <c r="AR121" s="85"/>
      <c r="AS121" s="85"/>
      <c r="AT121" s="85"/>
      <c r="AU121" s="85"/>
      <c r="AV121" s="85"/>
      <c r="AW121" s="85"/>
      <c r="AX121" s="85"/>
      <c r="AY121" s="85"/>
      <c r="AZ121" s="85"/>
      <c r="BA121" s="85"/>
      <c r="BB121" s="85"/>
      <c r="BC121" s="85"/>
      <c r="BD121" s="85"/>
      <c r="BE121" s="85">
        <v>0</v>
      </c>
      <c r="BF121" s="85">
        <v>0</v>
      </c>
      <c r="BG121" s="85">
        <v>0</v>
      </c>
      <c r="BH121" s="85">
        <v>-5266.59</v>
      </c>
      <c r="BI121" s="85">
        <v>-3.64</v>
      </c>
      <c r="BJ121" s="85">
        <v>-3.64</v>
      </c>
      <c r="BO121">
        <v>39.549999999999997</v>
      </c>
      <c r="BP121" s="86">
        <v>-2083.0700000000002</v>
      </c>
      <c r="BQ121">
        <v>-1.44</v>
      </c>
      <c r="BR121">
        <v>-1.44</v>
      </c>
      <c r="BS121" s="85">
        <v>-3183.52</v>
      </c>
      <c r="BT121" s="85">
        <v>-2.2000000000000002</v>
      </c>
      <c r="BU121" s="85">
        <v>-2.2000000000000002</v>
      </c>
      <c r="BX121" t="s">
        <v>793</v>
      </c>
      <c r="BZ121">
        <v>224581</v>
      </c>
      <c r="CA121">
        <v>224581</v>
      </c>
      <c r="CC121" t="s">
        <v>250</v>
      </c>
      <c r="CE121" t="s">
        <v>530</v>
      </c>
    </row>
    <row r="122" spans="1:83" x14ac:dyDescent="0.35">
      <c r="A122" t="s">
        <v>242</v>
      </c>
      <c r="B122">
        <v>3050535</v>
      </c>
      <c r="C122">
        <v>41651</v>
      </c>
      <c r="E122">
        <v>324878901</v>
      </c>
      <c r="F122" t="s">
        <v>1112</v>
      </c>
      <c r="G122" s="60">
        <v>46054</v>
      </c>
      <c r="I122" t="s">
        <v>1214</v>
      </c>
      <c r="J122" t="s">
        <v>260</v>
      </c>
      <c r="K122" t="s">
        <v>65</v>
      </c>
      <c r="N122" t="s">
        <v>108</v>
      </c>
      <c r="O122" t="s">
        <v>108</v>
      </c>
      <c r="P122" t="s">
        <v>104</v>
      </c>
      <c r="Q122">
        <v>292623</v>
      </c>
      <c r="R122">
        <v>6195990</v>
      </c>
      <c r="S122" s="50"/>
      <c r="T122" s="50"/>
      <c r="U122" t="s">
        <v>79</v>
      </c>
      <c r="V122" t="s">
        <v>249</v>
      </c>
      <c r="W122" t="s">
        <v>92</v>
      </c>
      <c r="X122" t="s">
        <v>86</v>
      </c>
      <c r="Y122" t="s">
        <v>291</v>
      </c>
      <c r="Z122">
        <v>10573682</v>
      </c>
      <c r="AA122" s="50">
        <v>46081</v>
      </c>
      <c r="AB122" s="87" t="s">
        <v>93</v>
      </c>
      <c r="AC122" s="86">
        <v>-4290.3599999999997</v>
      </c>
      <c r="AD122" t="s">
        <v>70</v>
      </c>
      <c r="AE122" s="85">
        <v>-2.97</v>
      </c>
      <c r="AF122" s="85">
        <v>-2.97</v>
      </c>
      <c r="AG122" s="85"/>
      <c r="AH122" s="85"/>
      <c r="AI122" s="85"/>
      <c r="AJ122" s="85"/>
      <c r="AK122" s="85"/>
      <c r="AL122" s="85"/>
      <c r="AM122" s="85"/>
      <c r="AN122" s="85"/>
      <c r="AO122" s="85"/>
      <c r="AP122" s="85"/>
      <c r="AQ122" s="85"/>
      <c r="AR122" s="85"/>
      <c r="AS122" s="85"/>
      <c r="AT122" s="85"/>
      <c r="AU122" s="85"/>
      <c r="AV122" s="85"/>
      <c r="AW122" s="85"/>
      <c r="AX122" s="85"/>
      <c r="AY122" s="85"/>
      <c r="AZ122" s="85"/>
      <c r="BA122" s="85"/>
      <c r="BB122" s="85"/>
      <c r="BC122" s="85"/>
      <c r="BD122" s="85"/>
      <c r="BE122" s="85">
        <v>0</v>
      </c>
      <c r="BF122" s="85">
        <v>0</v>
      </c>
      <c r="BG122" s="85">
        <v>0</v>
      </c>
      <c r="BH122" s="85">
        <v>-4290.3599999999997</v>
      </c>
      <c r="BI122" s="85">
        <v>-2.97</v>
      </c>
      <c r="BJ122" s="85">
        <v>-2.97</v>
      </c>
      <c r="BO122">
        <v>22</v>
      </c>
      <c r="BP122" s="86">
        <v>-943.88</v>
      </c>
      <c r="BQ122">
        <v>-0.65</v>
      </c>
      <c r="BR122">
        <v>-0.65</v>
      </c>
      <c r="BS122" s="85">
        <v>-3346.48</v>
      </c>
      <c r="BT122" s="85">
        <v>-2.3199999999999998</v>
      </c>
      <c r="BU122" s="85">
        <v>-2.3199999999999998</v>
      </c>
      <c r="BX122" t="s">
        <v>1205</v>
      </c>
      <c r="BZ122">
        <v>224529</v>
      </c>
      <c r="CA122">
        <v>224529</v>
      </c>
      <c r="CC122" t="s">
        <v>250</v>
      </c>
      <c r="CE122" t="s">
        <v>530</v>
      </c>
    </row>
    <row r="123" spans="1:83" x14ac:dyDescent="0.35">
      <c r="A123" t="s">
        <v>242</v>
      </c>
      <c r="B123">
        <v>3050535</v>
      </c>
      <c r="C123">
        <v>41651</v>
      </c>
      <c r="E123">
        <v>323893901</v>
      </c>
      <c r="F123" t="s">
        <v>1057</v>
      </c>
      <c r="G123" s="60">
        <v>46054</v>
      </c>
      <c r="I123" t="s">
        <v>1214</v>
      </c>
      <c r="J123" t="s">
        <v>260</v>
      </c>
      <c r="K123" t="s">
        <v>65</v>
      </c>
      <c r="N123" t="s">
        <v>243</v>
      </c>
      <c r="O123" t="s">
        <v>243</v>
      </c>
      <c r="P123" t="s">
        <v>284</v>
      </c>
      <c r="Q123">
        <v>2801591</v>
      </c>
      <c r="R123">
        <v>4000000</v>
      </c>
      <c r="S123" s="50"/>
      <c r="T123" s="50"/>
      <c r="U123" t="s">
        <v>79</v>
      </c>
      <c r="V123" t="s">
        <v>249</v>
      </c>
      <c r="W123" t="s">
        <v>92</v>
      </c>
      <c r="X123" t="s">
        <v>86</v>
      </c>
      <c r="Y123" t="s">
        <v>291</v>
      </c>
      <c r="Z123">
        <v>10573623</v>
      </c>
      <c r="AA123" s="50">
        <v>46081</v>
      </c>
      <c r="AB123" s="87" t="s">
        <v>93</v>
      </c>
      <c r="AC123" s="86">
        <v>-2572.21</v>
      </c>
      <c r="AD123" t="s">
        <v>70</v>
      </c>
      <c r="AE123" s="85">
        <v>-1.78</v>
      </c>
      <c r="AF123" s="85">
        <v>-1.78</v>
      </c>
      <c r="AG123" s="85"/>
      <c r="AH123" s="85"/>
      <c r="AI123" s="85"/>
      <c r="AJ123" s="85"/>
      <c r="AK123" s="85"/>
      <c r="AL123" s="85"/>
      <c r="AM123" s="85"/>
      <c r="AN123" s="85"/>
      <c r="AO123" s="85"/>
      <c r="AP123" s="85"/>
      <c r="AQ123" s="85"/>
      <c r="AR123" s="85"/>
      <c r="AS123" s="85"/>
      <c r="AT123" s="85"/>
      <c r="AU123" s="85"/>
      <c r="AV123" s="85"/>
      <c r="AW123" s="85"/>
      <c r="AX123" s="85"/>
      <c r="AY123" s="85"/>
      <c r="AZ123" s="85"/>
      <c r="BA123" s="85"/>
      <c r="BB123" s="85"/>
      <c r="BC123" s="85"/>
      <c r="BD123" s="85"/>
      <c r="BE123" s="85">
        <v>0</v>
      </c>
      <c r="BF123" s="85">
        <v>0</v>
      </c>
      <c r="BG123" s="85">
        <v>0</v>
      </c>
      <c r="BH123" s="85">
        <v>-2572.21</v>
      </c>
      <c r="BI123" s="85">
        <v>-1.78</v>
      </c>
      <c r="BJ123" s="85">
        <v>-1.78</v>
      </c>
      <c r="BO123">
        <v>39.549999999999997</v>
      </c>
      <c r="BP123" s="86">
        <v>-1017.37</v>
      </c>
      <c r="BQ123">
        <v>-0.7</v>
      </c>
      <c r="BR123">
        <v>-0.7</v>
      </c>
      <c r="BS123" s="85">
        <v>-1554.84</v>
      </c>
      <c r="BT123" s="85">
        <v>-1.08</v>
      </c>
      <c r="BU123" s="85">
        <v>-1.08</v>
      </c>
      <c r="BX123" t="s">
        <v>1288</v>
      </c>
      <c r="BZ123">
        <v>14030950</v>
      </c>
      <c r="CA123">
        <v>14030950</v>
      </c>
      <c r="CC123" t="s">
        <v>250</v>
      </c>
      <c r="CE123" t="s">
        <v>530</v>
      </c>
    </row>
    <row r="124" spans="1:83" x14ac:dyDescent="0.35">
      <c r="A124" t="s">
        <v>242</v>
      </c>
      <c r="B124">
        <v>3050535</v>
      </c>
      <c r="C124">
        <v>41651</v>
      </c>
      <c r="D124" t="s">
        <v>288</v>
      </c>
      <c r="E124">
        <v>323565702</v>
      </c>
      <c r="F124" t="s">
        <v>1021</v>
      </c>
      <c r="G124" s="60">
        <v>46054</v>
      </c>
      <c r="H124">
        <v>40898056</v>
      </c>
      <c r="I124" t="s">
        <v>1289</v>
      </c>
      <c r="J124" t="s">
        <v>482</v>
      </c>
      <c r="K124" t="s">
        <v>65</v>
      </c>
      <c r="L124">
        <v>0</v>
      </c>
      <c r="M124">
        <v>0</v>
      </c>
      <c r="N124" t="s">
        <v>522</v>
      </c>
      <c r="O124" t="s">
        <v>522</v>
      </c>
      <c r="P124" t="s">
        <v>287</v>
      </c>
      <c r="Q124">
        <v>148610446</v>
      </c>
      <c r="R124">
        <v>2308500</v>
      </c>
      <c r="S124" s="50">
        <v>46062</v>
      </c>
      <c r="T124" s="50">
        <v>46062</v>
      </c>
      <c r="U124" t="s">
        <v>69</v>
      </c>
      <c r="V124" t="s">
        <v>249</v>
      </c>
      <c r="W124" t="s">
        <v>92</v>
      </c>
      <c r="X124" t="s">
        <v>86</v>
      </c>
      <c r="Y124" t="s">
        <v>291</v>
      </c>
      <c r="Z124">
        <v>10573622</v>
      </c>
      <c r="AA124" s="50">
        <v>46081</v>
      </c>
      <c r="AB124" s="87" t="s">
        <v>93</v>
      </c>
      <c r="AC124" s="86">
        <v>2308500</v>
      </c>
      <c r="AD124" t="s">
        <v>70</v>
      </c>
      <c r="AE124" s="85">
        <v>1597.14</v>
      </c>
      <c r="AF124" s="85">
        <v>1597.14</v>
      </c>
      <c r="AG124" s="85"/>
      <c r="AH124" s="85"/>
      <c r="AI124" s="85"/>
      <c r="AJ124" s="85"/>
      <c r="AK124" s="85"/>
      <c r="AL124" s="85"/>
      <c r="AM124" s="85"/>
      <c r="AN124" s="85"/>
      <c r="AO124" s="85"/>
      <c r="AP124" s="85"/>
      <c r="AQ124" s="85"/>
      <c r="AR124" s="85"/>
      <c r="AS124" s="85"/>
      <c r="AT124" s="85"/>
      <c r="AU124" s="85"/>
      <c r="AV124" s="85"/>
      <c r="AW124" s="85"/>
      <c r="AX124" s="85"/>
      <c r="AY124" s="85"/>
      <c r="AZ124" s="85"/>
      <c r="BA124" s="85"/>
      <c r="BB124" s="85"/>
      <c r="BC124" s="85"/>
      <c r="BD124" s="85"/>
      <c r="BE124" s="85">
        <v>0</v>
      </c>
      <c r="BF124" s="85">
        <v>0</v>
      </c>
      <c r="BG124" s="85">
        <v>0</v>
      </c>
      <c r="BH124" s="85">
        <v>2308500</v>
      </c>
      <c r="BI124" s="85">
        <v>1597.14</v>
      </c>
      <c r="BJ124" s="85">
        <v>1597.14</v>
      </c>
      <c r="BO124">
        <v>39.549999999999997</v>
      </c>
      <c r="BP124" s="86">
        <v>913069.46</v>
      </c>
      <c r="BQ124">
        <v>631.71</v>
      </c>
      <c r="BR124">
        <v>631.71</v>
      </c>
      <c r="BS124" s="85">
        <v>1395430.54</v>
      </c>
      <c r="BT124" s="85">
        <v>965.43</v>
      </c>
      <c r="BU124" s="85">
        <v>965.43</v>
      </c>
      <c r="BW124" t="s">
        <v>286</v>
      </c>
      <c r="BX124" t="s">
        <v>1194</v>
      </c>
      <c r="BZ124">
        <v>192377147</v>
      </c>
      <c r="CA124">
        <v>192377147</v>
      </c>
      <c r="CB124" t="s">
        <v>76</v>
      </c>
      <c r="CC124" t="s">
        <v>250</v>
      </c>
      <c r="CE124" t="s">
        <v>530</v>
      </c>
    </row>
    <row r="125" spans="1:83" x14ac:dyDescent="0.35">
      <c r="A125" t="s">
        <v>242</v>
      </c>
      <c r="B125">
        <v>3050535</v>
      </c>
      <c r="C125">
        <v>41651</v>
      </c>
      <c r="D125" t="s">
        <v>517</v>
      </c>
      <c r="E125">
        <v>283446001</v>
      </c>
      <c r="F125" t="s">
        <v>511</v>
      </c>
      <c r="G125" s="60">
        <v>46054</v>
      </c>
      <c r="H125">
        <v>40860429</v>
      </c>
      <c r="I125" t="s">
        <v>1290</v>
      </c>
      <c r="J125" t="s">
        <v>260</v>
      </c>
      <c r="K125" t="s">
        <v>65</v>
      </c>
      <c r="L125">
        <v>0</v>
      </c>
      <c r="M125">
        <v>0</v>
      </c>
      <c r="N125" t="s">
        <v>515</v>
      </c>
      <c r="O125" t="s">
        <v>515</v>
      </c>
      <c r="P125" t="s">
        <v>512</v>
      </c>
      <c r="Q125">
        <v>9235510</v>
      </c>
      <c r="R125">
        <v>59571605</v>
      </c>
      <c r="S125" s="50">
        <v>45426</v>
      </c>
      <c r="T125" s="50">
        <v>46081</v>
      </c>
      <c r="U125" t="s">
        <v>79</v>
      </c>
      <c r="V125" t="s">
        <v>249</v>
      </c>
      <c r="W125" t="s">
        <v>92</v>
      </c>
      <c r="X125" t="s">
        <v>86</v>
      </c>
      <c r="Y125" t="s">
        <v>291</v>
      </c>
      <c r="Z125">
        <v>10573711</v>
      </c>
      <c r="AA125" s="50">
        <v>46081</v>
      </c>
      <c r="AB125" s="87" t="s">
        <v>93</v>
      </c>
      <c r="AC125" s="86">
        <v>1208044.6299999999</v>
      </c>
      <c r="AD125" t="s">
        <v>70</v>
      </c>
      <c r="AE125" s="85">
        <v>835.79</v>
      </c>
      <c r="AF125" s="85">
        <v>835.79</v>
      </c>
      <c r="AG125" s="85"/>
      <c r="AH125" s="85"/>
      <c r="AI125" s="85"/>
      <c r="AJ125" s="85"/>
      <c r="AK125" s="85"/>
      <c r="AL125" s="85"/>
      <c r="AM125" s="85"/>
      <c r="AN125" s="85"/>
      <c r="AO125" s="85"/>
      <c r="AP125" s="85"/>
      <c r="AQ125" s="85"/>
      <c r="AR125" s="85"/>
      <c r="AS125" s="85"/>
      <c r="AT125" s="85"/>
      <c r="AU125" s="85"/>
      <c r="AV125" s="85"/>
      <c r="AW125" s="85"/>
      <c r="AX125" s="85"/>
      <c r="AY125" s="85"/>
      <c r="AZ125" s="85"/>
      <c r="BA125" s="85"/>
      <c r="BB125" s="85"/>
      <c r="BC125" s="85"/>
      <c r="BD125" s="85"/>
      <c r="BE125" s="85">
        <v>0</v>
      </c>
      <c r="BF125" s="85">
        <v>0</v>
      </c>
      <c r="BG125" s="85">
        <v>0</v>
      </c>
      <c r="BH125" s="85">
        <v>1208044.6299999999</v>
      </c>
      <c r="BI125" s="85">
        <v>835.79</v>
      </c>
      <c r="BJ125" s="85">
        <v>835.79</v>
      </c>
      <c r="BO125">
        <v>39.549999999999997</v>
      </c>
      <c r="BP125" s="86">
        <v>477811.85</v>
      </c>
      <c r="BQ125">
        <v>330.57</v>
      </c>
      <c r="BR125">
        <v>330.57</v>
      </c>
      <c r="BS125" s="85">
        <v>730232.78</v>
      </c>
      <c r="BT125" s="85">
        <v>505.22</v>
      </c>
      <c r="BU125" s="85">
        <v>505.22</v>
      </c>
      <c r="BX125" t="s">
        <v>518</v>
      </c>
      <c r="BZ125">
        <v>136433571</v>
      </c>
      <c r="CA125">
        <v>136433571</v>
      </c>
      <c r="CB125" t="s">
        <v>72</v>
      </c>
      <c r="CC125" t="s">
        <v>250</v>
      </c>
      <c r="CE125" t="s">
        <v>530</v>
      </c>
    </row>
    <row r="126" spans="1:83" x14ac:dyDescent="0.35">
      <c r="A126" t="s">
        <v>242</v>
      </c>
      <c r="B126">
        <v>3050535</v>
      </c>
      <c r="C126">
        <v>41651</v>
      </c>
      <c r="D126" t="s">
        <v>1232</v>
      </c>
      <c r="E126">
        <v>323836301</v>
      </c>
      <c r="F126" t="s">
        <v>1037</v>
      </c>
      <c r="G126" s="60">
        <v>46054</v>
      </c>
      <c r="H126">
        <v>40872144</v>
      </c>
      <c r="I126" t="s">
        <v>1291</v>
      </c>
      <c r="J126" t="s">
        <v>260</v>
      </c>
      <c r="K126" t="s">
        <v>65</v>
      </c>
      <c r="L126">
        <v>0</v>
      </c>
      <c r="M126">
        <v>0</v>
      </c>
      <c r="P126" t="s">
        <v>917</v>
      </c>
      <c r="Q126">
        <v>294134</v>
      </c>
      <c r="R126">
        <v>12400000</v>
      </c>
      <c r="S126" s="50">
        <v>46054</v>
      </c>
      <c r="T126" s="50">
        <v>46081</v>
      </c>
      <c r="U126" t="s">
        <v>79</v>
      </c>
      <c r="V126" t="s">
        <v>249</v>
      </c>
      <c r="W126" t="s">
        <v>92</v>
      </c>
      <c r="X126" t="s">
        <v>86</v>
      </c>
      <c r="Y126" t="s">
        <v>291</v>
      </c>
      <c r="Z126">
        <v>10573621</v>
      </c>
      <c r="AA126" s="50">
        <v>46081</v>
      </c>
      <c r="AB126" s="87" t="s">
        <v>93</v>
      </c>
      <c r="AC126" s="86">
        <v>12365642.550000001</v>
      </c>
      <c r="AD126" t="s">
        <v>70</v>
      </c>
      <c r="AE126" s="85">
        <v>8555.19</v>
      </c>
      <c r="AF126" s="85">
        <v>8555.19</v>
      </c>
      <c r="AG126" s="85"/>
      <c r="AH126" s="85"/>
      <c r="AI126" s="85"/>
      <c r="AJ126" s="85"/>
      <c r="AK126" s="85"/>
      <c r="AL126" s="85"/>
      <c r="AM126" s="85"/>
      <c r="AN126" s="85"/>
      <c r="AO126" s="85"/>
      <c r="AP126" s="85"/>
      <c r="AQ126" s="85"/>
      <c r="AR126" s="85"/>
      <c r="AS126" s="85"/>
      <c r="AT126" s="85"/>
      <c r="AU126" s="85"/>
      <c r="AV126" s="85"/>
      <c r="AW126" s="85"/>
      <c r="AX126" s="85"/>
      <c r="AY126" s="85"/>
      <c r="AZ126" s="85"/>
      <c r="BA126" s="85"/>
      <c r="BB126" s="85"/>
      <c r="BC126" s="85"/>
      <c r="BD126" s="85"/>
      <c r="BE126" s="85">
        <v>0</v>
      </c>
      <c r="BF126" s="85">
        <v>0</v>
      </c>
      <c r="BG126" s="85">
        <v>0</v>
      </c>
      <c r="BH126" s="85">
        <v>12365642.550000001</v>
      </c>
      <c r="BI126" s="85">
        <v>8555.19</v>
      </c>
      <c r="BJ126" s="85">
        <v>8555.19</v>
      </c>
      <c r="BO126">
        <v>39.549999999999997</v>
      </c>
      <c r="BP126" s="86">
        <v>4890920.7699999996</v>
      </c>
      <c r="BQ126">
        <v>3383.79</v>
      </c>
      <c r="BR126">
        <v>3383.79</v>
      </c>
      <c r="BS126" s="85">
        <v>7474721.7800000003</v>
      </c>
      <c r="BT126" s="85">
        <v>5171.3999999999996</v>
      </c>
      <c r="BU126" s="85">
        <v>5171.3999999999996</v>
      </c>
      <c r="BX126" t="s">
        <v>1292</v>
      </c>
      <c r="CB126" t="s">
        <v>73</v>
      </c>
      <c r="CC126" t="s">
        <v>250</v>
      </c>
      <c r="CE126" t="s">
        <v>530</v>
      </c>
    </row>
    <row r="127" spans="1:83" x14ac:dyDescent="0.35">
      <c r="A127" t="s">
        <v>242</v>
      </c>
      <c r="B127">
        <v>3050535</v>
      </c>
      <c r="C127">
        <v>41651</v>
      </c>
      <c r="D127" t="s">
        <v>503</v>
      </c>
      <c r="E127">
        <v>298538101</v>
      </c>
      <c r="F127" t="s">
        <v>540</v>
      </c>
      <c r="G127" s="60">
        <v>46054</v>
      </c>
      <c r="H127">
        <v>40817363</v>
      </c>
      <c r="I127" t="s">
        <v>777</v>
      </c>
      <c r="J127" t="s">
        <v>260</v>
      </c>
      <c r="K127" t="s">
        <v>65</v>
      </c>
      <c r="L127">
        <v>0</v>
      </c>
      <c r="M127">
        <v>0</v>
      </c>
      <c r="P127" t="s">
        <v>494</v>
      </c>
      <c r="Q127">
        <v>186932207</v>
      </c>
      <c r="R127">
        <v>69550831</v>
      </c>
      <c r="S127" s="50">
        <v>45644</v>
      </c>
      <c r="T127" s="50">
        <v>46081</v>
      </c>
      <c r="U127" t="s">
        <v>79</v>
      </c>
      <c r="V127" t="s">
        <v>249</v>
      </c>
      <c r="W127" t="s">
        <v>92</v>
      </c>
      <c r="X127" t="s">
        <v>86</v>
      </c>
      <c r="Y127" t="s">
        <v>291</v>
      </c>
      <c r="Z127">
        <v>10573629</v>
      </c>
      <c r="AA127" s="50">
        <v>46081</v>
      </c>
      <c r="AB127" s="87" t="s">
        <v>93</v>
      </c>
      <c r="AC127" s="86">
        <v>139714.70000000001</v>
      </c>
      <c r="AD127" t="s">
        <v>70</v>
      </c>
      <c r="AE127" s="85">
        <v>96.66</v>
      </c>
      <c r="AF127" s="85">
        <v>96.66</v>
      </c>
      <c r="AG127" s="85"/>
      <c r="AH127" s="85"/>
      <c r="AI127" s="85"/>
      <c r="AJ127" s="85"/>
      <c r="AK127" s="85"/>
      <c r="AL127" s="85"/>
      <c r="AM127" s="85"/>
      <c r="AN127" s="85"/>
      <c r="AO127" s="85"/>
      <c r="AP127" s="85"/>
      <c r="AQ127" s="85"/>
      <c r="AR127" s="85"/>
      <c r="AS127" s="85"/>
      <c r="AT127" s="85"/>
      <c r="AU127" s="85"/>
      <c r="AV127" s="85"/>
      <c r="AW127" s="85"/>
      <c r="AX127" s="85"/>
      <c r="AY127" s="85"/>
      <c r="AZ127" s="85"/>
      <c r="BA127" s="85"/>
      <c r="BB127" s="85"/>
      <c r="BC127" s="85"/>
      <c r="BD127" s="85"/>
      <c r="BE127" s="85">
        <v>0</v>
      </c>
      <c r="BF127" s="85">
        <v>0</v>
      </c>
      <c r="BG127" s="85">
        <v>0</v>
      </c>
      <c r="BH127" s="85">
        <v>139714.70000000001</v>
      </c>
      <c r="BI127" s="85">
        <v>96.66</v>
      </c>
      <c r="BJ127" s="85">
        <v>96.66</v>
      </c>
      <c r="BO127">
        <v>39.549999999999997</v>
      </c>
      <c r="BP127" s="86">
        <v>55260.66</v>
      </c>
      <c r="BQ127">
        <v>38.229999999999997</v>
      </c>
      <c r="BR127">
        <v>38.229999999999997</v>
      </c>
      <c r="BS127" s="85">
        <v>84454.04</v>
      </c>
      <c r="BT127" s="85">
        <v>58.43</v>
      </c>
      <c r="BU127" s="85">
        <v>58.43</v>
      </c>
      <c r="BX127" t="s">
        <v>541</v>
      </c>
      <c r="CB127" t="s">
        <v>73</v>
      </c>
      <c r="CC127" t="s">
        <v>250</v>
      </c>
      <c r="CE127" t="s">
        <v>530</v>
      </c>
    </row>
    <row r="128" spans="1:83" x14ac:dyDescent="0.35">
      <c r="A128" t="s">
        <v>242</v>
      </c>
      <c r="B128">
        <v>3050535</v>
      </c>
      <c r="C128">
        <v>41651</v>
      </c>
      <c r="D128" t="s">
        <v>573</v>
      </c>
      <c r="E128">
        <v>323870401</v>
      </c>
      <c r="F128" t="s">
        <v>1054</v>
      </c>
      <c r="G128" s="60">
        <v>46054</v>
      </c>
      <c r="H128">
        <v>40893044</v>
      </c>
      <c r="I128" t="s">
        <v>1293</v>
      </c>
      <c r="J128" t="s">
        <v>260</v>
      </c>
      <c r="K128" t="s">
        <v>65</v>
      </c>
      <c r="L128">
        <v>0</v>
      </c>
      <c r="M128">
        <v>0</v>
      </c>
      <c r="N128" t="s">
        <v>259</v>
      </c>
      <c r="O128" t="s">
        <v>259</v>
      </c>
      <c r="P128" t="s">
        <v>568</v>
      </c>
      <c r="Q128">
        <v>240194</v>
      </c>
      <c r="R128">
        <v>2000000</v>
      </c>
      <c r="S128" s="50">
        <v>46054</v>
      </c>
      <c r="T128" s="50">
        <v>46081</v>
      </c>
      <c r="U128" t="s">
        <v>79</v>
      </c>
      <c r="V128" t="s">
        <v>249</v>
      </c>
      <c r="W128" t="s">
        <v>92</v>
      </c>
      <c r="X128" t="s">
        <v>86</v>
      </c>
      <c r="Y128" t="s">
        <v>291</v>
      </c>
      <c r="Z128">
        <v>10573688</v>
      </c>
      <c r="AA128" s="50">
        <v>46081</v>
      </c>
      <c r="AB128" s="87" t="s">
        <v>93</v>
      </c>
      <c r="AC128" s="86">
        <v>1002600.9</v>
      </c>
      <c r="AD128" t="s">
        <v>70</v>
      </c>
      <c r="AE128" s="85">
        <v>693.65</v>
      </c>
      <c r="AF128" s="85">
        <v>693.65</v>
      </c>
      <c r="AG128" s="85"/>
      <c r="AH128" s="85"/>
      <c r="AI128" s="85"/>
      <c r="AJ128" s="85"/>
      <c r="AK128" s="85"/>
      <c r="AL128" s="85"/>
      <c r="AM128" s="85"/>
      <c r="AN128" s="85"/>
      <c r="AO128" s="85"/>
      <c r="AP128" s="85"/>
      <c r="AQ128" s="85"/>
      <c r="AR128" s="85"/>
      <c r="AS128" s="85"/>
      <c r="AT128" s="85"/>
      <c r="AU128" s="85"/>
      <c r="AV128" s="85"/>
      <c r="AW128" s="85"/>
      <c r="AX128" s="85"/>
      <c r="AY128" s="85"/>
      <c r="AZ128" s="85"/>
      <c r="BA128" s="85"/>
      <c r="BB128" s="85"/>
      <c r="BC128" s="85"/>
      <c r="BD128" s="85"/>
      <c r="BE128" s="85">
        <v>0</v>
      </c>
      <c r="BF128" s="85">
        <v>0</v>
      </c>
      <c r="BG128" s="85">
        <v>0</v>
      </c>
      <c r="BH128" s="85">
        <v>1002600.9</v>
      </c>
      <c r="BI128" s="85">
        <v>693.65</v>
      </c>
      <c r="BJ128" s="85">
        <v>693.65</v>
      </c>
      <c r="BO128">
        <v>39.549999999999997</v>
      </c>
      <c r="BP128" s="86">
        <v>396553.72</v>
      </c>
      <c r="BQ128">
        <v>274.36</v>
      </c>
      <c r="BR128">
        <v>274.36</v>
      </c>
      <c r="BS128" s="85">
        <v>606047.18000000005</v>
      </c>
      <c r="BT128" s="85">
        <v>419.29</v>
      </c>
      <c r="BU128" s="85">
        <v>419.29</v>
      </c>
      <c r="BX128" t="s">
        <v>1236</v>
      </c>
      <c r="BZ128">
        <v>66013147</v>
      </c>
      <c r="CA128">
        <v>66013147</v>
      </c>
      <c r="CB128" t="s">
        <v>72</v>
      </c>
      <c r="CC128" t="s">
        <v>250</v>
      </c>
      <c r="CE128" t="s">
        <v>530</v>
      </c>
    </row>
    <row r="129" spans="1:83" x14ac:dyDescent="0.35">
      <c r="A129" t="s">
        <v>242</v>
      </c>
      <c r="B129">
        <v>3050535</v>
      </c>
      <c r="C129">
        <v>41651</v>
      </c>
      <c r="D129" t="s">
        <v>542</v>
      </c>
      <c r="E129">
        <v>322149801</v>
      </c>
      <c r="F129" t="s">
        <v>669</v>
      </c>
      <c r="G129" s="60">
        <v>46054</v>
      </c>
      <c r="H129">
        <v>40745375</v>
      </c>
      <c r="I129" t="s">
        <v>751</v>
      </c>
      <c r="J129" t="s">
        <v>260</v>
      </c>
      <c r="K129" t="s">
        <v>65</v>
      </c>
      <c r="L129">
        <v>0</v>
      </c>
      <c r="M129">
        <v>0</v>
      </c>
      <c r="N129" t="s">
        <v>259</v>
      </c>
      <c r="O129" t="s">
        <v>259</v>
      </c>
      <c r="P129" t="s">
        <v>524</v>
      </c>
      <c r="Q129">
        <v>292695</v>
      </c>
      <c r="R129">
        <v>23500000</v>
      </c>
      <c r="S129" s="50">
        <v>46023</v>
      </c>
      <c r="T129" s="50">
        <v>46081</v>
      </c>
      <c r="U129" t="s">
        <v>79</v>
      </c>
      <c r="V129" t="s">
        <v>249</v>
      </c>
      <c r="W129" t="s">
        <v>92</v>
      </c>
      <c r="X129" t="s">
        <v>86</v>
      </c>
      <c r="Y129" t="s">
        <v>291</v>
      </c>
      <c r="Z129">
        <v>10573692</v>
      </c>
      <c r="AA129" s="50">
        <v>46081</v>
      </c>
      <c r="AB129" s="87" t="s">
        <v>93</v>
      </c>
      <c r="AC129" s="86">
        <v>3703283.35</v>
      </c>
      <c r="AD129" t="s">
        <v>70</v>
      </c>
      <c r="AE129" s="85">
        <v>2562.12</v>
      </c>
      <c r="AF129" s="85">
        <v>2562.12</v>
      </c>
      <c r="AG129" s="85"/>
      <c r="AH129" s="85"/>
      <c r="AI129" s="85"/>
      <c r="AJ129" s="85"/>
      <c r="AK129" s="85"/>
      <c r="AL129" s="85"/>
      <c r="AM129" s="85"/>
      <c r="AN129" s="85"/>
      <c r="AO129" s="85"/>
      <c r="AP129" s="85"/>
      <c r="AQ129" s="85"/>
      <c r="AR129" s="85"/>
      <c r="AS129" s="85"/>
      <c r="AT129" s="85"/>
      <c r="AU129" s="85"/>
      <c r="AV129" s="85"/>
      <c r="AW129" s="85"/>
      <c r="AX129" s="85"/>
      <c r="AY129" s="85"/>
      <c r="AZ129" s="85"/>
      <c r="BA129" s="85"/>
      <c r="BB129" s="85"/>
      <c r="BC129" s="85"/>
      <c r="BD129" s="85"/>
      <c r="BE129" s="85">
        <v>0</v>
      </c>
      <c r="BF129" s="85">
        <v>0</v>
      </c>
      <c r="BG129" s="85">
        <v>0</v>
      </c>
      <c r="BH129" s="85">
        <v>3703283.35</v>
      </c>
      <c r="BI129" s="85">
        <v>2562.12</v>
      </c>
      <c r="BJ129" s="85">
        <v>2562.12</v>
      </c>
      <c r="BO129">
        <v>39.549999999999997</v>
      </c>
      <c r="BP129" s="86">
        <v>1464741.15</v>
      </c>
      <c r="BQ129">
        <v>1013.38</v>
      </c>
      <c r="BR129">
        <v>1013.38</v>
      </c>
      <c r="BS129" s="85">
        <v>2238542.2000000002</v>
      </c>
      <c r="BT129" s="85">
        <v>1548.74</v>
      </c>
      <c r="BU129" s="85">
        <v>1548.74</v>
      </c>
      <c r="BX129" t="s">
        <v>726</v>
      </c>
      <c r="BZ129">
        <v>66013147</v>
      </c>
      <c r="CA129">
        <v>66013147</v>
      </c>
      <c r="CB129" t="s">
        <v>71</v>
      </c>
      <c r="CC129" t="s">
        <v>250</v>
      </c>
      <c r="CE129" t="s">
        <v>530</v>
      </c>
    </row>
    <row r="130" spans="1:83" x14ac:dyDescent="0.35">
      <c r="A130" t="s">
        <v>242</v>
      </c>
      <c r="B130">
        <v>3050535</v>
      </c>
      <c r="C130">
        <v>41651</v>
      </c>
      <c r="D130" t="s">
        <v>288</v>
      </c>
      <c r="E130">
        <v>322203201</v>
      </c>
      <c r="F130" t="s">
        <v>678</v>
      </c>
      <c r="G130" s="60">
        <v>46054</v>
      </c>
      <c r="H130">
        <v>40759134</v>
      </c>
      <c r="I130" t="s">
        <v>768</v>
      </c>
      <c r="J130" t="s">
        <v>260</v>
      </c>
      <c r="K130" t="s">
        <v>65</v>
      </c>
      <c r="L130">
        <v>0</v>
      </c>
      <c r="M130">
        <v>0</v>
      </c>
      <c r="N130" t="s">
        <v>522</v>
      </c>
      <c r="O130" t="s">
        <v>522</v>
      </c>
      <c r="P130" t="s">
        <v>287</v>
      </c>
      <c r="Q130">
        <v>148610446</v>
      </c>
      <c r="R130">
        <v>3000000</v>
      </c>
      <c r="S130" s="50">
        <v>46027</v>
      </c>
      <c r="T130" s="50">
        <v>46112</v>
      </c>
      <c r="U130" t="s">
        <v>69</v>
      </c>
      <c r="V130" t="s">
        <v>249</v>
      </c>
      <c r="W130" t="s">
        <v>92</v>
      </c>
      <c r="X130" t="s">
        <v>86</v>
      </c>
      <c r="Y130" t="s">
        <v>291</v>
      </c>
      <c r="Z130">
        <v>10573737</v>
      </c>
      <c r="AA130" s="50">
        <v>46081</v>
      </c>
      <c r="AB130" s="87" t="s">
        <v>93</v>
      </c>
      <c r="AC130" s="86">
        <v>33339.49</v>
      </c>
      <c r="AD130" t="s">
        <v>70</v>
      </c>
      <c r="AE130" s="85">
        <v>23.07</v>
      </c>
      <c r="AF130" s="85">
        <v>23.07</v>
      </c>
      <c r="AG130" s="85"/>
      <c r="AH130" s="85"/>
      <c r="AI130" s="85"/>
      <c r="AJ130" s="85"/>
      <c r="AK130" s="85"/>
      <c r="AL130" s="85"/>
      <c r="AM130" s="85"/>
      <c r="AN130" s="85"/>
      <c r="AO130" s="85"/>
      <c r="AP130" s="85"/>
      <c r="AQ130" s="85"/>
      <c r="AR130" s="85"/>
      <c r="AS130" s="85"/>
      <c r="AT130" s="85"/>
      <c r="AU130" s="85"/>
      <c r="AV130" s="85"/>
      <c r="AW130" s="85"/>
      <c r="AX130" s="85"/>
      <c r="AY130" s="85"/>
      <c r="AZ130" s="85"/>
      <c r="BA130" s="85"/>
      <c r="BB130" s="85"/>
      <c r="BC130" s="85"/>
      <c r="BD130" s="85"/>
      <c r="BE130" s="85">
        <v>0</v>
      </c>
      <c r="BF130" s="85">
        <v>0</v>
      </c>
      <c r="BG130" s="85">
        <v>0</v>
      </c>
      <c r="BH130" s="85">
        <v>33339.49</v>
      </c>
      <c r="BI130" s="85">
        <v>23.07</v>
      </c>
      <c r="BJ130" s="85">
        <v>23.07</v>
      </c>
      <c r="BO130">
        <v>39.549999999999997</v>
      </c>
      <c r="BP130" s="86">
        <v>13186.6</v>
      </c>
      <c r="BQ130">
        <v>9.1199999999999992</v>
      </c>
      <c r="BR130">
        <v>9.1199999999999992</v>
      </c>
      <c r="BS130" s="85">
        <v>20152.89</v>
      </c>
      <c r="BT130" s="85">
        <v>13.95</v>
      </c>
      <c r="BU130" s="85">
        <v>13.95</v>
      </c>
      <c r="BX130" t="s">
        <v>769</v>
      </c>
      <c r="BZ130">
        <v>192377147</v>
      </c>
      <c r="CA130">
        <v>192377147</v>
      </c>
      <c r="CB130" t="s">
        <v>73</v>
      </c>
      <c r="CC130" t="s">
        <v>250</v>
      </c>
      <c r="CE130" t="s">
        <v>530</v>
      </c>
    </row>
    <row r="131" spans="1:83" x14ac:dyDescent="0.35">
      <c r="A131" t="s">
        <v>242</v>
      </c>
      <c r="B131">
        <v>3050535</v>
      </c>
      <c r="C131">
        <v>41651</v>
      </c>
      <c r="D131" t="s">
        <v>553</v>
      </c>
      <c r="E131">
        <v>322727401</v>
      </c>
      <c r="F131" t="s">
        <v>696</v>
      </c>
      <c r="G131" s="60">
        <v>46054</v>
      </c>
      <c r="H131">
        <v>40816115</v>
      </c>
      <c r="I131" t="s">
        <v>741</v>
      </c>
      <c r="J131" t="s">
        <v>260</v>
      </c>
      <c r="K131" t="s">
        <v>65</v>
      </c>
      <c r="L131">
        <v>0</v>
      </c>
      <c r="M131">
        <v>0</v>
      </c>
      <c r="N131" t="s">
        <v>94</v>
      </c>
      <c r="O131" t="s">
        <v>94</v>
      </c>
      <c r="P131" t="s">
        <v>544</v>
      </c>
      <c r="Q131">
        <v>821027</v>
      </c>
      <c r="R131">
        <v>13092970</v>
      </c>
      <c r="S131" s="50">
        <v>46041</v>
      </c>
      <c r="T131" s="50">
        <v>46055</v>
      </c>
      <c r="U131" t="s">
        <v>69</v>
      </c>
      <c r="V131" t="s">
        <v>249</v>
      </c>
      <c r="W131" t="s">
        <v>92</v>
      </c>
      <c r="X131" t="s">
        <v>86</v>
      </c>
      <c r="Y131" t="s">
        <v>291</v>
      </c>
      <c r="Z131">
        <v>10573639</v>
      </c>
      <c r="AA131" s="50">
        <v>46081</v>
      </c>
      <c r="AB131" s="87" t="s">
        <v>93</v>
      </c>
      <c r="AC131" s="86">
        <v>1745729.16</v>
      </c>
      <c r="AD131" t="s">
        <v>70</v>
      </c>
      <c r="AE131" s="85">
        <v>1207.79</v>
      </c>
      <c r="AF131" s="85">
        <v>1207.79</v>
      </c>
      <c r="AG131" s="85"/>
      <c r="AH131" s="85"/>
      <c r="AI131" s="85"/>
      <c r="AJ131" s="85"/>
      <c r="AK131" s="85"/>
      <c r="AL131" s="85"/>
      <c r="AM131" s="85"/>
      <c r="AN131" s="85"/>
      <c r="AO131" s="85"/>
      <c r="AP131" s="85"/>
      <c r="AQ131" s="85"/>
      <c r="AR131" s="85"/>
      <c r="AS131" s="85"/>
      <c r="AT131" s="85"/>
      <c r="AU131" s="85"/>
      <c r="AV131" s="85"/>
      <c r="AW131" s="85"/>
      <c r="AX131" s="85"/>
      <c r="AY131" s="85"/>
      <c r="AZ131" s="85"/>
      <c r="BA131" s="85"/>
      <c r="BB131" s="85"/>
      <c r="BC131" s="85"/>
      <c r="BD131" s="85"/>
      <c r="BE131" s="85">
        <v>0</v>
      </c>
      <c r="BF131" s="85">
        <v>0</v>
      </c>
      <c r="BG131" s="85">
        <v>0</v>
      </c>
      <c r="BH131" s="85">
        <v>1745729.16</v>
      </c>
      <c r="BI131" s="85">
        <v>1207.79</v>
      </c>
      <c r="BJ131" s="85">
        <v>1207.79</v>
      </c>
      <c r="BO131">
        <v>34</v>
      </c>
      <c r="BP131" s="86">
        <v>593513</v>
      </c>
      <c r="BQ131">
        <v>410.62</v>
      </c>
      <c r="BR131">
        <v>410.62</v>
      </c>
      <c r="BS131" s="85">
        <v>1152216.1599999999</v>
      </c>
      <c r="BT131" s="85">
        <v>797.17</v>
      </c>
      <c r="BU131" s="85">
        <v>797.17</v>
      </c>
      <c r="BX131" t="s">
        <v>742</v>
      </c>
      <c r="BZ131">
        <v>224554</v>
      </c>
      <c r="CA131">
        <v>224554</v>
      </c>
      <c r="CB131" t="s">
        <v>73</v>
      </c>
      <c r="CC131" t="s">
        <v>250</v>
      </c>
      <c r="CE131" t="s">
        <v>530</v>
      </c>
    </row>
    <row r="132" spans="1:83" x14ac:dyDescent="0.35">
      <c r="A132" t="s">
        <v>242</v>
      </c>
      <c r="B132">
        <v>3050535</v>
      </c>
      <c r="C132">
        <v>41651</v>
      </c>
      <c r="D132" t="s">
        <v>551</v>
      </c>
      <c r="E132">
        <v>323817302</v>
      </c>
      <c r="F132" t="s">
        <v>1030</v>
      </c>
      <c r="G132" s="60">
        <v>46054</v>
      </c>
      <c r="H132">
        <v>40989253</v>
      </c>
      <c r="I132" t="s">
        <v>1294</v>
      </c>
      <c r="J132" t="s">
        <v>482</v>
      </c>
      <c r="K132" t="s">
        <v>65</v>
      </c>
      <c r="L132">
        <v>0</v>
      </c>
      <c r="M132">
        <v>0</v>
      </c>
      <c r="N132" t="s">
        <v>259</v>
      </c>
      <c r="O132" t="s">
        <v>259</v>
      </c>
      <c r="P132" t="s">
        <v>98</v>
      </c>
      <c r="Q132">
        <v>80883</v>
      </c>
      <c r="R132">
        <v>1259410</v>
      </c>
      <c r="S132" s="50">
        <v>46080</v>
      </c>
      <c r="T132" s="50">
        <v>46080</v>
      </c>
      <c r="U132" t="s">
        <v>79</v>
      </c>
      <c r="V132" t="s">
        <v>249</v>
      </c>
      <c r="W132" t="s">
        <v>92</v>
      </c>
      <c r="X132" t="s">
        <v>86</v>
      </c>
      <c r="Y132" t="s">
        <v>291</v>
      </c>
      <c r="Z132">
        <v>10573673</v>
      </c>
      <c r="AA132" s="50">
        <v>46081</v>
      </c>
      <c r="AB132" s="87" t="s">
        <v>93</v>
      </c>
      <c r="AC132" s="86">
        <v>1259410</v>
      </c>
      <c r="AD132" t="s">
        <v>70</v>
      </c>
      <c r="AE132" s="85">
        <v>871.32</v>
      </c>
      <c r="AF132" s="85">
        <v>871.32</v>
      </c>
      <c r="AG132" s="85"/>
      <c r="AH132" s="85"/>
      <c r="AI132" s="85"/>
      <c r="AJ132" s="85"/>
      <c r="AK132" s="85"/>
      <c r="AL132" s="85"/>
      <c r="AM132" s="85"/>
      <c r="AN132" s="85"/>
      <c r="AO132" s="85"/>
      <c r="AP132" s="85"/>
      <c r="AQ132" s="85"/>
      <c r="AR132" s="85"/>
      <c r="AS132" s="85"/>
      <c r="AT132" s="85"/>
      <c r="AU132" s="85"/>
      <c r="AV132" s="85"/>
      <c r="AW132" s="85"/>
      <c r="AX132" s="85"/>
      <c r="AY132" s="85"/>
      <c r="AZ132" s="85"/>
      <c r="BA132" s="85"/>
      <c r="BB132" s="85"/>
      <c r="BC132" s="85"/>
      <c r="BD132" s="85"/>
      <c r="BE132" s="85">
        <v>0</v>
      </c>
      <c r="BF132" s="85">
        <v>0</v>
      </c>
      <c r="BG132" s="85">
        <v>0</v>
      </c>
      <c r="BH132" s="85">
        <v>1259410</v>
      </c>
      <c r="BI132" s="85">
        <v>871.32</v>
      </c>
      <c r="BJ132" s="85">
        <v>871.32</v>
      </c>
      <c r="BO132">
        <v>39.549999999999997</v>
      </c>
      <c r="BP132" s="86">
        <v>498128.14</v>
      </c>
      <c r="BQ132">
        <v>344.63</v>
      </c>
      <c r="BR132">
        <v>344.63</v>
      </c>
      <c r="BS132" s="85">
        <v>761281.86</v>
      </c>
      <c r="BT132" s="85">
        <v>526.69000000000005</v>
      </c>
      <c r="BU132" s="85">
        <v>526.69000000000005</v>
      </c>
      <c r="BW132" t="s">
        <v>527</v>
      </c>
      <c r="BX132" t="s">
        <v>1276</v>
      </c>
      <c r="BZ132">
        <v>66013147</v>
      </c>
      <c r="CA132">
        <v>66013147</v>
      </c>
      <c r="CB132" t="s">
        <v>76</v>
      </c>
      <c r="CC132" t="s">
        <v>250</v>
      </c>
      <c r="CE132" t="s">
        <v>530</v>
      </c>
    </row>
    <row r="133" spans="1:83" x14ac:dyDescent="0.35">
      <c r="A133" t="s">
        <v>242</v>
      </c>
      <c r="B133">
        <v>3050535</v>
      </c>
      <c r="C133">
        <v>41651</v>
      </c>
      <c r="D133" t="s">
        <v>596</v>
      </c>
      <c r="E133">
        <v>321036001</v>
      </c>
      <c r="F133" t="s">
        <v>663</v>
      </c>
      <c r="G133" s="60">
        <v>46054</v>
      </c>
      <c r="H133">
        <v>40866465</v>
      </c>
      <c r="I133" t="s">
        <v>747</v>
      </c>
      <c r="J133" t="s">
        <v>260</v>
      </c>
      <c r="K133" t="s">
        <v>65</v>
      </c>
      <c r="L133">
        <v>0</v>
      </c>
      <c r="M133">
        <v>0</v>
      </c>
      <c r="N133" t="s">
        <v>259</v>
      </c>
      <c r="P133" t="s">
        <v>592</v>
      </c>
      <c r="Q133">
        <v>109915</v>
      </c>
      <c r="R133">
        <v>8133235</v>
      </c>
      <c r="S133" s="50">
        <v>46023</v>
      </c>
      <c r="T133" s="50">
        <v>46081</v>
      </c>
      <c r="U133" t="s">
        <v>79</v>
      </c>
      <c r="V133" t="s">
        <v>249</v>
      </c>
      <c r="W133" t="s">
        <v>92</v>
      </c>
      <c r="X133" t="s">
        <v>86</v>
      </c>
      <c r="Y133" t="s">
        <v>291</v>
      </c>
      <c r="Z133">
        <v>10573679</v>
      </c>
      <c r="AA133" s="50">
        <v>46081</v>
      </c>
      <c r="AB133" s="87" t="s">
        <v>93</v>
      </c>
      <c r="AC133" s="86">
        <v>4134155.88</v>
      </c>
      <c r="AD133" t="s">
        <v>70</v>
      </c>
      <c r="AE133" s="85">
        <v>2860.22</v>
      </c>
      <c r="AF133" s="85">
        <v>2860.22</v>
      </c>
      <c r="AG133" s="85"/>
      <c r="AH133" s="85"/>
      <c r="AI133" s="85"/>
      <c r="AJ133" s="85"/>
      <c r="AK133" s="85"/>
      <c r="AL133" s="85"/>
      <c r="AM133" s="85"/>
      <c r="AN133" s="85"/>
      <c r="AO133" s="85"/>
      <c r="AP133" s="85"/>
      <c r="AQ133" s="85"/>
      <c r="AR133" s="85"/>
      <c r="AS133" s="85"/>
      <c r="AT133" s="85"/>
      <c r="AU133" s="85"/>
      <c r="AV133" s="85"/>
      <c r="AW133" s="85"/>
      <c r="AX133" s="85"/>
      <c r="AY133" s="85"/>
      <c r="AZ133" s="85"/>
      <c r="BA133" s="85"/>
      <c r="BB133" s="85"/>
      <c r="BC133" s="85"/>
      <c r="BD133" s="85"/>
      <c r="BE133" s="85">
        <v>0</v>
      </c>
      <c r="BF133" s="85">
        <v>0</v>
      </c>
      <c r="BG133" s="85">
        <v>0</v>
      </c>
      <c r="BH133" s="85">
        <v>4134155.88</v>
      </c>
      <c r="BI133" s="85">
        <v>2860.22</v>
      </c>
      <c r="BJ133" s="85">
        <v>2860.22</v>
      </c>
      <c r="BO133">
        <v>39.549999999999997</v>
      </c>
      <c r="BP133" s="86">
        <v>1635162</v>
      </c>
      <c r="BQ133">
        <v>1131.29</v>
      </c>
      <c r="BR133">
        <v>1131.29</v>
      </c>
      <c r="BS133" s="85">
        <v>2498993.88</v>
      </c>
      <c r="BT133" s="85">
        <v>1728.93</v>
      </c>
      <c r="BU133" s="85">
        <v>1728.93</v>
      </c>
      <c r="BX133" t="s">
        <v>748</v>
      </c>
      <c r="BZ133">
        <v>66013147</v>
      </c>
      <c r="CB133" t="s">
        <v>68</v>
      </c>
      <c r="CC133" t="s">
        <v>250</v>
      </c>
      <c r="CE133" t="s">
        <v>530</v>
      </c>
    </row>
    <row r="134" spans="1:83" x14ac:dyDescent="0.35">
      <c r="A134" t="s">
        <v>242</v>
      </c>
      <c r="B134">
        <v>3050535</v>
      </c>
      <c r="C134">
        <v>41651</v>
      </c>
      <c r="D134" t="s">
        <v>1229</v>
      </c>
      <c r="E134">
        <v>320312002</v>
      </c>
      <c r="F134" t="s">
        <v>885</v>
      </c>
      <c r="G134" s="60">
        <v>46054</v>
      </c>
      <c r="H134">
        <v>40872593</v>
      </c>
      <c r="I134" t="s">
        <v>1295</v>
      </c>
      <c r="J134" t="s">
        <v>260</v>
      </c>
      <c r="K134" t="s">
        <v>65</v>
      </c>
      <c r="L134">
        <v>0</v>
      </c>
      <c r="M134">
        <v>0</v>
      </c>
      <c r="N134" t="s">
        <v>893</v>
      </c>
      <c r="O134" t="s">
        <v>893</v>
      </c>
      <c r="P134" t="s">
        <v>887</v>
      </c>
      <c r="Q134">
        <v>268721</v>
      </c>
      <c r="R134">
        <v>2700000</v>
      </c>
      <c r="S134" s="50">
        <v>46055</v>
      </c>
      <c r="T134" s="50">
        <v>46072</v>
      </c>
      <c r="U134" t="s">
        <v>79</v>
      </c>
      <c r="V134" t="s">
        <v>249</v>
      </c>
      <c r="W134" t="s">
        <v>92</v>
      </c>
      <c r="X134" t="s">
        <v>86</v>
      </c>
      <c r="Y134" t="s">
        <v>291</v>
      </c>
      <c r="Z134">
        <v>10573626</v>
      </c>
      <c r="AA134" s="50">
        <v>46081</v>
      </c>
      <c r="AB134" s="87" t="s">
        <v>93</v>
      </c>
      <c r="AC134" s="86">
        <v>770437.75</v>
      </c>
      <c r="AD134" t="s">
        <v>70</v>
      </c>
      <c r="AE134" s="85">
        <v>533.03</v>
      </c>
      <c r="AF134" s="85">
        <v>533.03</v>
      </c>
      <c r="AG134" s="85"/>
      <c r="AH134" s="85"/>
      <c r="AI134" s="85"/>
      <c r="AJ134" s="85"/>
      <c r="AK134" s="85"/>
      <c r="AL134" s="85"/>
      <c r="AM134" s="85"/>
      <c r="AN134" s="85"/>
      <c r="AO134" s="85"/>
      <c r="AP134" s="85"/>
      <c r="AQ134" s="85"/>
      <c r="AR134" s="85"/>
      <c r="AS134" s="85"/>
      <c r="AT134" s="85"/>
      <c r="AU134" s="85"/>
      <c r="AV134" s="85"/>
      <c r="AW134" s="85"/>
      <c r="AX134" s="85"/>
      <c r="AY134" s="85"/>
      <c r="AZ134" s="85"/>
      <c r="BA134" s="85"/>
      <c r="BB134" s="85"/>
      <c r="BC134" s="85"/>
      <c r="BD134" s="85"/>
      <c r="BE134" s="85">
        <v>0</v>
      </c>
      <c r="BF134" s="85">
        <v>0</v>
      </c>
      <c r="BG134" s="85">
        <v>0</v>
      </c>
      <c r="BH134" s="85">
        <v>770437.75</v>
      </c>
      <c r="BI134" s="85">
        <v>533.03</v>
      </c>
      <c r="BJ134" s="85">
        <v>533.03</v>
      </c>
      <c r="BO134">
        <v>34</v>
      </c>
      <c r="BP134" s="86">
        <v>261933.42</v>
      </c>
      <c r="BQ134">
        <v>181.22</v>
      </c>
      <c r="BR134">
        <v>181.22</v>
      </c>
      <c r="BS134" s="85">
        <v>508504.33</v>
      </c>
      <c r="BT134" s="85">
        <v>351.81</v>
      </c>
      <c r="BU134" s="85">
        <v>351.81</v>
      </c>
      <c r="BX134" t="s">
        <v>1231</v>
      </c>
      <c r="BZ134">
        <v>262319</v>
      </c>
      <c r="CA134">
        <v>262319</v>
      </c>
      <c r="CB134" t="s">
        <v>71</v>
      </c>
      <c r="CC134" t="s">
        <v>250</v>
      </c>
      <c r="CE134" t="s">
        <v>530</v>
      </c>
    </row>
    <row r="135" spans="1:83" x14ac:dyDescent="0.35">
      <c r="A135" t="s">
        <v>242</v>
      </c>
      <c r="B135">
        <v>3050535</v>
      </c>
      <c r="C135">
        <v>41651</v>
      </c>
      <c r="D135" t="s">
        <v>1229</v>
      </c>
      <c r="E135">
        <v>320312002</v>
      </c>
      <c r="F135" t="s">
        <v>885</v>
      </c>
      <c r="G135" s="60">
        <v>46054</v>
      </c>
      <c r="H135">
        <v>40926151</v>
      </c>
      <c r="I135" t="s">
        <v>1296</v>
      </c>
      <c r="J135" t="s">
        <v>260</v>
      </c>
      <c r="K135" t="s">
        <v>65</v>
      </c>
      <c r="L135">
        <v>0</v>
      </c>
      <c r="M135">
        <v>0</v>
      </c>
      <c r="N135" t="s">
        <v>893</v>
      </c>
      <c r="O135" t="s">
        <v>893</v>
      </c>
      <c r="P135" t="s">
        <v>887</v>
      </c>
      <c r="Q135">
        <v>268721</v>
      </c>
      <c r="R135">
        <v>2700000</v>
      </c>
      <c r="S135" s="50">
        <v>46055</v>
      </c>
      <c r="T135" s="50">
        <v>46072</v>
      </c>
      <c r="U135" t="s">
        <v>79</v>
      </c>
      <c r="V135" t="s">
        <v>249</v>
      </c>
      <c r="W135" t="s">
        <v>92</v>
      </c>
      <c r="X135" t="s">
        <v>86</v>
      </c>
      <c r="Y135" t="s">
        <v>291</v>
      </c>
      <c r="Z135">
        <v>10573626</v>
      </c>
      <c r="AA135" s="50">
        <v>46081</v>
      </c>
      <c r="AB135" s="87" t="s">
        <v>93</v>
      </c>
      <c r="AC135" s="86">
        <v>643873.17000000004</v>
      </c>
      <c r="AD135" t="s">
        <v>70</v>
      </c>
      <c r="AE135" s="85">
        <v>445.46</v>
      </c>
      <c r="AF135" s="85">
        <v>445.46</v>
      </c>
      <c r="AG135" s="85"/>
      <c r="AH135" s="85"/>
      <c r="AI135" s="85"/>
      <c r="AJ135" s="85"/>
      <c r="AK135" s="85"/>
      <c r="AL135" s="85"/>
      <c r="AM135" s="85"/>
      <c r="AN135" s="85"/>
      <c r="AO135" s="85"/>
      <c r="AP135" s="85"/>
      <c r="AQ135" s="85"/>
      <c r="AR135" s="85"/>
      <c r="AS135" s="85"/>
      <c r="AT135" s="85"/>
      <c r="AU135" s="85"/>
      <c r="AV135" s="85"/>
      <c r="AW135" s="85"/>
      <c r="AX135" s="85"/>
      <c r="AY135" s="85"/>
      <c r="AZ135" s="85"/>
      <c r="BA135" s="85"/>
      <c r="BB135" s="85"/>
      <c r="BC135" s="85"/>
      <c r="BD135" s="85"/>
      <c r="BE135" s="85">
        <v>0</v>
      </c>
      <c r="BF135" s="85">
        <v>0</v>
      </c>
      <c r="BG135" s="85">
        <v>0</v>
      </c>
      <c r="BH135" s="85">
        <v>643873.17000000004</v>
      </c>
      <c r="BI135" s="85">
        <v>445.46</v>
      </c>
      <c r="BJ135" s="85">
        <v>445.46</v>
      </c>
      <c r="BO135">
        <v>34</v>
      </c>
      <c r="BP135" s="86">
        <v>218904</v>
      </c>
      <c r="BQ135">
        <v>151.44999999999999</v>
      </c>
      <c r="BR135">
        <v>151.44999999999999</v>
      </c>
      <c r="BS135" s="85">
        <v>424969.17</v>
      </c>
      <c r="BT135" s="85">
        <v>294.01</v>
      </c>
      <c r="BU135" s="85">
        <v>294.01</v>
      </c>
      <c r="BX135" t="s">
        <v>1231</v>
      </c>
      <c r="BZ135">
        <v>262319</v>
      </c>
      <c r="CA135">
        <v>262319</v>
      </c>
      <c r="CB135" t="s">
        <v>71</v>
      </c>
      <c r="CC135" t="s">
        <v>250</v>
      </c>
      <c r="CE135" t="s">
        <v>530</v>
      </c>
    </row>
    <row r="136" spans="1:83" x14ac:dyDescent="0.35">
      <c r="A136" t="s">
        <v>242</v>
      </c>
      <c r="B136">
        <v>3050535</v>
      </c>
      <c r="C136">
        <v>41651</v>
      </c>
      <c r="D136" t="s">
        <v>538</v>
      </c>
      <c r="E136">
        <v>322467801</v>
      </c>
      <c r="F136" t="s">
        <v>688</v>
      </c>
      <c r="G136" s="60">
        <v>46054</v>
      </c>
      <c r="H136">
        <v>40805838</v>
      </c>
      <c r="I136" t="s">
        <v>584</v>
      </c>
      <c r="J136" t="s">
        <v>260</v>
      </c>
      <c r="K136" t="s">
        <v>65</v>
      </c>
      <c r="L136">
        <v>0</v>
      </c>
      <c r="M136">
        <v>0</v>
      </c>
      <c r="P136" t="s">
        <v>576</v>
      </c>
      <c r="Q136">
        <v>5134575</v>
      </c>
      <c r="R136">
        <v>29815800</v>
      </c>
      <c r="S136" s="50">
        <v>46031</v>
      </c>
      <c r="T136" s="50">
        <v>46203</v>
      </c>
      <c r="U136" t="s">
        <v>79</v>
      </c>
      <c r="V136" t="s">
        <v>249</v>
      </c>
      <c r="W136" t="s">
        <v>92</v>
      </c>
      <c r="X136" t="s">
        <v>86</v>
      </c>
      <c r="Y136" t="s">
        <v>291</v>
      </c>
      <c r="Z136">
        <v>10573666</v>
      </c>
      <c r="AA136" s="50">
        <v>46081</v>
      </c>
      <c r="AB136" s="87" t="s">
        <v>93</v>
      </c>
      <c r="AC136" s="86">
        <v>756717.76</v>
      </c>
      <c r="AD136" t="s">
        <v>70</v>
      </c>
      <c r="AE136" s="85">
        <v>523.54</v>
      </c>
      <c r="AF136" s="85">
        <v>523.54</v>
      </c>
      <c r="AG136" s="85"/>
      <c r="AH136" s="85"/>
      <c r="AI136" s="85"/>
      <c r="AJ136" s="85"/>
      <c r="AK136" s="85"/>
      <c r="AL136" s="85"/>
      <c r="AM136" s="85"/>
      <c r="AN136" s="85"/>
      <c r="AO136" s="85"/>
      <c r="AP136" s="85"/>
      <c r="AQ136" s="85"/>
      <c r="AR136" s="85"/>
      <c r="AS136" s="85"/>
      <c r="AT136" s="85"/>
      <c r="AU136" s="85"/>
      <c r="AV136" s="85"/>
      <c r="AW136" s="85"/>
      <c r="AX136" s="85"/>
      <c r="AY136" s="85"/>
      <c r="AZ136" s="85"/>
      <c r="BA136" s="85"/>
      <c r="BB136" s="85"/>
      <c r="BC136" s="85"/>
      <c r="BD136" s="85"/>
      <c r="BE136" s="85">
        <v>0</v>
      </c>
      <c r="BF136" s="85">
        <v>0</v>
      </c>
      <c r="BG136" s="85">
        <v>0</v>
      </c>
      <c r="BH136" s="85">
        <v>756717.76</v>
      </c>
      <c r="BI136" s="85">
        <v>523.54</v>
      </c>
      <c r="BJ136" s="85">
        <v>523.54</v>
      </c>
      <c r="BO136">
        <v>39.549999999999997</v>
      </c>
      <c r="BP136" s="86">
        <v>299300.78999999998</v>
      </c>
      <c r="BQ136">
        <v>207.07</v>
      </c>
      <c r="BR136">
        <v>207.07</v>
      </c>
      <c r="BS136" s="85">
        <v>457416.97</v>
      </c>
      <c r="BT136" s="85">
        <v>316.47000000000003</v>
      </c>
      <c r="BU136" s="85">
        <v>316.47000000000003</v>
      </c>
      <c r="BX136" t="s">
        <v>787</v>
      </c>
      <c r="CB136" t="s">
        <v>72</v>
      </c>
      <c r="CC136" t="s">
        <v>250</v>
      </c>
      <c r="CE136" t="s">
        <v>530</v>
      </c>
    </row>
    <row r="137" spans="1:83" x14ac:dyDescent="0.35">
      <c r="A137" t="s">
        <v>242</v>
      </c>
      <c r="B137">
        <v>3050535</v>
      </c>
      <c r="C137">
        <v>41651</v>
      </c>
      <c r="D137" t="s">
        <v>583</v>
      </c>
      <c r="E137">
        <v>325225601</v>
      </c>
      <c r="F137" t="s">
        <v>1153</v>
      </c>
      <c r="G137" s="60">
        <v>46054</v>
      </c>
      <c r="H137">
        <v>40979142</v>
      </c>
      <c r="I137" t="s">
        <v>1297</v>
      </c>
      <c r="J137" t="s">
        <v>260</v>
      </c>
      <c r="K137" t="s">
        <v>65</v>
      </c>
      <c r="L137">
        <v>0</v>
      </c>
      <c r="M137">
        <v>0</v>
      </c>
      <c r="N137" t="s">
        <v>108</v>
      </c>
      <c r="O137" t="s">
        <v>108</v>
      </c>
      <c r="P137" t="s">
        <v>104</v>
      </c>
      <c r="Q137">
        <v>292623</v>
      </c>
      <c r="R137">
        <v>1585096.5</v>
      </c>
      <c r="S137" s="50">
        <v>46076</v>
      </c>
      <c r="T137" s="50">
        <v>46081</v>
      </c>
      <c r="U137" t="s">
        <v>79</v>
      </c>
      <c r="V137" t="s">
        <v>249</v>
      </c>
      <c r="W137" t="s">
        <v>92</v>
      </c>
      <c r="X137" t="s">
        <v>86</v>
      </c>
      <c r="Y137" t="s">
        <v>291</v>
      </c>
      <c r="Z137">
        <v>10573674</v>
      </c>
      <c r="AA137" s="50">
        <v>46081</v>
      </c>
      <c r="AB137" s="87" t="s">
        <v>93</v>
      </c>
      <c r="AC137" s="86">
        <v>1585096.5</v>
      </c>
      <c r="AD137" t="s">
        <v>70</v>
      </c>
      <c r="AE137" s="85">
        <v>1096.6500000000001</v>
      </c>
      <c r="AF137" s="85">
        <v>1096.6500000000001</v>
      </c>
      <c r="AG137" s="85"/>
      <c r="AH137" s="85"/>
      <c r="AI137" s="85"/>
      <c r="AJ137" s="85"/>
      <c r="AK137" s="85"/>
      <c r="AL137" s="85"/>
      <c r="AM137" s="85"/>
      <c r="AN137" s="85"/>
      <c r="AO137" s="85"/>
      <c r="AP137" s="85"/>
      <c r="AQ137" s="85"/>
      <c r="AR137" s="85"/>
      <c r="AS137" s="85"/>
      <c r="AT137" s="85"/>
      <c r="AU137" s="85"/>
      <c r="AV137" s="85"/>
      <c r="AW137" s="85"/>
      <c r="AX137" s="85"/>
      <c r="AY137" s="85"/>
      <c r="AZ137" s="85"/>
      <c r="BA137" s="85"/>
      <c r="BB137" s="85"/>
      <c r="BC137" s="85"/>
      <c r="BD137" s="85"/>
      <c r="BE137" s="85">
        <v>0</v>
      </c>
      <c r="BF137" s="85">
        <v>0</v>
      </c>
      <c r="BG137" s="85">
        <v>0</v>
      </c>
      <c r="BH137" s="85">
        <v>1585096.5</v>
      </c>
      <c r="BI137" s="85">
        <v>1096.6500000000001</v>
      </c>
      <c r="BJ137" s="85">
        <v>1096.6500000000001</v>
      </c>
      <c r="BO137">
        <v>22</v>
      </c>
      <c r="BP137" s="86">
        <v>348721.23</v>
      </c>
      <c r="BQ137">
        <v>241.26</v>
      </c>
      <c r="BR137">
        <v>241.26</v>
      </c>
      <c r="BS137" s="85">
        <v>1236375.27</v>
      </c>
      <c r="BT137" s="85">
        <v>855.39</v>
      </c>
      <c r="BU137" s="85">
        <v>855.39</v>
      </c>
      <c r="BX137" t="s">
        <v>1298</v>
      </c>
      <c r="BZ137">
        <v>224529</v>
      </c>
      <c r="CA137">
        <v>224529</v>
      </c>
      <c r="CB137" t="s">
        <v>73</v>
      </c>
      <c r="CC137" t="s">
        <v>250</v>
      </c>
      <c r="CE137" t="s">
        <v>530</v>
      </c>
    </row>
    <row r="138" spans="1:83" x14ac:dyDescent="0.35">
      <c r="A138" t="s">
        <v>242</v>
      </c>
      <c r="B138">
        <v>3050535</v>
      </c>
      <c r="C138">
        <v>41651</v>
      </c>
      <c r="D138" t="s">
        <v>571</v>
      </c>
      <c r="E138">
        <v>275149001</v>
      </c>
      <c r="F138" t="s">
        <v>562</v>
      </c>
      <c r="G138" s="60">
        <v>46054</v>
      </c>
      <c r="H138">
        <v>40789854</v>
      </c>
      <c r="I138" t="s">
        <v>743</v>
      </c>
      <c r="J138" t="s">
        <v>260</v>
      </c>
      <c r="K138" t="s">
        <v>65</v>
      </c>
      <c r="L138">
        <v>0</v>
      </c>
      <c r="M138">
        <v>0</v>
      </c>
      <c r="N138" t="s">
        <v>566</v>
      </c>
      <c r="O138" t="s">
        <v>566</v>
      </c>
      <c r="P138" t="s">
        <v>563</v>
      </c>
      <c r="Q138">
        <v>5733116</v>
      </c>
      <c r="R138">
        <v>40600000</v>
      </c>
      <c r="S138" s="50">
        <v>45292</v>
      </c>
      <c r="T138" s="50">
        <v>46112</v>
      </c>
      <c r="U138" t="s">
        <v>66</v>
      </c>
      <c r="V138" t="s">
        <v>249</v>
      </c>
      <c r="W138" t="s">
        <v>92</v>
      </c>
      <c r="X138" t="s">
        <v>86</v>
      </c>
      <c r="Y138" t="s">
        <v>291</v>
      </c>
      <c r="Z138">
        <v>10573709</v>
      </c>
      <c r="AA138" s="50">
        <v>46081</v>
      </c>
      <c r="AB138" s="87" t="s">
        <v>93</v>
      </c>
      <c r="AC138" s="86">
        <v>4434.1499999999996</v>
      </c>
      <c r="AD138" t="s">
        <v>70</v>
      </c>
      <c r="AE138" s="85">
        <v>3.07</v>
      </c>
      <c r="AF138" s="85">
        <v>3.07</v>
      </c>
      <c r="AG138" s="85"/>
      <c r="AH138" s="85"/>
      <c r="AI138" s="85"/>
      <c r="AJ138" s="85"/>
      <c r="AK138" s="85"/>
      <c r="AL138" s="85"/>
      <c r="AM138" s="85"/>
      <c r="AN138" s="85"/>
      <c r="AO138" s="85"/>
      <c r="AP138" s="85"/>
      <c r="AQ138" s="85"/>
      <c r="AR138" s="85"/>
      <c r="AS138" s="85"/>
      <c r="AT138" s="85"/>
      <c r="AU138" s="85"/>
      <c r="AV138" s="85"/>
      <c r="AW138" s="85"/>
      <c r="AX138" s="85"/>
      <c r="AY138" s="85"/>
      <c r="AZ138" s="85"/>
      <c r="BA138" s="85"/>
      <c r="BB138" s="85"/>
      <c r="BC138" s="85"/>
      <c r="BD138" s="85"/>
      <c r="BE138" s="85">
        <v>0</v>
      </c>
      <c r="BF138" s="85">
        <v>0</v>
      </c>
      <c r="BG138" s="85">
        <v>0</v>
      </c>
      <c r="BH138" s="85">
        <v>4434.1499999999996</v>
      </c>
      <c r="BI138" s="85">
        <v>3.07</v>
      </c>
      <c r="BJ138" s="85">
        <v>3.07</v>
      </c>
      <c r="BO138">
        <v>39.549999999999997</v>
      </c>
      <c r="BP138" s="86">
        <v>1753.82</v>
      </c>
      <c r="BQ138">
        <v>1.21</v>
      </c>
      <c r="BR138">
        <v>1.21</v>
      </c>
      <c r="BS138" s="85">
        <v>2680.33</v>
      </c>
      <c r="BT138" s="85">
        <v>1.86</v>
      </c>
      <c r="BU138" s="85">
        <v>1.86</v>
      </c>
      <c r="BX138" t="s">
        <v>572</v>
      </c>
      <c r="BZ138">
        <v>47720819</v>
      </c>
      <c r="CA138">
        <v>47720819</v>
      </c>
      <c r="CB138" t="s">
        <v>73</v>
      </c>
      <c r="CC138" t="s">
        <v>250</v>
      </c>
      <c r="CE138" t="s">
        <v>530</v>
      </c>
    </row>
    <row r="139" spans="1:83" x14ac:dyDescent="0.35">
      <c r="A139" t="s">
        <v>242</v>
      </c>
      <c r="B139">
        <v>3050535</v>
      </c>
      <c r="C139">
        <v>41651</v>
      </c>
      <c r="D139" t="s">
        <v>571</v>
      </c>
      <c r="E139">
        <v>275149001</v>
      </c>
      <c r="F139" t="s">
        <v>562</v>
      </c>
      <c r="G139" s="60">
        <v>46054</v>
      </c>
      <c r="H139">
        <v>40888664</v>
      </c>
      <c r="I139" t="s">
        <v>1197</v>
      </c>
      <c r="J139" t="s">
        <v>260</v>
      </c>
      <c r="K139" t="s">
        <v>65</v>
      </c>
      <c r="L139">
        <v>0</v>
      </c>
      <c r="M139">
        <v>0</v>
      </c>
      <c r="N139" t="s">
        <v>566</v>
      </c>
      <c r="O139" t="s">
        <v>566</v>
      </c>
      <c r="P139" t="s">
        <v>563</v>
      </c>
      <c r="Q139">
        <v>5733116</v>
      </c>
      <c r="R139">
        <v>40600000</v>
      </c>
      <c r="S139" s="50">
        <v>45292</v>
      </c>
      <c r="T139" s="50">
        <v>46127</v>
      </c>
      <c r="U139" t="s">
        <v>66</v>
      </c>
      <c r="V139" t="s">
        <v>249</v>
      </c>
      <c r="W139" t="s">
        <v>92</v>
      </c>
      <c r="X139" t="s">
        <v>86</v>
      </c>
      <c r="Y139" t="s">
        <v>291</v>
      </c>
      <c r="Z139">
        <v>10573709</v>
      </c>
      <c r="AA139" s="50">
        <v>46081</v>
      </c>
      <c r="AB139" s="87" t="s">
        <v>93</v>
      </c>
      <c r="AC139" s="86">
        <v>79791.02</v>
      </c>
      <c r="AD139" t="s">
        <v>70</v>
      </c>
      <c r="AE139" s="85">
        <v>55.2</v>
      </c>
      <c r="AF139" s="85">
        <v>55.2</v>
      </c>
      <c r="AG139" s="85"/>
      <c r="AH139" s="85"/>
      <c r="AI139" s="85"/>
      <c r="AJ139" s="85"/>
      <c r="AK139" s="85"/>
      <c r="AL139" s="85"/>
      <c r="AM139" s="85"/>
      <c r="AN139" s="85"/>
      <c r="AO139" s="85"/>
      <c r="AP139" s="85"/>
      <c r="AQ139" s="85"/>
      <c r="AR139" s="85"/>
      <c r="AS139" s="85"/>
      <c r="AT139" s="85"/>
      <c r="AU139" s="85"/>
      <c r="AV139" s="85"/>
      <c r="AW139" s="85"/>
      <c r="AX139" s="85"/>
      <c r="AY139" s="85"/>
      <c r="AZ139" s="85"/>
      <c r="BA139" s="85"/>
      <c r="BB139" s="85"/>
      <c r="BC139" s="85"/>
      <c r="BD139" s="85"/>
      <c r="BE139" s="85">
        <v>0</v>
      </c>
      <c r="BF139" s="85">
        <v>0</v>
      </c>
      <c r="BG139" s="85">
        <v>0</v>
      </c>
      <c r="BH139" s="85">
        <v>79791.02</v>
      </c>
      <c r="BI139" s="85">
        <v>55.2</v>
      </c>
      <c r="BJ139" s="85">
        <v>55.2</v>
      </c>
      <c r="BO139">
        <v>39.549999999999997</v>
      </c>
      <c r="BP139" s="86">
        <v>31559.34</v>
      </c>
      <c r="BQ139">
        <v>21.83</v>
      </c>
      <c r="BR139">
        <v>21.83</v>
      </c>
      <c r="BS139" s="85">
        <v>48231.68</v>
      </c>
      <c r="BT139" s="85">
        <v>33.369999999999997</v>
      </c>
      <c r="BU139" s="85">
        <v>33.369999999999997</v>
      </c>
      <c r="BX139" t="s">
        <v>572</v>
      </c>
      <c r="BZ139">
        <v>47720819</v>
      </c>
      <c r="CA139">
        <v>47720819</v>
      </c>
      <c r="CB139" t="s">
        <v>72</v>
      </c>
      <c r="CC139" t="s">
        <v>250</v>
      </c>
      <c r="CE139" t="s">
        <v>530</v>
      </c>
    </row>
    <row r="140" spans="1:83" x14ac:dyDescent="0.35">
      <c r="A140" t="s">
        <v>242</v>
      </c>
      <c r="B140">
        <v>3050535</v>
      </c>
      <c r="C140">
        <v>41651</v>
      </c>
      <c r="D140" t="s">
        <v>782</v>
      </c>
      <c r="E140">
        <v>323839401</v>
      </c>
      <c r="F140" t="s">
        <v>1041</v>
      </c>
      <c r="G140" s="60">
        <v>46054</v>
      </c>
      <c r="H140">
        <v>40871129</v>
      </c>
      <c r="I140" t="s">
        <v>1299</v>
      </c>
      <c r="J140" t="s">
        <v>260</v>
      </c>
      <c r="K140" t="s">
        <v>65</v>
      </c>
      <c r="L140">
        <v>0</v>
      </c>
      <c r="M140">
        <v>0</v>
      </c>
      <c r="N140" t="s">
        <v>630</v>
      </c>
      <c r="O140" t="s">
        <v>630</v>
      </c>
      <c r="P140" t="s">
        <v>681</v>
      </c>
      <c r="Q140">
        <v>26599</v>
      </c>
      <c r="R140">
        <v>2500000</v>
      </c>
      <c r="S140" s="50">
        <v>46054</v>
      </c>
      <c r="T140" s="50">
        <v>46081</v>
      </c>
      <c r="U140" t="s">
        <v>79</v>
      </c>
      <c r="V140" t="s">
        <v>249</v>
      </c>
      <c r="W140" t="s">
        <v>92</v>
      </c>
      <c r="X140" t="s">
        <v>86</v>
      </c>
      <c r="Y140" t="s">
        <v>291</v>
      </c>
      <c r="Z140">
        <v>10573624</v>
      </c>
      <c r="AA140" s="50">
        <v>46081</v>
      </c>
      <c r="AB140" s="87" t="s">
        <v>93</v>
      </c>
      <c r="AC140" s="86">
        <v>2489548.4</v>
      </c>
      <c r="AD140" t="s">
        <v>70</v>
      </c>
      <c r="AE140" s="85">
        <v>1722.4</v>
      </c>
      <c r="AF140" s="85">
        <v>1722.4</v>
      </c>
      <c r="AG140" s="85"/>
      <c r="AH140" s="85"/>
      <c r="AI140" s="85"/>
      <c r="AJ140" s="85"/>
      <c r="AK140" s="85"/>
      <c r="AL140" s="85"/>
      <c r="AM140" s="85"/>
      <c r="AN140" s="85"/>
      <c r="AO140" s="85"/>
      <c r="AP140" s="85"/>
      <c r="AQ140" s="85"/>
      <c r="AR140" s="85"/>
      <c r="AS140" s="85"/>
      <c r="AT140" s="85"/>
      <c r="AU140" s="85"/>
      <c r="AV140" s="85"/>
      <c r="AW140" s="85"/>
      <c r="AX140" s="85"/>
      <c r="AY140" s="85"/>
      <c r="AZ140" s="85"/>
      <c r="BA140" s="85"/>
      <c r="BB140" s="85"/>
      <c r="BC140" s="85"/>
      <c r="BD140" s="85"/>
      <c r="BE140" s="85">
        <v>0</v>
      </c>
      <c r="BF140" s="85">
        <v>0</v>
      </c>
      <c r="BG140" s="85">
        <v>0</v>
      </c>
      <c r="BH140" s="85">
        <v>2489548.4</v>
      </c>
      <c r="BI140" s="85">
        <v>1722.4</v>
      </c>
      <c r="BJ140" s="85">
        <v>1722.4</v>
      </c>
      <c r="BO140">
        <v>39.549999999999997</v>
      </c>
      <c r="BP140" s="86">
        <v>984678.63</v>
      </c>
      <c r="BQ140">
        <v>681.25</v>
      </c>
      <c r="BR140">
        <v>681.25</v>
      </c>
      <c r="BS140" s="85">
        <v>1504869.77</v>
      </c>
      <c r="BT140" s="85">
        <v>1041.1500000000001</v>
      </c>
      <c r="BU140" s="85">
        <v>1041.1500000000001</v>
      </c>
      <c r="BX140" t="s">
        <v>1300</v>
      </c>
      <c r="BZ140">
        <v>10284403</v>
      </c>
      <c r="CA140">
        <v>10284403</v>
      </c>
      <c r="CB140" t="s">
        <v>73</v>
      </c>
      <c r="CC140" t="s">
        <v>250</v>
      </c>
      <c r="CE140" t="s">
        <v>530</v>
      </c>
    </row>
    <row r="141" spans="1:83" x14ac:dyDescent="0.35">
      <c r="A141" t="s">
        <v>242</v>
      </c>
      <c r="B141">
        <v>3050535</v>
      </c>
      <c r="C141">
        <v>41651</v>
      </c>
      <c r="D141" t="s">
        <v>502</v>
      </c>
      <c r="E141">
        <v>324261501</v>
      </c>
      <c r="F141" t="s">
        <v>1070</v>
      </c>
      <c r="G141" s="60">
        <v>46054</v>
      </c>
      <c r="H141">
        <v>40920272</v>
      </c>
      <c r="I141" t="s">
        <v>1301</v>
      </c>
      <c r="J141" t="s">
        <v>260</v>
      </c>
      <c r="K141" t="s">
        <v>65</v>
      </c>
      <c r="L141">
        <v>0</v>
      </c>
      <c r="M141">
        <v>0</v>
      </c>
      <c r="N141" t="s">
        <v>264</v>
      </c>
      <c r="O141" t="s">
        <v>264</v>
      </c>
      <c r="P141" t="s">
        <v>498</v>
      </c>
      <c r="Q141">
        <v>265630</v>
      </c>
      <c r="R141">
        <v>1000000</v>
      </c>
      <c r="S141" s="50">
        <v>46056</v>
      </c>
      <c r="T141" s="50">
        <v>46081</v>
      </c>
      <c r="U141" t="s">
        <v>79</v>
      </c>
      <c r="V141" t="s">
        <v>249</v>
      </c>
      <c r="W141" t="s">
        <v>92</v>
      </c>
      <c r="X141" t="s">
        <v>86</v>
      </c>
      <c r="Y141" t="s">
        <v>291</v>
      </c>
      <c r="Z141">
        <v>10573712</v>
      </c>
      <c r="AA141" s="50">
        <v>46081</v>
      </c>
      <c r="AB141" s="87" t="s">
        <v>93</v>
      </c>
      <c r="AC141" s="86">
        <v>379349.07</v>
      </c>
      <c r="AD141" t="s">
        <v>70</v>
      </c>
      <c r="AE141" s="85">
        <v>262.45</v>
      </c>
      <c r="AF141" s="85">
        <v>262.45</v>
      </c>
      <c r="AG141" s="85"/>
      <c r="AH141" s="85"/>
      <c r="AI141" s="85"/>
      <c r="AJ141" s="85"/>
      <c r="AK141" s="85"/>
      <c r="AL141" s="85"/>
      <c r="AM141" s="85"/>
      <c r="AN141" s="85"/>
      <c r="AO141" s="85"/>
      <c r="AP141" s="85"/>
      <c r="AQ141" s="85"/>
      <c r="AR141" s="85"/>
      <c r="AS141" s="85"/>
      <c r="AT141" s="85"/>
      <c r="AU141" s="85"/>
      <c r="AV141" s="85"/>
      <c r="AW141" s="85"/>
      <c r="AX141" s="85"/>
      <c r="AY141" s="85"/>
      <c r="AZ141" s="85"/>
      <c r="BA141" s="85"/>
      <c r="BB141" s="85"/>
      <c r="BC141" s="85"/>
      <c r="BD141" s="85"/>
      <c r="BE141" s="85">
        <v>0</v>
      </c>
      <c r="BF141" s="85">
        <v>0</v>
      </c>
      <c r="BG141" s="85">
        <v>0</v>
      </c>
      <c r="BH141" s="85">
        <v>379349.07</v>
      </c>
      <c r="BI141" s="85">
        <v>262.45</v>
      </c>
      <c r="BJ141" s="85">
        <v>262.45</v>
      </c>
      <c r="BO141">
        <v>22</v>
      </c>
      <c r="BP141" s="86">
        <v>83456.800000000003</v>
      </c>
      <c r="BQ141">
        <v>57.74</v>
      </c>
      <c r="BR141">
        <v>57.74</v>
      </c>
      <c r="BS141" s="85">
        <v>295892.27</v>
      </c>
      <c r="BT141" s="85">
        <v>204.71</v>
      </c>
      <c r="BU141" s="85">
        <v>204.71</v>
      </c>
      <c r="BX141" t="s">
        <v>1278</v>
      </c>
      <c r="BZ141">
        <v>224574</v>
      </c>
      <c r="CA141">
        <v>224574</v>
      </c>
      <c r="CB141" t="s">
        <v>73</v>
      </c>
      <c r="CC141" t="s">
        <v>250</v>
      </c>
      <c r="CE141" t="s">
        <v>530</v>
      </c>
    </row>
    <row r="142" spans="1:83" x14ac:dyDescent="0.35">
      <c r="A142" t="s">
        <v>242</v>
      </c>
      <c r="B142">
        <v>3050535</v>
      </c>
      <c r="C142">
        <v>41651</v>
      </c>
      <c r="D142" t="s">
        <v>551</v>
      </c>
      <c r="E142">
        <v>324252501</v>
      </c>
      <c r="F142" t="s">
        <v>1060</v>
      </c>
      <c r="G142" s="60">
        <v>46054</v>
      </c>
      <c r="H142">
        <v>40921631</v>
      </c>
      <c r="I142" t="s">
        <v>1302</v>
      </c>
      <c r="J142" t="s">
        <v>260</v>
      </c>
      <c r="K142" t="s">
        <v>65</v>
      </c>
      <c r="L142">
        <v>0</v>
      </c>
      <c r="M142">
        <v>0</v>
      </c>
      <c r="N142" t="s">
        <v>259</v>
      </c>
      <c r="O142" t="s">
        <v>259</v>
      </c>
      <c r="P142" t="s">
        <v>98</v>
      </c>
      <c r="Q142">
        <v>80883</v>
      </c>
      <c r="R142">
        <v>5000000</v>
      </c>
      <c r="S142" s="50">
        <v>46056</v>
      </c>
      <c r="T142" s="50">
        <v>46100</v>
      </c>
      <c r="U142" t="s">
        <v>79</v>
      </c>
      <c r="V142" t="s">
        <v>249</v>
      </c>
      <c r="W142" t="s">
        <v>92</v>
      </c>
      <c r="X142" t="s">
        <v>86</v>
      </c>
      <c r="Y142" t="s">
        <v>291</v>
      </c>
      <c r="Z142">
        <v>10573729</v>
      </c>
      <c r="AA142" s="50">
        <v>46081</v>
      </c>
      <c r="AB142" s="87" t="s">
        <v>93</v>
      </c>
      <c r="AC142" s="86">
        <v>997649.16</v>
      </c>
      <c r="AD142" t="s">
        <v>70</v>
      </c>
      <c r="AE142" s="85">
        <v>690.23</v>
      </c>
      <c r="AF142" s="85">
        <v>690.23</v>
      </c>
      <c r="AG142" s="85"/>
      <c r="AH142" s="85"/>
      <c r="AI142" s="85"/>
      <c r="AJ142" s="85"/>
      <c r="AK142" s="85"/>
      <c r="AL142" s="85"/>
      <c r="AM142" s="85"/>
      <c r="AN142" s="85"/>
      <c r="AO142" s="85"/>
      <c r="AP142" s="85"/>
      <c r="AQ142" s="85"/>
      <c r="AR142" s="85"/>
      <c r="AS142" s="85"/>
      <c r="AT142" s="85"/>
      <c r="AU142" s="85"/>
      <c r="AV142" s="85"/>
      <c r="AW142" s="85"/>
      <c r="AX142" s="85"/>
      <c r="AY142" s="85"/>
      <c r="AZ142" s="85"/>
      <c r="BA142" s="85"/>
      <c r="BB142" s="85"/>
      <c r="BC142" s="85"/>
      <c r="BD142" s="85"/>
      <c r="BE142" s="85">
        <v>0</v>
      </c>
      <c r="BF142" s="85">
        <v>0</v>
      </c>
      <c r="BG142" s="85">
        <v>0</v>
      </c>
      <c r="BH142" s="85">
        <v>997649.16</v>
      </c>
      <c r="BI142" s="85">
        <v>690.23</v>
      </c>
      <c r="BJ142" s="85">
        <v>690.23</v>
      </c>
      <c r="BO142">
        <v>22</v>
      </c>
      <c r="BP142" s="86">
        <v>219482.81</v>
      </c>
      <c r="BQ142">
        <v>151.85</v>
      </c>
      <c r="BR142">
        <v>151.85</v>
      </c>
      <c r="BS142" s="85">
        <v>778166.35</v>
      </c>
      <c r="BT142" s="85">
        <v>538.38</v>
      </c>
      <c r="BU142" s="85">
        <v>538.38</v>
      </c>
      <c r="BX142" t="s">
        <v>1303</v>
      </c>
      <c r="BZ142">
        <v>66013147</v>
      </c>
      <c r="CA142">
        <v>66013147</v>
      </c>
      <c r="CB142" t="s">
        <v>68</v>
      </c>
      <c r="CC142" t="s">
        <v>250</v>
      </c>
      <c r="CE142" t="s">
        <v>530</v>
      </c>
    </row>
    <row r="143" spans="1:83" x14ac:dyDescent="0.35">
      <c r="A143" t="s">
        <v>242</v>
      </c>
      <c r="B143">
        <v>3050535</v>
      </c>
      <c r="C143">
        <v>41651</v>
      </c>
      <c r="D143" t="s">
        <v>367</v>
      </c>
      <c r="E143">
        <v>292964801</v>
      </c>
      <c r="F143" t="s">
        <v>537</v>
      </c>
      <c r="G143" s="60">
        <v>46054</v>
      </c>
      <c r="H143">
        <v>37275918</v>
      </c>
      <c r="I143" t="s">
        <v>575</v>
      </c>
      <c r="J143" t="s">
        <v>260</v>
      </c>
      <c r="K143" t="s">
        <v>65</v>
      </c>
      <c r="L143">
        <v>0</v>
      </c>
      <c r="M143">
        <v>0</v>
      </c>
      <c r="N143" t="s">
        <v>282</v>
      </c>
      <c r="O143" t="s">
        <v>282</v>
      </c>
      <c r="P143" t="s">
        <v>280</v>
      </c>
      <c r="Q143">
        <v>123698582</v>
      </c>
      <c r="R143">
        <v>15001678</v>
      </c>
      <c r="S143" s="50">
        <v>45567</v>
      </c>
      <c r="T143" s="50">
        <v>46081</v>
      </c>
      <c r="U143" t="s">
        <v>66</v>
      </c>
      <c r="V143" t="s">
        <v>249</v>
      </c>
      <c r="W143" t="s">
        <v>92</v>
      </c>
      <c r="X143" t="s">
        <v>86</v>
      </c>
      <c r="Y143" t="s">
        <v>291</v>
      </c>
      <c r="Z143">
        <v>10573619</v>
      </c>
      <c r="AA143" s="50">
        <v>46081</v>
      </c>
      <c r="AB143" s="87" t="s">
        <v>93</v>
      </c>
      <c r="AC143" s="86">
        <v>1269863.22</v>
      </c>
      <c r="AD143" t="s">
        <v>70</v>
      </c>
      <c r="AE143" s="85">
        <v>878.56</v>
      </c>
      <c r="AF143" s="85">
        <v>878.56</v>
      </c>
      <c r="AG143" s="85"/>
      <c r="AH143" s="85"/>
      <c r="AI143" s="85"/>
      <c r="AJ143" s="85"/>
      <c r="AK143" s="85"/>
      <c r="AL143" s="85"/>
      <c r="AM143" s="85"/>
      <c r="AN143" s="85"/>
      <c r="AO143" s="85"/>
      <c r="AP143" s="85"/>
      <c r="AQ143" s="85"/>
      <c r="AR143" s="85"/>
      <c r="AS143" s="85"/>
      <c r="AT143" s="85"/>
      <c r="AU143" s="85"/>
      <c r="AV143" s="85"/>
      <c r="AW143" s="85"/>
      <c r="AX143" s="85"/>
      <c r="AY143" s="85"/>
      <c r="AZ143" s="85"/>
      <c r="BA143" s="85"/>
      <c r="BB143" s="85"/>
      <c r="BC143" s="85"/>
      <c r="BD143" s="85"/>
      <c r="BE143" s="85">
        <v>0</v>
      </c>
      <c r="BF143" s="85">
        <v>0</v>
      </c>
      <c r="BG143" s="85">
        <v>0</v>
      </c>
      <c r="BH143" s="85">
        <v>1269863.22</v>
      </c>
      <c r="BI143" s="85">
        <v>878.56</v>
      </c>
      <c r="BJ143" s="85">
        <v>878.56</v>
      </c>
      <c r="BO143">
        <v>39.549999999999997</v>
      </c>
      <c r="BP143" s="86">
        <v>502262.65</v>
      </c>
      <c r="BQ143">
        <v>347.49</v>
      </c>
      <c r="BR143">
        <v>347.49</v>
      </c>
      <c r="BS143" s="85">
        <v>767600.57</v>
      </c>
      <c r="BT143" s="85">
        <v>531.07000000000005</v>
      </c>
      <c r="BU143" s="85">
        <v>531.07000000000005</v>
      </c>
      <c r="BX143" t="s">
        <v>539</v>
      </c>
      <c r="BZ143">
        <v>269449</v>
      </c>
      <c r="CA143">
        <v>269449</v>
      </c>
      <c r="CB143" t="s">
        <v>72</v>
      </c>
      <c r="CC143" t="s">
        <v>250</v>
      </c>
      <c r="CE143" t="s">
        <v>530</v>
      </c>
    </row>
    <row r="144" spans="1:83" x14ac:dyDescent="0.35">
      <c r="A144" t="s">
        <v>242</v>
      </c>
      <c r="B144">
        <v>3050535</v>
      </c>
      <c r="C144">
        <v>41651</v>
      </c>
      <c r="D144" t="s">
        <v>583</v>
      </c>
      <c r="E144">
        <v>324878901</v>
      </c>
      <c r="F144" t="s">
        <v>1112</v>
      </c>
      <c r="G144" s="60">
        <v>46054</v>
      </c>
      <c r="H144">
        <v>40931622</v>
      </c>
      <c r="I144" t="s">
        <v>1304</v>
      </c>
      <c r="J144" t="s">
        <v>260</v>
      </c>
      <c r="K144" t="s">
        <v>65</v>
      </c>
      <c r="L144">
        <v>0</v>
      </c>
      <c r="M144">
        <v>0</v>
      </c>
      <c r="N144" t="s">
        <v>108</v>
      </c>
      <c r="O144" t="s">
        <v>108</v>
      </c>
      <c r="P144" t="s">
        <v>104</v>
      </c>
      <c r="Q144">
        <v>292623</v>
      </c>
      <c r="R144">
        <v>6195990</v>
      </c>
      <c r="S144" s="50">
        <v>46064</v>
      </c>
      <c r="T144" s="50">
        <v>46081</v>
      </c>
      <c r="U144" t="s">
        <v>79</v>
      </c>
      <c r="V144" t="s">
        <v>249</v>
      </c>
      <c r="W144" t="s">
        <v>92</v>
      </c>
      <c r="X144" t="s">
        <v>86</v>
      </c>
      <c r="Y144" t="s">
        <v>291</v>
      </c>
      <c r="Z144">
        <v>10573682</v>
      </c>
      <c r="AA144" s="50">
        <v>46081</v>
      </c>
      <c r="AB144" s="87" t="s">
        <v>93</v>
      </c>
      <c r="AC144" s="86">
        <v>2688693.47</v>
      </c>
      <c r="AD144" t="s">
        <v>70</v>
      </c>
      <c r="AE144" s="85">
        <v>1860.18</v>
      </c>
      <c r="AF144" s="85">
        <v>1860.18</v>
      </c>
      <c r="AG144" s="85"/>
      <c r="AH144" s="85"/>
      <c r="AI144" s="85"/>
      <c r="AJ144" s="85"/>
      <c r="AK144" s="85"/>
      <c r="AL144" s="85"/>
      <c r="AM144" s="85"/>
      <c r="AN144" s="85"/>
      <c r="AO144" s="85"/>
      <c r="AP144" s="85"/>
      <c r="AQ144" s="85"/>
      <c r="AR144" s="85"/>
      <c r="AS144" s="85"/>
      <c r="AT144" s="85"/>
      <c r="AU144" s="85"/>
      <c r="AV144" s="85"/>
      <c r="AW144" s="85"/>
      <c r="AX144" s="85"/>
      <c r="AY144" s="85"/>
      <c r="AZ144" s="85"/>
      <c r="BA144" s="85"/>
      <c r="BB144" s="85"/>
      <c r="BC144" s="85"/>
      <c r="BD144" s="85"/>
      <c r="BE144" s="85">
        <v>0</v>
      </c>
      <c r="BF144" s="85">
        <v>0</v>
      </c>
      <c r="BG144" s="85">
        <v>0</v>
      </c>
      <c r="BH144" s="85">
        <v>2688693.47</v>
      </c>
      <c r="BI144" s="85">
        <v>1860.18</v>
      </c>
      <c r="BJ144" s="85">
        <v>1860.18</v>
      </c>
      <c r="BO144">
        <v>22</v>
      </c>
      <c r="BP144" s="86">
        <v>591512.56000000006</v>
      </c>
      <c r="BQ144">
        <v>409.24</v>
      </c>
      <c r="BR144">
        <v>409.24</v>
      </c>
      <c r="BS144" s="85">
        <v>2097180.91</v>
      </c>
      <c r="BT144" s="85">
        <v>1450.94</v>
      </c>
      <c r="BU144" s="85">
        <v>1450.94</v>
      </c>
      <c r="BX144" t="s">
        <v>1205</v>
      </c>
      <c r="BZ144">
        <v>224529</v>
      </c>
      <c r="CA144">
        <v>224529</v>
      </c>
      <c r="CB144" t="s">
        <v>72</v>
      </c>
      <c r="CC144" t="s">
        <v>250</v>
      </c>
      <c r="CE144" t="s">
        <v>530</v>
      </c>
    </row>
    <row r="145" spans="1:83" x14ac:dyDescent="0.35">
      <c r="A145" t="s">
        <v>242</v>
      </c>
      <c r="B145">
        <v>3050535</v>
      </c>
      <c r="C145">
        <v>41651</v>
      </c>
      <c r="D145" t="s">
        <v>552</v>
      </c>
      <c r="E145">
        <v>322531401</v>
      </c>
      <c r="F145" t="s">
        <v>692</v>
      </c>
      <c r="G145" s="60">
        <v>46054</v>
      </c>
      <c r="H145">
        <v>40881330</v>
      </c>
      <c r="I145" t="s">
        <v>1305</v>
      </c>
      <c r="J145" t="s">
        <v>260</v>
      </c>
      <c r="K145" t="s">
        <v>65</v>
      </c>
      <c r="L145">
        <v>0</v>
      </c>
      <c r="M145">
        <v>0</v>
      </c>
      <c r="N145" t="s">
        <v>255</v>
      </c>
      <c r="O145" t="s">
        <v>255</v>
      </c>
      <c r="P145" t="s">
        <v>548</v>
      </c>
      <c r="Q145">
        <v>7000116</v>
      </c>
      <c r="R145">
        <v>12650000</v>
      </c>
      <c r="S145" s="50">
        <v>46035</v>
      </c>
      <c r="T145" s="50">
        <v>46081</v>
      </c>
      <c r="U145" t="s">
        <v>79</v>
      </c>
      <c r="V145" t="s">
        <v>249</v>
      </c>
      <c r="W145" t="s">
        <v>92</v>
      </c>
      <c r="X145" t="s">
        <v>86</v>
      </c>
      <c r="Y145" t="s">
        <v>291</v>
      </c>
      <c r="Z145">
        <v>10573696</v>
      </c>
      <c r="AA145" s="50">
        <v>46081</v>
      </c>
      <c r="AB145" s="87" t="s">
        <v>93</v>
      </c>
      <c r="AC145" s="86">
        <v>30319.91</v>
      </c>
      <c r="AD145" t="s">
        <v>70</v>
      </c>
      <c r="AE145" s="85">
        <v>20.98</v>
      </c>
      <c r="AF145" s="85">
        <v>20.98</v>
      </c>
      <c r="AG145" s="85"/>
      <c r="AH145" s="85"/>
      <c r="AI145" s="85"/>
      <c r="AJ145" s="85"/>
      <c r="AK145" s="85"/>
      <c r="AL145" s="85"/>
      <c r="AM145" s="85"/>
      <c r="AN145" s="85"/>
      <c r="AO145" s="85"/>
      <c r="AP145" s="85"/>
      <c r="AQ145" s="85"/>
      <c r="AR145" s="85"/>
      <c r="AS145" s="85"/>
      <c r="AT145" s="85"/>
      <c r="AU145" s="85"/>
      <c r="AV145" s="85"/>
      <c r="AW145" s="85"/>
      <c r="AX145" s="85"/>
      <c r="AY145" s="85"/>
      <c r="AZ145" s="85"/>
      <c r="BA145" s="85"/>
      <c r="BB145" s="85"/>
      <c r="BC145" s="85"/>
      <c r="BD145" s="85"/>
      <c r="BE145" s="85">
        <v>0</v>
      </c>
      <c r="BF145" s="85">
        <v>0</v>
      </c>
      <c r="BG145" s="85">
        <v>0</v>
      </c>
      <c r="BH145" s="85">
        <v>30319.91</v>
      </c>
      <c r="BI145" s="85">
        <v>20.98</v>
      </c>
      <c r="BJ145" s="85">
        <v>20.98</v>
      </c>
      <c r="BO145">
        <v>39.549999999999997</v>
      </c>
      <c r="BP145" s="86">
        <v>11992.28</v>
      </c>
      <c r="BQ145">
        <v>8.3000000000000007</v>
      </c>
      <c r="BR145">
        <v>8.3000000000000007</v>
      </c>
      <c r="BS145" s="85">
        <v>18327.63</v>
      </c>
      <c r="BT145" s="85">
        <v>12.68</v>
      </c>
      <c r="BU145" s="85">
        <v>12.68</v>
      </c>
      <c r="BX145" t="s">
        <v>731</v>
      </c>
      <c r="BZ145">
        <v>63304606</v>
      </c>
      <c r="CA145">
        <v>63304606</v>
      </c>
      <c r="CB145" t="s">
        <v>73</v>
      </c>
      <c r="CC145" t="s">
        <v>250</v>
      </c>
      <c r="CE145" t="s">
        <v>530</v>
      </c>
    </row>
    <row r="146" spans="1:83" x14ac:dyDescent="0.35">
      <c r="A146" t="s">
        <v>242</v>
      </c>
      <c r="B146">
        <v>3050535</v>
      </c>
      <c r="C146">
        <v>41651</v>
      </c>
      <c r="D146" t="s">
        <v>552</v>
      </c>
      <c r="E146">
        <v>322531401</v>
      </c>
      <c r="F146" t="s">
        <v>692</v>
      </c>
      <c r="G146" s="60">
        <v>46054</v>
      </c>
      <c r="H146">
        <v>40881330</v>
      </c>
      <c r="I146" t="s">
        <v>1305</v>
      </c>
      <c r="J146" t="s">
        <v>260</v>
      </c>
      <c r="K146" t="s">
        <v>65</v>
      </c>
      <c r="L146">
        <v>0</v>
      </c>
      <c r="M146">
        <v>0</v>
      </c>
      <c r="N146" t="s">
        <v>255</v>
      </c>
      <c r="O146" t="s">
        <v>255</v>
      </c>
      <c r="P146" t="s">
        <v>548</v>
      </c>
      <c r="Q146">
        <v>7000116</v>
      </c>
      <c r="R146">
        <v>12650000</v>
      </c>
      <c r="S146" s="50">
        <v>46035</v>
      </c>
      <c r="T146" s="50">
        <v>46081</v>
      </c>
      <c r="U146" t="s">
        <v>79</v>
      </c>
      <c r="V146" t="s">
        <v>249</v>
      </c>
      <c r="W146" t="s">
        <v>92</v>
      </c>
      <c r="X146" t="s">
        <v>86</v>
      </c>
      <c r="Y146" t="s">
        <v>291</v>
      </c>
      <c r="Z146">
        <v>10573696</v>
      </c>
      <c r="AA146" s="50">
        <v>46081</v>
      </c>
      <c r="AB146" s="87" t="s">
        <v>93</v>
      </c>
      <c r="AC146" s="86">
        <v>270223.39</v>
      </c>
      <c r="AD146" t="s">
        <v>70</v>
      </c>
      <c r="AE146" s="85">
        <v>186.95</v>
      </c>
      <c r="AF146" s="85">
        <v>186.95</v>
      </c>
      <c r="AG146" s="85"/>
      <c r="AH146" s="85"/>
      <c r="AI146" s="85"/>
      <c r="AJ146" s="85"/>
      <c r="AK146" s="85"/>
      <c r="AL146" s="85"/>
      <c r="AM146" s="85"/>
      <c r="AN146" s="85"/>
      <c r="AO146" s="85"/>
      <c r="AP146" s="85"/>
      <c r="AQ146" s="85"/>
      <c r="AR146" s="85"/>
      <c r="AS146" s="85"/>
      <c r="AT146" s="85"/>
      <c r="AU146" s="85"/>
      <c r="AV146" s="85"/>
      <c r="AW146" s="85"/>
      <c r="AX146" s="85"/>
      <c r="AY146" s="85"/>
      <c r="AZ146" s="85"/>
      <c r="BA146" s="85"/>
      <c r="BB146" s="85"/>
      <c r="BC146" s="85"/>
      <c r="BD146" s="85"/>
      <c r="BE146" s="85">
        <v>0</v>
      </c>
      <c r="BF146" s="85">
        <v>0</v>
      </c>
      <c r="BG146" s="85">
        <v>0</v>
      </c>
      <c r="BH146" s="85">
        <v>270223.39</v>
      </c>
      <c r="BI146" s="85">
        <v>186.95</v>
      </c>
      <c r="BJ146" s="85">
        <v>186.95</v>
      </c>
      <c r="BO146">
        <v>39.549999999999997</v>
      </c>
      <c r="BP146" s="86">
        <v>106880.11</v>
      </c>
      <c r="BQ146">
        <v>73.95</v>
      </c>
      <c r="BR146">
        <v>73.95</v>
      </c>
      <c r="BS146" s="85">
        <v>163343.28</v>
      </c>
      <c r="BT146" s="85">
        <v>113</v>
      </c>
      <c r="BU146" s="85">
        <v>113</v>
      </c>
      <c r="BX146" t="s">
        <v>731</v>
      </c>
      <c r="BZ146">
        <v>63304606</v>
      </c>
      <c r="CA146">
        <v>63304606</v>
      </c>
      <c r="CB146" t="s">
        <v>73</v>
      </c>
      <c r="CC146" t="s">
        <v>250</v>
      </c>
      <c r="CE146" t="s">
        <v>530</v>
      </c>
    </row>
    <row r="147" spans="1:83" x14ac:dyDescent="0.35">
      <c r="A147" t="s">
        <v>242</v>
      </c>
      <c r="B147">
        <v>3050535</v>
      </c>
      <c r="C147">
        <v>41651</v>
      </c>
      <c r="D147" t="s">
        <v>552</v>
      </c>
      <c r="E147">
        <v>322531401</v>
      </c>
      <c r="F147" t="s">
        <v>692</v>
      </c>
      <c r="G147" s="60">
        <v>46054</v>
      </c>
      <c r="H147">
        <v>40881321</v>
      </c>
      <c r="I147" t="s">
        <v>1306</v>
      </c>
      <c r="J147" t="s">
        <v>260</v>
      </c>
      <c r="K147" t="s">
        <v>65</v>
      </c>
      <c r="L147">
        <v>0</v>
      </c>
      <c r="M147">
        <v>0</v>
      </c>
      <c r="N147" t="s">
        <v>255</v>
      </c>
      <c r="O147" t="s">
        <v>255</v>
      </c>
      <c r="P147" t="s">
        <v>548</v>
      </c>
      <c r="Q147">
        <v>7000116</v>
      </c>
      <c r="R147">
        <v>12650000</v>
      </c>
      <c r="S147" s="50">
        <v>46035</v>
      </c>
      <c r="T147" s="50">
        <v>46081</v>
      </c>
      <c r="U147" t="s">
        <v>79</v>
      </c>
      <c r="V147" t="s">
        <v>249</v>
      </c>
      <c r="W147" t="s">
        <v>92</v>
      </c>
      <c r="X147" t="s">
        <v>86</v>
      </c>
      <c r="Y147" t="s">
        <v>291</v>
      </c>
      <c r="Z147">
        <v>10573696</v>
      </c>
      <c r="AA147" s="50">
        <v>46081</v>
      </c>
      <c r="AB147" s="87" t="s">
        <v>93</v>
      </c>
      <c r="AC147" s="86">
        <v>803187.57</v>
      </c>
      <c r="AD147" t="s">
        <v>70</v>
      </c>
      <c r="AE147" s="85">
        <v>555.69000000000005</v>
      </c>
      <c r="AF147" s="85">
        <v>555.69000000000005</v>
      </c>
      <c r="AG147" s="85"/>
      <c r="AH147" s="85"/>
      <c r="AI147" s="85"/>
      <c r="AJ147" s="85"/>
      <c r="AK147" s="85"/>
      <c r="AL147" s="85"/>
      <c r="AM147" s="85"/>
      <c r="AN147" s="85"/>
      <c r="AO147" s="85"/>
      <c r="AP147" s="85"/>
      <c r="AQ147" s="85"/>
      <c r="AR147" s="85"/>
      <c r="AS147" s="85"/>
      <c r="AT147" s="85"/>
      <c r="AU147" s="85"/>
      <c r="AV147" s="85"/>
      <c r="AW147" s="85"/>
      <c r="AX147" s="85"/>
      <c r="AY147" s="85"/>
      <c r="AZ147" s="85"/>
      <c r="BA147" s="85"/>
      <c r="BB147" s="85"/>
      <c r="BC147" s="85"/>
      <c r="BD147" s="85"/>
      <c r="BE147" s="85">
        <v>0</v>
      </c>
      <c r="BF147" s="85">
        <v>0</v>
      </c>
      <c r="BG147" s="85">
        <v>0</v>
      </c>
      <c r="BH147" s="85">
        <v>803187.57</v>
      </c>
      <c r="BI147" s="85">
        <v>555.69000000000005</v>
      </c>
      <c r="BJ147" s="85">
        <v>555.69000000000005</v>
      </c>
      <c r="BO147">
        <v>39.549999999999997</v>
      </c>
      <c r="BP147" s="86">
        <v>317680.76</v>
      </c>
      <c r="BQ147">
        <v>219.79</v>
      </c>
      <c r="BR147">
        <v>219.79</v>
      </c>
      <c r="BS147" s="85">
        <v>485506.81</v>
      </c>
      <c r="BT147" s="85">
        <v>335.9</v>
      </c>
      <c r="BU147" s="85">
        <v>335.9</v>
      </c>
      <c r="BX147" t="s">
        <v>731</v>
      </c>
      <c r="BZ147">
        <v>63304606</v>
      </c>
      <c r="CA147">
        <v>63304606</v>
      </c>
      <c r="CB147" t="s">
        <v>72</v>
      </c>
      <c r="CC147" t="s">
        <v>250</v>
      </c>
      <c r="CE147" t="s">
        <v>530</v>
      </c>
    </row>
    <row r="148" spans="1:83" x14ac:dyDescent="0.35">
      <c r="A148" t="s">
        <v>242</v>
      </c>
      <c r="B148">
        <v>3050535</v>
      </c>
      <c r="C148">
        <v>41651</v>
      </c>
      <c r="D148" t="s">
        <v>552</v>
      </c>
      <c r="E148">
        <v>322531401</v>
      </c>
      <c r="F148" t="s">
        <v>692</v>
      </c>
      <c r="G148" s="60">
        <v>46054</v>
      </c>
      <c r="H148">
        <v>40881348</v>
      </c>
      <c r="I148" t="s">
        <v>1307</v>
      </c>
      <c r="J148" t="s">
        <v>260</v>
      </c>
      <c r="K148" t="s">
        <v>65</v>
      </c>
      <c r="L148">
        <v>0</v>
      </c>
      <c r="M148">
        <v>0</v>
      </c>
      <c r="N148" t="s">
        <v>255</v>
      </c>
      <c r="O148" t="s">
        <v>255</v>
      </c>
      <c r="P148" t="s">
        <v>548</v>
      </c>
      <c r="Q148">
        <v>7000116</v>
      </c>
      <c r="R148">
        <v>12650000</v>
      </c>
      <c r="S148" s="50">
        <v>46035</v>
      </c>
      <c r="T148" s="50">
        <v>46081</v>
      </c>
      <c r="U148" t="s">
        <v>79</v>
      </c>
      <c r="V148" t="s">
        <v>249</v>
      </c>
      <c r="W148" t="s">
        <v>92</v>
      </c>
      <c r="X148" t="s">
        <v>86</v>
      </c>
      <c r="Y148" t="s">
        <v>291</v>
      </c>
      <c r="Z148">
        <v>10573696</v>
      </c>
      <c r="AA148" s="50">
        <v>46081</v>
      </c>
      <c r="AB148" s="87" t="s">
        <v>93</v>
      </c>
      <c r="AC148" s="86">
        <v>600259.75</v>
      </c>
      <c r="AD148" t="s">
        <v>70</v>
      </c>
      <c r="AE148" s="85">
        <v>415.29</v>
      </c>
      <c r="AF148" s="85">
        <v>415.29</v>
      </c>
      <c r="AG148" s="85"/>
      <c r="AH148" s="85"/>
      <c r="AI148" s="85"/>
      <c r="AJ148" s="85"/>
      <c r="AK148" s="85"/>
      <c r="AL148" s="85"/>
      <c r="AM148" s="85"/>
      <c r="AN148" s="85"/>
      <c r="AO148" s="85"/>
      <c r="AP148" s="85"/>
      <c r="AQ148" s="85"/>
      <c r="AR148" s="85"/>
      <c r="AS148" s="85"/>
      <c r="AT148" s="85"/>
      <c r="AU148" s="85"/>
      <c r="AV148" s="85"/>
      <c r="AW148" s="85"/>
      <c r="AX148" s="85"/>
      <c r="AY148" s="85"/>
      <c r="AZ148" s="85"/>
      <c r="BA148" s="85"/>
      <c r="BB148" s="85"/>
      <c r="BC148" s="85"/>
      <c r="BD148" s="85"/>
      <c r="BE148" s="85">
        <v>0</v>
      </c>
      <c r="BF148" s="85">
        <v>0</v>
      </c>
      <c r="BG148" s="85">
        <v>0</v>
      </c>
      <c r="BH148" s="85">
        <v>600259.75</v>
      </c>
      <c r="BI148" s="85">
        <v>415.29</v>
      </c>
      <c r="BJ148" s="85">
        <v>415.29</v>
      </c>
      <c r="BO148">
        <v>39.549999999999997</v>
      </c>
      <c r="BP148" s="86">
        <v>237417.74</v>
      </c>
      <c r="BQ148">
        <v>164.26</v>
      </c>
      <c r="BR148">
        <v>164.26</v>
      </c>
      <c r="BS148" s="85">
        <v>362842.01</v>
      </c>
      <c r="BT148" s="85">
        <v>251.03</v>
      </c>
      <c r="BU148" s="85">
        <v>251.03</v>
      </c>
      <c r="BX148" t="s">
        <v>731</v>
      </c>
      <c r="BZ148">
        <v>63304606</v>
      </c>
      <c r="CA148">
        <v>63304606</v>
      </c>
      <c r="CB148" t="s">
        <v>73</v>
      </c>
      <c r="CC148" t="s">
        <v>250</v>
      </c>
      <c r="CE148" t="s">
        <v>530</v>
      </c>
    </row>
    <row r="149" spans="1:83" x14ac:dyDescent="0.35">
      <c r="A149" t="s">
        <v>242</v>
      </c>
      <c r="B149">
        <v>3050535</v>
      </c>
      <c r="C149">
        <v>41651</v>
      </c>
      <c r="D149" t="s">
        <v>552</v>
      </c>
      <c r="E149">
        <v>322531401</v>
      </c>
      <c r="F149" t="s">
        <v>692</v>
      </c>
      <c r="G149" s="60">
        <v>46054</v>
      </c>
      <c r="H149">
        <v>40958412</v>
      </c>
      <c r="I149" t="s">
        <v>1308</v>
      </c>
      <c r="J149" t="s">
        <v>260</v>
      </c>
      <c r="K149" t="s">
        <v>65</v>
      </c>
      <c r="L149">
        <v>0</v>
      </c>
      <c r="M149">
        <v>0</v>
      </c>
      <c r="N149" t="s">
        <v>255</v>
      </c>
      <c r="O149" t="s">
        <v>255</v>
      </c>
      <c r="P149" t="s">
        <v>548</v>
      </c>
      <c r="Q149">
        <v>7000116</v>
      </c>
      <c r="R149">
        <v>12650000</v>
      </c>
      <c r="S149" s="50">
        <v>46035</v>
      </c>
      <c r="T149" s="50">
        <v>46081</v>
      </c>
      <c r="U149" t="s">
        <v>79</v>
      </c>
      <c r="V149" t="s">
        <v>249</v>
      </c>
      <c r="W149" t="s">
        <v>92</v>
      </c>
      <c r="X149" t="s">
        <v>86</v>
      </c>
      <c r="Y149" t="s">
        <v>291</v>
      </c>
      <c r="Z149">
        <v>10573696</v>
      </c>
      <c r="AA149" s="50">
        <v>46081</v>
      </c>
      <c r="AB149" s="87" t="s">
        <v>93</v>
      </c>
      <c r="AC149" s="86">
        <v>150314.38</v>
      </c>
      <c r="AD149" t="s">
        <v>70</v>
      </c>
      <c r="AE149" s="85">
        <v>104</v>
      </c>
      <c r="AF149" s="85">
        <v>104</v>
      </c>
      <c r="AG149" s="85"/>
      <c r="AH149" s="85"/>
      <c r="AI149" s="85"/>
      <c r="AJ149" s="85"/>
      <c r="AK149" s="85"/>
      <c r="AL149" s="85"/>
      <c r="AM149" s="85"/>
      <c r="AN149" s="85"/>
      <c r="AO149" s="85"/>
      <c r="AP149" s="85"/>
      <c r="AQ149" s="85"/>
      <c r="AR149" s="85"/>
      <c r="AS149" s="85"/>
      <c r="AT149" s="85"/>
      <c r="AU149" s="85"/>
      <c r="AV149" s="85"/>
      <c r="AW149" s="85"/>
      <c r="AX149" s="85"/>
      <c r="AY149" s="85"/>
      <c r="AZ149" s="85"/>
      <c r="BA149" s="85"/>
      <c r="BB149" s="85"/>
      <c r="BC149" s="85"/>
      <c r="BD149" s="85"/>
      <c r="BE149" s="85">
        <v>0</v>
      </c>
      <c r="BF149" s="85">
        <v>0</v>
      </c>
      <c r="BG149" s="85">
        <v>0</v>
      </c>
      <c r="BH149" s="85">
        <v>150314.38</v>
      </c>
      <c r="BI149" s="85">
        <v>104</v>
      </c>
      <c r="BJ149" s="85">
        <v>104</v>
      </c>
      <c r="BO149">
        <v>39.549999999999997</v>
      </c>
      <c r="BP149" s="86">
        <v>59453.09</v>
      </c>
      <c r="BQ149">
        <v>41.13</v>
      </c>
      <c r="BR149">
        <v>41.13</v>
      </c>
      <c r="BS149" s="85">
        <v>90861.29</v>
      </c>
      <c r="BT149" s="85">
        <v>62.87</v>
      </c>
      <c r="BU149" s="85">
        <v>62.87</v>
      </c>
      <c r="BX149" t="s">
        <v>731</v>
      </c>
      <c r="BZ149">
        <v>63304606</v>
      </c>
      <c r="CA149">
        <v>63304606</v>
      </c>
      <c r="CB149" t="s">
        <v>72</v>
      </c>
      <c r="CC149" t="s">
        <v>250</v>
      </c>
      <c r="CE149" t="s">
        <v>530</v>
      </c>
    </row>
    <row r="150" spans="1:83" x14ac:dyDescent="0.35">
      <c r="A150" t="s">
        <v>242</v>
      </c>
      <c r="B150">
        <v>3050535</v>
      </c>
      <c r="C150">
        <v>41651</v>
      </c>
      <c r="E150">
        <v>324901601</v>
      </c>
      <c r="F150" t="s">
        <v>1125</v>
      </c>
      <c r="G150" s="60">
        <v>46054</v>
      </c>
      <c r="I150" t="s">
        <v>1214</v>
      </c>
      <c r="J150" t="s">
        <v>260</v>
      </c>
      <c r="K150" t="s">
        <v>65</v>
      </c>
      <c r="N150" t="s">
        <v>94</v>
      </c>
      <c r="O150" t="s">
        <v>94</v>
      </c>
      <c r="P150" t="s">
        <v>1126</v>
      </c>
      <c r="Q150">
        <v>258084</v>
      </c>
      <c r="R150">
        <v>2300000</v>
      </c>
      <c r="S150" s="50"/>
      <c r="T150" s="50"/>
      <c r="U150" t="s">
        <v>79</v>
      </c>
      <c r="V150" t="s">
        <v>249</v>
      </c>
      <c r="W150" t="s">
        <v>92</v>
      </c>
      <c r="X150" t="s">
        <v>86</v>
      </c>
      <c r="Y150" t="s">
        <v>291</v>
      </c>
      <c r="Z150">
        <v>10573680</v>
      </c>
      <c r="AA150" s="50">
        <v>46081</v>
      </c>
      <c r="AB150" s="87" t="s">
        <v>93</v>
      </c>
      <c r="AC150" s="86">
        <v>-2160.9299999999998</v>
      </c>
      <c r="AD150" t="s">
        <v>70</v>
      </c>
      <c r="AE150" s="85">
        <v>-1.5</v>
      </c>
      <c r="AF150" s="85">
        <v>-1.5</v>
      </c>
      <c r="AG150" s="85"/>
      <c r="AH150" s="85"/>
      <c r="AI150" s="85"/>
      <c r="AJ150" s="85"/>
      <c r="AK150" s="85"/>
      <c r="AL150" s="85"/>
      <c r="AM150" s="85"/>
      <c r="AN150" s="85"/>
      <c r="AO150" s="85"/>
      <c r="AP150" s="85"/>
      <c r="AQ150" s="85"/>
      <c r="AR150" s="85"/>
      <c r="AS150" s="85"/>
      <c r="AT150" s="85"/>
      <c r="AU150" s="85"/>
      <c r="AV150" s="85"/>
      <c r="AW150" s="85"/>
      <c r="AX150" s="85"/>
      <c r="AY150" s="85"/>
      <c r="AZ150" s="85"/>
      <c r="BA150" s="85"/>
      <c r="BB150" s="85"/>
      <c r="BC150" s="85"/>
      <c r="BD150" s="85"/>
      <c r="BE150" s="85">
        <v>0</v>
      </c>
      <c r="BF150" s="85">
        <v>0</v>
      </c>
      <c r="BG150" s="85">
        <v>0</v>
      </c>
      <c r="BH150" s="85">
        <v>-2160.9299999999998</v>
      </c>
      <c r="BI150" s="85">
        <v>-1.5</v>
      </c>
      <c r="BJ150" s="85">
        <v>-1.5</v>
      </c>
      <c r="BO150">
        <v>22</v>
      </c>
      <c r="BP150" s="86">
        <v>-475.4</v>
      </c>
      <c r="BQ150">
        <v>-0.33</v>
      </c>
      <c r="BR150">
        <v>-0.33</v>
      </c>
      <c r="BS150" s="85">
        <v>-1685.53</v>
      </c>
      <c r="BT150" s="85">
        <v>-1.17</v>
      </c>
      <c r="BU150" s="85">
        <v>-1.17</v>
      </c>
      <c r="BX150" t="s">
        <v>1189</v>
      </c>
      <c r="BZ150">
        <v>224554</v>
      </c>
      <c r="CA150">
        <v>224554</v>
      </c>
      <c r="CC150" t="s">
        <v>250</v>
      </c>
      <c r="CE150" t="s">
        <v>530</v>
      </c>
    </row>
    <row r="151" spans="1:83" x14ac:dyDescent="0.35">
      <c r="A151" t="s">
        <v>242</v>
      </c>
      <c r="B151">
        <v>3050535</v>
      </c>
      <c r="C151">
        <v>41651</v>
      </c>
      <c r="D151" t="s">
        <v>585</v>
      </c>
      <c r="E151">
        <v>325250001</v>
      </c>
      <c r="F151" t="s">
        <v>1158</v>
      </c>
      <c r="G151" s="60">
        <v>46054</v>
      </c>
      <c r="H151">
        <v>40985047</v>
      </c>
      <c r="I151" t="s">
        <v>1309</v>
      </c>
      <c r="J151" t="s">
        <v>260</v>
      </c>
      <c r="K151" t="s">
        <v>65</v>
      </c>
      <c r="L151">
        <v>0</v>
      </c>
      <c r="M151">
        <v>0</v>
      </c>
      <c r="N151" t="s">
        <v>108</v>
      </c>
      <c r="O151" t="s">
        <v>108</v>
      </c>
      <c r="P151" t="s">
        <v>579</v>
      </c>
      <c r="Q151">
        <v>2097220</v>
      </c>
      <c r="R151">
        <v>3600000</v>
      </c>
      <c r="S151" s="50">
        <v>46077</v>
      </c>
      <c r="T151" s="50">
        <v>46096</v>
      </c>
      <c r="U151" t="s">
        <v>79</v>
      </c>
      <c r="V151" t="s">
        <v>249</v>
      </c>
      <c r="W151" t="s">
        <v>92</v>
      </c>
      <c r="X151" t="s">
        <v>86</v>
      </c>
      <c r="Y151" t="s">
        <v>291</v>
      </c>
      <c r="Z151">
        <v>10573675</v>
      </c>
      <c r="AA151" s="50">
        <v>46081</v>
      </c>
      <c r="AB151" s="87" t="s">
        <v>93</v>
      </c>
      <c r="AC151" s="86">
        <v>540391.47</v>
      </c>
      <c r="AD151" t="s">
        <v>70</v>
      </c>
      <c r="AE151" s="85">
        <v>373.87</v>
      </c>
      <c r="AF151" s="85">
        <v>373.87</v>
      </c>
      <c r="AG151" s="85"/>
      <c r="AH151" s="85"/>
      <c r="AI151" s="85"/>
      <c r="AJ151" s="85"/>
      <c r="AK151" s="85"/>
      <c r="AL151" s="85"/>
      <c r="AM151" s="85"/>
      <c r="AN151" s="85"/>
      <c r="AO151" s="85"/>
      <c r="AP151" s="85"/>
      <c r="AQ151" s="85"/>
      <c r="AR151" s="85"/>
      <c r="AS151" s="85"/>
      <c r="AT151" s="85"/>
      <c r="AU151" s="85"/>
      <c r="AV151" s="85"/>
      <c r="AW151" s="85"/>
      <c r="AX151" s="85"/>
      <c r="AY151" s="85"/>
      <c r="AZ151" s="85"/>
      <c r="BA151" s="85"/>
      <c r="BB151" s="85"/>
      <c r="BC151" s="85"/>
      <c r="BD151" s="85"/>
      <c r="BE151" s="85">
        <v>0</v>
      </c>
      <c r="BF151" s="85">
        <v>0</v>
      </c>
      <c r="BG151" s="85">
        <v>0</v>
      </c>
      <c r="BH151" s="85">
        <v>540391.47</v>
      </c>
      <c r="BI151" s="85">
        <v>373.87</v>
      </c>
      <c r="BJ151" s="85">
        <v>373.87</v>
      </c>
      <c r="BO151">
        <v>22</v>
      </c>
      <c r="BP151" s="86">
        <v>118886.12</v>
      </c>
      <c r="BQ151">
        <v>82.25</v>
      </c>
      <c r="BR151">
        <v>82.25</v>
      </c>
      <c r="BS151" s="85">
        <v>421505.35</v>
      </c>
      <c r="BT151" s="85">
        <v>291.62</v>
      </c>
      <c r="BU151" s="85">
        <v>291.62</v>
      </c>
      <c r="BX151" t="s">
        <v>1310</v>
      </c>
      <c r="BZ151">
        <v>224529</v>
      </c>
      <c r="CA151">
        <v>224529</v>
      </c>
      <c r="CB151" t="s">
        <v>73</v>
      </c>
      <c r="CC151" t="s">
        <v>250</v>
      </c>
      <c r="CE151" t="s">
        <v>530</v>
      </c>
    </row>
    <row r="152" spans="1:83" x14ac:dyDescent="0.35">
      <c r="A152" t="s">
        <v>242</v>
      </c>
      <c r="B152">
        <v>3050535</v>
      </c>
      <c r="C152">
        <v>41651</v>
      </c>
      <c r="D152" t="s">
        <v>262</v>
      </c>
      <c r="E152">
        <v>322158401</v>
      </c>
      <c r="F152" t="s">
        <v>676</v>
      </c>
      <c r="G152" s="60">
        <v>46054</v>
      </c>
      <c r="H152">
        <v>40744945</v>
      </c>
      <c r="I152" t="s">
        <v>1311</v>
      </c>
      <c r="J152" t="s">
        <v>260</v>
      </c>
      <c r="K152" t="s">
        <v>65</v>
      </c>
      <c r="L152">
        <v>0</v>
      </c>
      <c r="M152">
        <v>0</v>
      </c>
      <c r="N152" t="s">
        <v>561</v>
      </c>
      <c r="O152" t="s">
        <v>561</v>
      </c>
      <c r="P152" t="s">
        <v>257</v>
      </c>
      <c r="Q152">
        <v>57936819</v>
      </c>
      <c r="R152">
        <v>9869791.9600000009</v>
      </c>
      <c r="S152" s="50">
        <v>46024</v>
      </c>
      <c r="T152" s="50">
        <v>46081</v>
      </c>
      <c r="U152" t="s">
        <v>69</v>
      </c>
      <c r="V152" t="s">
        <v>249</v>
      </c>
      <c r="W152" t="s">
        <v>92</v>
      </c>
      <c r="X152" t="s">
        <v>86</v>
      </c>
      <c r="Y152" t="s">
        <v>291</v>
      </c>
      <c r="Z152">
        <v>10573703</v>
      </c>
      <c r="AA152" s="50">
        <v>46081</v>
      </c>
      <c r="AB152" s="87" t="s">
        <v>93</v>
      </c>
      <c r="AC152" s="86">
        <v>237367.58</v>
      </c>
      <c r="AD152" t="s">
        <v>70</v>
      </c>
      <c r="AE152" s="85">
        <v>164.22</v>
      </c>
      <c r="AF152" s="85">
        <v>164.22</v>
      </c>
      <c r="AG152" s="85"/>
      <c r="AH152" s="85"/>
      <c r="AI152" s="85"/>
      <c r="AJ152" s="85"/>
      <c r="AK152" s="85"/>
      <c r="AL152" s="85"/>
      <c r="AM152" s="85"/>
      <c r="AN152" s="85"/>
      <c r="AO152" s="85"/>
      <c r="AP152" s="85"/>
      <c r="AQ152" s="85"/>
      <c r="AR152" s="85"/>
      <c r="AS152" s="85"/>
      <c r="AT152" s="85"/>
      <c r="AU152" s="85"/>
      <c r="AV152" s="85"/>
      <c r="AW152" s="85"/>
      <c r="AX152" s="85"/>
      <c r="AY152" s="85"/>
      <c r="AZ152" s="85"/>
      <c r="BA152" s="85"/>
      <c r="BB152" s="85"/>
      <c r="BC152" s="85"/>
      <c r="BD152" s="85"/>
      <c r="BE152" s="85">
        <v>0</v>
      </c>
      <c r="BF152" s="85">
        <v>0</v>
      </c>
      <c r="BG152" s="85">
        <v>0</v>
      </c>
      <c r="BH152" s="85">
        <v>237367.58</v>
      </c>
      <c r="BI152" s="85">
        <v>164.22</v>
      </c>
      <c r="BJ152" s="85">
        <v>164.22</v>
      </c>
      <c r="BO152">
        <v>39.549999999999997</v>
      </c>
      <c r="BP152" s="86">
        <v>93884.81</v>
      </c>
      <c r="BQ152">
        <v>64.95</v>
      </c>
      <c r="BR152">
        <v>64.95</v>
      </c>
      <c r="BS152" s="85">
        <v>143482.76999999999</v>
      </c>
      <c r="BT152" s="85">
        <v>99.27</v>
      </c>
      <c r="BU152" s="85">
        <v>99.27</v>
      </c>
      <c r="BX152" t="s">
        <v>723</v>
      </c>
      <c r="BZ152">
        <v>224573</v>
      </c>
      <c r="CA152">
        <v>224573</v>
      </c>
      <c r="CB152" t="s">
        <v>251</v>
      </c>
      <c r="CC152" t="s">
        <v>250</v>
      </c>
      <c r="CE152" t="s">
        <v>530</v>
      </c>
    </row>
    <row r="153" spans="1:83" x14ac:dyDescent="0.35">
      <c r="A153" t="s">
        <v>242</v>
      </c>
      <c r="B153">
        <v>3050535</v>
      </c>
      <c r="C153">
        <v>41651</v>
      </c>
      <c r="D153" t="s">
        <v>262</v>
      </c>
      <c r="E153">
        <v>322158401</v>
      </c>
      <c r="F153" t="s">
        <v>676</v>
      </c>
      <c r="G153" s="60">
        <v>46054</v>
      </c>
      <c r="H153">
        <v>40744942</v>
      </c>
      <c r="I153" t="s">
        <v>1215</v>
      </c>
      <c r="J153" t="s">
        <v>260</v>
      </c>
      <c r="K153" t="s">
        <v>65</v>
      </c>
      <c r="L153">
        <v>0</v>
      </c>
      <c r="M153">
        <v>0</v>
      </c>
      <c r="N153" t="s">
        <v>561</v>
      </c>
      <c r="O153" t="s">
        <v>561</v>
      </c>
      <c r="P153" t="s">
        <v>257</v>
      </c>
      <c r="Q153">
        <v>57936819</v>
      </c>
      <c r="R153">
        <v>9869791.9600000009</v>
      </c>
      <c r="S153" s="50">
        <v>46024</v>
      </c>
      <c r="T153" s="50">
        <v>46112</v>
      </c>
      <c r="U153" t="s">
        <v>69</v>
      </c>
      <c r="V153" t="s">
        <v>249</v>
      </c>
      <c r="W153" t="s">
        <v>92</v>
      </c>
      <c r="X153" t="s">
        <v>86</v>
      </c>
      <c r="Y153" t="s">
        <v>291</v>
      </c>
      <c r="Z153">
        <v>10573703</v>
      </c>
      <c r="AA153" s="50">
        <v>46081</v>
      </c>
      <c r="AB153" s="87" t="s">
        <v>93</v>
      </c>
      <c r="AC153" s="86">
        <v>266790.11</v>
      </c>
      <c r="AD153" t="s">
        <v>70</v>
      </c>
      <c r="AE153" s="85">
        <v>184.58</v>
      </c>
      <c r="AF153" s="85">
        <v>184.58</v>
      </c>
      <c r="AG153" s="85"/>
      <c r="AH153" s="85"/>
      <c r="AI153" s="85"/>
      <c r="AJ153" s="85"/>
      <c r="AK153" s="85"/>
      <c r="AL153" s="85"/>
      <c r="AM153" s="85"/>
      <c r="AN153" s="85"/>
      <c r="AO153" s="85"/>
      <c r="AP153" s="85"/>
      <c r="AQ153" s="85"/>
      <c r="AR153" s="85"/>
      <c r="AS153" s="85"/>
      <c r="AT153" s="85"/>
      <c r="AU153" s="85"/>
      <c r="AV153" s="85"/>
      <c r="AW153" s="85"/>
      <c r="AX153" s="85"/>
      <c r="AY153" s="85"/>
      <c r="AZ153" s="85"/>
      <c r="BA153" s="85"/>
      <c r="BB153" s="85"/>
      <c r="BC153" s="85"/>
      <c r="BD153" s="85"/>
      <c r="BE153" s="85">
        <v>0</v>
      </c>
      <c r="BF153" s="85">
        <v>0</v>
      </c>
      <c r="BG153" s="85">
        <v>0</v>
      </c>
      <c r="BH153" s="85">
        <v>266790.11</v>
      </c>
      <c r="BI153" s="85">
        <v>184.58</v>
      </c>
      <c r="BJ153" s="85">
        <v>184.58</v>
      </c>
      <c r="BO153">
        <v>39.549999999999997</v>
      </c>
      <c r="BP153" s="86">
        <v>105522.16</v>
      </c>
      <c r="BQ153">
        <v>73.010000000000005</v>
      </c>
      <c r="BR153">
        <v>73.010000000000005</v>
      </c>
      <c r="BS153" s="85">
        <v>161267.95000000001</v>
      </c>
      <c r="BT153" s="85">
        <v>111.57</v>
      </c>
      <c r="BU153" s="85">
        <v>111.57</v>
      </c>
      <c r="BX153" t="s">
        <v>723</v>
      </c>
      <c r="BZ153">
        <v>224573</v>
      </c>
      <c r="CA153">
        <v>224573</v>
      </c>
      <c r="CB153" t="s">
        <v>251</v>
      </c>
      <c r="CC153" t="s">
        <v>250</v>
      </c>
      <c r="CE153" t="s">
        <v>530</v>
      </c>
    </row>
    <row r="154" spans="1:83" x14ac:dyDescent="0.35">
      <c r="A154" t="s">
        <v>242</v>
      </c>
      <c r="B154">
        <v>3050535</v>
      </c>
      <c r="C154">
        <v>41651</v>
      </c>
      <c r="D154" t="s">
        <v>503</v>
      </c>
      <c r="E154">
        <v>298538101</v>
      </c>
      <c r="F154" t="s">
        <v>540</v>
      </c>
      <c r="G154" s="60">
        <v>46054</v>
      </c>
      <c r="H154">
        <v>38679434</v>
      </c>
      <c r="I154" t="s">
        <v>574</v>
      </c>
      <c r="J154" t="s">
        <v>260</v>
      </c>
      <c r="K154" t="s">
        <v>65</v>
      </c>
      <c r="L154">
        <v>0</v>
      </c>
      <c r="M154">
        <v>0</v>
      </c>
      <c r="P154" t="s">
        <v>494</v>
      </c>
      <c r="Q154">
        <v>186932207</v>
      </c>
      <c r="R154">
        <v>69550831</v>
      </c>
      <c r="S154" s="50">
        <v>45644</v>
      </c>
      <c r="T154" s="50">
        <v>46081</v>
      </c>
      <c r="U154" t="s">
        <v>79</v>
      </c>
      <c r="V154" t="s">
        <v>249</v>
      </c>
      <c r="W154" t="s">
        <v>92</v>
      </c>
      <c r="X154" t="s">
        <v>86</v>
      </c>
      <c r="Y154" t="s">
        <v>291</v>
      </c>
      <c r="Z154">
        <v>10573629</v>
      </c>
      <c r="AA154" s="50">
        <v>46081</v>
      </c>
      <c r="AB154" s="87" t="s">
        <v>93</v>
      </c>
      <c r="AC154" s="86">
        <v>130787.86</v>
      </c>
      <c r="AD154" t="s">
        <v>70</v>
      </c>
      <c r="AE154" s="85">
        <v>90.49</v>
      </c>
      <c r="AF154" s="85">
        <v>90.49</v>
      </c>
      <c r="AG154" s="85"/>
      <c r="AH154" s="85"/>
      <c r="AI154" s="85"/>
      <c r="AJ154" s="85"/>
      <c r="AK154" s="85"/>
      <c r="AL154" s="85"/>
      <c r="AM154" s="85"/>
      <c r="AN154" s="85"/>
      <c r="AO154" s="85"/>
      <c r="AP154" s="85"/>
      <c r="AQ154" s="85"/>
      <c r="AR154" s="85"/>
      <c r="AS154" s="85"/>
      <c r="AT154" s="85"/>
      <c r="AU154" s="85"/>
      <c r="AV154" s="85"/>
      <c r="AW154" s="85"/>
      <c r="AX154" s="85"/>
      <c r="AY154" s="85"/>
      <c r="AZ154" s="85"/>
      <c r="BA154" s="85"/>
      <c r="BB154" s="85"/>
      <c r="BC154" s="85"/>
      <c r="BD154" s="85"/>
      <c r="BE154" s="85">
        <v>0</v>
      </c>
      <c r="BF154" s="85">
        <v>0</v>
      </c>
      <c r="BG154" s="85">
        <v>0</v>
      </c>
      <c r="BH154" s="85">
        <v>130787.86</v>
      </c>
      <c r="BI154" s="85">
        <v>90.49</v>
      </c>
      <c r="BJ154" s="85">
        <v>90.49</v>
      </c>
      <c r="BO154">
        <v>39.549999999999997</v>
      </c>
      <c r="BP154" s="86">
        <v>51729.87</v>
      </c>
      <c r="BQ154">
        <v>35.79</v>
      </c>
      <c r="BR154">
        <v>35.79</v>
      </c>
      <c r="BS154" s="85">
        <v>79057.990000000005</v>
      </c>
      <c r="BT154" s="85">
        <v>54.7</v>
      </c>
      <c r="BU154" s="85">
        <v>54.7</v>
      </c>
      <c r="BX154" t="s">
        <v>541</v>
      </c>
      <c r="CB154" t="s">
        <v>73</v>
      </c>
      <c r="CC154" t="s">
        <v>250</v>
      </c>
      <c r="CE154" t="s">
        <v>530</v>
      </c>
    </row>
    <row r="155" spans="1:83" x14ac:dyDescent="0.35">
      <c r="A155" t="s">
        <v>242</v>
      </c>
      <c r="B155">
        <v>3050535</v>
      </c>
      <c r="C155">
        <v>41651</v>
      </c>
      <c r="D155" t="s">
        <v>503</v>
      </c>
      <c r="E155">
        <v>298538101</v>
      </c>
      <c r="F155" t="s">
        <v>540</v>
      </c>
      <c r="G155" s="60">
        <v>46054</v>
      </c>
      <c r="H155">
        <v>37966605</v>
      </c>
      <c r="I155" t="s">
        <v>615</v>
      </c>
      <c r="J155" t="s">
        <v>260</v>
      </c>
      <c r="K155" t="s">
        <v>65</v>
      </c>
      <c r="L155">
        <v>0</v>
      </c>
      <c r="M155">
        <v>0</v>
      </c>
      <c r="P155" t="s">
        <v>494</v>
      </c>
      <c r="Q155">
        <v>186932207</v>
      </c>
      <c r="R155">
        <v>69550831</v>
      </c>
      <c r="S155" s="50">
        <v>45644</v>
      </c>
      <c r="T155" s="50">
        <v>46081</v>
      </c>
      <c r="U155" t="s">
        <v>79</v>
      </c>
      <c r="V155" t="s">
        <v>249</v>
      </c>
      <c r="W155" t="s">
        <v>92</v>
      </c>
      <c r="X155" t="s">
        <v>86</v>
      </c>
      <c r="Y155" t="s">
        <v>291</v>
      </c>
      <c r="Z155">
        <v>10573629</v>
      </c>
      <c r="AA155" s="50">
        <v>46081</v>
      </c>
      <c r="AB155" s="87" t="s">
        <v>93</v>
      </c>
      <c r="AC155" s="86">
        <v>139716.46</v>
      </c>
      <c r="AD155" t="s">
        <v>70</v>
      </c>
      <c r="AE155" s="85">
        <v>96.66</v>
      </c>
      <c r="AF155" s="85">
        <v>96.66</v>
      </c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>
        <v>0</v>
      </c>
      <c r="BF155" s="85">
        <v>0</v>
      </c>
      <c r="BG155" s="85">
        <v>0</v>
      </c>
      <c r="BH155" s="85">
        <v>139716.46</v>
      </c>
      <c r="BI155" s="85">
        <v>96.66</v>
      </c>
      <c r="BJ155" s="85">
        <v>96.66</v>
      </c>
      <c r="BO155">
        <v>39.549999999999997</v>
      </c>
      <c r="BP155" s="86">
        <v>55261.35</v>
      </c>
      <c r="BQ155">
        <v>38.229999999999997</v>
      </c>
      <c r="BR155">
        <v>38.229999999999997</v>
      </c>
      <c r="BS155" s="85">
        <v>84455.11</v>
      </c>
      <c r="BT155" s="85">
        <v>58.43</v>
      </c>
      <c r="BU155" s="85">
        <v>58.43</v>
      </c>
      <c r="BX155" t="s">
        <v>541</v>
      </c>
      <c r="CB155" t="s">
        <v>73</v>
      </c>
      <c r="CC155" t="s">
        <v>250</v>
      </c>
      <c r="CE155" t="s">
        <v>530</v>
      </c>
    </row>
    <row r="156" spans="1:83" x14ac:dyDescent="0.35">
      <c r="A156" t="s">
        <v>242</v>
      </c>
      <c r="B156">
        <v>3050535</v>
      </c>
      <c r="C156">
        <v>41651</v>
      </c>
      <c r="D156" t="s">
        <v>553</v>
      </c>
      <c r="E156">
        <v>316316102</v>
      </c>
      <c r="F156" t="s">
        <v>859</v>
      </c>
      <c r="G156" s="60">
        <v>46054</v>
      </c>
      <c r="H156">
        <v>40850980</v>
      </c>
      <c r="I156" t="s">
        <v>1312</v>
      </c>
      <c r="J156" t="s">
        <v>482</v>
      </c>
      <c r="K156" t="s">
        <v>65</v>
      </c>
      <c r="L156">
        <v>0</v>
      </c>
      <c r="M156">
        <v>0</v>
      </c>
      <c r="N156" t="s">
        <v>94</v>
      </c>
      <c r="O156" t="s">
        <v>94</v>
      </c>
      <c r="P156" t="s">
        <v>544</v>
      </c>
      <c r="Q156">
        <v>821027</v>
      </c>
      <c r="R156">
        <v>594000</v>
      </c>
      <c r="S156" s="50">
        <v>46055</v>
      </c>
      <c r="T156" s="50">
        <v>46055</v>
      </c>
      <c r="U156" t="s">
        <v>69</v>
      </c>
      <c r="V156" t="s">
        <v>249</v>
      </c>
      <c r="W156" t="s">
        <v>92</v>
      </c>
      <c r="X156" t="s">
        <v>86</v>
      </c>
      <c r="Y156" t="s">
        <v>291</v>
      </c>
      <c r="Z156">
        <v>10573724</v>
      </c>
      <c r="AA156" s="50">
        <v>46081</v>
      </c>
      <c r="AB156" s="87" t="s">
        <v>93</v>
      </c>
      <c r="AC156" s="86">
        <v>594000</v>
      </c>
      <c r="AD156" t="s">
        <v>70</v>
      </c>
      <c r="AE156" s="85">
        <v>410.96</v>
      </c>
      <c r="AF156" s="85">
        <v>410.96</v>
      </c>
      <c r="AG156" s="85"/>
      <c r="AH156" s="85"/>
      <c r="AI156" s="85"/>
      <c r="AJ156" s="85"/>
      <c r="AK156" s="85"/>
      <c r="AL156" s="85"/>
      <c r="AM156" s="85"/>
      <c r="AN156" s="85"/>
      <c r="AO156" s="85"/>
      <c r="AP156" s="85"/>
      <c r="AQ156" s="85"/>
      <c r="AR156" s="85"/>
      <c r="AS156" s="85"/>
      <c r="AT156" s="85"/>
      <c r="AU156" s="85"/>
      <c r="AV156" s="85"/>
      <c r="AW156" s="85"/>
      <c r="AX156" s="85"/>
      <c r="AY156" s="85"/>
      <c r="AZ156" s="85"/>
      <c r="BA156" s="85"/>
      <c r="BB156" s="85"/>
      <c r="BC156" s="85"/>
      <c r="BD156" s="85"/>
      <c r="BE156" s="85">
        <v>0</v>
      </c>
      <c r="BF156" s="85">
        <v>0</v>
      </c>
      <c r="BG156" s="85">
        <v>0</v>
      </c>
      <c r="BH156" s="85">
        <v>594000</v>
      </c>
      <c r="BI156" s="85">
        <v>410.96</v>
      </c>
      <c r="BJ156" s="85">
        <v>410.96</v>
      </c>
      <c r="BO156">
        <v>34</v>
      </c>
      <c r="BP156" s="86">
        <v>201948.12</v>
      </c>
      <c r="BQ156">
        <v>139.72</v>
      </c>
      <c r="BR156">
        <v>139.72</v>
      </c>
      <c r="BS156" s="85">
        <v>392051.88</v>
      </c>
      <c r="BT156" s="85">
        <v>271.24</v>
      </c>
      <c r="BU156" s="85">
        <v>271.24</v>
      </c>
      <c r="BW156" t="s">
        <v>527</v>
      </c>
      <c r="BX156" t="s">
        <v>1313</v>
      </c>
      <c r="BZ156">
        <v>224554</v>
      </c>
      <c r="CA156">
        <v>224554</v>
      </c>
      <c r="CB156" t="s">
        <v>76</v>
      </c>
      <c r="CC156" t="s">
        <v>250</v>
      </c>
      <c r="CE156" t="s">
        <v>530</v>
      </c>
    </row>
    <row r="157" spans="1:83" x14ac:dyDescent="0.35">
      <c r="A157" t="s">
        <v>242</v>
      </c>
      <c r="B157">
        <v>3050535</v>
      </c>
      <c r="C157">
        <v>41651</v>
      </c>
      <c r="D157" t="s">
        <v>600</v>
      </c>
      <c r="E157">
        <v>322203001</v>
      </c>
      <c r="F157" t="s">
        <v>677</v>
      </c>
      <c r="G157" s="60">
        <v>46054</v>
      </c>
      <c r="H157">
        <v>40759166</v>
      </c>
      <c r="I157" t="s">
        <v>727</v>
      </c>
      <c r="J157" t="s">
        <v>260</v>
      </c>
      <c r="K157" t="s">
        <v>65</v>
      </c>
      <c r="L157">
        <v>0</v>
      </c>
      <c r="M157">
        <v>0</v>
      </c>
      <c r="N157" t="s">
        <v>522</v>
      </c>
      <c r="O157" t="s">
        <v>522</v>
      </c>
      <c r="P157" t="s">
        <v>287</v>
      </c>
      <c r="Q157">
        <v>148610446</v>
      </c>
      <c r="R157">
        <v>11500000</v>
      </c>
      <c r="S157" s="50">
        <v>46027</v>
      </c>
      <c r="T157" s="50">
        <v>46112</v>
      </c>
      <c r="U157" t="s">
        <v>69</v>
      </c>
      <c r="V157" t="s">
        <v>249</v>
      </c>
      <c r="W157" t="s">
        <v>92</v>
      </c>
      <c r="X157" t="s">
        <v>86</v>
      </c>
      <c r="Y157" t="s">
        <v>291</v>
      </c>
      <c r="Z157">
        <v>10573647</v>
      </c>
      <c r="AA157" s="50">
        <v>46081</v>
      </c>
      <c r="AB157" s="87" t="s">
        <v>93</v>
      </c>
      <c r="AC157" s="86">
        <v>83349.5</v>
      </c>
      <c r="AD157" t="s">
        <v>70</v>
      </c>
      <c r="AE157" s="85">
        <v>57.67</v>
      </c>
      <c r="AF157" s="85">
        <v>57.67</v>
      </c>
      <c r="AG157" s="85"/>
      <c r="AH157" s="85"/>
      <c r="AI157" s="85"/>
      <c r="AJ157" s="85"/>
      <c r="AK157" s="85"/>
      <c r="AL157" s="85"/>
      <c r="AM157" s="85"/>
      <c r="AN157" s="85"/>
      <c r="AO157" s="85"/>
      <c r="AP157" s="85"/>
      <c r="AQ157" s="85"/>
      <c r="AR157" s="85"/>
      <c r="AS157" s="85"/>
      <c r="AT157" s="85"/>
      <c r="AU157" s="85"/>
      <c r="AV157" s="85"/>
      <c r="AW157" s="85"/>
      <c r="AX157" s="85"/>
      <c r="AY157" s="85"/>
      <c r="AZ157" s="85"/>
      <c r="BA157" s="85"/>
      <c r="BB157" s="85"/>
      <c r="BC157" s="85"/>
      <c r="BD157" s="85"/>
      <c r="BE157" s="85">
        <v>0</v>
      </c>
      <c r="BF157" s="85">
        <v>0</v>
      </c>
      <c r="BG157" s="85">
        <v>0</v>
      </c>
      <c r="BH157" s="85">
        <v>83349.5</v>
      </c>
      <c r="BI157" s="85">
        <v>57.67</v>
      </c>
      <c r="BJ157" s="85">
        <v>57.67</v>
      </c>
      <c r="BO157">
        <v>39.549999999999997</v>
      </c>
      <c r="BP157" s="86">
        <v>32966.81</v>
      </c>
      <c r="BQ157">
        <v>22.81</v>
      </c>
      <c r="BR157">
        <v>22.81</v>
      </c>
      <c r="BS157" s="85">
        <v>50382.69</v>
      </c>
      <c r="BT157" s="85">
        <v>34.86</v>
      </c>
      <c r="BU157" s="85">
        <v>34.86</v>
      </c>
      <c r="BX157" t="s">
        <v>728</v>
      </c>
      <c r="BZ157">
        <v>192377147</v>
      </c>
      <c r="CA157">
        <v>192377147</v>
      </c>
      <c r="CB157" t="s">
        <v>72</v>
      </c>
      <c r="CC157" t="s">
        <v>250</v>
      </c>
      <c r="CE157" t="s">
        <v>530</v>
      </c>
    </row>
    <row r="158" spans="1:83" x14ac:dyDescent="0.35">
      <c r="A158" t="s">
        <v>242</v>
      </c>
      <c r="B158">
        <v>3050535</v>
      </c>
      <c r="C158">
        <v>41651</v>
      </c>
      <c r="D158" t="s">
        <v>560</v>
      </c>
      <c r="E158">
        <v>323167301</v>
      </c>
      <c r="F158" t="s">
        <v>704</v>
      </c>
      <c r="G158" s="60">
        <v>46054</v>
      </c>
      <c r="H158">
        <v>40872160</v>
      </c>
      <c r="I158" t="s">
        <v>755</v>
      </c>
      <c r="J158" t="s">
        <v>260</v>
      </c>
      <c r="K158" t="s">
        <v>65</v>
      </c>
      <c r="L158">
        <v>0</v>
      </c>
      <c r="M158">
        <v>0</v>
      </c>
      <c r="N158" t="s">
        <v>509</v>
      </c>
      <c r="O158" t="s">
        <v>509</v>
      </c>
      <c r="P158" t="s">
        <v>506</v>
      </c>
      <c r="Q158">
        <v>530773</v>
      </c>
      <c r="R158">
        <v>12000000</v>
      </c>
      <c r="S158" s="50">
        <v>46042</v>
      </c>
      <c r="T158" s="50">
        <v>46387</v>
      </c>
      <c r="U158" t="s">
        <v>79</v>
      </c>
      <c r="V158" t="s">
        <v>249</v>
      </c>
      <c r="W158" t="s">
        <v>92</v>
      </c>
      <c r="X158" t="s">
        <v>86</v>
      </c>
      <c r="Y158" t="s">
        <v>291</v>
      </c>
      <c r="Z158">
        <v>10573655</v>
      </c>
      <c r="AA158" s="50">
        <v>46081</v>
      </c>
      <c r="AB158" s="87" t="s">
        <v>93</v>
      </c>
      <c r="AC158" s="86">
        <v>149502.07999999999</v>
      </c>
      <c r="AD158" t="s">
        <v>70</v>
      </c>
      <c r="AE158" s="85">
        <v>103.43</v>
      </c>
      <c r="AF158" s="85">
        <v>103.43</v>
      </c>
      <c r="AG158" s="85"/>
      <c r="AH158" s="85"/>
      <c r="AI158" s="85"/>
      <c r="AJ158" s="85"/>
      <c r="AK158" s="85"/>
      <c r="AL158" s="85"/>
      <c r="AM158" s="85"/>
      <c r="AN158" s="85"/>
      <c r="AO158" s="85"/>
      <c r="AP158" s="85"/>
      <c r="AQ158" s="85"/>
      <c r="AR158" s="85"/>
      <c r="AS158" s="85"/>
      <c r="AT158" s="85"/>
      <c r="AU158" s="85"/>
      <c r="AV158" s="85"/>
      <c r="AW158" s="85"/>
      <c r="AX158" s="85"/>
      <c r="AY158" s="85"/>
      <c r="AZ158" s="85"/>
      <c r="BA158" s="85"/>
      <c r="BB158" s="85"/>
      <c r="BC158" s="85"/>
      <c r="BD158" s="85"/>
      <c r="BE158" s="85">
        <v>0</v>
      </c>
      <c r="BF158" s="85">
        <v>0</v>
      </c>
      <c r="BG158" s="85">
        <v>0</v>
      </c>
      <c r="BH158" s="85">
        <v>149502.07999999999</v>
      </c>
      <c r="BI158" s="85">
        <v>103.43</v>
      </c>
      <c r="BJ158" s="85">
        <v>103.43</v>
      </c>
      <c r="BO158">
        <v>39.549999999999997</v>
      </c>
      <c r="BP158" s="86">
        <v>59131.81</v>
      </c>
      <c r="BQ158">
        <v>40.909999999999997</v>
      </c>
      <c r="BR158">
        <v>40.909999999999997</v>
      </c>
      <c r="BS158" s="85">
        <v>90370.27</v>
      </c>
      <c r="BT158" s="85">
        <v>62.52</v>
      </c>
      <c r="BU158" s="85">
        <v>62.52</v>
      </c>
      <c r="BX158" t="s">
        <v>732</v>
      </c>
      <c r="BZ158">
        <v>530772</v>
      </c>
      <c r="CA158">
        <v>530772</v>
      </c>
      <c r="CB158" t="s">
        <v>73</v>
      </c>
      <c r="CC158" t="s">
        <v>250</v>
      </c>
      <c r="CE158" t="s">
        <v>530</v>
      </c>
    </row>
    <row r="159" spans="1:83" x14ac:dyDescent="0.35">
      <c r="A159" t="s">
        <v>242</v>
      </c>
      <c r="B159">
        <v>3050535</v>
      </c>
      <c r="C159">
        <v>41651</v>
      </c>
      <c r="D159" t="s">
        <v>560</v>
      </c>
      <c r="E159">
        <v>323167301</v>
      </c>
      <c r="F159" t="s">
        <v>704</v>
      </c>
      <c r="G159" s="60">
        <v>46054</v>
      </c>
      <c r="H159">
        <v>40969658</v>
      </c>
      <c r="I159" t="s">
        <v>1267</v>
      </c>
      <c r="J159" t="s">
        <v>260</v>
      </c>
      <c r="K159" t="s">
        <v>65</v>
      </c>
      <c r="L159">
        <v>0</v>
      </c>
      <c r="M159">
        <v>0</v>
      </c>
      <c r="N159" t="s">
        <v>509</v>
      </c>
      <c r="O159" t="s">
        <v>509</v>
      </c>
      <c r="P159" t="s">
        <v>506</v>
      </c>
      <c r="Q159">
        <v>530773</v>
      </c>
      <c r="R159">
        <v>12000000</v>
      </c>
      <c r="S159" s="50">
        <v>46042</v>
      </c>
      <c r="T159" s="50">
        <v>46387</v>
      </c>
      <c r="U159" t="s">
        <v>79</v>
      </c>
      <c r="V159" t="s">
        <v>249</v>
      </c>
      <c r="W159" t="s">
        <v>92</v>
      </c>
      <c r="X159" t="s">
        <v>86</v>
      </c>
      <c r="Y159" t="s">
        <v>291</v>
      </c>
      <c r="Z159">
        <v>10573655</v>
      </c>
      <c r="AA159" s="50">
        <v>46081</v>
      </c>
      <c r="AB159" s="87" t="s">
        <v>93</v>
      </c>
      <c r="AC159" s="86">
        <v>243104.37</v>
      </c>
      <c r="AD159" t="s">
        <v>70</v>
      </c>
      <c r="AE159" s="85">
        <v>168.19</v>
      </c>
      <c r="AF159" s="85">
        <v>168.19</v>
      </c>
      <c r="AG159" s="85"/>
      <c r="AH159" s="85"/>
      <c r="AI159" s="85"/>
      <c r="AJ159" s="85"/>
      <c r="AK159" s="85"/>
      <c r="AL159" s="85"/>
      <c r="AM159" s="85"/>
      <c r="AN159" s="85"/>
      <c r="AO159" s="85"/>
      <c r="AP159" s="85"/>
      <c r="AQ159" s="85"/>
      <c r="AR159" s="85"/>
      <c r="AS159" s="85"/>
      <c r="AT159" s="85"/>
      <c r="AU159" s="85"/>
      <c r="AV159" s="85"/>
      <c r="AW159" s="85"/>
      <c r="AX159" s="85"/>
      <c r="AY159" s="85"/>
      <c r="AZ159" s="85"/>
      <c r="BA159" s="85"/>
      <c r="BB159" s="85"/>
      <c r="BC159" s="85"/>
      <c r="BD159" s="85"/>
      <c r="BE159" s="85">
        <v>0</v>
      </c>
      <c r="BF159" s="85">
        <v>0</v>
      </c>
      <c r="BG159" s="85">
        <v>0</v>
      </c>
      <c r="BH159" s="85">
        <v>243104.37</v>
      </c>
      <c r="BI159" s="85">
        <v>168.19</v>
      </c>
      <c r="BJ159" s="85">
        <v>168.19</v>
      </c>
      <c r="BO159">
        <v>39.549999999999997</v>
      </c>
      <c r="BP159" s="86">
        <v>96153.86</v>
      </c>
      <c r="BQ159">
        <v>66.52</v>
      </c>
      <c r="BR159">
        <v>66.52</v>
      </c>
      <c r="BS159" s="85">
        <v>146950.51</v>
      </c>
      <c r="BT159" s="85">
        <v>101.67</v>
      </c>
      <c r="BU159" s="85">
        <v>101.67</v>
      </c>
      <c r="BX159" t="s">
        <v>732</v>
      </c>
      <c r="BZ159">
        <v>530772</v>
      </c>
      <c r="CA159">
        <v>530772</v>
      </c>
      <c r="CB159" t="s">
        <v>72</v>
      </c>
      <c r="CC159" t="s">
        <v>250</v>
      </c>
      <c r="CE159" t="s">
        <v>530</v>
      </c>
    </row>
    <row r="160" spans="1:83" x14ac:dyDescent="0.35">
      <c r="A160" t="s">
        <v>242</v>
      </c>
      <c r="B160">
        <v>3050535</v>
      </c>
      <c r="C160">
        <v>41651</v>
      </c>
      <c r="D160" t="s">
        <v>560</v>
      </c>
      <c r="E160">
        <v>323167301</v>
      </c>
      <c r="F160" t="s">
        <v>704</v>
      </c>
      <c r="G160" s="60">
        <v>46054</v>
      </c>
      <c r="H160">
        <v>40996821</v>
      </c>
      <c r="I160" t="s">
        <v>1314</v>
      </c>
      <c r="J160" t="s">
        <v>260</v>
      </c>
      <c r="K160" t="s">
        <v>65</v>
      </c>
      <c r="L160">
        <v>0</v>
      </c>
      <c r="M160">
        <v>0</v>
      </c>
      <c r="N160" t="s">
        <v>509</v>
      </c>
      <c r="O160" t="s">
        <v>509</v>
      </c>
      <c r="P160" t="s">
        <v>506</v>
      </c>
      <c r="Q160">
        <v>530773</v>
      </c>
      <c r="R160">
        <v>12000000</v>
      </c>
      <c r="S160" s="50">
        <v>46042</v>
      </c>
      <c r="T160" s="50">
        <v>46387</v>
      </c>
      <c r="U160" t="s">
        <v>79</v>
      </c>
      <c r="V160" t="s">
        <v>249</v>
      </c>
      <c r="W160" t="s">
        <v>92</v>
      </c>
      <c r="X160" t="s">
        <v>86</v>
      </c>
      <c r="Y160" t="s">
        <v>291</v>
      </c>
      <c r="Z160">
        <v>10573655</v>
      </c>
      <c r="AA160" s="50">
        <v>46081</v>
      </c>
      <c r="AB160" s="87" t="s">
        <v>93</v>
      </c>
      <c r="AC160" s="86">
        <v>148429.29999999999</v>
      </c>
      <c r="AD160" t="s">
        <v>70</v>
      </c>
      <c r="AE160" s="85">
        <v>102.69</v>
      </c>
      <c r="AF160" s="85">
        <v>102.69</v>
      </c>
      <c r="AG160" s="85"/>
      <c r="AH160" s="85"/>
      <c r="AI160" s="85"/>
      <c r="AJ160" s="85"/>
      <c r="AK160" s="85"/>
      <c r="AL160" s="85"/>
      <c r="AM160" s="85"/>
      <c r="AN160" s="85"/>
      <c r="AO160" s="85"/>
      <c r="AP160" s="85"/>
      <c r="AQ160" s="85"/>
      <c r="AR160" s="85"/>
      <c r="AS160" s="85"/>
      <c r="AT160" s="85"/>
      <c r="AU160" s="85"/>
      <c r="AV160" s="85"/>
      <c r="AW160" s="85"/>
      <c r="AX160" s="85"/>
      <c r="AY160" s="85"/>
      <c r="AZ160" s="85"/>
      <c r="BA160" s="85"/>
      <c r="BB160" s="85"/>
      <c r="BC160" s="85"/>
      <c r="BD160" s="85"/>
      <c r="BE160" s="85">
        <v>0</v>
      </c>
      <c r="BF160" s="85">
        <v>0</v>
      </c>
      <c r="BG160" s="85">
        <v>0</v>
      </c>
      <c r="BH160" s="85">
        <v>148429.29999999999</v>
      </c>
      <c r="BI160" s="85">
        <v>102.69</v>
      </c>
      <c r="BJ160" s="85">
        <v>102.69</v>
      </c>
      <c r="BO160">
        <v>39.549999999999997</v>
      </c>
      <c r="BP160" s="86">
        <v>58707.5</v>
      </c>
      <c r="BQ160">
        <v>40.619999999999997</v>
      </c>
      <c r="BR160">
        <v>40.619999999999997</v>
      </c>
      <c r="BS160" s="85">
        <v>89721.8</v>
      </c>
      <c r="BT160" s="85">
        <v>62.07</v>
      </c>
      <c r="BU160" s="85">
        <v>62.07</v>
      </c>
      <c r="BX160" t="s">
        <v>732</v>
      </c>
      <c r="BZ160">
        <v>530772</v>
      </c>
      <c r="CA160">
        <v>530772</v>
      </c>
      <c r="CB160" t="s">
        <v>72</v>
      </c>
      <c r="CC160" t="s">
        <v>250</v>
      </c>
      <c r="CE160" t="s">
        <v>530</v>
      </c>
    </row>
    <row r="161" spans="1:83" x14ac:dyDescent="0.35">
      <c r="A161" t="s">
        <v>242</v>
      </c>
      <c r="B161">
        <v>3050535</v>
      </c>
      <c r="C161">
        <v>41651</v>
      </c>
      <c r="D161" t="s">
        <v>573</v>
      </c>
      <c r="E161">
        <v>323870401</v>
      </c>
      <c r="F161" t="s">
        <v>1054</v>
      </c>
      <c r="G161" s="60">
        <v>46054</v>
      </c>
      <c r="H161">
        <v>40892698</v>
      </c>
      <c r="I161" t="s">
        <v>1315</v>
      </c>
      <c r="J161" t="s">
        <v>260</v>
      </c>
      <c r="K161" t="s">
        <v>65</v>
      </c>
      <c r="L161">
        <v>0</v>
      </c>
      <c r="M161">
        <v>0</v>
      </c>
      <c r="N161" t="s">
        <v>259</v>
      </c>
      <c r="O161" t="s">
        <v>259</v>
      </c>
      <c r="P161" t="s">
        <v>568</v>
      </c>
      <c r="Q161">
        <v>240194</v>
      </c>
      <c r="R161">
        <v>2000000</v>
      </c>
      <c r="S161" s="50">
        <v>46054</v>
      </c>
      <c r="T161" s="50">
        <v>46081</v>
      </c>
      <c r="U161" t="s">
        <v>79</v>
      </c>
      <c r="V161" t="s">
        <v>249</v>
      </c>
      <c r="W161" t="s">
        <v>92</v>
      </c>
      <c r="X161" t="s">
        <v>86</v>
      </c>
      <c r="Y161" t="s">
        <v>291</v>
      </c>
      <c r="Z161">
        <v>10573688</v>
      </c>
      <c r="AA161" s="50">
        <v>46081</v>
      </c>
      <c r="AB161" s="87" t="s">
        <v>93</v>
      </c>
      <c r="AC161" s="86">
        <v>1001615.29</v>
      </c>
      <c r="AD161" t="s">
        <v>70</v>
      </c>
      <c r="AE161" s="85">
        <v>692.97</v>
      </c>
      <c r="AF161" s="85">
        <v>692.97</v>
      </c>
      <c r="AG161" s="85"/>
      <c r="AH161" s="85"/>
      <c r="AI161" s="85"/>
      <c r="AJ161" s="85"/>
      <c r="AK161" s="85"/>
      <c r="AL161" s="85"/>
      <c r="AM161" s="85"/>
      <c r="AN161" s="85"/>
      <c r="AO161" s="85"/>
      <c r="AP161" s="85"/>
      <c r="AQ161" s="85"/>
      <c r="AR161" s="85"/>
      <c r="AS161" s="85"/>
      <c r="AT161" s="85"/>
      <c r="AU161" s="85"/>
      <c r="AV161" s="85"/>
      <c r="AW161" s="85"/>
      <c r="AX161" s="85"/>
      <c r="AY161" s="85"/>
      <c r="AZ161" s="85"/>
      <c r="BA161" s="85"/>
      <c r="BB161" s="85"/>
      <c r="BC161" s="85"/>
      <c r="BD161" s="85"/>
      <c r="BE161" s="85">
        <v>0</v>
      </c>
      <c r="BF161" s="85">
        <v>0</v>
      </c>
      <c r="BG161" s="85">
        <v>0</v>
      </c>
      <c r="BH161" s="85">
        <v>1001615.29</v>
      </c>
      <c r="BI161" s="85">
        <v>692.97</v>
      </c>
      <c r="BJ161" s="85">
        <v>692.97</v>
      </c>
      <c r="BO161">
        <v>39.549999999999997</v>
      </c>
      <c r="BP161" s="86">
        <v>396163.89</v>
      </c>
      <c r="BQ161">
        <v>274.08999999999997</v>
      </c>
      <c r="BR161">
        <v>274.08999999999997</v>
      </c>
      <c r="BS161" s="85">
        <v>605451.4</v>
      </c>
      <c r="BT161" s="85">
        <v>418.88</v>
      </c>
      <c r="BU161" s="85">
        <v>418.88</v>
      </c>
      <c r="BX161" t="s">
        <v>1236</v>
      </c>
      <c r="BZ161">
        <v>66013147</v>
      </c>
      <c r="CA161">
        <v>66013147</v>
      </c>
      <c r="CB161" t="s">
        <v>72</v>
      </c>
      <c r="CC161" t="s">
        <v>250</v>
      </c>
      <c r="CE161" t="s">
        <v>530</v>
      </c>
    </row>
    <row r="162" spans="1:83" x14ac:dyDescent="0.35">
      <c r="A162" t="s">
        <v>242</v>
      </c>
      <c r="B162">
        <v>3050535</v>
      </c>
      <c r="C162">
        <v>41651</v>
      </c>
      <c r="D162" t="s">
        <v>542</v>
      </c>
      <c r="E162">
        <v>322149801</v>
      </c>
      <c r="F162" t="s">
        <v>669</v>
      </c>
      <c r="G162" s="60">
        <v>46054</v>
      </c>
      <c r="H162">
        <v>40745339</v>
      </c>
      <c r="I162" t="s">
        <v>754</v>
      </c>
      <c r="J162" t="s">
        <v>260</v>
      </c>
      <c r="K162" t="s">
        <v>65</v>
      </c>
      <c r="L162">
        <v>0</v>
      </c>
      <c r="M162">
        <v>0</v>
      </c>
      <c r="N162" t="s">
        <v>259</v>
      </c>
      <c r="O162" t="s">
        <v>259</v>
      </c>
      <c r="P162" t="s">
        <v>524</v>
      </c>
      <c r="Q162">
        <v>292695</v>
      </c>
      <c r="R162">
        <v>23500000</v>
      </c>
      <c r="S162" s="50">
        <v>46023</v>
      </c>
      <c r="T162" s="50">
        <v>46081</v>
      </c>
      <c r="U162" t="s">
        <v>79</v>
      </c>
      <c r="V162" t="s">
        <v>249</v>
      </c>
      <c r="W162" t="s">
        <v>92</v>
      </c>
      <c r="X162" t="s">
        <v>86</v>
      </c>
      <c r="Y162" t="s">
        <v>291</v>
      </c>
      <c r="Z162">
        <v>10573692</v>
      </c>
      <c r="AA162" s="50">
        <v>46081</v>
      </c>
      <c r="AB162" s="87" t="s">
        <v>93</v>
      </c>
      <c r="AC162" s="86">
        <v>480031.53</v>
      </c>
      <c r="AD162" t="s">
        <v>70</v>
      </c>
      <c r="AE162" s="85">
        <v>332.11</v>
      </c>
      <c r="AF162" s="85">
        <v>332.11</v>
      </c>
      <c r="AG162" s="85"/>
      <c r="AH162" s="85"/>
      <c r="AI162" s="85"/>
      <c r="AJ162" s="85"/>
      <c r="AK162" s="85"/>
      <c r="AL162" s="85"/>
      <c r="AM162" s="85"/>
      <c r="AN162" s="85"/>
      <c r="AO162" s="85"/>
      <c r="AP162" s="85"/>
      <c r="AQ162" s="85"/>
      <c r="AR162" s="85"/>
      <c r="AS162" s="85"/>
      <c r="AT162" s="85"/>
      <c r="AU162" s="85"/>
      <c r="AV162" s="85"/>
      <c r="AW162" s="85"/>
      <c r="AX162" s="85"/>
      <c r="AY162" s="85"/>
      <c r="AZ162" s="85"/>
      <c r="BA162" s="85"/>
      <c r="BB162" s="85"/>
      <c r="BC162" s="85"/>
      <c r="BD162" s="85"/>
      <c r="BE162" s="85">
        <v>0</v>
      </c>
      <c r="BF162" s="85">
        <v>0</v>
      </c>
      <c r="BG162" s="85">
        <v>0</v>
      </c>
      <c r="BH162" s="85">
        <v>480031.53</v>
      </c>
      <c r="BI162" s="85">
        <v>332.11</v>
      </c>
      <c r="BJ162" s="85">
        <v>332.11</v>
      </c>
      <c r="BO162">
        <v>39.549999999999997</v>
      </c>
      <c r="BP162" s="86">
        <v>189864.47</v>
      </c>
      <c r="BQ162">
        <v>131.36000000000001</v>
      </c>
      <c r="BR162">
        <v>131.36000000000001</v>
      </c>
      <c r="BS162" s="85">
        <v>290167.06</v>
      </c>
      <c r="BT162" s="85">
        <v>200.75</v>
      </c>
      <c r="BU162" s="85">
        <v>200.75</v>
      </c>
      <c r="BX162" t="s">
        <v>726</v>
      </c>
      <c r="BZ162">
        <v>66013147</v>
      </c>
      <c r="CA162">
        <v>66013147</v>
      </c>
      <c r="CB162" t="s">
        <v>73</v>
      </c>
      <c r="CC162" t="s">
        <v>250</v>
      </c>
      <c r="CE162" t="s">
        <v>530</v>
      </c>
    </row>
    <row r="163" spans="1:83" x14ac:dyDescent="0.35">
      <c r="A163" t="s">
        <v>242</v>
      </c>
      <c r="B163">
        <v>3050535</v>
      </c>
      <c r="C163">
        <v>41651</v>
      </c>
      <c r="D163" t="s">
        <v>542</v>
      </c>
      <c r="E163">
        <v>322149801</v>
      </c>
      <c r="F163" t="s">
        <v>669</v>
      </c>
      <c r="G163" s="60">
        <v>46054</v>
      </c>
      <c r="H163">
        <v>40745349</v>
      </c>
      <c r="I163" t="s">
        <v>762</v>
      </c>
      <c r="J163" t="s">
        <v>260</v>
      </c>
      <c r="K163" t="s">
        <v>65</v>
      </c>
      <c r="L163">
        <v>0</v>
      </c>
      <c r="M163">
        <v>0</v>
      </c>
      <c r="N163" t="s">
        <v>259</v>
      </c>
      <c r="O163" t="s">
        <v>259</v>
      </c>
      <c r="P163" t="s">
        <v>524</v>
      </c>
      <c r="Q163">
        <v>292695</v>
      </c>
      <c r="R163">
        <v>23500000</v>
      </c>
      <c r="S163" s="50">
        <v>46023</v>
      </c>
      <c r="T163" s="50">
        <v>46081</v>
      </c>
      <c r="U163" t="s">
        <v>79</v>
      </c>
      <c r="V163" t="s">
        <v>249</v>
      </c>
      <c r="W163" t="s">
        <v>92</v>
      </c>
      <c r="X163" t="s">
        <v>86</v>
      </c>
      <c r="Y163" t="s">
        <v>291</v>
      </c>
      <c r="Z163">
        <v>10573692</v>
      </c>
      <c r="AA163" s="50">
        <v>46081</v>
      </c>
      <c r="AB163" s="87" t="s">
        <v>93</v>
      </c>
      <c r="AC163" s="86">
        <v>74837.240000000005</v>
      </c>
      <c r="AD163" t="s">
        <v>70</v>
      </c>
      <c r="AE163" s="85">
        <v>51.78</v>
      </c>
      <c r="AF163" s="85">
        <v>51.78</v>
      </c>
      <c r="AG163" s="85"/>
      <c r="AH163" s="85"/>
      <c r="AI163" s="85"/>
      <c r="AJ163" s="85"/>
      <c r="AK163" s="85"/>
      <c r="AL163" s="85"/>
      <c r="AM163" s="85"/>
      <c r="AN163" s="85"/>
      <c r="AO163" s="85"/>
      <c r="AP163" s="85"/>
      <c r="AQ163" s="85"/>
      <c r="AR163" s="85"/>
      <c r="AS163" s="85"/>
      <c r="AT163" s="85"/>
      <c r="AU163" s="85"/>
      <c r="AV163" s="85"/>
      <c r="AW163" s="85"/>
      <c r="AX163" s="85"/>
      <c r="AY163" s="85"/>
      <c r="AZ163" s="85"/>
      <c r="BA163" s="85"/>
      <c r="BB163" s="85"/>
      <c r="BC163" s="85"/>
      <c r="BD163" s="85"/>
      <c r="BE163" s="85">
        <v>0</v>
      </c>
      <c r="BF163" s="85">
        <v>0</v>
      </c>
      <c r="BG163" s="85">
        <v>0</v>
      </c>
      <c r="BH163" s="85">
        <v>74837.240000000005</v>
      </c>
      <c r="BI163" s="85">
        <v>51.78</v>
      </c>
      <c r="BJ163" s="85">
        <v>51.78</v>
      </c>
      <c r="BO163">
        <v>39.549999999999997</v>
      </c>
      <c r="BP163" s="86">
        <v>29600</v>
      </c>
      <c r="BQ163">
        <v>20.48</v>
      </c>
      <c r="BR163">
        <v>20.48</v>
      </c>
      <c r="BS163" s="85">
        <v>45237.24</v>
      </c>
      <c r="BT163" s="85">
        <v>31.3</v>
      </c>
      <c r="BU163" s="85">
        <v>31.3</v>
      </c>
      <c r="BX163" t="s">
        <v>726</v>
      </c>
      <c r="BZ163">
        <v>66013147</v>
      </c>
      <c r="CA163">
        <v>66013147</v>
      </c>
      <c r="CB163" t="s">
        <v>73</v>
      </c>
      <c r="CC163" t="s">
        <v>250</v>
      </c>
      <c r="CE163" t="s">
        <v>530</v>
      </c>
    </row>
    <row r="164" spans="1:83" x14ac:dyDescent="0.35">
      <c r="A164" t="s">
        <v>242</v>
      </c>
      <c r="B164">
        <v>3050535</v>
      </c>
      <c r="C164">
        <v>41651</v>
      </c>
      <c r="D164" t="s">
        <v>542</v>
      </c>
      <c r="E164">
        <v>322149801</v>
      </c>
      <c r="F164" t="s">
        <v>669</v>
      </c>
      <c r="G164" s="60">
        <v>46054</v>
      </c>
      <c r="H164">
        <v>40745273</v>
      </c>
      <c r="I164" t="s">
        <v>753</v>
      </c>
      <c r="J164" t="s">
        <v>260</v>
      </c>
      <c r="K164" t="s">
        <v>65</v>
      </c>
      <c r="L164">
        <v>0</v>
      </c>
      <c r="M164">
        <v>0</v>
      </c>
      <c r="N164" t="s">
        <v>259</v>
      </c>
      <c r="O164" t="s">
        <v>259</v>
      </c>
      <c r="P164" t="s">
        <v>524</v>
      </c>
      <c r="Q164">
        <v>292695</v>
      </c>
      <c r="R164">
        <v>23500000</v>
      </c>
      <c r="S164" s="50">
        <v>46023</v>
      </c>
      <c r="T164" s="50">
        <v>46081</v>
      </c>
      <c r="U164" t="s">
        <v>79</v>
      </c>
      <c r="V164" t="s">
        <v>249</v>
      </c>
      <c r="W164" t="s">
        <v>92</v>
      </c>
      <c r="X164" t="s">
        <v>86</v>
      </c>
      <c r="Y164" t="s">
        <v>291</v>
      </c>
      <c r="Z164">
        <v>10573692</v>
      </c>
      <c r="AA164" s="50">
        <v>46081</v>
      </c>
      <c r="AB164" s="87" t="s">
        <v>93</v>
      </c>
      <c r="AC164" s="86">
        <v>815704.5</v>
      </c>
      <c r="AD164" t="s">
        <v>70</v>
      </c>
      <c r="AE164" s="85">
        <v>564.35</v>
      </c>
      <c r="AF164" s="85">
        <v>564.35</v>
      </c>
      <c r="AG164" s="85"/>
      <c r="AH164" s="85"/>
      <c r="AI164" s="85"/>
      <c r="AJ164" s="85"/>
      <c r="AK164" s="85"/>
      <c r="AL164" s="85"/>
      <c r="AM164" s="85"/>
      <c r="AN164" s="85"/>
      <c r="AO164" s="85"/>
      <c r="AP164" s="85"/>
      <c r="AQ164" s="85"/>
      <c r="AR164" s="85"/>
      <c r="AS164" s="85"/>
      <c r="AT164" s="85"/>
      <c r="AU164" s="85"/>
      <c r="AV164" s="85"/>
      <c r="AW164" s="85"/>
      <c r="AX164" s="85"/>
      <c r="AY164" s="85"/>
      <c r="AZ164" s="85"/>
      <c r="BA164" s="85"/>
      <c r="BB164" s="85"/>
      <c r="BC164" s="85"/>
      <c r="BD164" s="85"/>
      <c r="BE164" s="85">
        <v>0</v>
      </c>
      <c r="BF164" s="85">
        <v>0</v>
      </c>
      <c r="BG164" s="85">
        <v>0</v>
      </c>
      <c r="BH164" s="85">
        <v>815704.5</v>
      </c>
      <c r="BI164" s="85">
        <v>564.35</v>
      </c>
      <c r="BJ164" s="85">
        <v>564.35</v>
      </c>
      <c r="BO164">
        <v>39.549999999999997</v>
      </c>
      <c r="BP164" s="86">
        <v>322631.52</v>
      </c>
      <c r="BQ164">
        <v>223.21</v>
      </c>
      <c r="BR164">
        <v>223.21</v>
      </c>
      <c r="BS164" s="85">
        <v>493072.98</v>
      </c>
      <c r="BT164" s="85">
        <v>341.14</v>
      </c>
      <c r="BU164" s="85">
        <v>341.14</v>
      </c>
      <c r="BX164" t="s">
        <v>726</v>
      </c>
      <c r="BZ164">
        <v>66013147</v>
      </c>
      <c r="CA164">
        <v>66013147</v>
      </c>
      <c r="CB164" t="s">
        <v>73</v>
      </c>
      <c r="CC164" t="s">
        <v>250</v>
      </c>
      <c r="CE164" t="s">
        <v>530</v>
      </c>
    </row>
    <row r="165" spans="1:83" x14ac:dyDescent="0.35">
      <c r="A165" t="s">
        <v>242</v>
      </c>
      <c r="B165">
        <v>3050535</v>
      </c>
      <c r="C165">
        <v>41651</v>
      </c>
      <c r="D165" t="s">
        <v>744</v>
      </c>
      <c r="E165">
        <v>288709901</v>
      </c>
      <c r="F165" t="s">
        <v>653</v>
      </c>
      <c r="G165" s="60">
        <v>46054</v>
      </c>
      <c r="H165">
        <v>40930200</v>
      </c>
      <c r="I165" t="s">
        <v>1316</v>
      </c>
      <c r="J165" t="s">
        <v>260</v>
      </c>
      <c r="K165" t="s">
        <v>65</v>
      </c>
      <c r="L165">
        <v>0</v>
      </c>
      <c r="M165">
        <v>0</v>
      </c>
      <c r="P165" t="s">
        <v>654</v>
      </c>
      <c r="Q165">
        <v>115399678</v>
      </c>
      <c r="R165">
        <v>40300000</v>
      </c>
      <c r="S165" s="50">
        <v>45516</v>
      </c>
      <c r="T165" s="50">
        <v>46081</v>
      </c>
      <c r="U165" t="s">
        <v>69</v>
      </c>
      <c r="V165" t="s">
        <v>249</v>
      </c>
      <c r="W165" t="s">
        <v>92</v>
      </c>
      <c r="X165" t="s">
        <v>86</v>
      </c>
      <c r="Y165" t="s">
        <v>291</v>
      </c>
      <c r="Z165">
        <v>10573707</v>
      </c>
      <c r="AA165" s="50">
        <v>46081</v>
      </c>
      <c r="AB165" s="87" t="s">
        <v>93</v>
      </c>
      <c r="AC165" s="86">
        <v>163897.81</v>
      </c>
      <c r="AD165" t="s">
        <v>70</v>
      </c>
      <c r="AE165" s="85">
        <v>113.39</v>
      </c>
      <c r="AF165" s="85">
        <v>113.39</v>
      </c>
      <c r="AG165" s="85"/>
      <c r="AH165" s="85"/>
      <c r="AI165" s="85"/>
      <c r="AJ165" s="85"/>
      <c r="AK165" s="85"/>
      <c r="AL165" s="85"/>
      <c r="AM165" s="85"/>
      <c r="AN165" s="85"/>
      <c r="AO165" s="85"/>
      <c r="AP165" s="85"/>
      <c r="AQ165" s="85"/>
      <c r="AR165" s="85"/>
      <c r="AS165" s="85"/>
      <c r="AT165" s="85"/>
      <c r="AU165" s="85"/>
      <c r="AV165" s="85"/>
      <c r="AW165" s="85"/>
      <c r="AX165" s="85"/>
      <c r="AY165" s="85"/>
      <c r="AZ165" s="85"/>
      <c r="BA165" s="85"/>
      <c r="BB165" s="85"/>
      <c r="BC165" s="85"/>
      <c r="BD165" s="85"/>
      <c r="BE165" s="85">
        <v>0</v>
      </c>
      <c r="BF165" s="85">
        <v>0</v>
      </c>
      <c r="BG165" s="85">
        <v>0</v>
      </c>
      <c r="BH165" s="85">
        <v>163897.81</v>
      </c>
      <c r="BI165" s="85">
        <v>113.39</v>
      </c>
      <c r="BJ165" s="85">
        <v>113.39</v>
      </c>
      <c r="BO165">
        <v>39.549999999999997</v>
      </c>
      <c r="BP165" s="86">
        <v>64825.68</v>
      </c>
      <c r="BQ165">
        <v>44.85</v>
      </c>
      <c r="BR165">
        <v>44.85</v>
      </c>
      <c r="BS165" s="85">
        <v>99072.13</v>
      </c>
      <c r="BT165" s="85">
        <v>68.540000000000006</v>
      </c>
      <c r="BU165" s="85">
        <v>68.540000000000006</v>
      </c>
      <c r="BX165" t="s">
        <v>745</v>
      </c>
      <c r="CB165" t="s">
        <v>78</v>
      </c>
      <c r="CC165" t="s">
        <v>250</v>
      </c>
      <c r="CE165" t="s">
        <v>530</v>
      </c>
    </row>
    <row r="166" spans="1:83" x14ac:dyDescent="0.35">
      <c r="A166" t="s">
        <v>242</v>
      </c>
      <c r="B166">
        <v>3050535</v>
      </c>
      <c r="C166">
        <v>41651</v>
      </c>
      <c r="D166" t="s">
        <v>614</v>
      </c>
      <c r="E166">
        <v>324279201</v>
      </c>
      <c r="F166" t="s">
        <v>1072</v>
      </c>
      <c r="G166" s="60">
        <v>46054</v>
      </c>
      <c r="H166">
        <v>40894117</v>
      </c>
      <c r="I166" t="s">
        <v>1224</v>
      </c>
      <c r="J166" t="s">
        <v>260</v>
      </c>
      <c r="K166" t="s">
        <v>65</v>
      </c>
      <c r="L166">
        <v>0</v>
      </c>
      <c r="M166">
        <v>0</v>
      </c>
      <c r="N166" t="s">
        <v>108</v>
      </c>
      <c r="O166" t="s">
        <v>108</v>
      </c>
      <c r="P166" t="s">
        <v>579</v>
      </c>
      <c r="Q166">
        <v>2097220</v>
      </c>
      <c r="R166">
        <v>3000000</v>
      </c>
      <c r="S166" s="50">
        <v>46062</v>
      </c>
      <c r="T166" s="50">
        <v>46089</v>
      </c>
      <c r="U166" t="s">
        <v>79</v>
      </c>
      <c r="V166" t="s">
        <v>249</v>
      </c>
      <c r="W166" t="s">
        <v>92</v>
      </c>
      <c r="X166" t="s">
        <v>86</v>
      </c>
      <c r="Y166" t="s">
        <v>291</v>
      </c>
      <c r="Z166">
        <v>10573728</v>
      </c>
      <c r="AA166" s="50">
        <v>46081</v>
      </c>
      <c r="AB166" s="87" t="s">
        <v>93</v>
      </c>
      <c r="AC166" s="86">
        <v>2194.0100000000002</v>
      </c>
      <c r="AD166" t="s">
        <v>70</v>
      </c>
      <c r="AE166" s="85">
        <v>1.52</v>
      </c>
      <c r="AF166" s="85">
        <v>1.52</v>
      </c>
      <c r="AG166" s="85"/>
      <c r="AH166" s="85"/>
      <c r="AI166" s="85"/>
      <c r="AJ166" s="85"/>
      <c r="AK166" s="85"/>
      <c r="AL166" s="85"/>
      <c r="AM166" s="85"/>
      <c r="AN166" s="85"/>
      <c r="AO166" s="85"/>
      <c r="AP166" s="85"/>
      <c r="AQ166" s="85"/>
      <c r="AR166" s="85"/>
      <c r="AS166" s="85"/>
      <c r="AT166" s="85"/>
      <c r="AU166" s="85"/>
      <c r="AV166" s="85"/>
      <c r="AW166" s="85"/>
      <c r="AX166" s="85"/>
      <c r="AY166" s="85"/>
      <c r="AZ166" s="85"/>
      <c r="BA166" s="85"/>
      <c r="BB166" s="85"/>
      <c r="BC166" s="85"/>
      <c r="BD166" s="85"/>
      <c r="BE166" s="85">
        <v>0</v>
      </c>
      <c r="BF166" s="85">
        <v>0</v>
      </c>
      <c r="BG166" s="85">
        <v>0</v>
      </c>
      <c r="BH166" s="85">
        <v>2194.0100000000002</v>
      </c>
      <c r="BI166" s="85">
        <v>1.52</v>
      </c>
      <c r="BJ166" s="85">
        <v>1.52</v>
      </c>
      <c r="BO166">
        <v>22</v>
      </c>
      <c r="BP166" s="86">
        <v>482.68</v>
      </c>
      <c r="BQ166">
        <v>0.33</v>
      </c>
      <c r="BR166">
        <v>0.33</v>
      </c>
      <c r="BS166" s="85">
        <v>1711.33</v>
      </c>
      <c r="BT166" s="85">
        <v>1.19</v>
      </c>
      <c r="BU166" s="85">
        <v>1.19</v>
      </c>
      <c r="BX166" t="s">
        <v>1225</v>
      </c>
      <c r="BZ166">
        <v>224529</v>
      </c>
      <c r="CA166">
        <v>224529</v>
      </c>
      <c r="CB166" t="s">
        <v>73</v>
      </c>
      <c r="CC166" t="s">
        <v>250</v>
      </c>
      <c r="CE166" t="s">
        <v>530</v>
      </c>
    </row>
    <row r="167" spans="1:83" x14ac:dyDescent="0.35">
      <c r="A167" t="s">
        <v>242</v>
      </c>
      <c r="B167">
        <v>3050535</v>
      </c>
      <c r="C167">
        <v>41651</v>
      </c>
      <c r="D167" t="s">
        <v>573</v>
      </c>
      <c r="E167">
        <v>322258201</v>
      </c>
      <c r="F167" t="s">
        <v>686</v>
      </c>
      <c r="G167" s="60">
        <v>46054</v>
      </c>
      <c r="H167">
        <v>40983515</v>
      </c>
      <c r="I167" t="s">
        <v>1317</v>
      </c>
      <c r="J167" t="s">
        <v>260</v>
      </c>
      <c r="K167" t="s">
        <v>65</v>
      </c>
      <c r="L167">
        <v>0</v>
      </c>
      <c r="M167">
        <v>0</v>
      </c>
      <c r="N167" t="s">
        <v>259</v>
      </c>
      <c r="O167" t="s">
        <v>259</v>
      </c>
      <c r="P167" t="s">
        <v>568</v>
      </c>
      <c r="Q167">
        <v>240194</v>
      </c>
      <c r="R167">
        <v>7800000</v>
      </c>
      <c r="S167" s="50">
        <v>46030</v>
      </c>
      <c r="T167" s="50">
        <v>46112</v>
      </c>
      <c r="U167" t="s">
        <v>79</v>
      </c>
      <c r="V167" t="s">
        <v>249</v>
      </c>
      <c r="W167" t="s">
        <v>92</v>
      </c>
      <c r="X167" t="s">
        <v>86</v>
      </c>
      <c r="Y167" t="s">
        <v>291</v>
      </c>
      <c r="Z167">
        <v>10573620</v>
      </c>
      <c r="AA167" s="50">
        <v>46081</v>
      </c>
      <c r="AB167" s="87" t="s">
        <v>93</v>
      </c>
      <c r="AC167" s="86">
        <v>2905324.81</v>
      </c>
      <c r="AD167" t="s">
        <v>70</v>
      </c>
      <c r="AE167" s="85">
        <v>2010.05</v>
      </c>
      <c r="AF167" s="85">
        <v>2010.05</v>
      </c>
      <c r="AG167" s="85"/>
      <c r="AH167" s="85"/>
      <c r="AI167" s="85"/>
      <c r="AJ167" s="85"/>
      <c r="AK167" s="85"/>
      <c r="AL167" s="85"/>
      <c r="AM167" s="85"/>
      <c r="AN167" s="85"/>
      <c r="AO167" s="85"/>
      <c r="AP167" s="85"/>
      <c r="AQ167" s="85"/>
      <c r="AR167" s="85"/>
      <c r="AS167" s="85"/>
      <c r="AT167" s="85"/>
      <c r="AU167" s="85"/>
      <c r="AV167" s="85"/>
      <c r="AW167" s="85"/>
      <c r="AX167" s="85"/>
      <c r="AY167" s="85"/>
      <c r="AZ167" s="85"/>
      <c r="BA167" s="85"/>
      <c r="BB167" s="85"/>
      <c r="BC167" s="85"/>
      <c r="BD167" s="85"/>
      <c r="BE167" s="85">
        <v>0</v>
      </c>
      <c r="BF167" s="85">
        <v>0</v>
      </c>
      <c r="BG167" s="85">
        <v>0</v>
      </c>
      <c r="BH167" s="85">
        <v>2905324.81</v>
      </c>
      <c r="BI167" s="85">
        <v>2010.05</v>
      </c>
      <c r="BJ167" s="85">
        <v>2010.05</v>
      </c>
      <c r="BO167">
        <v>39.549999999999997</v>
      </c>
      <c r="BP167" s="86">
        <v>1149128.5900000001</v>
      </c>
      <c r="BQ167">
        <v>795.03</v>
      </c>
      <c r="BR167">
        <v>795.03</v>
      </c>
      <c r="BS167" s="85">
        <v>1756196.22</v>
      </c>
      <c r="BT167" s="85">
        <v>1215.02</v>
      </c>
      <c r="BU167" s="85">
        <v>1215.02</v>
      </c>
      <c r="BX167" t="s">
        <v>770</v>
      </c>
      <c r="BZ167">
        <v>66013147</v>
      </c>
      <c r="CA167">
        <v>66013147</v>
      </c>
      <c r="CB167" t="s">
        <v>72</v>
      </c>
      <c r="CC167" t="s">
        <v>250</v>
      </c>
      <c r="CE167" t="s">
        <v>530</v>
      </c>
    </row>
    <row r="168" spans="1:83" x14ac:dyDescent="0.35">
      <c r="A168" t="s">
        <v>242</v>
      </c>
      <c r="B168">
        <v>3050535</v>
      </c>
      <c r="C168">
        <v>41651</v>
      </c>
      <c r="D168" t="s">
        <v>573</v>
      </c>
      <c r="E168">
        <v>322258201</v>
      </c>
      <c r="F168" t="s">
        <v>686</v>
      </c>
      <c r="G168" s="60">
        <v>46054</v>
      </c>
      <c r="H168">
        <v>40983556</v>
      </c>
      <c r="I168" t="s">
        <v>1318</v>
      </c>
      <c r="J168" t="s">
        <v>260</v>
      </c>
      <c r="K168" t="s">
        <v>65</v>
      </c>
      <c r="L168">
        <v>0</v>
      </c>
      <c r="M168">
        <v>0</v>
      </c>
      <c r="N168" t="s">
        <v>259</v>
      </c>
      <c r="O168" t="s">
        <v>259</v>
      </c>
      <c r="P168" t="s">
        <v>568</v>
      </c>
      <c r="Q168">
        <v>240194</v>
      </c>
      <c r="R168">
        <v>7800000</v>
      </c>
      <c r="S168" s="50">
        <v>46030</v>
      </c>
      <c r="T168" s="50">
        <v>46112</v>
      </c>
      <c r="U168" t="s">
        <v>79</v>
      </c>
      <c r="V168" t="s">
        <v>249</v>
      </c>
      <c r="W168" t="s">
        <v>92</v>
      </c>
      <c r="X168" t="s">
        <v>86</v>
      </c>
      <c r="Y168" t="s">
        <v>291</v>
      </c>
      <c r="Z168">
        <v>10573620</v>
      </c>
      <c r="AA168" s="50">
        <v>46081</v>
      </c>
      <c r="AB168" s="87" t="s">
        <v>93</v>
      </c>
      <c r="AC168" s="86">
        <v>1454731.14</v>
      </c>
      <c r="AD168" t="s">
        <v>70</v>
      </c>
      <c r="AE168" s="85">
        <v>1006.46</v>
      </c>
      <c r="AF168" s="85">
        <v>1006.46</v>
      </c>
      <c r="AG168" s="85"/>
      <c r="AH168" s="85"/>
      <c r="AI168" s="85"/>
      <c r="AJ168" s="85"/>
      <c r="AK168" s="85"/>
      <c r="AL168" s="85"/>
      <c r="AM168" s="85"/>
      <c r="AN168" s="85"/>
      <c r="AO168" s="85"/>
      <c r="AP168" s="85"/>
      <c r="AQ168" s="85"/>
      <c r="AR168" s="85"/>
      <c r="AS168" s="85"/>
      <c r="AT168" s="85"/>
      <c r="AU168" s="85"/>
      <c r="AV168" s="85"/>
      <c r="AW168" s="85"/>
      <c r="AX168" s="85"/>
      <c r="AY168" s="85"/>
      <c r="AZ168" s="85"/>
      <c r="BA168" s="85"/>
      <c r="BB168" s="85"/>
      <c r="BC168" s="85"/>
      <c r="BD168" s="85"/>
      <c r="BE168" s="85">
        <v>0</v>
      </c>
      <c r="BF168" s="85">
        <v>0</v>
      </c>
      <c r="BG168" s="85">
        <v>0</v>
      </c>
      <c r="BH168" s="85">
        <v>1454731.14</v>
      </c>
      <c r="BI168" s="85">
        <v>1006.46</v>
      </c>
      <c r="BJ168" s="85">
        <v>1006.46</v>
      </c>
      <c r="BO168">
        <v>39.549999999999997</v>
      </c>
      <c r="BP168" s="86">
        <v>575382.53</v>
      </c>
      <c r="BQ168">
        <v>398.08</v>
      </c>
      <c r="BR168">
        <v>398.08</v>
      </c>
      <c r="BS168" s="85">
        <v>879348.61</v>
      </c>
      <c r="BT168" s="85">
        <v>608.38</v>
      </c>
      <c r="BU168" s="85">
        <v>608.38</v>
      </c>
      <c r="BX168" t="s">
        <v>770</v>
      </c>
      <c r="BZ168">
        <v>66013147</v>
      </c>
      <c r="CA168">
        <v>66013147</v>
      </c>
      <c r="CB168" t="s">
        <v>72</v>
      </c>
      <c r="CC168" t="s">
        <v>250</v>
      </c>
      <c r="CE168" t="s">
        <v>530</v>
      </c>
    </row>
    <row r="169" spans="1:83" x14ac:dyDescent="0.35">
      <c r="A169" t="s">
        <v>242</v>
      </c>
      <c r="B169">
        <v>3050535</v>
      </c>
      <c r="C169">
        <v>41651</v>
      </c>
      <c r="D169" t="s">
        <v>583</v>
      </c>
      <c r="E169">
        <v>323565201</v>
      </c>
      <c r="F169" t="s">
        <v>711</v>
      </c>
      <c r="G169" s="60">
        <v>46054</v>
      </c>
      <c r="H169">
        <v>40985054</v>
      </c>
      <c r="I169" t="s">
        <v>1319</v>
      </c>
      <c r="J169" t="s">
        <v>260</v>
      </c>
      <c r="K169" t="s">
        <v>65</v>
      </c>
      <c r="L169">
        <v>0</v>
      </c>
      <c r="M169">
        <v>0</v>
      </c>
      <c r="N169" t="s">
        <v>108</v>
      </c>
      <c r="O169" t="s">
        <v>108</v>
      </c>
      <c r="P169" t="s">
        <v>104</v>
      </c>
      <c r="Q169">
        <v>292623</v>
      </c>
      <c r="R169">
        <v>1990002.6</v>
      </c>
      <c r="S169" s="50">
        <v>46045</v>
      </c>
      <c r="T169" s="50">
        <v>46080</v>
      </c>
      <c r="U169" t="s">
        <v>79</v>
      </c>
      <c r="V169" t="s">
        <v>249</v>
      </c>
      <c r="W169" t="s">
        <v>92</v>
      </c>
      <c r="X169" t="s">
        <v>86</v>
      </c>
      <c r="Y169" t="s">
        <v>291</v>
      </c>
      <c r="Z169">
        <v>10573643</v>
      </c>
      <c r="AA169" s="50">
        <v>46081</v>
      </c>
      <c r="AB169" s="87" t="s">
        <v>93</v>
      </c>
      <c r="AC169" s="86">
        <v>291081.57</v>
      </c>
      <c r="AD169" t="s">
        <v>70</v>
      </c>
      <c r="AE169" s="85">
        <v>201.39</v>
      </c>
      <c r="AF169" s="85">
        <v>201.39</v>
      </c>
      <c r="AG169" s="85"/>
      <c r="AH169" s="85"/>
      <c r="AI169" s="85"/>
      <c r="AJ169" s="85"/>
      <c r="AK169" s="85"/>
      <c r="AL169" s="85"/>
      <c r="AM169" s="85"/>
      <c r="AN169" s="85"/>
      <c r="AO169" s="85"/>
      <c r="AP169" s="85"/>
      <c r="AQ169" s="85"/>
      <c r="AR169" s="85"/>
      <c r="AS169" s="85"/>
      <c r="AT169" s="85"/>
      <c r="AU169" s="85"/>
      <c r="AV169" s="85"/>
      <c r="AW169" s="85"/>
      <c r="AX169" s="85"/>
      <c r="AY169" s="85"/>
      <c r="AZ169" s="85"/>
      <c r="BA169" s="85"/>
      <c r="BB169" s="85"/>
      <c r="BC169" s="85"/>
      <c r="BD169" s="85"/>
      <c r="BE169" s="85">
        <v>0</v>
      </c>
      <c r="BF169" s="85">
        <v>0</v>
      </c>
      <c r="BG169" s="85">
        <v>0</v>
      </c>
      <c r="BH169" s="85">
        <v>291081.57</v>
      </c>
      <c r="BI169" s="85">
        <v>201.39</v>
      </c>
      <c r="BJ169" s="85">
        <v>201.39</v>
      </c>
      <c r="BO169">
        <v>39.549999999999997</v>
      </c>
      <c r="BP169" s="86">
        <v>115130.04</v>
      </c>
      <c r="BQ169">
        <v>79.650000000000006</v>
      </c>
      <c r="BR169">
        <v>79.650000000000006</v>
      </c>
      <c r="BS169" s="85">
        <v>175951.53</v>
      </c>
      <c r="BT169" s="85">
        <v>121.74</v>
      </c>
      <c r="BU169" s="85">
        <v>121.74</v>
      </c>
      <c r="BX169" t="s">
        <v>795</v>
      </c>
      <c r="BZ169">
        <v>224529</v>
      </c>
      <c r="CA169">
        <v>224529</v>
      </c>
      <c r="CB169" t="s">
        <v>73</v>
      </c>
      <c r="CC169" t="s">
        <v>250</v>
      </c>
      <c r="CE169" t="s">
        <v>530</v>
      </c>
    </row>
    <row r="170" spans="1:83" x14ac:dyDescent="0.35">
      <c r="A170" t="s">
        <v>242</v>
      </c>
      <c r="B170">
        <v>3050535</v>
      </c>
      <c r="C170">
        <v>41651</v>
      </c>
      <c r="D170" t="s">
        <v>571</v>
      </c>
      <c r="E170">
        <v>275149001</v>
      </c>
      <c r="F170" t="s">
        <v>562</v>
      </c>
      <c r="G170" s="60">
        <v>46054</v>
      </c>
      <c r="H170">
        <v>40789826</v>
      </c>
      <c r="I170" t="s">
        <v>722</v>
      </c>
      <c r="J170" t="s">
        <v>260</v>
      </c>
      <c r="K170" t="s">
        <v>65</v>
      </c>
      <c r="L170">
        <v>0</v>
      </c>
      <c r="M170">
        <v>0</v>
      </c>
      <c r="N170" t="s">
        <v>566</v>
      </c>
      <c r="O170" t="s">
        <v>566</v>
      </c>
      <c r="P170" t="s">
        <v>563</v>
      </c>
      <c r="Q170">
        <v>5733116</v>
      </c>
      <c r="R170">
        <v>40600000</v>
      </c>
      <c r="S170" s="50">
        <v>45292</v>
      </c>
      <c r="T170" s="50">
        <v>46112</v>
      </c>
      <c r="U170" t="s">
        <v>66</v>
      </c>
      <c r="V170" t="s">
        <v>249</v>
      </c>
      <c r="W170" t="s">
        <v>92</v>
      </c>
      <c r="X170" t="s">
        <v>86</v>
      </c>
      <c r="Y170" t="s">
        <v>291</v>
      </c>
      <c r="Z170">
        <v>10573709</v>
      </c>
      <c r="AA170" s="50">
        <v>46081</v>
      </c>
      <c r="AB170" s="87" t="s">
        <v>93</v>
      </c>
      <c r="AC170" s="86">
        <v>4429.7</v>
      </c>
      <c r="AD170" t="s">
        <v>70</v>
      </c>
      <c r="AE170" s="85">
        <v>3.06</v>
      </c>
      <c r="AF170" s="85">
        <v>3.06</v>
      </c>
      <c r="AG170" s="85"/>
      <c r="AH170" s="85"/>
      <c r="AI170" s="85"/>
      <c r="AJ170" s="85"/>
      <c r="AK170" s="85"/>
      <c r="AL170" s="85"/>
      <c r="AM170" s="85"/>
      <c r="AN170" s="85"/>
      <c r="AO170" s="85"/>
      <c r="AP170" s="85"/>
      <c r="AQ170" s="85"/>
      <c r="AR170" s="85"/>
      <c r="AS170" s="85"/>
      <c r="AT170" s="85"/>
      <c r="AU170" s="85"/>
      <c r="AV170" s="85"/>
      <c r="AW170" s="85"/>
      <c r="AX170" s="85"/>
      <c r="AY170" s="85"/>
      <c r="AZ170" s="85"/>
      <c r="BA170" s="85"/>
      <c r="BB170" s="85"/>
      <c r="BC170" s="85"/>
      <c r="BD170" s="85"/>
      <c r="BE170" s="85">
        <v>0</v>
      </c>
      <c r="BF170" s="85">
        <v>0</v>
      </c>
      <c r="BG170" s="85">
        <v>0</v>
      </c>
      <c r="BH170" s="85">
        <v>4429.7</v>
      </c>
      <c r="BI170" s="85">
        <v>3.06</v>
      </c>
      <c r="BJ170" s="85">
        <v>3.06</v>
      </c>
      <c r="BO170">
        <v>39.549999999999997</v>
      </c>
      <c r="BP170" s="86">
        <v>1752.06</v>
      </c>
      <c r="BQ170">
        <v>1.21</v>
      </c>
      <c r="BR170">
        <v>1.21</v>
      </c>
      <c r="BS170" s="85">
        <v>2677.64</v>
      </c>
      <c r="BT170" s="85">
        <v>1.85</v>
      </c>
      <c r="BU170" s="85">
        <v>1.85</v>
      </c>
      <c r="BX170" t="s">
        <v>572</v>
      </c>
      <c r="BZ170">
        <v>47720819</v>
      </c>
      <c r="CA170">
        <v>47720819</v>
      </c>
      <c r="CB170" t="s">
        <v>73</v>
      </c>
      <c r="CC170" t="s">
        <v>250</v>
      </c>
      <c r="CE170" t="s">
        <v>530</v>
      </c>
    </row>
    <row r="171" spans="1:83" x14ac:dyDescent="0.35">
      <c r="A171" t="s">
        <v>242</v>
      </c>
      <c r="B171">
        <v>3050535</v>
      </c>
      <c r="C171">
        <v>41651</v>
      </c>
      <c r="D171" t="s">
        <v>571</v>
      </c>
      <c r="E171">
        <v>275149001</v>
      </c>
      <c r="F171" t="s">
        <v>562</v>
      </c>
      <c r="G171" s="60">
        <v>46054</v>
      </c>
      <c r="H171">
        <v>40931692</v>
      </c>
      <c r="I171" t="s">
        <v>1273</v>
      </c>
      <c r="J171" t="s">
        <v>260</v>
      </c>
      <c r="K171" t="s">
        <v>65</v>
      </c>
      <c r="L171">
        <v>0</v>
      </c>
      <c r="M171">
        <v>0</v>
      </c>
      <c r="N171" t="s">
        <v>566</v>
      </c>
      <c r="O171" t="s">
        <v>566</v>
      </c>
      <c r="P171" t="s">
        <v>563</v>
      </c>
      <c r="Q171">
        <v>5733116</v>
      </c>
      <c r="R171">
        <v>40600000</v>
      </c>
      <c r="S171" s="50">
        <v>45292</v>
      </c>
      <c r="T171" s="50">
        <v>46127</v>
      </c>
      <c r="U171" t="s">
        <v>66</v>
      </c>
      <c r="V171" t="s">
        <v>249</v>
      </c>
      <c r="W171" t="s">
        <v>92</v>
      </c>
      <c r="X171" t="s">
        <v>86</v>
      </c>
      <c r="Y171" t="s">
        <v>291</v>
      </c>
      <c r="Z171">
        <v>10573709</v>
      </c>
      <c r="AA171" s="50">
        <v>46081</v>
      </c>
      <c r="AB171" s="87" t="s">
        <v>93</v>
      </c>
      <c r="AC171" s="86">
        <v>672.44</v>
      </c>
      <c r="AD171" t="s">
        <v>70</v>
      </c>
      <c r="AE171" s="85">
        <v>0.47</v>
      </c>
      <c r="AF171" s="85">
        <v>0.47</v>
      </c>
      <c r="AG171" s="85"/>
      <c r="AH171" s="85"/>
      <c r="AI171" s="85"/>
      <c r="AJ171" s="85"/>
      <c r="AK171" s="85"/>
      <c r="AL171" s="85"/>
      <c r="AM171" s="85"/>
      <c r="AN171" s="85"/>
      <c r="AO171" s="85"/>
      <c r="AP171" s="85"/>
      <c r="AQ171" s="85"/>
      <c r="AR171" s="85"/>
      <c r="AS171" s="85"/>
      <c r="AT171" s="85"/>
      <c r="AU171" s="85"/>
      <c r="AV171" s="85"/>
      <c r="AW171" s="85"/>
      <c r="AX171" s="85"/>
      <c r="AY171" s="85"/>
      <c r="AZ171" s="85"/>
      <c r="BA171" s="85"/>
      <c r="BB171" s="85"/>
      <c r="BC171" s="85"/>
      <c r="BD171" s="85"/>
      <c r="BE171" s="85">
        <v>0</v>
      </c>
      <c r="BF171" s="85">
        <v>0</v>
      </c>
      <c r="BG171" s="85">
        <v>0</v>
      </c>
      <c r="BH171" s="85">
        <v>672.44</v>
      </c>
      <c r="BI171" s="85">
        <v>0.47</v>
      </c>
      <c r="BJ171" s="85">
        <v>0.47</v>
      </c>
      <c r="BO171">
        <v>39.549999999999997</v>
      </c>
      <c r="BP171" s="86">
        <v>265.97000000000003</v>
      </c>
      <c r="BQ171">
        <v>0.18</v>
      </c>
      <c r="BR171">
        <v>0.18</v>
      </c>
      <c r="BS171" s="85">
        <v>406.47</v>
      </c>
      <c r="BT171" s="85">
        <v>0.28999999999999998</v>
      </c>
      <c r="BU171" s="85">
        <v>0.28999999999999998</v>
      </c>
      <c r="BX171" t="s">
        <v>572</v>
      </c>
      <c r="BZ171">
        <v>47720819</v>
      </c>
      <c r="CA171">
        <v>47720819</v>
      </c>
      <c r="CB171" t="s">
        <v>73</v>
      </c>
      <c r="CC171" t="s">
        <v>250</v>
      </c>
      <c r="CE171" t="s">
        <v>530</v>
      </c>
    </row>
    <row r="172" spans="1:83" x14ac:dyDescent="0.35">
      <c r="A172" t="s">
        <v>242</v>
      </c>
      <c r="B172">
        <v>3050535</v>
      </c>
      <c r="C172">
        <v>41651</v>
      </c>
      <c r="D172" t="s">
        <v>571</v>
      </c>
      <c r="E172">
        <v>275149001</v>
      </c>
      <c r="F172" t="s">
        <v>562</v>
      </c>
      <c r="G172" s="60">
        <v>46054</v>
      </c>
      <c r="H172">
        <v>40931692</v>
      </c>
      <c r="I172" t="s">
        <v>1273</v>
      </c>
      <c r="J172" t="s">
        <v>260</v>
      </c>
      <c r="K172" t="s">
        <v>65</v>
      </c>
      <c r="L172">
        <v>0</v>
      </c>
      <c r="M172">
        <v>0</v>
      </c>
      <c r="N172" t="s">
        <v>566</v>
      </c>
      <c r="O172" t="s">
        <v>566</v>
      </c>
      <c r="P172" t="s">
        <v>563</v>
      </c>
      <c r="Q172">
        <v>5733116</v>
      </c>
      <c r="R172">
        <v>40600000</v>
      </c>
      <c r="S172" s="50">
        <v>45292</v>
      </c>
      <c r="T172" s="50">
        <v>46127</v>
      </c>
      <c r="U172" t="s">
        <v>66</v>
      </c>
      <c r="V172" t="s">
        <v>249</v>
      </c>
      <c r="W172" t="s">
        <v>92</v>
      </c>
      <c r="X172" t="s">
        <v>86</v>
      </c>
      <c r="Y172" t="s">
        <v>291</v>
      </c>
      <c r="Z172">
        <v>10573709</v>
      </c>
      <c r="AA172" s="50">
        <v>46081</v>
      </c>
      <c r="AB172" s="87" t="s">
        <v>93</v>
      </c>
      <c r="AC172" s="86">
        <v>600985.66</v>
      </c>
      <c r="AD172" t="s">
        <v>70</v>
      </c>
      <c r="AE172" s="85">
        <v>415.79</v>
      </c>
      <c r="AF172" s="85">
        <v>415.79</v>
      </c>
      <c r="AG172" s="85"/>
      <c r="AH172" s="85"/>
      <c r="AI172" s="85"/>
      <c r="AJ172" s="85"/>
      <c r="AK172" s="85"/>
      <c r="AL172" s="85"/>
      <c r="AM172" s="85"/>
      <c r="AN172" s="85"/>
      <c r="AO172" s="85"/>
      <c r="AP172" s="85"/>
      <c r="AQ172" s="85"/>
      <c r="AR172" s="85"/>
      <c r="AS172" s="85"/>
      <c r="AT172" s="85"/>
      <c r="AU172" s="85"/>
      <c r="AV172" s="85"/>
      <c r="AW172" s="85"/>
      <c r="AX172" s="85"/>
      <c r="AY172" s="85"/>
      <c r="AZ172" s="85"/>
      <c r="BA172" s="85"/>
      <c r="BB172" s="85"/>
      <c r="BC172" s="85"/>
      <c r="BD172" s="85"/>
      <c r="BE172" s="85">
        <v>0</v>
      </c>
      <c r="BF172" s="85">
        <v>0</v>
      </c>
      <c r="BG172" s="85">
        <v>0</v>
      </c>
      <c r="BH172" s="85">
        <v>600985.66</v>
      </c>
      <c r="BI172" s="85">
        <v>415.79</v>
      </c>
      <c r="BJ172" s="85">
        <v>415.79</v>
      </c>
      <c r="BO172">
        <v>39.549999999999997</v>
      </c>
      <c r="BP172" s="86">
        <v>237704.85</v>
      </c>
      <c r="BQ172">
        <v>164.46</v>
      </c>
      <c r="BR172">
        <v>164.46</v>
      </c>
      <c r="BS172" s="85">
        <v>363280.81</v>
      </c>
      <c r="BT172" s="85">
        <v>251.33</v>
      </c>
      <c r="BU172" s="85">
        <v>251.33</v>
      </c>
      <c r="BX172" t="s">
        <v>572</v>
      </c>
      <c r="BZ172">
        <v>47720819</v>
      </c>
      <c r="CA172">
        <v>47720819</v>
      </c>
      <c r="CB172" t="s">
        <v>73</v>
      </c>
      <c r="CC172" t="s">
        <v>250</v>
      </c>
      <c r="CE172" t="s">
        <v>530</v>
      </c>
    </row>
    <row r="173" spans="1:83" x14ac:dyDescent="0.35">
      <c r="A173" t="s">
        <v>242</v>
      </c>
      <c r="B173">
        <v>3050535</v>
      </c>
      <c r="C173">
        <v>41651</v>
      </c>
      <c r="D173" t="s">
        <v>1238</v>
      </c>
      <c r="E173">
        <v>322353601</v>
      </c>
      <c r="F173" t="s">
        <v>978</v>
      </c>
      <c r="G173" s="60">
        <v>46054</v>
      </c>
      <c r="H173">
        <v>40889259</v>
      </c>
      <c r="I173" t="s">
        <v>1320</v>
      </c>
      <c r="J173" t="s">
        <v>482</v>
      </c>
      <c r="K173" t="s">
        <v>65</v>
      </c>
      <c r="L173">
        <v>0</v>
      </c>
      <c r="M173">
        <v>0</v>
      </c>
      <c r="N173" t="s">
        <v>94</v>
      </c>
      <c r="O173" t="s">
        <v>94</v>
      </c>
      <c r="P173" t="s">
        <v>544</v>
      </c>
      <c r="Q173">
        <v>821027</v>
      </c>
      <c r="R173">
        <v>757350</v>
      </c>
      <c r="S173" s="50">
        <v>46059</v>
      </c>
      <c r="T173" s="50">
        <v>46059</v>
      </c>
      <c r="U173" t="s">
        <v>69</v>
      </c>
      <c r="V173" t="s">
        <v>249</v>
      </c>
      <c r="W173" t="s">
        <v>92</v>
      </c>
      <c r="X173" t="s">
        <v>86</v>
      </c>
      <c r="Y173" t="s">
        <v>291</v>
      </c>
      <c r="Z173">
        <v>10573672</v>
      </c>
      <c r="AA173" s="50">
        <v>46081</v>
      </c>
      <c r="AB173" s="87" t="s">
        <v>93</v>
      </c>
      <c r="AC173" s="86">
        <v>757350</v>
      </c>
      <c r="AD173" t="s">
        <v>70</v>
      </c>
      <c r="AE173" s="85">
        <v>523.97</v>
      </c>
      <c r="AF173" s="85">
        <v>523.97</v>
      </c>
      <c r="AG173" s="85"/>
      <c r="AH173" s="85"/>
      <c r="AI173" s="85"/>
      <c r="AJ173" s="85"/>
      <c r="AK173" s="85"/>
      <c r="AL173" s="85"/>
      <c r="AM173" s="85"/>
      <c r="AN173" s="85"/>
      <c r="AO173" s="85"/>
      <c r="AP173" s="85"/>
      <c r="AQ173" s="85"/>
      <c r="AR173" s="85"/>
      <c r="AS173" s="85"/>
      <c r="AT173" s="85"/>
      <c r="AU173" s="85"/>
      <c r="AV173" s="85"/>
      <c r="AW173" s="85"/>
      <c r="AX173" s="85"/>
      <c r="AY173" s="85"/>
      <c r="AZ173" s="85"/>
      <c r="BA173" s="85"/>
      <c r="BB173" s="85"/>
      <c r="BC173" s="85"/>
      <c r="BD173" s="85"/>
      <c r="BE173" s="85">
        <v>0</v>
      </c>
      <c r="BF173" s="85">
        <v>0</v>
      </c>
      <c r="BG173" s="85">
        <v>0</v>
      </c>
      <c r="BH173" s="85">
        <v>757350</v>
      </c>
      <c r="BI173" s="85">
        <v>523.97</v>
      </c>
      <c r="BJ173" s="85">
        <v>523.97</v>
      </c>
      <c r="BO173">
        <v>34</v>
      </c>
      <c r="BP173" s="86">
        <v>257483.85</v>
      </c>
      <c r="BQ173">
        <v>178.14</v>
      </c>
      <c r="BR173">
        <v>178.14</v>
      </c>
      <c r="BS173" s="85">
        <v>499866.15</v>
      </c>
      <c r="BT173" s="85">
        <v>345.83</v>
      </c>
      <c r="BU173" s="85">
        <v>345.83</v>
      </c>
      <c r="BW173" t="s">
        <v>527</v>
      </c>
      <c r="BX173" t="s">
        <v>1321</v>
      </c>
      <c r="BZ173">
        <v>224554</v>
      </c>
      <c r="CA173">
        <v>224554</v>
      </c>
      <c r="CB173" t="s">
        <v>76</v>
      </c>
      <c r="CC173" t="s">
        <v>250</v>
      </c>
      <c r="CE173" t="s">
        <v>530</v>
      </c>
    </row>
    <row r="174" spans="1:83" x14ac:dyDescent="0.35">
      <c r="A174" t="s">
        <v>242</v>
      </c>
      <c r="B174">
        <v>3050535</v>
      </c>
      <c r="C174">
        <v>41651</v>
      </c>
      <c r="D174" t="s">
        <v>552</v>
      </c>
      <c r="E174">
        <v>322531401</v>
      </c>
      <c r="F174" t="s">
        <v>692</v>
      </c>
      <c r="G174" s="60">
        <v>46054</v>
      </c>
      <c r="H174">
        <v>40881149</v>
      </c>
      <c r="I174" t="s">
        <v>1208</v>
      </c>
      <c r="J174" t="s">
        <v>260</v>
      </c>
      <c r="K174" t="s">
        <v>65</v>
      </c>
      <c r="L174">
        <v>0</v>
      </c>
      <c r="M174">
        <v>0</v>
      </c>
      <c r="N174" t="s">
        <v>255</v>
      </c>
      <c r="O174" t="s">
        <v>255</v>
      </c>
      <c r="P174" t="s">
        <v>548</v>
      </c>
      <c r="Q174">
        <v>7000116</v>
      </c>
      <c r="R174">
        <v>12650000</v>
      </c>
      <c r="S174" s="50">
        <v>46035</v>
      </c>
      <c r="T174" s="50">
        <v>46081</v>
      </c>
      <c r="U174" t="s">
        <v>79</v>
      </c>
      <c r="V174" t="s">
        <v>249</v>
      </c>
      <c r="W174" t="s">
        <v>92</v>
      </c>
      <c r="X174" t="s">
        <v>86</v>
      </c>
      <c r="Y174" t="s">
        <v>291</v>
      </c>
      <c r="Z174">
        <v>10573696</v>
      </c>
      <c r="AA174" s="50">
        <v>46081</v>
      </c>
      <c r="AB174" s="87" t="s">
        <v>93</v>
      </c>
      <c r="AC174" s="86">
        <v>8126.2</v>
      </c>
      <c r="AD174" t="s">
        <v>70</v>
      </c>
      <c r="AE174" s="85">
        <v>5.62</v>
      </c>
      <c r="AF174" s="85">
        <v>5.62</v>
      </c>
      <c r="AG174" s="85"/>
      <c r="AH174" s="85"/>
      <c r="AI174" s="85"/>
      <c r="AJ174" s="85"/>
      <c r="AK174" s="85"/>
      <c r="AL174" s="85"/>
      <c r="AM174" s="85"/>
      <c r="AN174" s="85"/>
      <c r="AO174" s="85"/>
      <c r="AP174" s="85"/>
      <c r="AQ174" s="85"/>
      <c r="AR174" s="85"/>
      <c r="AS174" s="85"/>
      <c r="AT174" s="85"/>
      <c r="AU174" s="85"/>
      <c r="AV174" s="85"/>
      <c r="AW174" s="85"/>
      <c r="AX174" s="85"/>
      <c r="AY174" s="85"/>
      <c r="AZ174" s="85"/>
      <c r="BA174" s="85"/>
      <c r="BB174" s="85"/>
      <c r="BC174" s="85"/>
      <c r="BD174" s="85"/>
      <c r="BE174" s="85">
        <v>0</v>
      </c>
      <c r="BF174" s="85">
        <v>0</v>
      </c>
      <c r="BG174" s="85">
        <v>0</v>
      </c>
      <c r="BH174" s="85">
        <v>8126.2</v>
      </c>
      <c r="BI174" s="85">
        <v>5.62</v>
      </c>
      <c r="BJ174" s="85">
        <v>5.62</v>
      </c>
      <c r="BO174">
        <v>39.549999999999997</v>
      </c>
      <c r="BP174" s="86">
        <v>3214.12</v>
      </c>
      <c r="BQ174">
        <v>2.2200000000000002</v>
      </c>
      <c r="BR174">
        <v>2.2200000000000002</v>
      </c>
      <c r="BS174" s="85">
        <v>4912.08</v>
      </c>
      <c r="BT174" s="85">
        <v>3.4</v>
      </c>
      <c r="BU174" s="85">
        <v>3.4</v>
      </c>
      <c r="BX174" t="s">
        <v>731</v>
      </c>
      <c r="BZ174">
        <v>63304606</v>
      </c>
      <c r="CA174">
        <v>63304606</v>
      </c>
      <c r="CB174" t="s">
        <v>73</v>
      </c>
      <c r="CC174" t="s">
        <v>250</v>
      </c>
      <c r="CE174" t="s">
        <v>530</v>
      </c>
    </row>
    <row r="175" spans="1:83" x14ac:dyDescent="0.35">
      <c r="A175" t="s">
        <v>242</v>
      </c>
      <c r="B175">
        <v>3050535</v>
      </c>
      <c r="C175">
        <v>41651</v>
      </c>
      <c r="D175" t="s">
        <v>552</v>
      </c>
      <c r="E175">
        <v>322531401</v>
      </c>
      <c r="F175" t="s">
        <v>692</v>
      </c>
      <c r="G175" s="60">
        <v>46054</v>
      </c>
      <c r="H175">
        <v>40916250</v>
      </c>
      <c r="I175" t="s">
        <v>1322</v>
      </c>
      <c r="J175" t="s">
        <v>260</v>
      </c>
      <c r="K175" t="s">
        <v>65</v>
      </c>
      <c r="L175">
        <v>0</v>
      </c>
      <c r="M175">
        <v>0</v>
      </c>
      <c r="N175" t="s">
        <v>255</v>
      </c>
      <c r="O175" t="s">
        <v>255</v>
      </c>
      <c r="P175" t="s">
        <v>548</v>
      </c>
      <c r="Q175">
        <v>7000116</v>
      </c>
      <c r="R175">
        <v>12650000</v>
      </c>
      <c r="S175" s="50">
        <v>46035</v>
      </c>
      <c r="T175" s="50">
        <v>46081</v>
      </c>
      <c r="U175" t="s">
        <v>79</v>
      </c>
      <c r="V175" t="s">
        <v>249</v>
      </c>
      <c r="W175" t="s">
        <v>92</v>
      </c>
      <c r="X175" t="s">
        <v>86</v>
      </c>
      <c r="Y175" t="s">
        <v>291</v>
      </c>
      <c r="Z175">
        <v>10573696</v>
      </c>
      <c r="AA175" s="50">
        <v>46081</v>
      </c>
      <c r="AB175" s="87" t="s">
        <v>93</v>
      </c>
      <c r="AC175" s="86">
        <v>200075.18</v>
      </c>
      <c r="AD175" t="s">
        <v>70</v>
      </c>
      <c r="AE175" s="85">
        <v>138.41999999999999</v>
      </c>
      <c r="AF175" s="85">
        <v>138.41999999999999</v>
      </c>
      <c r="AG175" s="85"/>
      <c r="AH175" s="85"/>
      <c r="AI175" s="85"/>
      <c r="AJ175" s="85"/>
      <c r="AK175" s="85"/>
      <c r="AL175" s="85"/>
      <c r="AM175" s="85"/>
      <c r="AN175" s="85"/>
      <c r="AO175" s="85"/>
      <c r="AP175" s="85"/>
      <c r="AQ175" s="85"/>
      <c r="AR175" s="85"/>
      <c r="AS175" s="85"/>
      <c r="AT175" s="85"/>
      <c r="AU175" s="85"/>
      <c r="AV175" s="85"/>
      <c r="AW175" s="85"/>
      <c r="AX175" s="85"/>
      <c r="AY175" s="85"/>
      <c r="AZ175" s="85"/>
      <c r="BA175" s="85"/>
      <c r="BB175" s="85"/>
      <c r="BC175" s="85"/>
      <c r="BD175" s="85"/>
      <c r="BE175" s="85">
        <v>0</v>
      </c>
      <c r="BF175" s="85">
        <v>0</v>
      </c>
      <c r="BG175" s="85">
        <v>0</v>
      </c>
      <c r="BH175" s="85">
        <v>200075.18</v>
      </c>
      <c r="BI175" s="85">
        <v>138.41999999999999</v>
      </c>
      <c r="BJ175" s="85">
        <v>138.41999999999999</v>
      </c>
      <c r="BO175">
        <v>39.549999999999997</v>
      </c>
      <c r="BP175" s="86">
        <v>79134.73</v>
      </c>
      <c r="BQ175">
        <v>54.75</v>
      </c>
      <c r="BR175">
        <v>54.75</v>
      </c>
      <c r="BS175" s="85">
        <v>120940.45</v>
      </c>
      <c r="BT175" s="85">
        <v>83.67</v>
      </c>
      <c r="BU175" s="85">
        <v>83.67</v>
      </c>
      <c r="BX175" t="s">
        <v>731</v>
      </c>
      <c r="BZ175">
        <v>63304606</v>
      </c>
      <c r="CA175">
        <v>63304606</v>
      </c>
      <c r="CB175" t="s">
        <v>73</v>
      </c>
      <c r="CC175" t="s">
        <v>250</v>
      </c>
      <c r="CE175" t="s">
        <v>530</v>
      </c>
    </row>
    <row r="176" spans="1:83" x14ac:dyDescent="0.35">
      <c r="A176" t="s">
        <v>242</v>
      </c>
      <c r="B176">
        <v>3050535</v>
      </c>
      <c r="C176">
        <v>41651</v>
      </c>
      <c r="D176" t="s">
        <v>552</v>
      </c>
      <c r="E176">
        <v>322531401</v>
      </c>
      <c r="F176" t="s">
        <v>692</v>
      </c>
      <c r="G176" s="60">
        <v>46054</v>
      </c>
      <c r="H176">
        <v>40881358</v>
      </c>
      <c r="I176" t="s">
        <v>1252</v>
      </c>
      <c r="J176" t="s">
        <v>260</v>
      </c>
      <c r="K176" t="s">
        <v>65</v>
      </c>
      <c r="L176">
        <v>0</v>
      </c>
      <c r="M176">
        <v>0</v>
      </c>
      <c r="N176" t="s">
        <v>255</v>
      </c>
      <c r="O176" t="s">
        <v>255</v>
      </c>
      <c r="P176" t="s">
        <v>548</v>
      </c>
      <c r="Q176">
        <v>7000116</v>
      </c>
      <c r="R176">
        <v>12650000</v>
      </c>
      <c r="S176" s="50">
        <v>46035</v>
      </c>
      <c r="T176" s="50">
        <v>46081</v>
      </c>
      <c r="U176" t="s">
        <v>79</v>
      </c>
      <c r="V176" t="s">
        <v>249</v>
      </c>
      <c r="W176" t="s">
        <v>92</v>
      </c>
      <c r="X176" t="s">
        <v>86</v>
      </c>
      <c r="Y176" t="s">
        <v>291</v>
      </c>
      <c r="Z176">
        <v>10573696</v>
      </c>
      <c r="AA176" s="50">
        <v>46081</v>
      </c>
      <c r="AB176" s="87" t="s">
        <v>93</v>
      </c>
      <c r="AC176" s="86">
        <v>666.39</v>
      </c>
      <c r="AD176" t="s">
        <v>70</v>
      </c>
      <c r="AE176" s="85">
        <v>0.46</v>
      </c>
      <c r="AF176" s="85">
        <v>0.46</v>
      </c>
      <c r="AG176" s="85"/>
      <c r="AH176" s="85"/>
      <c r="AI176" s="85"/>
      <c r="AJ176" s="85"/>
      <c r="AK176" s="85"/>
      <c r="AL176" s="85"/>
      <c r="AM176" s="85"/>
      <c r="AN176" s="85"/>
      <c r="AO176" s="85"/>
      <c r="AP176" s="85"/>
      <c r="AQ176" s="85"/>
      <c r="AR176" s="85"/>
      <c r="AS176" s="85"/>
      <c r="AT176" s="85"/>
      <c r="AU176" s="85"/>
      <c r="AV176" s="85"/>
      <c r="AW176" s="85"/>
      <c r="AX176" s="85"/>
      <c r="AY176" s="85"/>
      <c r="AZ176" s="85"/>
      <c r="BA176" s="85"/>
      <c r="BB176" s="85"/>
      <c r="BC176" s="85"/>
      <c r="BD176" s="85"/>
      <c r="BE176" s="85">
        <v>0</v>
      </c>
      <c r="BF176" s="85">
        <v>0</v>
      </c>
      <c r="BG176" s="85">
        <v>0</v>
      </c>
      <c r="BH176" s="85">
        <v>666.39</v>
      </c>
      <c r="BI176" s="85">
        <v>0.46</v>
      </c>
      <c r="BJ176" s="85">
        <v>0.46</v>
      </c>
      <c r="BO176">
        <v>39.549999999999997</v>
      </c>
      <c r="BP176" s="86">
        <v>263.57</v>
      </c>
      <c r="BQ176">
        <v>0.18</v>
      </c>
      <c r="BR176">
        <v>0.18</v>
      </c>
      <c r="BS176" s="85">
        <v>402.82</v>
      </c>
      <c r="BT176" s="85">
        <v>0.28000000000000003</v>
      </c>
      <c r="BU176" s="85">
        <v>0.28000000000000003</v>
      </c>
      <c r="BX176" t="s">
        <v>731</v>
      </c>
      <c r="BZ176">
        <v>63304606</v>
      </c>
      <c r="CA176">
        <v>63304606</v>
      </c>
      <c r="CB176" t="s">
        <v>73</v>
      </c>
      <c r="CC176" t="s">
        <v>250</v>
      </c>
      <c r="CE176" t="s">
        <v>530</v>
      </c>
    </row>
    <row r="177" spans="1:83" x14ac:dyDescent="0.35">
      <c r="A177" t="s">
        <v>242</v>
      </c>
      <c r="B177">
        <v>3050535</v>
      </c>
      <c r="C177">
        <v>41651</v>
      </c>
      <c r="D177" t="s">
        <v>552</v>
      </c>
      <c r="E177">
        <v>322531401</v>
      </c>
      <c r="F177" t="s">
        <v>692</v>
      </c>
      <c r="G177" s="60">
        <v>46054</v>
      </c>
      <c r="H177">
        <v>40881381</v>
      </c>
      <c r="I177" t="s">
        <v>1255</v>
      </c>
      <c r="J177" t="s">
        <v>260</v>
      </c>
      <c r="K177" t="s">
        <v>65</v>
      </c>
      <c r="L177">
        <v>0</v>
      </c>
      <c r="M177">
        <v>0</v>
      </c>
      <c r="N177" t="s">
        <v>255</v>
      </c>
      <c r="O177" t="s">
        <v>255</v>
      </c>
      <c r="P177" t="s">
        <v>548</v>
      </c>
      <c r="Q177">
        <v>7000116</v>
      </c>
      <c r="R177">
        <v>12650000</v>
      </c>
      <c r="S177" s="50">
        <v>46035</v>
      </c>
      <c r="T177" s="50">
        <v>46081</v>
      </c>
      <c r="U177" t="s">
        <v>79</v>
      </c>
      <c r="V177" t="s">
        <v>249</v>
      </c>
      <c r="W177" t="s">
        <v>92</v>
      </c>
      <c r="X177" t="s">
        <v>86</v>
      </c>
      <c r="Y177" t="s">
        <v>291</v>
      </c>
      <c r="Z177">
        <v>10573696</v>
      </c>
      <c r="AA177" s="50">
        <v>46081</v>
      </c>
      <c r="AB177" s="87" t="s">
        <v>93</v>
      </c>
      <c r="AC177" s="86">
        <v>692.56</v>
      </c>
      <c r="AD177" t="s">
        <v>70</v>
      </c>
      <c r="AE177" s="85">
        <v>0.48</v>
      </c>
      <c r="AF177" s="85">
        <v>0.48</v>
      </c>
      <c r="AG177" s="85"/>
      <c r="AH177" s="85"/>
      <c r="AI177" s="85"/>
      <c r="AJ177" s="85"/>
      <c r="AK177" s="85"/>
      <c r="AL177" s="85"/>
      <c r="AM177" s="85"/>
      <c r="AN177" s="85"/>
      <c r="AO177" s="85"/>
      <c r="AP177" s="85"/>
      <c r="AQ177" s="85"/>
      <c r="AR177" s="85"/>
      <c r="AS177" s="85"/>
      <c r="AT177" s="85"/>
      <c r="AU177" s="85"/>
      <c r="AV177" s="85"/>
      <c r="AW177" s="85"/>
      <c r="AX177" s="85"/>
      <c r="AY177" s="85"/>
      <c r="AZ177" s="85"/>
      <c r="BA177" s="85"/>
      <c r="BB177" s="85"/>
      <c r="BC177" s="85"/>
      <c r="BD177" s="85"/>
      <c r="BE177" s="85">
        <v>0</v>
      </c>
      <c r="BF177" s="85">
        <v>0</v>
      </c>
      <c r="BG177" s="85">
        <v>0</v>
      </c>
      <c r="BH177" s="85">
        <v>692.56</v>
      </c>
      <c r="BI177" s="85">
        <v>0.48</v>
      </c>
      <c r="BJ177" s="85">
        <v>0.48</v>
      </c>
      <c r="BO177">
        <v>39.549999999999997</v>
      </c>
      <c r="BP177" s="86">
        <v>273.93</v>
      </c>
      <c r="BQ177">
        <v>0.19</v>
      </c>
      <c r="BR177">
        <v>0.19</v>
      </c>
      <c r="BS177" s="85">
        <v>418.63</v>
      </c>
      <c r="BT177" s="85">
        <v>0.28999999999999998</v>
      </c>
      <c r="BU177" s="85">
        <v>0.28999999999999998</v>
      </c>
      <c r="BX177" t="s">
        <v>731</v>
      </c>
      <c r="BZ177">
        <v>63304606</v>
      </c>
      <c r="CA177">
        <v>63304606</v>
      </c>
      <c r="CB177" t="s">
        <v>73</v>
      </c>
      <c r="CC177" t="s">
        <v>250</v>
      </c>
      <c r="CE177" t="s">
        <v>530</v>
      </c>
    </row>
    <row r="178" spans="1:83" x14ac:dyDescent="0.35">
      <c r="A178" t="s">
        <v>242</v>
      </c>
      <c r="B178">
        <v>3050535</v>
      </c>
      <c r="C178">
        <v>41651</v>
      </c>
      <c r="D178" t="s">
        <v>552</v>
      </c>
      <c r="E178">
        <v>322531401</v>
      </c>
      <c r="F178" t="s">
        <v>692</v>
      </c>
      <c r="G178" s="60">
        <v>46054</v>
      </c>
      <c r="H178">
        <v>40947124</v>
      </c>
      <c r="I178" t="s">
        <v>1211</v>
      </c>
      <c r="J178" t="s">
        <v>260</v>
      </c>
      <c r="K178" t="s">
        <v>65</v>
      </c>
      <c r="L178">
        <v>0</v>
      </c>
      <c r="M178">
        <v>0</v>
      </c>
      <c r="N178" t="s">
        <v>255</v>
      </c>
      <c r="O178" t="s">
        <v>255</v>
      </c>
      <c r="P178" t="s">
        <v>548</v>
      </c>
      <c r="Q178">
        <v>7000116</v>
      </c>
      <c r="R178">
        <v>12650000</v>
      </c>
      <c r="S178" s="50">
        <v>46035</v>
      </c>
      <c r="T178" s="50">
        <v>46081</v>
      </c>
      <c r="U178" t="s">
        <v>79</v>
      </c>
      <c r="V178" t="s">
        <v>249</v>
      </c>
      <c r="W178" t="s">
        <v>92</v>
      </c>
      <c r="X178" t="s">
        <v>86</v>
      </c>
      <c r="Y178" t="s">
        <v>291</v>
      </c>
      <c r="Z178">
        <v>10573696</v>
      </c>
      <c r="AA178" s="50">
        <v>46081</v>
      </c>
      <c r="AB178" s="87" t="s">
        <v>93</v>
      </c>
      <c r="AC178" s="86">
        <v>10.039999999999999</v>
      </c>
      <c r="AD178" t="s">
        <v>70</v>
      </c>
      <c r="AE178" s="85">
        <v>0.01</v>
      </c>
      <c r="AF178" s="85">
        <v>0.01</v>
      </c>
      <c r="AG178" s="85"/>
      <c r="AH178" s="85"/>
      <c r="AI178" s="85"/>
      <c r="AJ178" s="85"/>
      <c r="AK178" s="85"/>
      <c r="AL178" s="85"/>
      <c r="AM178" s="85"/>
      <c r="AN178" s="85"/>
      <c r="AO178" s="85"/>
      <c r="AP178" s="85"/>
      <c r="AQ178" s="85"/>
      <c r="AR178" s="85"/>
      <c r="AS178" s="85"/>
      <c r="AT178" s="85"/>
      <c r="AU178" s="85"/>
      <c r="AV178" s="85"/>
      <c r="AW178" s="85"/>
      <c r="AX178" s="85"/>
      <c r="AY178" s="85"/>
      <c r="AZ178" s="85"/>
      <c r="BA178" s="85"/>
      <c r="BB178" s="85"/>
      <c r="BC178" s="85"/>
      <c r="BD178" s="85"/>
      <c r="BE178" s="85">
        <v>0</v>
      </c>
      <c r="BF178" s="85">
        <v>0</v>
      </c>
      <c r="BG178" s="85">
        <v>0</v>
      </c>
      <c r="BH178" s="85">
        <v>10.039999999999999</v>
      </c>
      <c r="BI178" s="85">
        <v>0.01</v>
      </c>
      <c r="BJ178" s="85">
        <v>0.01</v>
      </c>
      <c r="BO178">
        <v>39.549999999999997</v>
      </c>
      <c r="BP178" s="86">
        <v>3.97</v>
      </c>
      <c r="BQ178">
        <v>0</v>
      </c>
      <c r="BR178">
        <v>0</v>
      </c>
      <c r="BS178" s="85">
        <v>6.07</v>
      </c>
      <c r="BT178" s="85">
        <v>0.01</v>
      </c>
      <c r="BU178" s="85">
        <v>0.01</v>
      </c>
      <c r="BX178" t="s">
        <v>731</v>
      </c>
      <c r="BZ178">
        <v>63304606</v>
      </c>
      <c r="CA178">
        <v>63304606</v>
      </c>
      <c r="CB178" t="s">
        <v>73</v>
      </c>
      <c r="CC178" t="s">
        <v>250</v>
      </c>
      <c r="CE178" t="s">
        <v>530</v>
      </c>
    </row>
    <row r="179" spans="1:83" x14ac:dyDescent="0.35">
      <c r="A179" t="s">
        <v>242</v>
      </c>
      <c r="B179">
        <v>3050535</v>
      </c>
      <c r="C179">
        <v>41651</v>
      </c>
      <c r="D179" t="s">
        <v>552</v>
      </c>
      <c r="E179">
        <v>322531401</v>
      </c>
      <c r="F179" t="s">
        <v>692</v>
      </c>
      <c r="G179" s="60">
        <v>46054</v>
      </c>
      <c r="H179">
        <v>40881181</v>
      </c>
      <c r="I179" t="s">
        <v>1323</v>
      </c>
      <c r="J179" t="s">
        <v>260</v>
      </c>
      <c r="K179" t="s">
        <v>65</v>
      </c>
      <c r="L179">
        <v>0</v>
      </c>
      <c r="M179">
        <v>0</v>
      </c>
      <c r="N179" t="s">
        <v>255</v>
      </c>
      <c r="O179" t="s">
        <v>255</v>
      </c>
      <c r="P179" t="s">
        <v>548</v>
      </c>
      <c r="Q179">
        <v>7000116</v>
      </c>
      <c r="R179">
        <v>12650000</v>
      </c>
      <c r="S179" s="50">
        <v>46035</v>
      </c>
      <c r="T179" s="50">
        <v>46081</v>
      </c>
      <c r="U179" t="s">
        <v>79</v>
      </c>
      <c r="V179" t="s">
        <v>249</v>
      </c>
      <c r="W179" t="s">
        <v>92</v>
      </c>
      <c r="X179" t="s">
        <v>86</v>
      </c>
      <c r="Y179" t="s">
        <v>291</v>
      </c>
      <c r="Z179">
        <v>10573696</v>
      </c>
      <c r="AA179" s="50">
        <v>46081</v>
      </c>
      <c r="AB179" s="87" t="s">
        <v>93</v>
      </c>
      <c r="AC179" s="86">
        <v>100078.08</v>
      </c>
      <c r="AD179" t="s">
        <v>70</v>
      </c>
      <c r="AE179" s="85">
        <v>69.239999999999995</v>
      </c>
      <c r="AF179" s="85">
        <v>69.239999999999995</v>
      </c>
      <c r="AG179" s="85"/>
      <c r="AH179" s="85"/>
      <c r="AI179" s="85"/>
      <c r="AJ179" s="85"/>
      <c r="AK179" s="85"/>
      <c r="AL179" s="85"/>
      <c r="AM179" s="85"/>
      <c r="AN179" s="85"/>
      <c r="AO179" s="85"/>
      <c r="AP179" s="85"/>
      <c r="AQ179" s="85"/>
      <c r="AR179" s="85"/>
      <c r="AS179" s="85"/>
      <c r="AT179" s="85"/>
      <c r="AU179" s="85"/>
      <c r="AV179" s="85"/>
      <c r="AW179" s="85"/>
      <c r="AX179" s="85"/>
      <c r="AY179" s="85"/>
      <c r="AZ179" s="85"/>
      <c r="BA179" s="85"/>
      <c r="BB179" s="85"/>
      <c r="BC179" s="85"/>
      <c r="BD179" s="85"/>
      <c r="BE179" s="85">
        <v>0</v>
      </c>
      <c r="BF179" s="85">
        <v>0</v>
      </c>
      <c r="BG179" s="85">
        <v>0</v>
      </c>
      <c r="BH179" s="85">
        <v>100078.08</v>
      </c>
      <c r="BI179" s="85">
        <v>69.239999999999995</v>
      </c>
      <c r="BJ179" s="85">
        <v>69.239999999999995</v>
      </c>
      <c r="BO179">
        <v>39.549999999999997</v>
      </c>
      <c r="BP179" s="86">
        <v>39583.379999999997</v>
      </c>
      <c r="BQ179">
        <v>27.39</v>
      </c>
      <c r="BR179">
        <v>27.39</v>
      </c>
      <c r="BS179" s="85">
        <v>60494.7</v>
      </c>
      <c r="BT179" s="85">
        <v>41.85</v>
      </c>
      <c r="BU179" s="85">
        <v>41.85</v>
      </c>
      <c r="BX179" t="s">
        <v>731</v>
      </c>
      <c r="BZ179">
        <v>63304606</v>
      </c>
      <c r="CA179">
        <v>63304606</v>
      </c>
      <c r="CB179" t="s">
        <v>72</v>
      </c>
      <c r="CC179" t="s">
        <v>250</v>
      </c>
      <c r="CE179" t="s">
        <v>530</v>
      </c>
    </row>
    <row r="180" spans="1:83" x14ac:dyDescent="0.35">
      <c r="A180" t="s">
        <v>242</v>
      </c>
      <c r="B180">
        <v>3050535</v>
      </c>
      <c r="C180">
        <v>41651</v>
      </c>
      <c r="D180" t="s">
        <v>552</v>
      </c>
      <c r="E180">
        <v>322531401</v>
      </c>
      <c r="F180" t="s">
        <v>692</v>
      </c>
      <c r="G180" s="60">
        <v>46054</v>
      </c>
      <c r="H180">
        <v>40925799</v>
      </c>
      <c r="I180" t="s">
        <v>1324</v>
      </c>
      <c r="J180" t="s">
        <v>260</v>
      </c>
      <c r="K180" t="s">
        <v>65</v>
      </c>
      <c r="L180">
        <v>0</v>
      </c>
      <c r="M180">
        <v>0</v>
      </c>
      <c r="N180" t="s">
        <v>255</v>
      </c>
      <c r="O180" t="s">
        <v>255</v>
      </c>
      <c r="P180" t="s">
        <v>548</v>
      </c>
      <c r="Q180">
        <v>7000116</v>
      </c>
      <c r="R180">
        <v>12650000</v>
      </c>
      <c r="S180" s="50">
        <v>46035</v>
      </c>
      <c r="T180" s="50">
        <v>46081</v>
      </c>
      <c r="U180" t="s">
        <v>79</v>
      </c>
      <c r="V180" t="s">
        <v>249</v>
      </c>
      <c r="W180" t="s">
        <v>92</v>
      </c>
      <c r="X180" t="s">
        <v>86</v>
      </c>
      <c r="Y180" t="s">
        <v>291</v>
      </c>
      <c r="Z180">
        <v>10573696</v>
      </c>
      <c r="AA180" s="50">
        <v>46081</v>
      </c>
      <c r="AB180" s="87" t="s">
        <v>93</v>
      </c>
      <c r="AC180" s="86">
        <v>251537.01</v>
      </c>
      <c r="AD180" t="s">
        <v>70</v>
      </c>
      <c r="AE180" s="85">
        <v>174.03</v>
      </c>
      <c r="AF180" s="85">
        <v>174.03</v>
      </c>
      <c r="AG180" s="85"/>
      <c r="AH180" s="85"/>
      <c r="AI180" s="85"/>
      <c r="AJ180" s="85"/>
      <c r="AK180" s="85"/>
      <c r="AL180" s="85"/>
      <c r="AM180" s="85"/>
      <c r="AN180" s="85"/>
      <c r="AO180" s="85"/>
      <c r="AP180" s="85"/>
      <c r="AQ180" s="85"/>
      <c r="AR180" s="85"/>
      <c r="AS180" s="85"/>
      <c r="AT180" s="85"/>
      <c r="AU180" s="85"/>
      <c r="AV180" s="85"/>
      <c r="AW180" s="85"/>
      <c r="AX180" s="85"/>
      <c r="AY180" s="85"/>
      <c r="AZ180" s="85"/>
      <c r="BA180" s="85"/>
      <c r="BB180" s="85"/>
      <c r="BC180" s="85"/>
      <c r="BD180" s="85"/>
      <c r="BE180" s="85">
        <v>0</v>
      </c>
      <c r="BF180" s="85">
        <v>0</v>
      </c>
      <c r="BG180" s="85">
        <v>0</v>
      </c>
      <c r="BH180" s="85">
        <v>251537.01</v>
      </c>
      <c r="BI180" s="85">
        <v>174.03</v>
      </c>
      <c r="BJ180" s="85">
        <v>174.03</v>
      </c>
      <c r="BO180">
        <v>39.549999999999997</v>
      </c>
      <c r="BP180" s="86">
        <v>99489.18</v>
      </c>
      <c r="BQ180">
        <v>68.83</v>
      </c>
      <c r="BR180">
        <v>68.83</v>
      </c>
      <c r="BS180" s="85">
        <v>152047.82999999999</v>
      </c>
      <c r="BT180" s="85">
        <v>105.2</v>
      </c>
      <c r="BU180" s="85">
        <v>105.2</v>
      </c>
      <c r="BX180" t="s">
        <v>731</v>
      </c>
      <c r="BZ180">
        <v>63304606</v>
      </c>
      <c r="CA180">
        <v>63304606</v>
      </c>
      <c r="CB180" t="s">
        <v>72</v>
      </c>
      <c r="CC180" t="s">
        <v>250</v>
      </c>
      <c r="CE180" t="s">
        <v>530</v>
      </c>
    </row>
    <row r="181" spans="1:83" x14ac:dyDescent="0.35">
      <c r="A181" t="s">
        <v>242</v>
      </c>
      <c r="B181">
        <v>3050535</v>
      </c>
      <c r="C181">
        <v>41651</v>
      </c>
      <c r="D181" t="s">
        <v>552</v>
      </c>
      <c r="E181">
        <v>322531401</v>
      </c>
      <c r="F181" t="s">
        <v>692</v>
      </c>
      <c r="G181" s="60">
        <v>46054</v>
      </c>
      <c r="H181">
        <v>40925790</v>
      </c>
      <c r="I181" t="s">
        <v>1325</v>
      </c>
      <c r="J181" t="s">
        <v>260</v>
      </c>
      <c r="K181" t="s">
        <v>65</v>
      </c>
      <c r="L181">
        <v>0</v>
      </c>
      <c r="M181">
        <v>0</v>
      </c>
      <c r="N181" t="s">
        <v>255</v>
      </c>
      <c r="O181" t="s">
        <v>255</v>
      </c>
      <c r="P181" t="s">
        <v>548</v>
      </c>
      <c r="Q181">
        <v>7000116</v>
      </c>
      <c r="R181">
        <v>12650000</v>
      </c>
      <c r="S181" s="50">
        <v>46035</v>
      </c>
      <c r="T181" s="50">
        <v>46081</v>
      </c>
      <c r="U181" t="s">
        <v>79</v>
      </c>
      <c r="V181" t="s">
        <v>249</v>
      </c>
      <c r="W181" t="s">
        <v>92</v>
      </c>
      <c r="X181" t="s">
        <v>86</v>
      </c>
      <c r="Y181" t="s">
        <v>291</v>
      </c>
      <c r="Z181">
        <v>10573696</v>
      </c>
      <c r="AA181" s="50">
        <v>46081</v>
      </c>
      <c r="AB181" s="87" t="s">
        <v>93</v>
      </c>
      <c r="AC181" s="86">
        <v>100066.79</v>
      </c>
      <c r="AD181" t="s">
        <v>70</v>
      </c>
      <c r="AE181" s="85">
        <v>69.23</v>
      </c>
      <c r="AF181" s="85">
        <v>69.23</v>
      </c>
      <c r="AG181" s="85"/>
      <c r="AH181" s="85"/>
      <c r="AI181" s="85"/>
      <c r="AJ181" s="85"/>
      <c r="AK181" s="85"/>
      <c r="AL181" s="85"/>
      <c r="AM181" s="85"/>
      <c r="AN181" s="85"/>
      <c r="AO181" s="85"/>
      <c r="AP181" s="85"/>
      <c r="AQ181" s="85"/>
      <c r="AR181" s="85"/>
      <c r="AS181" s="85"/>
      <c r="AT181" s="85"/>
      <c r="AU181" s="85"/>
      <c r="AV181" s="85"/>
      <c r="AW181" s="85"/>
      <c r="AX181" s="85"/>
      <c r="AY181" s="85"/>
      <c r="AZ181" s="85"/>
      <c r="BA181" s="85"/>
      <c r="BB181" s="85"/>
      <c r="BC181" s="85"/>
      <c r="BD181" s="85"/>
      <c r="BE181" s="85">
        <v>0</v>
      </c>
      <c r="BF181" s="85">
        <v>0</v>
      </c>
      <c r="BG181" s="85">
        <v>0</v>
      </c>
      <c r="BH181" s="85">
        <v>100066.79</v>
      </c>
      <c r="BI181" s="85">
        <v>69.23</v>
      </c>
      <c r="BJ181" s="85">
        <v>69.23</v>
      </c>
      <c r="BO181">
        <v>39.549999999999997</v>
      </c>
      <c r="BP181" s="86">
        <v>39578.92</v>
      </c>
      <c r="BQ181">
        <v>27.38</v>
      </c>
      <c r="BR181">
        <v>27.38</v>
      </c>
      <c r="BS181" s="85">
        <v>60487.87</v>
      </c>
      <c r="BT181" s="85">
        <v>41.85</v>
      </c>
      <c r="BU181" s="85">
        <v>41.85</v>
      </c>
      <c r="BX181" t="s">
        <v>731</v>
      </c>
      <c r="BZ181">
        <v>63304606</v>
      </c>
      <c r="CA181">
        <v>63304606</v>
      </c>
      <c r="CB181" t="s">
        <v>73</v>
      </c>
      <c r="CC181" t="s">
        <v>250</v>
      </c>
      <c r="CE181" t="s">
        <v>530</v>
      </c>
    </row>
    <row r="182" spans="1:83" x14ac:dyDescent="0.35">
      <c r="A182" t="s">
        <v>242</v>
      </c>
      <c r="B182">
        <v>3050535</v>
      </c>
      <c r="C182">
        <v>41651</v>
      </c>
      <c r="D182" t="s">
        <v>552</v>
      </c>
      <c r="E182">
        <v>322531401</v>
      </c>
      <c r="F182" t="s">
        <v>692</v>
      </c>
      <c r="G182" s="60">
        <v>46054</v>
      </c>
      <c r="H182">
        <v>40925772</v>
      </c>
      <c r="I182" t="s">
        <v>1326</v>
      </c>
      <c r="J182" t="s">
        <v>260</v>
      </c>
      <c r="K182" t="s">
        <v>65</v>
      </c>
      <c r="L182">
        <v>0</v>
      </c>
      <c r="M182">
        <v>0</v>
      </c>
      <c r="N182" t="s">
        <v>255</v>
      </c>
      <c r="O182" t="s">
        <v>255</v>
      </c>
      <c r="P182" t="s">
        <v>548</v>
      </c>
      <c r="Q182">
        <v>7000116</v>
      </c>
      <c r="R182">
        <v>12650000</v>
      </c>
      <c r="S182" s="50">
        <v>46035</v>
      </c>
      <c r="T182" s="50">
        <v>46081</v>
      </c>
      <c r="U182" t="s">
        <v>79</v>
      </c>
      <c r="V182" t="s">
        <v>249</v>
      </c>
      <c r="W182" t="s">
        <v>92</v>
      </c>
      <c r="X182" t="s">
        <v>86</v>
      </c>
      <c r="Y182" t="s">
        <v>291</v>
      </c>
      <c r="Z182">
        <v>10573696</v>
      </c>
      <c r="AA182" s="50">
        <v>46081</v>
      </c>
      <c r="AB182" s="87" t="s">
        <v>93</v>
      </c>
      <c r="AC182" s="86">
        <v>593326.93999999994</v>
      </c>
      <c r="AD182" t="s">
        <v>70</v>
      </c>
      <c r="AE182" s="85">
        <v>410.49</v>
      </c>
      <c r="AF182" s="85">
        <v>410.49</v>
      </c>
      <c r="AG182" s="85"/>
      <c r="AH182" s="85"/>
      <c r="AI182" s="85"/>
      <c r="AJ182" s="85"/>
      <c r="AK182" s="85"/>
      <c r="AL182" s="85"/>
      <c r="AM182" s="85"/>
      <c r="AN182" s="85"/>
      <c r="AO182" s="85"/>
      <c r="AP182" s="85"/>
      <c r="AQ182" s="85"/>
      <c r="AR182" s="85"/>
      <c r="AS182" s="85"/>
      <c r="AT182" s="85"/>
      <c r="AU182" s="85"/>
      <c r="AV182" s="85"/>
      <c r="AW182" s="85"/>
      <c r="AX182" s="85"/>
      <c r="AY182" s="85"/>
      <c r="AZ182" s="85"/>
      <c r="BA182" s="85"/>
      <c r="BB182" s="85"/>
      <c r="BC182" s="85"/>
      <c r="BD182" s="85"/>
      <c r="BE182" s="85">
        <v>0</v>
      </c>
      <c r="BF182" s="85">
        <v>0</v>
      </c>
      <c r="BG182" s="85">
        <v>0</v>
      </c>
      <c r="BH182" s="85">
        <v>593326.93999999994</v>
      </c>
      <c r="BI182" s="85">
        <v>410.49</v>
      </c>
      <c r="BJ182" s="85">
        <v>410.49</v>
      </c>
      <c r="BO182">
        <v>39.549999999999997</v>
      </c>
      <c r="BP182" s="86">
        <v>234675.64</v>
      </c>
      <c r="BQ182">
        <v>162.36000000000001</v>
      </c>
      <c r="BR182">
        <v>162.36000000000001</v>
      </c>
      <c r="BS182" s="85">
        <v>358651.3</v>
      </c>
      <c r="BT182" s="85">
        <v>248.13</v>
      </c>
      <c r="BU182" s="85">
        <v>248.13</v>
      </c>
      <c r="BX182" t="s">
        <v>731</v>
      </c>
      <c r="BZ182">
        <v>63304606</v>
      </c>
      <c r="CA182">
        <v>63304606</v>
      </c>
      <c r="CB182" t="s">
        <v>72</v>
      </c>
      <c r="CC182" t="s">
        <v>250</v>
      </c>
      <c r="CE182" t="s">
        <v>530</v>
      </c>
    </row>
    <row r="183" spans="1:83" x14ac:dyDescent="0.35">
      <c r="A183" t="s">
        <v>242</v>
      </c>
      <c r="B183">
        <v>3050535</v>
      </c>
      <c r="C183">
        <v>41651</v>
      </c>
      <c r="D183" t="s">
        <v>552</v>
      </c>
      <c r="E183">
        <v>322531401</v>
      </c>
      <c r="F183" t="s">
        <v>692</v>
      </c>
      <c r="G183" s="60">
        <v>46054</v>
      </c>
      <c r="H183">
        <v>40881365</v>
      </c>
      <c r="I183" t="s">
        <v>1235</v>
      </c>
      <c r="J183" t="s">
        <v>260</v>
      </c>
      <c r="K183" t="s">
        <v>65</v>
      </c>
      <c r="L183">
        <v>0</v>
      </c>
      <c r="M183">
        <v>0</v>
      </c>
      <c r="N183" t="s">
        <v>255</v>
      </c>
      <c r="O183" t="s">
        <v>255</v>
      </c>
      <c r="P183" t="s">
        <v>548</v>
      </c>
      <c r="Q183">
        <v>7000116</v>
      </c>
      <c r="R183">
        <v>12650000</v>
      </c>
      <c r="S183" s="50">
        <v>46035</v>
      </c>
      <c r="T183" s="50">
        <v>46081</v>
      </c>
      <c r="U183" t="s">
        <v>79</v>
      </c>
      <c r="V183" t="s">
        <v>249</v>
      </c>
      <c r="W183" t="s">
        <v>92</v>
      </c>
      <c r="X183" t="s">
        <v>86</v>
      </c>
      <c r="Y183" t="s">
        <v>291</v>
      </c>
      <c r="Z183">
        <v>10573696</v>
      </c>
      <c r="AA183" s="50">
        <v>46081</v>
      </c>
      <c r="AB183" s="87" t="s">
        <v>93</v>
      </c>
      <c r="AC183" s="86">
        <v>299947.63</v>
      </c>
      <c r="AD183" t="s">
        <v>70</v>
      </c>
      <c r="AE183" s="85">
        <v>207.52</v>
      </c>
      <c r="AF183" s="85">
        <v>207.52</v>
      </c>
      <c r="AG183" s="85"/>
      <c r="AH183" s="85"/>
      <c r="AI183" s="85"/>
      <c r="AJ183" s="85"/>
      <c r="AK183" s="85"/>
      <c r="AL183" s="85"/>
      <c r="AM183" s="85"/>
      <c r="AN183" s="85"/>
      <c r="AO183" s="85"/>
      <c r="AP183" s="85"/>
      <c r="AQ183" s="85"/>
      <c r="AR183" s="85"/>
      <c r="AS183" s="85"/>
      <c r="AT183" s="85"/>
      <c r="AU183" s="85"/>
      <c r="AV183" s="85"/>
      <c r="AW183" s="85"/>
      <c r="AX183" s="85"/>
      <c r="AY183" s="85"/>
      <c r="AZ183" s="85"/>
      <c r="BA183" s="85"/>
      <c r="BB183" s="85"/>
      <c r="BC183" s="85"/>
      <c r="BD183" s="85"/>
      <c r="BE183" s="85">
        <v>0</v>
      </c>
      <c r="BF183" s="85">
        <v>0</v>
      </c>
      <c r="BG183" s="85">
        <v>0</v>
      </c>
      <c r="BH183" s="85">
        <v>299947.63</v>
      </c>
      <c r="BI183" s="85">
        <v>207.52</v>
      </c>
      <c r="BJ183" s="85">
        <v>207.52</v>
      </c>
      <c r="BO183">
        <v>39.549999999999997</v>
      </c>
      <c r="BP183" s="86">
        <v>118636.79</v>
      </c>
      <c r="BQ183">
        <v>82.08</v>
      </c>
      <c r="BR183">
        <v>82.08</v>
      </c>
      <c r="BS183" s="85">
        <v>181310.84</v>
      </c>
      <c r="BT183" s="85">
        <v>125.44</v>
      </c>
      <c r="BU183" s="85">
        <v>125.44</v>
      </c>
      <c r="BX183" t="s">
        <v>731</v>
      </c>
      <c r="BZ183">
        <v>63304606</v>
      </c>
      <c r="CA183">
        <v>63304606</v>
      </c>
      <c r="CB183" t="s">
        <v>72</v>
      </c>
      <c r="CC183" t="s">
        <v>250</v>
      </c>
      <c r="CE183" t="s">
        <v>530</v>
      </c>
    </row>
    <row r="184" spans="1:83" x14ac:dyDescent="0.35">
      <c r="A184" t="s">
        <v>242</v>
      </c>
      <c r="B184">
        <v>3050535</v>
      </c>
      <c r="C184">
        <v>41651</v>
      </c>
      <c r="D184" t="s">
        <v>1327</v>
      </c>
      <c r="E184">
        <v>323787201</v>
      </c>
      <c r="F184" t="s">
        <v>1174</v>
      </c>
      <c r="G184" s="60">
        <v>46054</v>
      </c>
      <c r="H184">
        <v>40911892</v>
      </c>
      <c r="I184" t="s">
        <v>1328</v>
      </c>
      <c r="J184" t="s">
        <v>260</v>
      </c>
      <c r="K184" t="s">
        <v>65</v>
      </c>
      <c r="L184">
        <v>0</v>
      </c>
      <c r="M184">
        <v>0</v>
      </c>
      <c r="N184" t="s">
        <v>720</v>
      </c>
      <c r="O184" t="s">
        <v>720</v>
      </c>
      <c r="P184" t="s">
        <v>716</v>
      </c>
      <c r="Q184">
        <v>209164024</v>
      </c>
      <c r="R184">
        <v>50000</v>
      </c>
      <c r="S184" s="50">
        <v>46049</v>
      </c>
      <c r="T184" s="50">
        <v>46203</v>
      </c>
      <c r="U184" t="s">
        <v>79</v>
      </c>
      <c r="V184" t="s">
        <v>249</v>
      </c>
      <c r="W184" t="s">
        <v>719</v>
      </c>
      <c r="X184" t="s">
        <v>86</v>
      </c>
      <c r="Y184" t="s">
        <v>291</v>
      </c>
      <c r="Z184">
        <v>10572898</v>
      </c>
      <c r="AA184" s="50">
        <v>46081</v>
      </c>
      <c r="AB184" s="87" t="s">
        <v>70</v>
      </c>
      <c r="AC184" s="86">
        <v>8.35</v>
      </c>
      <c r="AD184" t="s">
        <v>70</v>
      </c>
      <c r="AE184" s="85">
        <v>8.35</v>
      </c>
      <c r="AF184" s="85">
        <v>8.35</v>
      </c>
      <c r="AG184" s="85"/>
      <c r="AH184" s="85"/>
      <c r="AI184" s="85"/>
      <c r="AJ184" s="85"/>
      <c r="AK184" s="85"/>
      <c r="AL184" s="85"/>
      <c r="AM184" s="85"/>
      <c r="AN184" s="85"/>
      <c r="AO184" s="85"/>
      <c r="AP184" s="85"/>
      <c r="AQ184" s="85"/>
      <c r="AR184" s="85"/>
      <c r="AS184" s="85"/>
      <c r="AT184" s="85"/>
      <c r="AU184" s="85"/>
      <c r="AV184" s="85"/>
      <c r="AW184" s="85"/>
      <c r="AX184" s="85"/>
      <c r="AY184" s="85"/>
      <c r="AZ184" s="85"/>
      <c r="BA184" s="85"/>
      <c r="BB184" s="85"/>
      <c r="BC184" s="85"/>
      <c r="BD184" s="85"/>
      <c r="BE184" s="85">
        <v>0</v>
      </c>
      <c r="BF184" s="85">
        <v>0</v>
      </c>
      <c r="BG184" s="85">
        <v>0</v>
      </c>
      <c r="BH184" s="85">
        <v>8.35</v>
      </c>
      <c r="BI184" s="85">
        <v>8.35</v>
      </c>
      <c r="BJ184" s="85">
        <v>8.35</v>
      </c>
      <c r="BO184">
        <v>15</v>
      </c>
      <c r="BP184" s="86">
        <v>1.25</v>
      </c>
      <c r="BQ184">
        <v>1.25</v>
      </c>
      <c r="BR184">
        <v>1.25</v>
      </c>
      <c r="BS184" s="85">
        <v>7.1</v>
      </c>
      <c r="BT184" s="85">
        <v>7.1</v>
      </c>
      <c r="BU184" s="85">
        <v>7.1</v>
      </c>
      <c r="BX184" t="s">
        <v>1329</v>
      </c>
      <c r="BZ184">
        <v>140088451</v>
      </c>
      <c r="CA184">
        <v>140088451</v>
      </c>
      <c r="CB184" t="s">
        <v>72</v>
      </c>
      <c r="CC184" t="s">
        <v>250</v>
      </c>
      <c r="CE184" t="s">
        <v>530</v>
      </c>
    </row>
    <row r="185" spans="1:83" x14ac:dyDescent="0.35">
      <c r="A185" t="s">
        <v>242</v>
      </c>
      <c r="B185">
        <v>3050535</v>
      </c>
      <c r="C185">
        <v>41651</v>
      </c>
      <c r="D185" t="s">
        <v>1259</v>
      </c>
      <c r="E185">
        <v>318698801</v>
      </c>
      <c r="F185" t="s">
        <v>618</v>
      </c>
      <c r="G185" s="60">
        <v>46054</v>
      </c>
      <c r="H185">
        <v>40497187</v>
      </c>
      <c r="I185" t="s">
        <v>625</v>
      </c>
      <c r="J185" t="s">
        <v>260</v>
      </c>
      <c r="K185" t="s">
        <v>65</v>
      </c>
      <c r="L185">
        <v>0</v>
      </c>
      <c r="M185">
        <v>0</v>
      </c>
      <c r="N185" t="s">
        <v>515</v>
      </c>
      <c r="O185" t="s">
        <v>515</v>
      </c>
      <c r="P185" t="s">
        <v>619</v>
      </c>
      <c r="Q185">
        <v>207572191</v>
      </c>
      <c r="R185">
        <v>12688415</v>
      </c>
      <c r="S185" s="50">
        <v>45971</v>
      </c>
      <c r="T185" s="50">
        <v>46142</v>
      </c>
      <c r="U185" t="s">
        <v>79</v>
      </c>
      <c r="V185" t="s">
        <v>249</v>
      </c>
      <c r="W185" t="s">
        <v>92</v>
      </c>
      <c r="X185" t="s">
        <v>86</v>
      </c>
      <c r="Y185" t="s">
        <v>291</v>
      </c>
      <c r="Z185">
        <v>10573662</v>
      </c>
      <c r="AA185" s="50">
        <v>46081</v>
      </c>
      <c r="AB185" s="87" t="s">
        <v>93</v>
      </c>
      <c r="AC185" s="86">
        <v>148193.1</v>
      </c>
      <c r="AD185" t="s">
        <v>70</v>
      </c>
      <c r="AE185" s="85">
        <v>102.53</v>
      </c>
      <c r="AF185" s="85">
        <v>102.53</v>
      </c>
      <c r="AG185" s="85"/>
      <c r="AH185" s="85"/>
      <c r="AI185" s="85"/>
      <c r="AJ185" s="85"/>
      <c r="AK185" s="85"/>
      <c r="AL185" s="85"/>
      <c r="AM185" s="85"/>
      <c r="AN185" s="85"/>
      <c r="AO185" s="85"/>
      <c r="AP185" s="85"/>
      <c r="AQ185" s="85"/>
      <c r="AR185" s="85"/>
      <c r="AS185" s="85"/>
      <c r="AT185" s="85"/>
      <c r="AU185" s="85"/>
      <c r="AV185" s="85"/>
      <c r="AW185" s="85"/>
      <c r="AX185" s="85"/>
      <c r="AY185" s="85"/>
      <c r="AZ185" s="85"/>
      <c r="BA185" s="85"/>
      <c r="BB185" s="85"/>
      <c r="BC185" s="85"/>
      <c r="BD185" s="85"/>
      <c r="BE185" s="85">
        <v>0</v>
      </c>
      <c r="BF185" s="85">
        <v>0</v>
      </c>
      <c r="BG185" s="85">
        <v>0</v>
      </c>
      <c r="BH185" s="85">
        <v>148193.1</v>
      </c>
      <c r="BI185" s="85">
        <v>102.53</v>
      </c>
      <c r="BJ185" s="85">
        <v>102.53</v>
      </c>
      <c r="BO185">
        <v>39.549999999999997</v>
      </c>
      <c r="BP185" s="86">
        <v>58614.080000000002</v>
      </c>
      <c r="BQ185">
        <v>40.549999999999997</v>
      </c>
      <c r="BR185">
        <v>40.549999999999997</v>
      </c>
      <c r="BS185" s="85">
        <v>89579.02</v>
      </c>
      <c r="BT185" s="85">
        <v>61.98</v>
      </c>
      <c r="BU185" s="85">
        <v>61.98</v>
      </c>
      <c r="BX185" t="s">
        <v>624</v>
      </c>
      <c r="BZ185">
        <v>136433571</v>
      </c>
      <c r="CA185">
        <v>136433571</v>
      </c>
      <c r="CB185" t="s">
        <v>72</v>
      </c>
      <c r="CC185" t="s">
        <v>250</v>
      </c>
      <c r="CE185" t="s">
        <v>530</v>
      </c>
    </row>
    <row r="186" spans="1:83" x14ac:dyDescent="0.35">
      <c r="A186" t="s">
        <v>242</v>
      </c>
      <c r="B186">
        <v>3050535</v>
      </c>
      <c r="C186">
        <v>41651</v>
      </c>
      <c r="D186" t="s">
        <v>262</v>
      </c>
      <c r="E186">
        <v>318406201</v>
      </c>
      <c r="F186" t="s">
        <v>617</v>
      </c>
      <c r="G186" s="60">
        <v>46054</v>
      </c>
      <c r="H186">
        <v>40459480</v>
      </c>
      <c r="I186" t="s">
        <v>626</v>
      </c>
      <c r="J186" t="s">
        <v>260</v>
      </c>
      <c r="K186" t="s">
        <v>65</v>
      </c>
      <c r="L186">
        <v>0</v>
      </c>
      <c r="M186">
        <v>0</v>
      </c>
      <c r="N186" t="s">
        <v>561</v>
      </c>
      <c r="O186" t="s">
        <v>561</v>
      </c>
      <c r="P186" t="s">
        <v>257</v>
      </c>
      <c r="Q186">
        <v>57936819</v>
      </c>
      <c r="R186">
        <v>6599999.4699999997</v>
      </c>
      <c r="S186" s="50">
        <v>45966</v>
      </c>
      <c r="T186" s="50">
        <v>46081</v>
      </c>
      <c r="U186" t="s">
        <v>69</v>
      </c>
      <c r="V186" t="s">
        <v>249</v>
      </c>
      <c r="W186" t="s">
        <v>92</v>
      </c>
      <c r="X186" t="s">
        <v>86</v>
      </c>
      <c r="Y186" t="s">
        <v>291</v>
      </c>
      <c r="Z186">
        <v>10573725</v>
      </c>
      <c r="AA186" s="50">
        <v>46081</v>
      </c>
      <c r="AB186" s="87" t="s">
        <v>93</v>
      </c>
      <c r="AC186" s="86">
        <v>602634.81999999995</v>
      </c>
      <c r="AD186" t="s">
        <v>70</v>
      </c>
      <c r="AE186" s="85">
        <v>416.93</v>
      </c>
      <c r="AF186" s="85">
        <v>416.93</v>
      </c>
      <c r="AG186" s="85"/>
      <c r="AH186" s="85"/>
      <c r="AI186" s="85"/>
      <c r="AJ186" s="85"/>
      <c r="AK186" s="85"/>
      <c r="AL186" s="85"/>
      <c r="AM186" s="85"/>
      <c r="AN186" s="85"/>
      <c r="AO186" s="85"/>
      <c r="AP186" s="85"/>
      <c r="AQ186" s="85"/>
      <c r="AR186" s="85"/>
      <c r="AS186" s="85"/>
      <c r="AT186" s="85"/>
      <c r="AU186" s="85"/>
      <c r="AV186" s="85"/>
      <c r="AW186" s="85"/>
      <c r="AX186" s="85"/>
      <c r="AY186" s="85"/>
      <c r="AZ186" s="85"/>
      <c r="BA186" s="85"/>
      <c r="BB186" s="85"/>
      <c r="BC186" s="85"/>
      <c r="BD186" s="85"/>
      <c r="BE186" s="85">
        <v>0</v>
      </c>
      <c r="BF186" s="85">
        <v>0</v>
      </c>
      <c r="BG186" s="85">
        <v>0</v>
      </c>
      <c r="BH186" s="85">
        <v>602634.81999999995</v>
      </c>
      <c r="BI186" s="85">
        <v>416.93</v>
      </c>
      <c r="BJ186" s="85">
        <v>416.93</v>
      </c>
      <c r="BO186">
        <v>39.549999999999997</v>
      </c>
      <c r="BP186" s="86">
        <v>238357.14</v>
      </c>
      <c r="BQ186">
        <v>164.91</v>
      </c>
      <c r="BR186">
        <v>164.91</v>
      </c>
      <c r="BS186" s="85">
        <v>364277.68</v>
      </c>
      <c r="BT186" s="85">
        <v>252.02</v>
      </c>
      <c r="BU186" s="85">
        <v>252.02</v>
      </c>
      <c r="BX186" t="s">
        <v>627</v>
      </c>
      <c r="BZ186">
        <v>224573</v>
      </c>
      <c r="CA186">
        <v>224573</v>
      </c>
      <c r="CB186" t="s">
        <v>73</v>
      </c>
      <c r="CC186" t="s">
        <v>250</v>
      </c>
      <c r="CE186" t="s">
        <v>530</v>
      </c>
    </row>
    <row r="187" spans="1:83" x14ac:dyDescent="0.35">
      <c r="A187" t="s">
        <v>242</v>
      </c>
      <c r="B187">
        <v>3050535</v>
      </c>
      <c r="C187">
        <v>41651</v>
      </c>
      <c r="D187" t="s">
        <v>551</v>
      </c>
      <c r="E187">
        <v>321854805</v>
      </c>
      <c r="F187" t="s">
        <v>932</v>
      </c>
      <c r="G187" s="60">
        <v>46054</v>
      </c>
      <c r="H187">
        <v>40983659</v>
      </c>
      <c r="I187" t="s">
        <v>1330</v>
      </c>
      <c r="J187" t="s">
        <v>260</v>
      </c>
      <c r="K187" t="s">
        <v>65</v>
      </c>
      <c r="L187">
        <v>0</v>
      </c>
      <c r="M187">
        <v>0</v>
      </c>
      <c r="N187" t="s">
        <v>259</v>
      </c>
      <c r="O187" t="s">
        <v>259</v>
      </c>
      <c r="P187" t="s">
        <v>98</v>
      </c>
      <c r="Q187">
        <v>80883</v>
      </c>
      <c r="R187">
        <v>3955000</v>
      </c>
      <c r="S187" s="50">
        <v>46080</v>
      </c>
      <c r="T187" s="50">
        <v>46112</v>
      </c>
      <c r="U187" t="s">
        <v>79</v>
      </c>
      <c r="V187" t="s">
        <v>249</v>
      </c>
      <c r="W187" t="s">
        <v>92</v>
      </c>
      <c r="X187" t="s">
        <v>86</v>
      </c>
      <c r="Y187" t="s">
        <v>291</v>
      </c>
      <c r="Z187">
        <v>10573667</v>
      </c>
      <c r="AA187" s="50">
        <v>46081</v>
      </c>
      <c r="AB187" s="87" t="s">
        <v>93</v>
      </c>
      <c r="AC187" s="86">
        <v>241926.19</v>
      </c>
      <c r="AD187" t="s">
        <v>70</v>
      </c>
      <c r="AE187" s="85">
        <v>167.38</v>
      </c>
      <c r="AF187" s="85">
        <v>167.38</v>
      </c>
      <c r="AG187" s="85"/>
      <c r="AH187" s="85"/>
      <c r="AI187" s="85"/>
      <c r="AJ187" s="85"/>
      <c r="AK187" s="85"/>
      <c r="AL187" s="85"/>
      <c r="AM187" s="85"/>
      <c r="AN187" s="85"/>
      <c r="AO187" s="85"/>
      <c r="AP187" s="85"/>
      <c r="AQ187" s="85"/>
      <c r="AR187" s="85"/>
      <c r="AS187" s="85"/>
      <c r="AT187" s="85"/>
      <c r="AU187" s="85"/>
      <c r="AV187" s="85"/>
      <c r="AW187" s="85"/>
      <c r="AX187" s="85"/>
      <c r="AY187" s="85"/>
      <c r="AZ187" s="85"/>
      <c r="BA187" s="85"/>
      <c r="BB187" s="85"/>
      <c r="BC187" s="85"/>
      <c r="BD187" s="85"/>
      <c r="BE187" s="85">
        <v>0</v>
      </c>
      <c r="BF187" s="85">
        <v>0</v>
      </c>
      <c r="BG187" s="85">
        <v>0</v>
      </c>
      <c r="BH187" s="85">
        <v>241926.19</v>
      </c>
      <c r="BI187" s="85">
        <v>167.38</v>
      </c>
      <c r="BJ187" s="85">
        <v>167.38</v>
      </c>
      <c r="BO187">
        <v>22</v>
      </c>
      <c r="BP187" s="86">
        <v>53223.76</v>
      </c>
      <c r="BQ187">
        <v>36.82</v>
      </c>
      <c r="BR187">
        <v>36.82</v>
      </c>
      <c r="BS187" s="85">
        <v>188702.43</v>
      </c>
      <c r="BT187" s="85">
        <v>130.56</v>
      </c>
      <c r="BU187" s="85">
        <v>130.56</v>
      </c>
      <c r="BX187" t="s">
        <v>1331</v>
      </c>
      <c r="BZ187">
        <v>66013147</v>
      </c>
      <c r="CA187">
        <v>66013147</v>
      </c>
      <c r="CB187" t="s">
        <v>73</v>
      </c>
      <c r="CC187" t="s">
        <v>250</v>
      </c>
      <c r="CE187" t="s">
        <v>530</v>
      </c>
    </row>
    <row r="188" spans="1:83" x14ac:dyDescent="0.35">
      <c r="A188" t="s">
        <v>242</v>
      </c>
      <c r="B188">
        <v>3050535</v>
      </c>
      <c r="C188">
        <v>41651</v>
      </c>
      <c r="D188" t="s">
        <v>262</v>
      </c>
      <c r="E188">
        <v>322158401</v>
      </c>
      <c r="F188" t="s">
        <v>676</v>
      </c>
      <c r="G188" s="60">
        <v>46054</v>
      </c>
      <c r="H188">
        <v>40887248</v>
      </c>
      <c r="I188" t="s">
        <v>1241</v>
      </c>
      <c r="J188" t="s">
        <v>260</v>
      </c>
      <c r="K188" t="s">
        <v>65</v>
      </c>
      <c r="L188">
        <v>0</v>
      </c>
      <c r="M188">
        <v>0</v>
      </c>
      <c r="N188" t="s">
        <v>561</v>
      </c>
      <c r="O188" t="s">
        <v>561</v>
      </c>
      <c r="P188" t="s">
        <v>257</v>
      </c>
      <c r="Q188">
        <v>57936819</v>
      </c>
      <c r="R188">
        <v>9869791.9600000009</v>
      </c>
      <c r="S188" s="50">
        <v>46024</v>
      </c>
      <c r="T188" s="50">
        <v>46112</v>
      </c>
      <c r="U188" t="s">
        <v>69</v>
      </c>
      <c r="V188" t="s">
        <v>249</v>
      </c>
      <c r="W188" t="s">
        <v>92</v>
      </c>
      <c r="X188" t="s">
        <v>86</v>
      </c>
      <c r="Y188" t="s">
        <v>291</v>
      </c>
      <c r="Z188">
        <v>10573703</v>
      </c>
      <c r="AA188" s="50">
        <v>46081</v>
      </c>
      <c r="AB188" s="87" t="s">
        <v>93</v>
      </c>
      <c r="AC188" s="86">
        <v>172105.01</v>
      </c>
      <c r="AD188" t="s">
        <v>70</v>
      </c>
      <c r="AE188" s="85">
        <v>119.07</v>
      </c>
      <c r="AF188" s="85">
        <v>119.07</v>
      </c>
      <c r="AG188" s="85"/>
      <c r="AH188" s="85"/>
      <c r="AI188" s="85"/>
      <c r="AJ188" s="85"/>
      <c r="AK188" s="85"/>
      <c r="AL188" s="85"/>
      <c r="AM188" s="85"/>
      <c r="AN188" s="85"/>
      <c r="AO188" s="85"/>
      <c r="AP188" s="85"/>
      <c r="AQ188" s="85"/>
      <c r="AR188" s="85"/>
      <c r="AS188" s="85"/>
      <c r="AT188" s="85"/>
      <c r="AU188" s="85"/>
      <c r="AV188" s="85"/>
      <c r="AW188" s="85"/>
      <c r="AX188" s="85"/>
      <c r="AY188" s="85"/>
      <c r="AZ188" s="85"/>
      <c r="BA188" s="85"/>
      <c r="BB188" s="85"/>
      <c r="BC188" s="85"/>
      <c r="BD188" s="85"/>
      <c r="BE188" s="85">
        <v>0</v>
      </c>
      <c r="BF188" s="85">
        <v>0</v>
      </c>
      <c r="BG188" s="85">
        <v>0</v>
      </c>
      <c r="BH188" s="85">
        <v>172105.01</v>
      </c>
      <c r="BI188" s="85">
        <v>119.07</v>
      </c>
      <c r="BJ188" s="85">
        <v>119.07</v>
      </c>
      <c r="BO188">
        <v>39.549999999999997</v>
      </c>
      <c r="BP188" s="86">
        <v>68071.83</v>
      </c>
      <c r="BQ188">
        <v>47.1</v>
      </c>
      <c r="BR188">
        <v>47.1</v>
      </c>
      <c r="BS188" s="85">
        <v>104033.18</v>
      </c>
      <c r="BT188" s="85">
        <v>71.97</v>
      </c>
      <c r="BU188" s="85">
        <v>71.97</v>
      </c>
      <c r="BX188" t="s">
        <v>723</v>
      </c>
      <c r="BZ188">
        <v>224573</v>
      </c>
      <c r="CA188">
        <v>224573</v>
      </c>
      <c r="CB188" t="s">
        <v>251</v>
      </c>
      <c r="CC188" t="s">
        <v>250</v>
      </c>
      <c r="CE188" t="s">
        <v>530</v>
      </c>
    </row>
    <row r="189" spans="1:83" x14ac:dyDescent="0.35">
      <c r="A189" t="s">
        <v>242</v>
      </c>
      <c r="B189">
        <v>3050535</v>
      </c>
      <c r="C189">
        <v>41651</v>
      </c>
      <c r="D189" t="s">
        <v>503</v>
      </c>
      <c r="E189">
        <v>298538101</v>
      </c>
      <c r="F189" t="s">
        <v>540</v>
      </c>
      <c r="G189" s="60">
        <v>46054</v>
      </c>
      <c r="H189">
        <v>38679434</v>
      </c>
      <c r="I189" t="s">
        <v>574</v>
      </c>
      <c r="J189" t="s">
        <v>260</v>
      </c>
      <c r="K189" t="s">
        <v>65</v>
      </c>
      <c r="L189">
        <v>0</v>
      </c>
      <c r="M189">
        <v>0</v>
      </c>
      <c r="P189" t="s">
        <v>494</v>
      </c>
      <c r="Q189">
        <v>186932207</v>
      </c>
      <c r="R189">
        <v>69550831</v>
      </c>
      <c r="S189" s="50">
        <v>45644</v>
      </c>
      <c r="T189" s="50">
        <v>46081</v>
      </c>
      <c r="U189" t="s">
        <v>79</v>
      </c>
      <c r="V189" t="s">
        <v>249</v>
      </c>
      <c r="W189" t="s">
        <v>92</v>
      </c>
      <c r="X189" t="s">
        <v>86</v>
      </c>
      <c r="Y189" t="s">
        <v>291</v>
      </c>
      <c r="Z189">
        <v>10573629</v>
      </c>
      <c r="AA189" s="50">
        <v>46081</v>
      </c>
      <c r="AB189" s="87" t="s">
        <v>93</v>
      </c>
      <c r="AC189" s="86">
        <v>455509.34</v>
      </c>
      <c r="AD189" t="s">
        <v>70</v>
      </c>
      <c r="AE189" s="85">
        <v>315.14</v>
      </c>
      <c r="AF189" s="85">
        <v>315.14</v>
      </c>
      <c r="AG189" s="85"/>
      <c r="AH189" s="85"/>
      <c r="AI189" s="85"/>
      <c r="AJ189" s="85"/>
      <c r="AK189" s="85"/>
      <c r="AL189" s="85"/>
      <c r="AM189" s="85"/>
      <c r="AN189" s="85"/>
      <c r="AO189" s="85"/>
      <c r="AP189" s="85"/>
      <c r="AQ189" s="85"/>
      <c r="AR189" s="85"/>
      <c r="AS189" s="85"/>
      <c r="AT189" s="85"/>
      <c r="AU189" s="85"/>
      <c r="AV189" s="85"/>
      <c r="AW189" s="85"/>
      <c r="AX189" s="85"/>
      <c r="AY189" s="85"/>
      <c r="AZ189" s="85"/>
      <c r="BA189" s="85"/>
      <c r="BB189" s="85"/>
      <c r="BC189" s="85"/>
      <c r="BD189" s="85"/>
      <c r="BE189" s="85">
        <v>0</v>
      </c>
      <c r="BF189" s="85">
        <v>0</v>
      </c>
      <c r="BG189" s="85">
        <v>0</v>
      </c>
      <c r="BH189" s="85">
        <v>455509.34</v>
      </c>
      <c r="BI189" s="85">
        <v>315.14</v>
      </c>
      <c r="BJ189" s="85">
        <v>315.14</v>
      </c>
      <c r="BO189">
        <v>39.549999999999997</v>
      </c>
      <c r="BP189" s="86">
        <v>180165.33</v>
      </c>
      <c r="BQ189">
        <v>124.65</v>
      </c>
      <c r="BR189">
        <v>124.65</v>
      </c>
      <c r="BS189" s="85">
        <v>275344.01</v>
      </c>
      <c r="BT189" s="85">
        <v>190.49</v>
      </c>
      <c r="BU189" s="85">
        <v>190.49</v>
      </c>
      <c r="BX189" t="s">
        <v>541</v>
      </c>
      <c r="CB189" t="s">
        <v>73</v>
      </c>
      <c r="CC189" t="s">
        <v>250</v>
      </c>
      <c r="CE189" t="s">
        <v>530</v>
      </c>
    </row>
    <row r="190" spans="1:83" x14ac:dyDescent="0.35">
      <c r="A190" t="s">
        <v>242</v>
      </c>
      <c r="B190">
        <v>3050535</v>
      </c>
      <c r="C190">
        <v>41651</v>
      </c>
      <c r="D190" t="s">
        <v>503</v>
      </c>
      <c r="E190">
        <v>298538101</v>
      </c>
      <c r="F190" t="s">
        <v>540</v>
      </c>
      <c r="G190" s="60">
        <v>46054</v>
      </c>
      <c r="H190">
        <v>37966605</v>
      </c>
      <c r="I190" t="s">
        <v>615</v>
      </c>
      <c r="J190" t="s">
        <v>260</v>
      </c>
      <c r="K190" t="s">
        <v>65</v>
      </c>
      <c r="L190">
        <v>0</v>
      </c>
      <c r="M190">
        <v>0</v>
      </c>
      <c r="P190" t="s">
        <v>494</v>
      </c>
      <c r="Q190">
        <v>186932207</v>
      </c>
      <c r="R190">
        <v>69550831</v>
      </c>
      <c r="S190" s="50">
        <v>45644</v>
      </c>
      <c r="T190" s="50">
        <v>46081</v>
      </c>
      <c r="U190" t="s">
        <v>79</v>
      </c>
      <c r="V190" t="s">
        <v>249</v>
      </c>
      <c r="W190" t="s">
        <v>92</v>
      </c>
      <c r="X190" t="s">
        <v>86</v>
      </c>
      <c r="Y190" t="s">
        <v>291</v>
      </c>
      <c r="Z190">
        <v>10573629</v>
      </c>
      <c r="AA190" s="50">
        <v>46081</v>
      </c>
      <c r="AB190" s="87" t="s">
        <v>93</v>
      </c>
      <c r="AC190" s="86">
        <v>486407.62</v>
      </c>
      <c r="AD190" t="s">
        <v>70</v>
      </c>
      <c r="AE190" s="85">
        <v>336.52</v>
      </c>
      <c r="AF190" s="85">
        <v>336.52</v>
      </c>
      <c r="AG190" s="85"/>
      <c r="AH190" s="85"/>
      <c r="AI190" s="85"/>
      <c r="AJ190" s="85"/>
      <c r="AK190" s="85"/>
      <c r="AL190" s="85"/>
      <c r="AM190" s="85"/>
      <c r="AN190" s="85"/>
      <c r="AO190" s="85"/>
      <c r="AP190" s="85"/>
      <c r="AQ190" s="85"/>
      <c r="AR190" s="85"/>
      <c r="AS190" s="85"/>
      <c r="AT190" s="85"/>
      <c r="AU190" s="85"/>
      <c r="AV190" s="85"/>
      <c r="AW190" s="85"/>
      <c r="AX190" s="85"/>
      <c r="AY190" s="85"/>
      <c r="AZ190" s="85"/>
      <c r="BA190" s="85"/>
      <c r="BB190" s="85"/>
      <c r="BC190" s="85"/>
      <c r="BD190" s="85"/>
      <c r="BE190" s="85">
        <v>0</v>
      </c>
      <c r="BF190" s="85">
        <v>0</v>
      </c>
      <c r="BG190" s="85">
        <v>0</v>
      </c>
      <c r="BH190" s="85">
        <v>486407.62</v>
      </c>
      <c r="BI190" s="85">
        <v>336.52</v>
      </c>
      <c r="BJ190" s="85">
        <v>336.52</v>
      </c>
      <c r="BO190">
        <v>39.549999999999997</v>
      </c>
      <c r="BP190" s="86">
        <v>192386.37</v>
      </c>
      <c r="BQ190">
        <v>133.1</v>
      </c>
      <c r="BR190">
        <v>133.1</v>
      </c>
      <c r="BS190" s="85">
        <v>294021.25</v>
      </c>
      <c r="BT190" s="85">
        <v>203.42</v>
      </c>
      <c r="BU190" s="85">
        <v>203.42</v>
      </c>
      <c r="BX190" t="s">
        <v>541</v>
      </c>
      <c r="CB190" t="s">
        <v>73</v>
      </c>
      <c r="CC190" t="s">
        <v>250</v>
      </c>
      <c r="CE190" t="s">
        <v>530</v>
      </c>
    </row>
    <row r="191" spans="1:83" x14ac:dyDescent="0.35">
      <c r="A191" t="s">
        <v>242</v>
      </c>
      <c r="B191">
        <v>3050535</v>
      </c>
      <c r="C191">
        <v>41651</v>
      </c>
      <c r="D191" t="s">
        <v>262</v>
      </c>
      <c r="E191">
        <v>323164701</v>
      </c>
      <c r="F191" t="s">
        <v>703</v>
      </c>
      <c r="G191" s="60">
        <v>46054</v>
      </c>
      <c r="H191">
        <v>40822591</v>
      </c>
      <c r="I191" t="s">
        <v>764</v>
      </c>
      <c r="J191" t="s">
        <v>260</v>
      </c>
      <c r="K191" t="s">
        <v>65</v>
      </c>
      <c r="L191">
        <v>0</v>
      </c>
      <c r="M191">
        <v>0</v>
      </c>
      <c r="N191" t="s">
        <v>561</v>
      </c>
      <c r="O191" t="s">
        <v>561</v>
      </c>
      <c r="P191" t="s">
        <v>257</v>
      </c>
      <c r="Q191">
        <v>57936819</v>
      </c>
      <c r="R191">
        <v>8949933.4199999999</v>
      </c>
      <c r="S191" s="50">
        <v>46042</v>
      </c>
      <c r="T191" s="50">
        <v>46081</v>
      </c>
      <c r="U191" t="s">
        <v>69</v>
      </c>
      <c r="V191" t="s">
        <v>249</v>
      </c>
      <c r="W191" t="s">
        <v>92</v>
      </c>
      <c r="X191" t="s">
        <v>86</v>
      </c>
      <c r="Y191" t="s">
        <v>291</v>
      </c>
      <c r="Z191">
        <v>10573633</v>
      </c>
      <c r="AA191" s="50">
        <v>46081</v>
      </c>
      <c r="AB191" s="87" t="s">
        <v>93</v>
      </c>
      <c r="AC191" s="86">
        <v>128256.95</v>
      </c>
      <c r="AD191" t="s">
        <v>70</v>
      </c>
      <c r="AE191" s="85">
        <v>88.73</v>
      </c>
      <c r="AF191" s="85">
        <v>88.73</v>
      </c>
      <c r="AG191" s="85"/>
      <c r="AH191" s="85"/>
      <c r="AI191" s="85"/>
      <c r="AJ191" s="85"/>
      <c r="AK191" s="85"/>
      <c r="AL191" s="85"/>
      <c r="AM191" s="85"/>
      <c r="AN191" s="85"/>
      <c r="AO191" s="85"/>
      <c r="AP191" s="85"/>
      <c r="AQ191" s="85"/>
      <c r="AR191" s="85"/>
      <c r="AS191" s="85"/>
      <c r="AT191" s="85"/>
      <c r="AU191" s="85"/>
      <c r="AV191" s="85"/>
      <c r="AW191" s="85"/>
      <c r="AX191" s="85"/>
      <c r="AY191" s="85"/>
      <c r="AZ191" s="85"/>
      <c r="BA191" s="85"/>
      <c r="BB191" s="85"/>
      <c r="BC191" s="85"/>
      <c r="BD191" s="85"/>
      <c r="BE191" s="85">
        <v>0</v>
      </c>
      <c r="BF191" s="85">
        <v>0</v>
      </c>
      <c r="BG191" s="85">
        <v>0</v>
      </c>
      <c r="BH191" s="85">
        <v>128256.95</v>
      </c>
      <c r="BI191" s="85">
        <v>88.73</v>
      </c>
      <c r="BJ191" s="85">
        <v>88.73</v>
      </c>
      <c r="BO191">
        <v>39.549999999999997</v>
      </c>
      <c r="BP191" s="86">
        <v>50728.83</v>
      </c>
      <c r="BQ191">
        <v>35.1</v>
      </c>
      <c r="BR191">
        <v>35.1</v>
      </c>
      <c r="BS191" s="85">
        <v>77528.12</v>
      </c>
      <c r="BT191" s="85">
        <v>53.63</v>
      </c>
      <c r="BU191" s="85">
        <v>53.63</v>
      </c>
      <c r="BX191" t="s">
        <v>765</v>
      </c>
      <c r="BZ191">
        <v>224573</v>
      </c>
      <c r="CA191">
        <v>224573</v>
      </c>
      <c r="CB191" t="s">
        <v>73</v>
      </c>
      <c r="CC191" t="s">
        <v>250</v>
      </c>
      <c r="CE191" t="s">
        <v>530</v>
      </c>
    </row>
    <row r="192" spans="1:83" x14ac:dyDescent="0.35">
      <c r="A192" t="s">
        <v>242</v>
      </c>
      <c r="B192">
        <v>3050535</v>
      </c>
      <c r="C192">
        <v>41651</v>
      </c>
      <c r="D192" t="s">
        <v>262</v>
      </c>
      <c r="E192">
        <v>323164701</v>
      </c>
      <c r="F192" t="s">
        <v>703</v>
      </c>
      <c r="G192" s="60">
        <v>46054</v>
      </c>
      <c r="H192">
        <v>40822591</v>
      </c>
      <c r="I192" t="s">
        <v>1262</v>
      </c>
      <c r="J192" t="s">
        <v>260</v>
      </c>
      <c r="K192" t="s">
        <v>65</v>
      </c>
      <c r="L192">
        <v>0</v>
      </c>
      <c r="M192">
        <v>0</v>
      </c>
      <c r="N192" t="s">
        <v>561</v>
      </c>
      <c r="O192" t="s">
        <v>561</v>
      </c>
      <c r="P192" t="s">
        <v>257</v>
      </c>
      <c r="Q192">
        <v>57936819</v>
      </c>
      <c r="R192">
        <v>8949933.4199999999</v>
      </c>
      <c r="S192" s="50">
        <v>46042</v>
      </c>
      <c r="T192" s="50">
        <v>46081</v>
      </c>
      <c r="U192" t="s">
        <v>69</v>
      </c>
      <c r="V192" t="s">
        <v>249</v>
      </c>
      <c r="W192" t="s">
        <v>92</v>
      </c>
      <c r="X192" t="s">
        <v>86</v>
      </c>
      <c r="Y192" t="s">
        <v>291</v>
      </c>
      <c r="Z192">
        <v>10573633</v>
      </c>
      <c r="AA192" s="50">
        <v>46081</v>
      </c>
      <c r="AB192" s="87" t="s">
        <v>93</v>
      </c>
      <c r="AC192" s="86">
        <v>2528293.96</v>
      </c>
      <c r="AD192" t="s">
        <v>70</v>
      </c>
      <c r="AE192" s="85">
        <v>1749.2</v>
      </c>
      <c r="AF192" s="85">
        <v>1749.2</v>
      </c>
      <c r="AG192" s="85"/>
      <c r="AH192" s="85"/>
      <c r="AI192" s="85"/>
      <c r="AJ192" s="85"/>
      <c r="AK192" s="85"/>
      <c r="AL192" s="85"/>
      <c r="AM192" s="85"/>
      <c r="AN192" s="85"/>
      <c r="AO192" s="85"/>
      <c r="AP192" s="85"/>
      <c r="AQ192" s="85"/>
      <c r="AR192" s="85"/>
      <c r="AS192" s="85"/>
      <c r="AT192" s="85"/>
      <c r="AU192" s="85"/>
      <c r="AV192" s="85"/>
      <c r="AW192" s="85"/>
      <c r="AX192" s="85"/>
      <c r="AY192" s="85"/>
      <c r="AZ192" s="85"/>
      <c r="BA192" s="85"/>
      <c r="BB192" s="85"/>
      <c r="BC192" s="85"/>
      <c r="BD192" s="85"/>
      <c r="BE192" s="85">
        <v>0</v>
      </c>
      <c r="BF192" s="85">
        <v>0</v>
      </c>
      <c r="BG192" s="85">
        <v>0</v>
      </c>
      <c r="BH192" s="85">
        <v>2528293.96</v>
      </c>
      <c r="BI192" s="85">
        <v>1749.2</v>
      </c>
      <c r="BJ192" s="85">
        <v>1749.2</v>
      </c>
      <c r="BO192">
        <v>39.549999999999997</v>
      </c>
      <c r="BP192" s="86">
        <v>1000003.47</v>
      </c>
      <c r="BQ192">
        <v>691.85</v>
      </c>
      <c r="BR192">
        <v>691.85</v>
      </c>
      <c r="BS192" s="85">
        <v>1528290.49</v>
      </c>
      <c r="BT192" s="85">
        <v>1057.3499999999999</v>
      </c>
      <c r="BU192" s="85">
        <v>1057.3499999999999</v>
      </c>
      <c r="BX192" t="s">
        <v>765</v>
      </c>
      <c r="BZ192">
        <v>224573</v>
      </c>
      <c r="CA192">
        <v>224573</v>
      </c>
      <c r="CB192" t="s">
        <v>73</v>
      </c>
      <c r="CC192" t="s">
        <v>250</v>
      </c>
      <c r="CE192" t="s">
        <v>530</v>
      </c>
    </row>
    <row r="193" spans="1:83" x14ac:dyDescent="0.35">
      <c r="A193" t="s">
        <v>242</v>
      </c>
      <c r="B193">
        <v>3050535</v>
      </c>
      <c r="C193">
        <v>41651</v>
      </c>
      <c r="D193" t="s">
        <v>644</v>
      </c>
      <c r="E193">
        <v>323787901</v>
      </c>
      <c r="F193" t="s">
        <v>1026</v>
      </c>
      <c r="G193" s="60">
        <v>46054</v>
      </c>
      <c r="H193">
        <v>40881249</v>
      </c>
      <c r="I193" t="s">
        <v>1332</v>
      </c>
      <c r="J193" t="s">
        <v>260</v>
      </c>
      <c r="K193" t="s">
        <v>65</v>
      </c>
      <c r="L193">
        <v>0</v>
      </c>
      <c r="M193">
        <v>0</v>
      </c>
      <c r="N193" t="s">
        <v>243</v>
      </c>
      <c r="O193" t="s">
        <v>243</v>
      </c>
      <c r="P193" t="s">
        <v>284</v>
      </c>
      <c r="Q193">
        <v>2801591</v>
      </c>
      <c r="R193">
        <v>5000000</v>
      </c>
      <c r="S193" s="50">
        <v>46054</v>
      </c>
      <c r="T193" s="50">
        <v>46081</v>
      </c>
      <c r="U193" t="s">
        <v>79</v>
      </c>
      <c r="V193" t="s">
        <v>249</v>
      </c>
      <c r="W193" t="s">
        <v>92</v>
      </c>
      <c r="X193" t="s">
        <v>86</v>
      </c>
      <c r="Y193" t="s">
        <v>291</v>
      </c>
      <c r="Z193">
        <v>10573631</v>
      </c>
      <c r="AA193" s="50">
        <v>46081</v>
      </c>
      <c r="AB193" s="87" t="s">
        <v>93</v>
      </c>
      <c r="AC193" s="86">
        <v>3090147.74</v>
      </c>
      <c r="AD193" t="s">
        <v>70</v>
      </c>
      <c r="AE193" s="85">
        <v>2137.92</v>
      </c>
      <c r="AF193" s="85">
        <v>2137.92</v>
      </c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>
        <v>0</v>
      </c>
      <c r="BF193" s="85">
        <v>0</v>
      </c>
      <c r="BG193" s="85">
        <v>0</v>
      </c>
      <c r="BH193" s="85">
        <v>3090147.74</v>
      </c>
      <c r="BI193" s="85">
        <v>2137.92</v>
      </c>
      <c r="BJ193" s="85">
        <v>2137.92</v>
      </c>
      <c r="BO193">
        <v>39.549999999999997</v>
      </c>
      <c r="BP193" s="86">
        <v>1222230.68</v>
      </c>
      <c r="BQ193">
        <v>845.6</v>
      </c>
      <c r="BR193">
        <v>845.6</v>
      </c>
      <c r="BS193" s="85">
        <v>1867917.06</v>
      </c>
      <c r="BT193" s="85">
        <v>1292.32</v>
      </c>
      <c r="BU193" s="85">
        <v>1292.32</v>
      </c>
      <c r="BX193" t="s">
        <v>1183</v>
      </c>
      <c r="BZ193">
        <v>14030950</v>
      </c>
      <c r="CA193">
        <v>14030950</v>
      </c>
      <c r="CB193" t="s">
        <v>73</v>
      </c>
      <c r="CC193" t="s">
        <v>250</v>
      </c>
      <c r="CE193" t="s">
        <v>530</v>
      </c>
    </row>
    <row r="194" spans="1:83" x14ac:dyDescent="0.35">
      <c r="A194" t="s">
        <v>242</v>
      </c>
      <c r="B194">
        <v>3050535</v>
      </c>
      <c r="C194">
        <v>41651</v>
      </c>
      <c r="D194" t="s">
        <v>542</v>
      </c>
      <c r="E194">
        <v>322149801</v>
      </c>
      <c r="F194" t="s">
        <v>669</v>
      </c>
      <c r="G194" s="60">
        <v>46054</v>
      </c>
      <c r="H194">
        <v>40745349</v>
      </c>
      <c r="I194" t="s">
        <v>762</v>
      </c>
      <c r="J194" t="s">
        <v>260</v>
      </c>
      <c r="K194" t="s">
        <v>65</v>
      </c>
      <c r="L194">
        <v>0</v>
      </c>
      <c r="M194">
        <v>0</v>
      </c>
      <c r="N194" t="s">
        <v>259</v>
      </c>
      <c r="O194" t="s">
        <v>259</v>
      </c>
      <c r="P194" t="s">
        <v>524</v>
      </c>
      <c r="Q194">
        <v>292695</v>
      </c>
      <c r="R194">
        <v>23500000</v>
      </c>
      <c r="S194" s="50">
        <v>46023</v>
      </c>
      <c r="T194" s="50">
        <v>46081</v>
      </c>
      <c r="U194" t="s">
        <v>79</v>
      </c>
      <c r="V194" t="s">
        <v>249</v>
      </c>
      <c r="W194" t="s">
        <v>92</v>
      </c>
      <c r="X194" t="s">
        <v>86</v>
      </c>
      <c r="Y194" t="s">
        <v>291</v>
      </c>
      <c r="Z194">
        <v>10573692</v>
      </c>
      <c r="AA194" s="50">
        <v>46081</v>
      </c>
      <c r="AB194" s="87" t="s">
        <v>93</v>
      </c>
      <c r="AC194" s="86">
        <v>8.93</v>
      </c>
      <c r="AD194" t="s">
        <v>70</v>
      </c>
      <c r="AE194" s="85">
        <v>0.01</v>
      </c>
      <c r="AF194" s="85">
        <v>0.01</v>
      </c>
      <c r="AG194" s="85"/>
      <c r="AH194" s="85"/>
      <c r="AI194" s="85"/>
      <c r="AJ194" s="85"/>
      <c r="AK194" s="85"/>
      <c r="AL194" s="85"/>
      <c r="AM194" s="85"/>
      <c r="AN194" s="85"/>
      <c r="AO194" s="85"/>
      <c r="AP194" s="85"/>
      <c r="AQ194" s="85"/>
      <c r="AR194" s="85"/>
      <c r="AS194" s="85"/>
      <c r="AT194" s="85"/>
      <c r="AU194" s="85"/>
      <c r="AV194" s="85"/>
      <c r="AW194" s="85"/>
      <c r="AX194" s="85"/>
      <c r="AY194" s="85"/>
      <c r="AZ194" s="85"/>
      <c r="BA194" s="85"/>
      <c r="BB194" s="85"/>
      <c r="BC194" s="85"/>
      <c r="BD194" s="85"/>
      <c r="BE194" s="85">
        <v>0</v>
      </c>
      <c r="BF194" s="85">
        <v>0</v>
      </c>
      <c r="BG194" s="85">
        <v>0</v>
      </c>
      <c r="BH194" s="85">
        <v>8.93</v>
      </c>
      <c r="BI194" s="85">
        <v>0.01</v>
      </c>
      <c r="BJ194" s="85">
        <v>0.01</v>
      </c>
      <c r="BO194">
        <v>39.549999999999997</v>
      </c>
      <c r="BP194" s="86">
        <v>3.53</v>
      </c>
      <c r="BQ194">
        <v>0</v>
      </c>
      <c r="BR194">
        <v>0</v>
      </c>
      <c r="BS194" s="85">
        <v>5.4</v>
      </c>
      <c r="BT194" s="85">
        <v>0.01</v>
      </c>
      <c r="BU194" s="85">
        <v>0.01</v>
      </c>
      <c r="BX194" t="s">
        <v>726</v>
      </c>
      <c r="BZ194">
        <v>66013147</v>
      </c>
      <c r="CA194">
        <v>66013147</v>
      </c>
      <c r="CB194" t="s">
        <v>73</v>
      </c>
      <c r="CC194" t="s">
        <v>250</v>
      </c>
      <c r="CE194" t="s">
        <v>530</v>
      </c>
    </row>
    <row r="195" spans="1:83" x14ac:dyDescent="0.35">
      <c r="A195" t="s">
        <v>242</v>
      </c>
      <c r="B195">
        <v>3050535</v>
      </c>
      <c r="C195">
        <v>41651</v>
      </c>
      <c r="D195" t="s">
        <v>744</v>
      </c>
      <c r="E195">
        <v>288709901</v>
      </c>
      <c r="F195" t="s">
        <v>653</v>
      </c>
      <c r="G195" s="60">
        <v>46054</v>
      </c>
      <c r="H195">
        <v>40930203</v>
      </c>
      <c r="I195" t="s">
        <v>1333</v>
      </c>
      <c r="J195" t="s">
        <v>260</v>
      </c>
      <c r="K195" t="s">
        <v>65</v>
      </c>
      <c r="L195">
        <v>0</v>
      </c>
      <c r="M195">
        <v>0</v>
      </c>
      <c r="P195" t="s">
        <v>654</v>
      </c>
      <c r="Q195">
        <v>115399678</v>
      </c>
      <c r="R195">
        <v>40300000</v>
      </c>
      <c r="S195" s="50">
        <v>45516</v>
      </c>
      <c r="T195" s="50">
        <v>46081</v>
      </c>
      <c r="U195" t="s">
        <v>69</v>
      </c>
      <c r="V195" t="s">
        <v>249</v>
      </c>
      <c r="W195" t="s">
        <v>92</v>
      </c>
      <c r="X195" t="s">
        <v>86</v>
      </c>
      <c r="Y195" t="s">
        <v>291</v>
      </c>
      <c r="Z195">
        <v>10573707</v>
      </c>
      <c r="AA195" s="50">
        <v>46081</v>
      </c>
      <c r="AB195" s="87" t="s">
        <v>93</v>
      </c>
      <c r="AC195" s="86">
        <v>180916.13</v>
      </c>
      <c r="AD195" t="s">
        <v>70</v>
      </c>
      <c r="AE195" s="85">
        <v>125.17</v>
      </c>
      <c r="AF195" s="85">
        <v>125.17</v>
      </c>
      <c r="AG195" s="85"/>
      <c r="AH195" s="85"/>
      <c r="AI195" s="85"/>
      <c r="AJ195" s="85"/>
      <c r="AK195" s="85"/>
      <c r="AL195" s="85"/>
      <c r="AM195" s="85"/>
      <c r="AN195" s="85"/>
      <c r="AO195" s="85"/>
      <c r="AP195" s="85"/>
      <c r="AQ195" s="85"/>
      <c r="AR195" s="85"/>
      <c r="AS195" s="85"/>
      <c r="AT195" s="85"/>
      <c r="AU195" s="85"/>
      <c r="AV195" s="85"/>
      <c r="AW195" s="85"/>
      <c r="AX195" s="85"/>
      <c r="AY195" s="85"/>
      <c r="AZ195" s="85"/>
      <c r="BA195" s="85"/>
      <c r="BB195" s="85"/>
      <c r="BC195" s="85"/>
      <c r="BD195" s="85"/>
      <c r="BE195" s="85">
        <v>0</v>
      </c>
      <c r="BF195" s="85">
        <v>0</v>
      </c>
      <c r="BG195" s="85">
        <v>0</v>
      </c>
      <c r="BH195" s="85">
        <v>180916.13</v>
      </c>
      <c r="BI195" s="85">
        <v>125.17</v>
      </c>
      <c r="BJ195" s="85">
        <v>125.17</v>
      </c>
      <c r="BO195">
        <v>39.549999999999997</v>
      </c>
      <c r="BP195" s="86">
        <v>71556.850000000006</v>
      </c>
      <c r="BQ195">
        <v>49.51</v>
      </c>
      <c r="BR195">
        <v>49.51</v>
      </c>
      <c r="BS195" s="85">
        <v>109359.28</v>
      </c>
      <c r="BT195" s="85">
        <v>75.66</v>
      </c>
      <c r="BU195" s="85">
        <v>75.66</v>
      </c>
      <c r="BX195" t="s">
        <v>745</v>
      </c>
      <c r="CB195" t="s">
        <v>78</v>
      </c>
      <c r="CC195" t="s">
        <v>250</v>
      </c>
      <c r="CE195" t="s">
        <v>530</v>
      </c>
    </row>
    <row r="196" spans="1:83" x14ac:dyDescent="0.35">
      <c r="A196" t="s">
        <v>242</v>
      </c>
      <c r="B196">
        <v>3050535</v>
      </c>
      <c r="C196">
        <v>41651</v>
      </c>
      <c r="D196" t="s">
        <v>585</v>
      </c>
      <c r="E196">
        <v>322158001</v>
      </c>
      <c r="F196" t="s">
        <v>673</v>
      </c>
      <c r="G196" s="60">
        <v>46054</v>
      </c>
      <c r="H196">
        <v>40881967</v>
      </c>
      <c r="I196" t="s">
        <v>1334</v>
      </c>
      <c r="J196" t="s">
        <v>260</v>
      </c>
      <c r="K196" t="s">
        <v>65</v>
      </c>
      <c r="L196">
        <v>0</v>
      </c>
      <c r="M196">
        <v>0</v>
      </c>
      <c r="N196" t="s">
        <v>108</v>
      </c>
      <c r="O196" t="s">
        <v>108</v>
      </c>
      <c r="P196" t="s">
        <v>579</v>
      </c>
      <c r="Q196">
        <v>2097220</v>
      </c>
      <c r="R196">
        <v>2800000</v>
      </c>
      <c r="S196" s="50">
        <v>46027</v>
      </c>
      <c r="T196" s="50">
        <v>46061</v>
      </c>
      <c r="U196" t="s">
        <v>79</v>
      </c>
      <c r="V196" t="s">
        <v>249</v>
      </c>
      <c r="W196" t="s">
        <v>92</v>
      </c>
      <c r="X196" t="s">
        <v>86</v>
      </c>
      <c r="Y196" t="s">
        <v>291</v>
      </c>
      <c r="Z196">
        <v>10573699</v>
      </c>
      <c r="AA196" s="50">
        <v>46081</v>
      </c>
      <c r="AB196" s="87" t="s">
        <v>93</v>
      </c>
      <c r="AC196" s="86">
        <v>1185638.18</v>
      </c>
      <c r="AD196" t="s">
        <v>70</v>
      </c>
      <c r="AE196" s="85">
        <v>820.29</v>
      </c>
      <c r="AF196" s="85">
        <v>820.29</v>
      </c>
      <c r="AG196" s="85"/>
      <c r="AH196" s="85"/>
      <c r="AI196" s="85"/>
      <c r="AJ196" s="85"/>
      <c r="AK196" s="85"/>
      <c r="AL196" s="85"/>
      <c r="AM196" s="85"/>
      <c r="AN196" s="85"/>
      <c r="AO196" s="85"/>
      <c r="AP196" s="85"/>
      <c r="AQ196" s="85"/>
      <c r="AR196" s="85"/>
      <c r="AS196" s="85"/>
      <c r="AT196" s="85"/>
      <c r="AU196" s="85"/>
      <c r="AV196" s="85"/>
      <c r="AW196" s="85"/>
      <c r="AX196" s="85"/>
      <c r="AY196" s="85"/>
      <c r="AZ196" s="85"/>
      <c r="BA196" s="85"/>
      <c r="BB196" s="85"/>
      <c r="BC196" s="85"/>
      <c r="BD196" s="85"/>
      <c r="BE196" s="85">
        <v>0</v>
      </c>
      <c r="BF196" s="85">
        <v>0</v>
      </c>
      <c r="BG196" s="85">
        <v>0</v>
      </c>
      <c r="BH196" s="85">
        <v>1185638.18</v>
      </c>
      <c r="BI196" s="85">
        <v>820.29</v>
      </c>
      <c r="BJ196" s="85">
        <v>820.29</v>
      </c>
      <c r="BO196">
        <v>34</v>
      </c>
      <c r="BP196" s="86">
        <v>403093.27</v>
      </c>
      <c r="BQ196">
        <v>278.88</v>
      </c>
      <c r="BR196">
        <v>278.88</v>
      </c>
      <c r="BS196" s="85">
        <v>782544.91</v>
      </c>
      <c r="BT196" s="85">
        <v>541.41</v>
      </c>
      <c r="BU196" s="85">
        <v>541.41</v>
      </c>
      <c r="BX196" t="s">
        <v>740</v>
      </c>
      <c r="BZ196">
        <v>224529</v>
      </c>
      <c r="CA196">
        <v>224529</v>
      </c>
      <c r="CB196" t="s">
        <v>72</v>
      </c>
      <c r="CC196" t="s">
        <v>250</v>
      </c>
      <c r="CE196" t="s">
        <v>530</v>
      </c>
    </row>
    <row r="197" spans="1:83" x14ac:dyDescent="0.35">
      <c r="A197" t="s">
        <v>242</v>
      </c>
      <c r="B197">
        <v>3050535</v>
      </c>
      <c r="C197">
        <v>41651</v>
      </c>
      <c r="D197" t="s">
        <v>553</v>
      </c>
      <c r="E197">
        <v>316316103</v>
      </c>
      <c r="F197" t="s">
        <v>859</v>
      </c>
      <c r="G197" s="60">
        <v>46054</v>
      </c>
      <c r="H197">
        <v>40855286</v>
      </c>
      <c r="I197" t="s">
        <v>1335</v>
      </c>
      <c r="J197" t="s">
        <v>482</v>
      </c>
      <c r="K197" t="s">
        <v>65</v>
      </c>
      <c r="L197">
        <v>0</v>
      </c>
      <c r="M197">
        <v>0</v>
      </c>
      <c r="N197" t="s">
        <v>94</v>
      </c>
      <c r="O197" t="s">
        <v>94</v>
      </c>
      <c r="P197" t="s">
        <v>544</v>
      </c>
      <c r="Q197">
        <v>821027</v>
      </c>
      <c r="R197">
        <v>1710000</v>
      </c>
      <c r="S197" s="50">
        <v>46055</v>
      </c>
      <c r="T197" s="50">
        <v>46055</v>
      </c>
      <c r="U197" t="s">
        <v>69</v>
      </c>
      <c r="V197" t="s">
        <v>249</v>
      </c>
      <c r="W197" t="s">
        <v>92</v>
      </c>
      <c r="X197" t="s">
        <v>86</v>
      </c>
      <c r="Y197" t="s">
        <v>291</v>
      </c>
      <c r="Z197">
        <v>10573724</v>
      </c>
      <c r="AA197" s="50">
        <v>46081</v>
      </c>
      <c r="AB197" s="87" t="s">
        <v>93</v>
      </c>
      <c r="AC197" s="86">
        <v>1710000</v>
      </c>
      <c r="AD197" t="s">
        <v>70</v>
      </c>
      <c r="AE197" s="85">
        <v>1183.07</v>
      </c>
      <c r="AF197" s="85">
        <v>1183.07</v>
      </c>
      <c r="AG197" s="85"/>
      <c r="AH197" s="85"/>
      <c r="AI197" s="85"/>
      <c r="AJ197" s="85"/>
      <c r="AK197" s="85"/>
      <c r="AL197" s="85"/>
      <c r="AM197" s="85"/>
      <c r="AN197" s="85"/>
      <c r="AO197" s="85"/>
      <c r="AP197" s="85"/>
      <c r="AQ197" s="85"/>
      <c r="AR197" s="85"/>
      <c r="AS197" s="85"/>
      <c r="AT197" s="85"/>
      <c r="AU197" s="85"/>
      <c r="AV197" s="85"/>
      <c r="AW197" s="85"/>
      <c r="AX197" s="85"/>
      <c r="AY197" s="85"/>
      <c r="AZ197" s="85"/>
      <c r="BA197" s="85"/>
      <c r="BB197" s="85"/>
      <c r="BC197" s="85"/>
      <c r="BD197" s="85"/>
      <c r="BE197" s="85">
        <v>0</v>
      </c>
      <c r="BF197" s="85">
        <v>0</v>
      </c>
      <c r="BG197" s="85">
        <v>0</v>
      </c>
      <c r="BH197" s="85">
        <v>1710000</v>
      </c>
      <c r="BI197" s="85">
        <v>1183.07</v>
      </c>
      <c r="BJ197" s="85">
        <v>1183.07</v>
      </c>
      <c r="BO197">
        <v>34</v>
      </c>
      <c r="BP197" s="86">
        <v>581365.80000000005</v>
      </c>
      <c r="BQ197">
        <v>402.22</v>
      </c>
      <c r="BR197">
        <v>402.22</v>
      </c>
      <c r="BS197" s="85">
        <v>1128634.2</v>
      </c>
      <c r="BT197" s="85">
        <v>780.85</v>
      </c>
      <c r="BU197" s="85">
        <v>780.85</v>
      </c>
      <c r="BW197" t="s">
        <v>286</v>
      </c>
      <c r="BX197" t="s">
        <v>1336</v>
      </c>
      <c r="BZ197">
        <v>224554</v>
      </c>
      <c r="CA197">
        <v>224554</v>
      </c>
      <c r="CB197" t="s">
        <v>76</v>
      </c>
      <c r="CC197" t="s">
        <v>250</v>
      </c>
      <c r="CE197" t="s">
        <v>530</v>
      </c>
    </row>
    <row r="198" spans="1:83" x14ac:dyDescent="0.35">
      <c r="A198" t="s">
        <v>242</v>
      </c>
      <c r="B198">
        <v>3050535</v>
      </c>
      <c r="C198">
        <v>41651</v>
      </c>
      <c r="D198" t="s">
        <v>479</v>
      </c>
      <c r="E198">
        <v>302594801</v>
      </c>
      <c r="F198" t="s">
        <v>557</v>
      </c>
      <c r="G198" s="60">
        <v>46054</v>
      </c>
      <c r="H198">
        <v>40286315</v>
      </c>
      <c r="I198" t="s">
        <v>616</v>
      </c>
      <c r="J198" t="s">
        <v>260</v>
      </c>
      <c r="K198" t="s">
        <v>65</v>
      </c>
      <c r="L198">
        <v>0</v>
      </c>
      <c r="M198">
        <v>0</v>
      </c>
      <c r="P198" t="s">
        <v>519</v>
      </c>
      <c r="Q198">
        <v>9663269</v>
      </c>
      <c r="R198">
        <v>310000000</v>
      </c>
      <c r="S198" s="50">
        <v>45730</v>
      </c>
      <c r="T198" s="50">
        <v>46418</v>
      </c>
      <c r="U198" t="s">
        <v>69</v>
      </c>
      <c r="V198" t="s">
        <v>249</v>
      </c>
      <c r="W198" t="s">
        <v>92</v>
      </c>
      <c r="X198" t="s">
        <v>86</v>
      </c>
      <c r="Y198" t="s">
        <v>291</v>
      </c>
      <c r="Z198">
        <v>10573738</v>
      </c>
      <c r="AA198" s="50">
        <v>46081</v>
      </c>
      <c r="AB198" s="87" t="s">
        <v>93</v>
      </c>
      <c r="AC198" s="86">
        <v>11242765.68</v>
      </c>
      <c r="AD198" t="s">
        <v>70</v>
      </c>
      <c r="AE198" s="85">
        <v>7778.33</v>
      </c>
      <c r="AF198" s="85">
        <v>7778.33</v>
      </c>
      <c r="AG198" s="85"/>
      <c r="AH198" s="85"/>
      <c r="AI198" s="85"/>
      <c r="AJ198" s="85"/>
      <c r="AK198" s="85"/>
      <c r="AL198" s="85"/>
      <c r="AM198" s="85"/>
      <c r="AN198" s="85"/>
      <c r="AO198" s="85"/>
      <c r="AP198" s="85"/>
      <c r="AQ198" s="85"/>
      <c r="AR198" s="85"/>
      <c r="AS198" s="85"/>
      <c r="AT198" s="85"/>
      <c r="AU198" s="85"/>
      <c r="AV198" s="85"/>
      <c r="AW198" s="85"/>
      <c r="AX198" s="85"/>
      <c r="AY198" s="85"/>
      <c r="AZ198" s="85"/>
      <c r="BA198" s="85"/>
      <c r="BB198" s="85"/>
      <c r="BC198" s="85"/>
      <c r="BD198" s="85"/>
      <c r="BE198" s="85">
        <v>0</v>
      </c>
      <c r="BF198" s="85">
        <v>0</v>
      </c>
      <c r="BG198" s="85">
        <v>0</v>
      </c>
      <c r="BH198" s="85">
        <v>11242765.68</v>
      </c>
      <c r="BI198" s="85">
        <v>7778.33</v>
      </c>
      <c r="BJ198" s="85">
        <v>7778.33</v>
      </c>
      <c r="BO198">
        <v>34</v>
      </c>
      <c r="BP198" s="86">
        <v>3822315.48</v>
      </c>
      <c r="BQ198">
        <v>2644.48</v>
      </c>
      <c r="BR198">
        <v>2644.48</v>
      </c>
      <c r="BS198" s="85">
        <v>7420450.2000000002</v>
      </c>
      <c r="BT198" s="85">
        <v>5133.8500000000004</v>
      </c>
      <c r="BU198" s="85">
        <v>5133.8500000000004</v>
      </c>
      <c r="BX198" t="s">
        <v>559</v>
      </c>
      <c r="CB198" t="s">
        <v>78</v>
      </c>
      <c r="CC198" t="s">
        <v>250</v>
      </c>
      <c r="CE198" t="s">
        <v>530</v>
      </c>
    </row>
    <row r="199" spans="1:83" x14ac:dyDescent="0.35">
      <c r="A199" t="s">
        <v>242</v>
      </c>
      <c r="B199">
        <v>3050535</v>
      </c>
      <c r="C199">
        <v>41651</v>
      </c>
      <c r="D199" t="s">
        <v>261</v>
      </c>
      <c r="E199">
        <v>322281901</v>
      </c>
      <c r="F199" t="s">
        <v>687</v>
      </c>
      <c r="G199" s="60">
        <v>46054</v>
      </c>
      <c r="H199">
        <v>40776025</v>
      </c>
      <c r="I199" t="s">
        <v>729</v>
      </c>
      <c r="J199" t="s">
        <v>260</v>
      </c>
      <c r="K199" t="s">
        <v>65</v>
      </c>
      <c r="L199">
        <v>0</v>
      </c>
      <c r="M199">
        <v>0</v>
      </c>
      <c r="P199" t="s">
        <v>110</v>
      </c>
      <c r="Q199">
        <v>184868</v>
      </c>
      <c r="R199">
        <v>20000000</v>
      </c>
      <c r="S199" s="50">
        <v>46034</v>
      </c>
      <c r="T199" s="50">
        <v>46068</v>
      </c>
      <c r="U199" t="s">
        <v>79</v>
      </c>
      <c r="V199" t="s">
        <v>249</v>
      </c>
      <c r="W199" t="s">
        <v>92</v>
      </c>
      <c r="X199" t="s">
        <v>86</v>
      </c>
      <c r="Y199" t="s">
        <v>291</v>
      </c>
      <c r="Z199">
        <v>10573649</v>
      </c>
      <c r="AA199" s="50">
        <v>46081</v>
      </c>
      <c r="AB199" s="87" t="s">
        <v>93</v>
      </c>
      <c r="AC199" s="86">
        <v>7779983.4400000004</v>
      </c>
      <c r="AD199" t="s">
        <v>70</v>
      </c>
      <c r="AE199" s="85">
        <v>5382.59</v>
      </c>
      <c r="AF199" s="85">
        <v>5382.59</v>
      </c>
      <c r="AG199" s="85"/>
      <c r="AH199" s="85"/>
      <c r="AI199" s="85"/>
      <c r="AJ199" s="85"/>
      <c r="AK199" s="85"/>
      <c r="AL199" s="85"/>
      <c r="AM199" s="85"/>
      <c r="AN199" s="85"/>
      <c r="AO199" s="85"/>
      <c r="AP199" s="85"/>
      <c r="AQ199" s="85"/>
      <c r="AR199" s="85"/>
      <c r="AS199" s="85"/>
      <c r="AT199" s="85"/>
      <c r="AU199" s="85"/>
      <c r="AV199" s="85"/>
      <c r="AW199" s="85"/>
      <c r="AX199" s="85"/>
      <c r="AY199" s="85"/>
      <c r="AZ199" s="85"/>
      <c r="BA199" s="85"/>
      <c r="BB199" s="85"/>
      <c r="BC199" s="85"/>
      <c r="BD199" s="85"/>
      <c r="BE199" s="85">
        <v>0</v>
      </c>
      <c r="BF199" s="85">
        <v>0</v>
      </c>
      <c r="BG199" s="85">
        <v>0</v>
      </c>
      <c r="BH199" s="85">
        <v>7779983.4400000004</v>
      </c>
      <c r="BI199" s="85">
        <v>5382.59</v>
      </c>
      <c r="BJ199" s="85">
        <v>5382.59</v>
      </c>
      <c r="BO199">
        <v>39.549999999999997</v>
      </c>
      <c r="BP199" s="86">
        <v>3077177.95</v>
      </c>
      <c r="BQ199">
        <v>2128.9499999999998</v>
      </c>
      <c r="BR199">
        <v>2128.9499999999998</v>
      </c>
      <c r="BS199" s="85">
        <v>4702805.49</v>
      </c>
      <c r="BT199" s="85">
        <v>3253.64</v>
      </c>
      <c r="BU199" s="85">
        <v>3253.64</v>
      </c>
      <c r="BX199" t="s">
        <v>730</v>
      </c>
      <c r="CB199" t="s">
        <v>68</v>
      </c>
      <c r="CC199" t="s">
        <v>250</v>
      </c>
      <c r="CE199" t="s">
        <v>530</v>
      </c>
    </row>
    <row r="200" spans="1:83" x14ac:dyDescent="0.35">
      <c r="A200" t="s">
        <v>242</v>
      </c>
      <c r="B200">
        <v>3050535</v>
      </c>
      <c r="C200">
        <v>41651</v>
      </c>
      <c r="D200" t="s">
        <v>571</v>
      </c>
      <c r="E200">
        <v>275149001</v>
      </c>
      <c r="F200" t="s">
        <v>562</v>
      </c>
      <c r="G200" s="60">
        <v>46054</v>
      </c>
      <c r="H200">
        <v>40789826</v>
      </c>
      <c r="I200" t="s">
        <v>722</v>
      </c>
      <c r="J200" t="s">
        <v>260</v>
      </c>
      <c r="K200" t="s">
        <v>65</v>
      </c>
      <c r="L200">
        <v>0</v>
      </c>
      <c r="M200">
        <v>0</v>
      </c>
      <c r="N200" t="s">
        <v>566</v>
      </c>
      <c r="O200" t="s">
        <v>566</v>
      </c>
      <c r="P200" t="s">
        <v>563</v>
      </c>
      <c r="Q200">
        <v>5733116</v>
      </c>
      <c r="R200">
        <v>40600000</v>
      </c>
      <c r="S200" s="50">
        <v>45292</v>
      </c>
      <c r="T200" s="50">
        <v>46127</v>
      </c>
      <c r="U200" t="s">
        <v>66</v>
      </c>
      <c r="V200" t="s">
        <v>249</v>
      </c>
      <c r="W200" t="s">
        <v>92</v>
      </c>
      <c r="X200" t="s">
        <v>86</v>
      </c>
      <c r="Y200" t="s">
        <v>291</v>
      </c>
      <c r="Z200">
        <v>10573709</v>
      </c>
      <c r="AA200" s="50">
        <v>46081</v>
      </c>
      <c r="AB200" s="87" t="s">
        <v>93</v>
      </c>
      <c r="AC200" s="86">
        <v>57240.639999999999</v>
      </c>
      <c r="AD200" t="s">
        <v>70</v>
      </c>
      <c r="AE200" s="85">
        <v>39.6</v>
      </c>
      <c r="AF200" s="85">
        <v>39.6</v>
      </c>
      <c r="AG200" s="85"/>
      <c r="AH200" s="85"/>
      <c r="AI200" s="85"/>
      <c r="AJ200" s="85"/>
      <c r="AK200" s="85"/>
      <c r="AL200" s="85"/>
      <c r="AM200" s="85"/>
      <c r="AN200" s="85"/>
      <c r="AO200" s="85"/>
      <c r="AP200" s="85"/>
      <c r="AQ200" s="85"/>
      <c r="AR200" s="85"/>
      <c r="AS200" s="85"/>
      <c r="AT200" s="85"/>
      <c r="AU200" s="85"/>
      <c r="AV200" s="85"/>
      <c r="AW200" s="85"/>
      <c r="AX200" s="85"/>
      <c r="AY200" s="85"/>
      <c r="AZ200" s="85"/>
      <c r="BA200" s="85"/>
      <c r="BB200" s="85"/>
      <c r="BC200" s="85"/>
      <c r="BD200" s="85"/>
      <c r="BE200" s="85">
        <v>0</v>
      </c>
      <c r="BF200" s="85">
        <v>0</v>
      </c>
      <c r="BG200" s="85">
        <v>0</v>
      </c>
      <c r="BH200" s="85">
        <v>57240.639999999999</v>
      </c>
      <c r="BI200" s="85">
        <v>39.6</v>
      </c>
      <c r="BJ200" s="85">
        <v>39.6</v>
      </c>
      <c r="BO200">
        <v>39.549999999999997</v>
      </c>
      <c r="BP200" s="86">
        <v>22640.1</v>
      </c>
      <c r="BQ200">
        <v>15.66</v>
      </c>
      <c r="BR200">
        <v>15.66</v>
      </c>
      <c r="BS200" s="85">
        <v>34600.54</v>
      </c>
      <c r="BT200" s="85">
        <v>23.94</v>
      </c>
      <c r="BU200" s="85">
        <v>23.94</v>
      </c>
      <c r="BX200" t="s">
        <v>572</v>
      </c>
      <c r="BZ200">
        <v>47720819</v>
      </c>
      <c r="CA200">
        <v>47720819</v>
      </c>
      <c r="CB200" t="s">
        <v>73</v>
      </c>
      <c r="CC200" t="s">
        <v>250</v>
      </c>
      <c r="CE200" t="s">
        <v>530</v>
      </c>
    </row>
    <row r="201" spans="1:83" x14ac:dyDescent="0.35">
      <c r="A201" t="s">
        <v>242</v>
      </c>
      <c r="B201">
        <v>3050535</v>
      </c>
      <c r="C201">
        <v>41651</v>
      </c>
      <c r="D201" t="s">
        <v>252</v>
      </c>
      <c r="E201">
        <v>322476101</v>
      </c>
      <c r="F201" t="s">
        <v>690</v>
      </c>
      <c r="G201" s="60">
        <v>46054</v>
      </c>
      <c r="H201">
        <v>40800132</v>
      </c>
      <c r="I201" t="s">
        <v>784</v>
      </c>
      <c r="J201" t="s">
        <v>260</v>
      </c>
      <c r="K201" t="s">
        <v>65</v>
      </c>
      <c r="L201">
        <v>0</v>
      </c>
      <c r="M201">
        <v>0</v>
      </c>
      <c r="N201" t="s">
        <v>259</v>
      </c>
      <c r="O201" t="s">
        <v>259</v>
      </c>
      <c r="P201" t="s">
        <v>98</v>
      </c>
      <c r="Q201">
        <v>80883</v>
      </c>
      <c r="R201">
        <v>43700000</v>
      </c>
      <c r="S201" s="50">
        <v>46038</v>
      </c>
      <c r="T201" s="50">
        <v>46081</v>
      </c>
      <c r="U201" t="s">
        <v>79</v>
      </c>
      <c r="V201" t="s">
        <v>249</v>
      </c>
      <c r="W201" t="s">
        <v>92</v>
      </c>
      <c r="X201" t="s">
        <v>86</v>
      </c>
      <c r="Y201" t="s">
        <v>291</v>
      </c>
      <c r="Z201">
        <v>10573630</v>
      </c>
      <c r="AA201" s="50">
        <v>46081</v>
      </c>
      <c r="AB201" s="87" t="s">
        <v>93</v>
      </c>
      <c r="AC201" s="86">
        <v>2237064.12</v>
      </c>
      <c r="AD201" t="s">
        <v>70</v>
      </c>
      <c r="AE201" s="85">
        <v>1547.72</v>
      </c>
      <c r="AF201" s="85">
        <v>1547.72</v>
      </c>
      <c r="AG201" s="85"/>
      <c r="AH201" s="85"/>
      <c r="AI201" s="85"/>
      <c r="AJ201" s="85"/>
      <c r="AK201" s="85"/>
      <c r="AL201" s="85"/>
      <c r="AM201" s="85"/>
      <c r="AN201" s="85"/>
      <c r="AO201" s="85"/>
      <c r="AP201" s="85"/>
      <c r="AQ201" s="85"/>
      <c r="AR201" s="85"/>
      <c r="AS201" s="85"/>
      <c r="AT201" s="85"/>
      <c r="AU201" s="85"/>
      <c r="AV201" s="85"/>
      <c r="AW201" s="85"/>
      <c r="AX201" s="85"/>
      <c r="AY201" s="85"/>
      <c r="AZ201" s="85"/>
      <c r="BA201" s="85"/>
      <c r="BB201" s="85"/>
      <c r="BC201" s="85"/>
      <c r="BD201" s="85"/>
      <c r="BE201" s="85">
        <v>0</v>
      </c>
      <c r="BF201" s="85">
        <v>0</v>
      </c>
      <c r="BG201" s="85">
        <v>0</v>
      </c>
      <c r="BH201" s="85">
        <v>2237064.12</v>
      </c>
      <c r="BI201" s="85">
        <v>1547.72</v>
      </c>
      <c r="BJ201" s="85">
        <v>1547.72</v>
      </c>
      <c r="BO201">
        <v>39.549999999999997</v>
      </c>
      <c r="BP201" s="86">
        <v>884814.79</v>
      </c>
      <c r="BQ201">
        <v>612.16</v>
      </c>
      <c r="BR201">
        <v>612.16</v>
      </c>
      <c r="BS201" s="85">
        <v>1352249.33</v>
      </c>
      <c r="BT201" s="85">
        <v>935.56</v>
      </c>
      <c r="BU201" s="85">
        <v>935.56</v>
      </c>
      <c r="BX201" t="s">
        <v>785</v>
      </c>
      <c r="BZ201">
        <v>66013147</v>
      </c>
      <c r="CA201">
        <v>66013147</v>
      </c>
      <c r="CB201" t="s">
        <v>73</v>
      </c>
      <c r="CC201" t="s">
        <v>250</v>
      </c>
      <c r="CE201" t="s">
        <v>530</v>
      </c>
    </row>
    <row r="202" spans="1:83" x14ac:dyDescent="0.35">
      <c r="A202" t="s">
        <v>242</v>
      </c>
      <c r="B202">
        <v>3050535</v>
      </c>
      <c r="C202">
        <v>41651</v>
      </c>
      <c r="D202" t="s">
        <v>252</v>
      </c>
      <c r="E202">
        <v>322476101</v>
      </c>
      <c r="F202" t="s">
        <v>690</v>
      </c>
      <c r="G202" s="60">
        <v>46054</v>
      </c>
      <c r="H202">
        <v>40800175</v>
      </c>
      <c r="I202" t="s">
        <v>790</v>
      </c>
      <c r="J202" t="s">
        <v>260</v>
      </c>
      <c r="K202" t="s">
        <v>65</v>
      </c>
      <c r="L202">
        <v>0</v>
      </c>
      <c r="M202">
        <v>0</v>
      </c>
      <c r="N202" t="s">
        <v>259</v>
      </c>
      <c r="O202" t="s">
        <v>259</v>
      </c>
      <c r="P202" t="s">
        <v>98</v>
      </c>
      <c r="Q202">
        <v>80883</v>
      </c>
      <c r="R202">
        <v>43700000</v>
      </c>
      <c r="S202" s="50">
        <v>46038</v>
      </c>
      <c r="T202" s="50">
        <v>46081</v>
      </c>
      <c r="U202" t="s">
        <v>79</v>
      </c>
      <c r="V202" t="s">
        <v>249</v>
      </c>
      <c r="W202" t="s">
        <v>92</v>
      </c>
      <c r="X202" t="s">
        <v>86</v>
      </c>
      <c r="Y202" t="s">
        <v>291</v>
      </c>
      <c r="Z202">
        <v>10573630</v>
      </c>
      <c r="AA202" s="50">
        <v>46081</v>
      </c>
      <c r="AB202" s="87" t="s">
        <v>93</v>
      </c>
      <c r="AC202" s="86">
        <v>2504630.25</v>
      </c>
      <c r="AD202" t="s">
        <v>70</v>
      </c>
      <c r="AE202" s="85">
        <v>1732.83</v>
      </c>
      <c r="AF202" s="85">
        <v>1732.83</v>
      </c>
      <c r="AG202" s="85"/>
      <c r="AH202" s="85"/>
      <c r="AI202" s="85"/>
      <c r="AJ202" s="85"/>
      <c r="AK202" s="85"/>
      <c r="AL202" s="85"/>
      <c r="AM202" s="85"/>
      <c r="AN202" s="85"/>
      <c r="AO202" s="85"/>
      <c r="AP202" s="85"/>
      <c r="AQ202" s="85"/>
      <c r="AR202" s="85"/>
      <c r="AS202" s="85"/>
      <c r="AT202" s="85"/>
      <c r="AU202" s="85"/>
      <c r="AV202" s="85"/>
      <c r="AW202" s="85"/>
      <c r="AX202" s="85"/>
      <c r="AY202" s="85"/>
      <c r="AZ202" s="85"/>
      <c r="BA202" s="85"/>
      <c r="BB202" s="85"/>
      <c r="BC202" s="85"/>
      <c r="BD202" s="85"/>
      <c r="BE202" s="85">
        <v>0</v>
      </c>
      <c r="BF202" s="85">
        <v>0</v>
      </c>
      <c r="BG202" s="85">
        <v>0</v>
      </c>
      <c r="BH202" s="85">
        <v>2504630.25</v>
      </c>
      <c r="BI202" s="85">
        <v>1732.83</v>
      </c>
      <c r="BJ202" s="85">
        <v>1732.83</v>
      </c>
      <c r="BO202">
        <v>39.549999999999997</v>
      </c>
      <c r="BP202" s="86">
        <v>990643.88</v>
      </c>
      <c r="BQ202">
        <v>685.38</v>
      </c>
      <c r="BR202">
        <v>685.38</v>
      </c>
      <c r="BS202" s="85">
        <v>1513986.37</v>
      </c>
      <c r="BT202" s="85">
        <v>1047.45</v>
      </c>
      <c r="BU202" s="85">
        <v>1047.45</v>
      </c>
      <c r="BX202" t="s">
        <v>785</v>
      </c>
      <c r="BZ202">
        <v>66013147</v>
      </c>
      <c r="CA202">
        <v>66013147</v>
      </c>
      <c r="CB202" t="s">
        <v>73</v>
      </c>
      <c r="CC202" t="s">
        <v>250</v>
      </c>
      <c r="CE202" t="s">
        <v>530</v>
      </c>
    </row>
    <row r="203" spans="1:83" x14ac:dyDescent="0.35">
      <c r="A203" t="s">
        <v>242</v>
      </c>
      <c r="B203">
        <v>3050535</v>
      </c>
      <c r="C203">
        <v>41651</v>
      </c>
      <c r="D203" t="s">
        <v>1229</v>
      </c>
      <c r="E203">
        <v>320750202</v>
      </c>
      <c r="F203" t="s">
        <v>903</v>
      </c>
      <c r="G203" s="60">
        <v>46054</v>
      </c>
      <c r="H203">
        <v>40980211</v>
      </c>
      <c r="I203" t="s">
        <v>1337</v>
      </c>
      <c r="J203" t="s">
        <v>260</v>
      </c>
      <c r="K203" t="s">
        <v>65</v>
      </c>
      <c r="L203">
        <v>0</v>
      </c>
      <c r="M203">
        <v>0</v>
      </c>
      <c r="N203" t="s">
        <v>893</v>
      </c>
      <c r="O203" t="s">
        <v>893</v>
      </c>
      <c r="P203" t="s">
        <v>887</v>
      </c>
      <c r="Q203">
        <v>268721</v>
      </c>
      <c r="R203">
        <v>2700000</v>
      </c>
      <c r="S203" s="50">
        <v>46076</v>
      </c>
      <c r="T203" s="50">
        <v>46090</v>
      </c>
      <c r="U203" t="s">
        <v>79</v>
      </c>
      <c r="V203" t="s">
        <v>249</v>
      </c>
      <c r="W203" t="s">
        <v>92</v>
      </c>
      <c r="X203" t="s">
        <v>86</v>
      </c>
      <c r="Y203" t="s">
        <v>291</v>
      </c>
      <c r="Z203">
        <v>10573678</v>
      </c>
      <c r="AA203" s="50">
        <v>46081</v>
      </c>
      <c r="AB203" s="87" t="s">
        <v>93</v>
      </c>
      <c r="AC203" s="86">
        <v>534603.53</v>
      </c>
      <c r="AD203" t="s">
        <v>70</v>
      </c>
      <c r="AE203" s="85">
        <v>369.87</v>
      </c>
      <c r="AF203" s="85">
        <v>369.87</v>
      </c>
      <c r="AG203" s="85"/>
      <c r="AH203" s="85"/>
      <c r="AI203" s="85"/>
      <c r="AJ203" s="85"/>
      <c r="AK203" s="85"/>
      <c r="AL203" s="85"/>
      <c r="AM203" s="85"/>
      <c r="AN203" s="85"/>
      <c r="AO203" s="85"/>
      <c r="AP203" s="85"/>
      <c r="AQ203" s="85"/>
      <c r="AR203" s="85"/>
      <c r="AS203" s="85"/>
      <c r="AT203" s="85"/>
      <c r="AU203" s="85"/>
      <c r="AV203" s="85"/>
      <c r="AW203" s="85"/>
      <c r="AX203" s="85"/>
      <c r="AY203" s="85"/>
      <c r="AZ203" s="85"/>
      <c r="BA203" s="85"/>
      <c r="BB203" s="85"/>
      <c r="BC203" s="85"/>
      <c r="BD203" s="85"/>
      <c r="BE203" s="85">
        <v>0</v>
      </c>
      <c r="BF203" s="85">
        <v>0</v>
      </c>
      <c r="BG203" s="85">
        <v>0</v>
      </c>
      <c r="BH203" s="85">
        <v>534603.53</v>
      </c>
      <c r="BI203" s="85">
        <v>369.87</v>
      </c>
      <c r="BJ203" s="85">
        <v>369.87</v>
      </c>
      <c r="BO203">
        <v>22</v>
      </c>
      <c r="BP203" s="86">
        <v>117612.78</v>
      </c>
      <c r="BQ203">
        <v>81.37</v>
      </c>
      <c r="BR203">
        <v>81.37</v>
      </c>
      <c r="BS203" s="85">
        <v>416990.75</v>
      </c>
      <c r="BT203" s="85">
        <v>288.5</v>
      </c>
      <c r="BU203" s="85">
        <v>288.5</v>
      </c>
      <c r="BX203" t="s">
        <v>1231</v>
      </c>
      <c r="BZ203">
        <v>262319</v>
      </c>
      <c r="CA203">
        <v>262319</v>
      </c>
      <c r="CB203" t="s">
        <v>71</v>
      </c>
      <c r="CC203" t="s">
        <v>250</v>
      </c>
      <c r="CE203" t="s">
        <v>530</v>
      </c>
    </row>
    <row r="204" spans="1:83" x14ac:dyDescent="0.35">
      <c r="A204" t="s">
        <v>242</v>
      </c>
      <c r="B204">
        <v>3050535</v>
      </c>
      <c r="C204">
        <v>41651</v>
      </c>
      <c r="D204" t="s">
        <v>502</v>
      </c>
      <c r="E204">
        <v>324261501</v>
      </c>
      <c r="F204" t="s">
        <v>1070</v>
      </c>
      <c r="G204" s="60">
        <v>46054</v>
      </c>
      <c r="H204">
        <v>40920262</v>
      </c>
      <c r="I204" t="s">
        <v>1338</v>
      </c>
      <c r="J204" t="s">
        <v>260</v>
      </c>
      <c r="K204" t="s">
        <v>65</v>
      </c>
      <c r="L204">
        <v>0</v>
      </c>
      <c r="M204">
        <v>0</v>
      </c>
      <c r="N204" t="s">
        <v>264</v>
      </c>
      <c r="O204" t="s">
        <v>264</v>
      </c>
      <c r="P204" t="s">
        <v>498</v>
      </c>
      <c r="Q204">
        <v>265630</v>
      </c>
      <c r="R204">
        <v>1000000</v>
      </c>
      <c r="S204" s="50">
        <v>46056</v>
      </c>
      <c r="T204" s="50">
        <v>46081</v>
      </c>
      <c r="U204" t="s">
        <v>79</v>
      </c>
      <c r="V204" t="s">
        <v>249</v>
      </c>
      <c r="W204" t="s">
        <v>92</v>
      </c>
      <c r="X204" t="s">
        <v>86</v>
      </c>
      <c r="Y204" t="s">
        <v>291</v>
      </c>
      <c r="Z204">
        <v>10573712</v>
      </c>
      <c r="AA204" s="50">
        <v>46081</v>
      </c>
      <c r="AB204" s="87" t="s">
        <v>93</v>
      </c>
      <c r="AC204" s="86">
        <v>89400.47</v>
      </c>
      <c r="AD204" t="s">
        <v>70</v>
      </c>
      <c r="AE204" s="85">
        <v>61.85</v>
      </c>
      <c r="AF204" s="85">
        <v>61.85</v>
      </c>
      <c r="AG204" s="85"/>
      <c r="AH204" s="85"/>
      <c r="AI204" s="85"/>
      <c r="AJ204" s="85"/>
      <c r="AK204" s="85"/>
      <c r="AL204" s="85"/>
      <c r="AM204" s="85"/>
      <c r="AN204" s="85"/>
      <c r="AO204" s="85"/>
      <c r="AP204" s="85"/>
      <c r="AQ204" s="85"/>
      <c r="AR204" s="85"/>
      <c r="AS204" s="85"/>
      <c r="AT204" s="85"/>
      <c r="AU204" s="85"/>
      <c r="AV204" s="85"/>
      <c r="AW204" s="85"/>
      <c r="AX204" s="85"/>
      <c r="AY204" s="85"/>
      <c r="AZ204" s="85"/>
      <c r="BA204" s="85"/>
      <c r="BB204" s="85"/>
      <c r="BC204" s="85"/>
      <c r="BD204" s="85"/>
      <c r="BE204" s="85">
        <v>0</v>
      </c>
      <c r="BF204" s="85">
        <v>0</v>
      </c>
      <c r="BG204" s="85">
        <v>0</v>
      </c>
      <c r="BH204" s="85">
        <v>89400.47</v>
      </c>
      <c r="BI204" s="85">
        <v>61.85</v>
      </c>
      <c r="BJ204" s="85">
        <v>61.85</v>
      </c>
      <c r="BO204">
        <v>22</v>
      </c>
      <c r="BP204" s="86">
        <v>19668.099999999999</v>
      </c>
      <c r="BQ204">
        <v>13.61</v>
      </c>
      <c r="BR204">
        <v>13.61</v>
      </c>
      <c r="BS204" s="85">
        <v>69732.37</v>
      </c>
      <c r="BT204" s="85">
        <v>48.24</v>
      </c>
      <c r="BU204" s="85">
        <v>48.24</v>
      </c>
      <c r="BX204" t="s">
        <v>1278</v>
      </c>
      <c r="BZ204">
        <v>224574</v>
      </c>
      <c r="CA204">
        <v>224574</v>
      </c>
      <c r="CB204" t="s">
        <v>73</v>
      </c>
      <c r="CC204" t="s">
        <v>250</v>
      </c>
      <c r="CE204" t="s">
        <v>530</v>
      </c>
    </row>
    <row r="205" spans="1:83" x14ac:dyDescent="0.35">
      <c r="A205" t="s">
        <v>242</v>
      </c>
      <c r="B205">
        <v>3050535</v>
      </c>
      <c r="C205">
        <v>41651</v>
      </c>
      <c r="D205" t="s">
        <v>283</v>
      </c>
      <c r="E205">
        <v>321925201</v>
      </c>
      <c r="F205" t="s">
        <v>637</v>
      </c>
      <c r="G205" s="60">
        <v>46054</v>
      </c>
      <c r="H205">
        <v>40734151</v>
      </c>
      <c r="I205" t="s">
        <v>642</v>
      </c>
      <c r="J205" t="s">
        <v>260</v>
      </c>
      <c r="K205" t="s">
        <v>65</v>
      </c>
      <c r="L205">
        <v>0</v>
      </c>
      <c r="M205">
        <v>0</v>
      </c>
      <c r="N205" t="s">
        <v>108</v>
      </c>
      <c r="O205" t="s">
        <v>108</v>
      </c>
      <c r="P205" t="s">
        <v>104</v>
      </c>
      <c r="Q205">
        <v>292623</v>
      </c>
      <c r="R205">
        <v>6763550</v>
      </c>
      <c r="S205" s="50">
        <v>46017</v>
      </c>
      <c r="T205" s="50">
        <v>46068</v>
      </c>
      <c r="U205" t="s">
        <v>79</v>
      </c>
      <c r="V205" t="s">
        <v>249</v>
      </c>
      <c r="W205" t="s">
        <v>92</v>
      </c>
      <c r="X205" t="s">
        <v>86</v>
      </c>
      <c r="Y205" t="s">
        <v>291</v>
      </c>
      <c r="Z205">
        <v>10573736</v>
      </c>
      <c r="AA205" s="50">
        <v>46081</v>
      </c>
      <c r="AB205" s="87" t="s">
        <v>93</v>
      </c>
      <c r="AC205" s="86">
        <v>216079.67</v>
      </c>
      <c r="AD205" t="s">
        <v>70</v>
      </c>
      <c r="AE205" s="85">
        <v>149.5</v>
      </c>
      <c r="AF205" s="85">
        <v>149.5</v>
      </c>
      <c r="AG205" s="85"/>
      <c r="AH205" s="85"/>
      <c r="AI205" s="85"/>
      <c r="AJ205" s="85"/>
      <c r="AK205" s="85"/>
      <c r="AL205" s="85"/>
      <c r="AM205" s="85"/>
      <c r="AN205" s="85"/>
      <c r="AO205" s="85"/>
      <c r="AP205" s="85"/>
      <c r="AQ205" s="85"/>
      <c r="AR205" s="85"/>
      <c r="AS205" s="85"/>
      <c r="AT205" s="85"/>
      <c r="AU205" s="85"/>
      <c r="AV205" s="85"/>
      <c r="AW205" s="85"/>
      <c r="AX205" s="85"/>
      <c r="AY205" s="85"/>
      <c r="AZ205" s="85"/>
      <c r="BA205" s="85"/>
      <c r="BB205" s="85"/>
      <c r="BC205" s="85"/>
      <c r="BD205" s="85"/>
      <c r="BE205" s="85">
        <v>0</v>
      </c>
      <c r="BF205" s="85">
        <v>0</v>
      </c>
      <c r="BG205" s="85">
        <v>0</v>
      </c>
      <c r="BH205" s="85">
        <v>216079.67</v>
      </c>
      <c r="BI205" s="85">
        <v>149.5</v>
      </c>
      <c r="BJ205" s="85">
        <v>149.5</v>
      </c>
      <c r="BO205">
        <v>39.549999999999997</v>
      </c>
      <c r="BP205" s="86">
        <v>85464.91</v>
      </c>
      <c r="BQ205">
        <v>59.13</v>
      </c>
      <c r="BR205">
        <v>59.13</v>
      </c>
      <c r="BS205" s="85">
        <v>130614.76</v>
      </c>
      <c r="BT205" s="85">
        <v>90.37</v>
      </c>
      <c r="BU205" s="85">
        <v>90.37</v>
      </c>
      <c r="BX205" t="s">
        <v>643</v>
      </c>
      <c r="BZ205">
        <v>224529</v>
      </c>
      <c r="CA205">
        <v>224529</v>
      </c>
      <c r="CB205" t="s">
        <v>73</v>
      </c>
      <c r="CC205" t="s">
        <v>250</v>
      </c>
      <c r="CE205" t="s">
        <v>530</v>
      </c>
    </row>
    <row r="206" spans="1:83" x14ac:dyDescent="0.35">
      <c r="A206" t="s">
        <v>242</v>
      </c>
      <c r="B206">
        <v>3050535</v>
      </c>
      <c r="C206">
        <v>41651</v>
      </c>
      <c r="D206" t="s">
        <v>262</v>
      </c>
      <c r="E206">
        <v>320938401</v>
      </c>
      <c r="F206" t="s">
        <v>632</v>
      </c>
      <c r="G206" s="60">
        <v>46054</v>
      </c>
      <c r="H206">
        <v>40636269</v>
      </c>
      <c r="I206" t="s">
        <v>650</v>
      </c>
      <c r="J206" t="s">
        <v>260</v>
      </c>
      <c r="K206" t="s">
        <v>65</v>
      </c>
      <c r="L206">
        <v>0</v>
      </c>
      <c r="M206">
        <v>0</v>
      </c>
      <c r="N206" t="s">
        <v>561</v>
      </c>
      <c r="O206" t="s">
        <v>561</v>
      </c>
      <c r="P206" t="s">
        <v>257</v>
      </c>
      <c r="Q206">
        <v>57936819</v>
      </c>
      <c r="R206">
        <v>19250000.57</v>
      </c>
      <c r="S206" s="50">
        <v>45995</v>
      </c>
      <c r="T206" s="50">
        <v>46081</v>
      </c>
      <c r="U206" t="s">
        <v>69</v>
      </c>
      <c r="V206" t="s">
        <v>249</v>
      </c>
      <c r="W206" t="s">
        <v>92</v>
      </c>
      <c r="X206" t="s">
        <v>86</v>
      </c>
      <c r="Y206" t="s">
        <v>291</v>
      </c>
      <c r="Z206">
        <v>10573653</v>
      </c>
      <c r="AA206" s="50">
        <v>46081</v>
      </c>
      <c r="AB206" s="87" t="s">
        <v>93</v>
      </c>
      <c r="AC206" s="86">
        <v>1642611.98</v>
      </c>
      <c r="AD206" t="s">
        <v>70</v>
      </c>
      <c r="AE206" s="85">
        <v>1136.44</v>
      </c>
      <c r="AF206" s="85">
        <v>1136.44</v>
      </c>
      <c r="AG206" s="85"/>
      <c r="AH206" s="85"/>
      <c r="AI206" s="85"/>
      <c r="AJ206" s="85"/>
      <c r="AK206" s="85"/>
      <c r="AL206" s="85"/>
      <c r="AM206" s="85"/>
      <c r="AN206" s="85"/>
      <c r="AO206" s="85"/>
      <c r="AP206" s="85"/>
      <c r="AQ206" s="85"/>
      <c r="AR206" s="85"/>
      <c r="AS206" s="85"/>
      <c r="AT206" s="85"/>
      <c r="AU206" s="85"/>
      <c r="AV206" s="85"/>
      <c r="AW206" s="85"/>
      <c r="AX206" s="85"/>
      <c r="AY206" s="85"/>
      <c r="AZ206" s="85"/>
      <c r="BA206" s="85"/>
      <c r="BB206" s="85"/>
      <c r="BC206" s="85"/>
      <c r="BD206" s="85"/>
      <c r="BE206" s="85">
        <v>0</v>
      </c>
      <c r="BF206" s="85">
        <v>0</v>
      </c>
      <c r="BG206" s="85">
        <v>0</v>
      </c>
      <c r="BH206" s="85">
        <v>1642611.98</v>
      </c>
      <c r="BI206" s="85">
        <v>1136.44</v>
      </c>
      <c r="BJ206" s="85">
        <v>1136.44</v>
      </c>
      <c r="BO206">
        <v>39.549999999999997</v>
      </c>
      <c r="BP206" s="86">
        <v>649694.1</v>
      </c>
      <c r="BQ206">
        <v>449.49</v>
      </c>
      <c r="BR206">
        <v>449.49</v>
      </c>
      <c r="BS206" s="85">
        <v>992917.88</v>
      </c>
      <c r="BT206" s="85">
        <v>686.95</v>
      </c>
      <c r="BU206" s="85">
        <v>686.95</v>
      </c>
      <c r="BX206" t="s">
        <v>641</v>
      </c>
      <c r="BZ206">
        <v>224573</v>
      </c>
      <c r="CA206">
        <v>224573</v>
      </c>
      <c r="CB206" t="s">
        <v>73</v>
      </c>
      <c r="CC206" t="s">
        <v>250</v>
      </c>
      <c r="CE206" t="s">
        <v>530</v>
      </c>
    </row>
    <row r="207" spans="1:83" x14ac:dyDescent="0.35">
      <c r="A207" t="s">
        <v>242</v>
      </c>
      <c r="B207">
        <v>3050535</v>
      </c>
      <c r="C207">
        <v>41651</v>
      </c>
      <c r="D207" t="s">
        <v>552</v>
      </c>
      <c r="E207">
        <v>322531401</v>
      </c>
      <c r="F207" t="s">
        <v>692</v>
      </c>
      <c r="G207" s="60">
        <v>46054</v>
      </c>
      <c r="H207">
        <v>40931695</v>
      </c>
      <c r="I207" t="s">
        <v>1339</v>
      </c>
      <c r="J207" t="s">
        <v>260</v>
      </c>
      <c r="K207" t="s">
        <v>65</v>
      </c>
      <c r="L207">
        <v>0</v>
      </c>
      <c r="M207">
        <v>0</v>
      </c>
      <c r="N207" t="s">
        <v>255</v>
      </c>
      <c r="O207" t="s">
        <v>255</v>
      </c>
      <c r="P207" t="s">
        <v>548</v>
      </c>
      <c r="Q207">
        <v>7000116</v>
      </c>
      <c r="R207">
        <v>12650000</v>
      </c>
      <c r="S207" s="50">
        <v>46035</v>
      </c>
      <c r="T207" s="50">
        <v>46081</v>
      </c>
      <c r="U207" t="s">
        <v>79</v>
      </c>
      <c r="V207" t="s">
        <v>249</v>
      </c>
      <c r="W207" t="s">
        <v>92</v>
      </c>
      <c r="X207" t="s">
        <v>86</v>
      </c>
      <c r="Y207" t="s">
        <v>291</v>
      </c>
      <c r="Z207">
        <v>10573696</v>
      </c>
      <c r="AA207" s="50">
        <v>46081</v>
      </c>
      <c r="AB207" s="87" t="s">
        <v>93</v>
      </c>
      <c r="AC207" s="86">
        <v>300000</v>
      </c>
      <c r="AD207" t="s">
        <v>70</v>
      </c>
      <c r="AE207" s="85">
        <v>207.56</v>
      </c>
      <c r="AF207" s="85">
        <v>207.56</v>
      </c>
      <c r="AG207" s="85"/>
      <c r="AH207" s="85"/>
      <c r="AI207" s="85"/>
      <c r="AJ207" s="85"/>
      <c r="AK207" s="85"/>
      <c r="AL207" s="85"/>
      <c r="AM207" s="85"/>
      <c r="AN207" s="85"/>
      <c r="AO207" s="85"/>
      <c r="AP207" s="85"/>
      <c r="AQ207" s="85"/>
      <c r="AR207" s="85"/>
      <c r="AS207" s="85"/>
      <c r="AT207" s="85"/>
      <c r="AU207" s="85"/>
      <c r="AV207" s="85"/>
      <c r="AW207" s="85"/>
      <c r="AX207" s="85"/>
      <c r="AY207" s="85"/>
      <c r="AZ207" s="85"/>
      <c r="BA207" s="85"/>
      <c r="BB207" s="85"/>
      <c r="BC207" s="85"/>
      <c r="BD207" s="85"/>
      <c r="BE207" s="85">
        <v>0</v>
      </c>
      <c r="BF207" s="85">
        <v>0</v>
      </c>
      <c r="BG207" s="85">
        <v>0</v>
      </c>
      <c r="BH207" s="85">
        <v>300000</v>
      </c>
      <c r="BI207" s="85">
        <v>207.56</v>
      </c>
      <c r="BJ207" s="85">
        <v>207.56</v>
      </c>
      <c r="BO207">
        <v>39.549999999999997</v>
      </c>
      <c r="BP207" s="86">
        <v>118657.5</v>
      </c>
      <c r="BQ207">
        <v>82.09</v>
      </c>
      <c r="BR207">
        <v>82.09</v>
      </c>
      <c r="BS207" s="85">
        <v>181342.5</v>
      </c>
      <c r="BT207" s="85">
        <v>125.47</v>
      </c>
      <c r="BU207" s="85">
        <v>125.47</v>
      </c>
      <c r="BX207" t="s">
        <v>731</v>
      </c>
      <c r="BZ207">
        <v>63304606</v>
      </c>
      <c r="CA207">
        <v>63304606</v>
      </c>
      <c r="CB207" t="s">
        <v>73</v>
      </c>
      <c r="CC207" t="s">
        <v>250</v>
      </c>
      <c r="CE207" t="s">
        <v>530</v>
      </c>
    </row>
    <row r="208" spans="1:83" x14ac:dyDescent="0.35">
      <c r="A208" t="s">
        <v>242</v>
      </c>
      <c r="B208">
        <v>3050535</v>
      </c>
      <c r="C208">
        <v>41651</v>
      </c>
      <c r="D208" t="s">
        <v>552</v>
      </c>
      <c r="E208">
        <v>322531401</v>
      </c>
      <c r="F208" t="s">
        <v>692</v>
      </c>
      <c r="G208" s="60">
        <v>46054</v>
      </c>
      <c r="H208">
        <v>40881218</v>
      </c>
      <c r="I208" t="s">
        <v>1340</v>
      </c>
      <c r="J208" t="s">
        <v>260</v>
      </c>
      <c r="K208" t="s">
        <v>65</v>
      </c>
      <c r="L208">
        <v>0</v>
      </c>
      <c r="M208">
        <v>0</v>
      </c>
      <c r="N208" t="s">
        <v>255</v>
      </c>
      <c r="O208" t="s">
        <v>255</v>
      </c>
      <c r="P208" t="s">
        <v>548</v>
      </c>
      <c r="Q208">
        <v>7000116</v>
      </c>
      <c r="R208">
        <v>12650000</v>
      </c>
      <c r="S208" s="50">
        <v>46035</v>
      </c>
      <c r="T208" s="50">
        <v>46081</v>
      </c>
      <c r="U208" t="s">
        <v>79</v>
      </c>
      <c r="V208" t="s">
        <v>249</v>
      </c>
      <c r="W208" t="s">
        <v>92</v>
      </c>
      <c r="X208" t="s">
        <v>86</v>
      </c>
      <c r="Y208" t="s">
        <v>291</v>
      </c>
      <c r="Z208">
        <v>10573696</v>
      </c>
      <c r="AA208" s="50">
        <v>46081</v>
      </c>
      <c r="AB208" s="87" t="s">
        <v>93</v>
      </c>
      <c r="AC208" s="86">
        <v>200310.12</v>
      </c>
      <c r="AD208" t="s">
        <v>70</v>
      </c>
      <c r="AE208" s="85">
        <v>138.58000000000001</v>
      </c>
      <c r="AF208" s="85">
        <v>138.58000000000001</v>
      </c>
      <c r="AG208" s="85"/>
      <c r="AH208" s="85"/>
      <c r="AI208" s="85"/>
      <c r="AJ208" s="85"/>
      <c r="AK208" s="85"/>
      <c r="AL208" s="85"/>
      <c r="AM208" s="85"/>
      <c r="AN208" s="85"/>
      <c r="AO208" s="85"/>
      <c r="AP208" s="85"/>
      <c r="AQ208" s="85"/>
      <c r="AR208" s="85"/>
      <c r="AS208" s="85"/>
      <c r="AT208" s="85"/>
      <c r="AU208" s="85"/>
      <c r="AV208" s="85"/>
      <c r="AW208" s="85"/>
      <c r="AX208" s="85"/>
      <c r="AY208" s="85"/>
      <c r="AZ208" s="85"/>
      <c r="BA208" s="85"/>
      <c r="BB208" s="85"/>
      <c r="BC208" s="85"/>
      <c r="BD208" s="85"/>
      <c r="BE208" s="85">
        <v>0</v>
      </c>
      <c r="BF208" s="85">
        <v>0</v>
      </c>
      <c r="BG208" s="85">
        <v>0</v>
      </c>
      <c r="BH208" s="85">
        <v>200310.12</v>
      </c>
      <c r="BI208" s="85">
        <v>138.58000000000001</v>
      </c>
      <c r="BJ208" s="85">
        <v>138.58000000000001</v>
      </c>
      <c r="BO208">
        <v>39.549999999999997</v>
      </c>
      <c r="BP208" s="86">
        <v>79227.66</v>
      </c>
      <c r="BQ208">
        <v>54.81</v>
      </c>
      <c r="BR208">
        <v>54.81</v>
      </c>
      <c r="BS208" s="85">
        <v>121082.46</v>
      </c>
      <c r="BT208" s="85">
        <v>83.77</v>
      </c>
      <c r="BU208" s="85">
        <v>83.77</v>
      </c>
      <c r="BX208" t="s">
        <v>731</v>
      </c>
      <c r="BZ208">
        <v>63304606</v>
      </c>
      <c r="CA208">
        <v>63304606</v>
      </c>
      <c r="CB208" t="s">
        <v>73</v>
      </c>
      <c r="CC208" t="s">
        <v>250</v>
      </c>
      <c r="CE208" t="s">
        <v>530</v>
      </c>
    </row>
    <row r="209" spans="1:83" x14ac:dyDescent="0.35">
      <c r="A209" t="s">
        <v>242</v>
      </c>
      <c r="B209">
        <v>3050535</v>
      </c>
      <c r="C209">
        <v>41651</v>
      </c>
      <c r="D209" t="s">
        <v>552</v>
      </c>
      <c r="E209">
        <v>322531401</v>
      </c>
      <c r="F209" t="s">
        <v>692</v>
      </c>
      <c r="G209" s="60">
        <v>46054</v>
      </c>
      <c r="H209">
        <v>40881389</v>
      </c>
      <c r="I209" t="s">
        <v>1254</v>
      </c>
      <c r="J209" t="s">
        <v>260</v>
      </c>
      <c r="K209" t="s">
        <v>65</v>
      </c>
      <c r="L209">
        <v>0</v>
      </c>
      <c r="M209">
        <v>0</v>
      </c>
      <c r="N209" t="s">
        <v>255</v>
      </c>
      <c r="O209" t="s">
        <v>255</v>
      </c>
      <c r="P209" t="s">
        <v>548</v>
      </c>
      <c r="Q209">
        <v>7000116</v>
      </c>
      <c r="R209">
        <v>12650000</v>
      </c>
      <c r="S209" s="50">
        <v>46035</v>
      </c>
      <c r="T209" s="50">
        <v>46081</v>
      </c>
      <c r="U209" t="s">
        <v>79</v>
      </c>
      <c r="V209" t="s">
        <v>249</v>
      </c>
      <c r="W209" t="s">
        <v>92</v>
      </c>
      <c r="X209" t="s">
        <v>86</v>
      </c>
      <c r="Y209" t="s">
        <v>291</v>
      </c>
      <c r="Z209">
        <v>10573696</v>
      </c>
      <c r="AA209" s="50">
        <v>46081</v>
      </c>
      <c r="AB209" s="87" t="s">
        <v>93</v>
      </c>
      <c r="AC209" s="86">
        <v>853.73</v>
      </c>
      <c r="AD209" t="s">
        <v>70</v>
      </c>
      <c r="AE209" s="85">
        <v>0.59</v>
      </c>
      <c r="AF209" s="85">
        <v>0.59</v>
      </c>
      <c r="AG209" s="85"/>
      <c r="AH209" s="85"/>
      <c r="AI209" s="85"/>
      <c r="AJ209" s="85"/>
      <c r="AK209" s="85"/>
      <c r="AL209" s="85"/>
      <c r="AM209" s="85"/>
      <c r="AN209" s="85"/>
      <c r="AO209" s="85"/>
      <c r="AP209" s="85"/>
      <c r="AQ209" s="85"/>
      <c r="AR209" s="85"/>
      <c r="AS209" s="85"/>
      <c r="AT209" s="85"/>
      <c r="AU209" s="85"/>
      <c r="AV209" s="85"/>
      <c r="AW209" s="85"/>
      <c r="AX209" s="85"/>
      <c r="AY209" s="85"/>
      <c r="AZ209" s="85"/>
      <c r="BA209" s="85"/>
      <c r="BB209" s="85"/>
      <c r="BC209" s="85"/>
      <c r="BD209" s="85"/>
      <c r="BE209" s="85">
        <v>0</v>
      </c>
      <c r="BF209" s="85">
        <v>0</v>
      </c>
      <c r="BG209" s="85">
        <v>0</v>
      </c>
      <c r="BH209" s="85">
        <v>853.73</v>
      </c>
      <c r="BI209" s="85">
        <v>0.59</v>
      </c>
      <c r="BJ209" s="85">
        <v>0.59</v>
      </c>
      <c r="BO209">
        <v>39.549999999999997</v>
      </c>
      <c r="BP209" s="86">
        <v>337.67</v>
      </c>
      <c r="BQ209">
        <v>0.23</v>
      </c>
      <c r="BR209">
        <v>0.23</v>
      </c>
      <c r="BS209" s="85">
        <v>516.05999999999995</v>
      </c>
      <c r="BT209" s="85">
        <v>0.36</v>
      </c>
      <c r="BU209" s="85">
        <v>0.36</v>
      </c>
      <c r="BX209" t="s">
        <v>731</v>
      </c>
      <c r="BZ209">
        <v>63304606</v>
      </c>
      <c r="CA209">
        <v>63304606</v>
      </c>
      <c r="CB209" t="s">
        <v>72</v>
      </c>
      <c r="CC209" t="s">
        <v>250</v>
      </c>
      <c r="CE209" t="s">
        <v>530</v>
      </c>
    </row>
    <row r="210" spans="1:83" x14ac:dyDescent="0.35">
      <c r="A210" t="s">
        <v>242</v>
      </c>
      <c r="B210">
        <v>3050535</v>
      </c>
      <c r="C210">
        <v>41651</v>
      </c>
      <c r="D210" t="s">
        <v>1341</v>
      </c>
      <c r="E210">
        <v>325268601</v>
      </c>
      <c r="F210" t="s">
        <v>1164</v>
      </c>
      <c r="G210" s="60">
        <v>46054</v>
      </c>
      <c r="H210">
        <v>40990410</v>
      </c>
      <c r="I210" t="s">
        <v>1342</v>
      </c>
      <c r="J210" t="s">
        <v>260</v>
      </c>
      <c r="K210" t="s">
        <v>65</v>
      </c>
      <c r="L210">
        <v>0</v>
      </c>
      <c r="M210">
        <v>0</v>
      </c>
      <c r="N210" t="s">
        <v>1171</v>
      </c>
      <c r="O210" t="s">
        <v>1171</v>
      </c>
      <c r="P210" t="s">
        <v>1165</v>
      </c>
      <c r="Q210">
        <v>4701762</v>
      </c>
      <c r="R210">
        <v>6399999.8399999999</v>
      </c>
      <c r="S210" s="50">
        <v>46078</v>
      </c>
      <c r="T210" s="50">
        <v>46089</v>
      </c>
      <c r="U210" t="s">
        <v>79</v>
      </c>
      <c r="V210" t="s">
        <v>249</v>
      </c>
      <c r="W210" t="s">
        <v>92</v>
      </c>
      <c r="X210" t="s">
        <v>86</v>
      </c>
      <c r="Y210" t="s">
        <v>291</v>
      </c>
      <c r="Z210">
        <v>10573698</v>
      </c>
      <c r="AA210" s="50">
        <v>46081</v>
      </c>
      <c r="AB210" s="87" t="s">
        <v>93</v>
      </c>
      <c r="AC210" s="86">
        <v>1065199.8799999999</v>
      </c>
      <c r="AD210" t="s">
        <v>70</v>
      </c>
      <c r="AE210" s="85">
        <v>736.96</v>
      </c>
      <c r="AF210" s="85">
        <v>736.96</v>
      </c>
      <c r="AG210" s="85"/>
      <c r="AH210" s="85"/>
      <c r="AI210" s="85"/>
      <c r="AJ210" s="85"/>
      <c r="AK210" s="85"/>
      <c r="AL210" s="85"/>
      <c r="AM210" s="85"/>
      <c r="AN210" s="85"/>
      <c r="AO210" s="85"/>
      <c r="AP210" s="85"/>
      <c r="AQ210" s="85"/>
      <c r="AR210" s="85"/>
      <c r="AS210" s="85"/>
      <c r="AT210" s="85"/>
      <c r="AU210" s="85"/>
      <c r="AV210" s="85"/>
      <c r="AW210" s="85"/>
      <c r="AX210" s="85"/>
      <c r="AY210" s="85"/>
      <c r="AZ210" s="85"/>
      <c r="BA210" s="85"/>
      <c r="BB210" s="85"/>
      <c r="BC210" s="85"/>
      <c r="BD210" s="85"/>
      <c r="BE210" s="85">
        <v>0</v>
      </c>
      <c r="BF210" s="85">
        <v>0</v>
      </c>
      <c r="BG210" s="85">
        <v>0</v>
      </c>
      <c r="BH210" s="85">
        <v>1065199.8799999999</v>
      </c>
      <c r="BI210" s="85">
        <v>736.96</v>
      </c>
      <c r="BJ210" s="85">
        <v>736.96</v>
      </c>
      <c r="BO210">
        <v>22</v>
      </c>
      <c r="BP210" s="86">
        <v>234343.97</v>
      </c>
      <c r="BQ210">
        <v>162.13</v>
      </c>
      <c r="BR210">
        <v>162.13</v>
      </c>
      <c r="BS210" s="85">
        <v>830855.91</v>
      </c>
      <c r="BT210" s="85">
        <v>574.83000000000004</v>
      </c>
      <c r="BU210" s="85">
        <v>574.83000000000004</v>
      </c>
      <c r="BX210" t="s">
        <v>1343</v>
      </c>
      <c r="BZ210">
        <v>207886551</v>
      </c>
      <c r="CA210">
        <v>207886551</v>
      </c>
      <c r="CB210" t="s">
        <v>73</v>
      </c>
      <c r="CC210" t="s">
        <v>250</v>
      </c>
      <c r="CE210" t="s">
        <v>530</v>
      </c>
    </row>
    <row r="211" spans="1:83" x14ac:dyDescent="0.35">
      <c r="A211" t="s">
        <v>242</v>
      </c>
      <c r="B211">
        <v>3050535</v>
      </c>
      <c r="C211">
        <v>41651</v>
      </c>
      <c r="D211" t="s">
        <v>542</v>
      </c>
      <c r="E211">
        <v>322149901</v>
      </c>
      <c r="F211" t="s">
        <v>671</v>
      </c>
      <c r="G211" s="60">
        <v>46054</v>
      </c>
      <c r="H211">
        <v>40776253</v>
      </c>
      <c r="I211" t="s">
        <v>761</v>
      </c>
      <c r="J211" t="s">
        <v>260</v>
      </c>
      <c r="K211" t="s">
        <v>65</v>
      </c>
      <c r="L211">
        <v>0</v>
      </c>
      <c r="M211">
        <v>0</v>
      </c>
      <c r="N211" t="s">
        <v>259</v>
      </c>
      <c r="O211" t="s">
        <v>259</v>
      </c>
      <c r="P211" t="s">
        <v>524</v>
      </c>
      <c r="Q211">
        <v>292695</v>
      </c>
      <c r="R211">
        <v>8576000</v>
      </c>
      <c r="S211" s="50">
        <v>46023</v>
      </c>
      <c r="T211" s="50">
        <v>46081</v>
      </c>
      <c r="U211" t="s">
        <v>79</v>
      </c>
      <c r="V211" t="s">
        <v>249</v>
      </c>
      <c r="W211" t="s">
        <v>92</v>
      </c>
      <c r="X211" t="s">
        <v>86</v>
      </c>
      <c r="Y211" t="s">
        <v>291</v>
      </c>
      <c r="Z211">
        <v>10573693</v>
      </c>
      <c r="AA211" s="50">
        <v>46081</v>
      </c>
      <c r="AB211" s="87" t="s">
        <v>93</v>
      </c>
      <c r="AC211" s="86">
        <v>213624.01</v>
      </c>
      <c r="AD211" t="s">
        <v>70</v>
      </c>
      <c r="AE211" s="85">
        <v>147.80000000000001</v>
      </c>
      <c r="AF211" s="85">
        <v>147.80000000000001</v>
      </c>
      <c r="AG211" s="85"/>
      <c r="AH211" s="85"/>
      <c r="AI211" s="85"/>
      <c r="AJ211" s="85"/>
      <c r="AK211" s="85"/>
      <c r="AL211" s="85"/>
      <c r="AM211" s="85"/>
      <c r="AN211" s="85"/>
      <c r="AO211" s="85"/>
      <c r="AP211" s="85"/>
      <c r="AQ211" s="85"/>
      <c r="AR211" s="85"/>
      <c r="AS211" s="85"/>
      <c r="AT211" s="85"/>
      <c r="AU211" s="85"/>
      <c r="AV211" s="85"/>
      <c r="AW211" s="85"/>
      <c r="AX211" s="85"/>
      <c r="AY211" s="85"/>
      <c r="AZ211" s="85"/>
      <c r="BA211" s="85"/>
      <c r="BB211" s="85"/>
      <c r="BC211" s="85"/>
      <c r="BD211" s="85"/>
      <c r="BE211" s="85">
        <v>0</v>
      </c>
      <c r="BF211" s="85">
        <v>0</v>
      </c>
      <c r="BG211" s="85">
        <v>0</v>
      </c>
      <c r="BH211" s="85">
        <v>213624.01</v>
      </c>
      <c r="BI211" s="85">
        <v>147.80000000000001</v>
      </c>
      <c r="BJ211" s="85">
        <v>147.80000000000001</v>
      </c>
      <c r="BO211">
        <v>39.549999999999997</v>
      </c>
      <c r="BP211" s="86">
        <v>84493.64</v>
      </c>
      <c r="BQ211">
        <v>58.46</v>
      </c>
      <c r="BR211">
        <v>58.46</v>
      </c>
      <c r="BS211" s="85">
        <v>129130.37</v>
      </c>
      <c r="BT211" s="85">
        <v>89.34</v>
      </c>
      <c r="BU211" s="85">
        <v>89.34</v>
      </c>
      <c r="BX211" t="s">
        <v>725</v>
      </c>
      <c r="BZ211">
        <v>66013147</v>
      </c>
      <c r="CA211">
        <v>66013147</v>
      </c>
      <c r="CB211" t="s">
        <v>73</v>
      </c>
      <c r="CC211" t="s">
        <v>250</v>
      </c>
      <c r="CE211" t="s">
        <v>530</v>
      </c>
    </row>
    <row r="212" spans="1:83" x14ac:dyDescent="0.35">
      <c r="A212" t="s">
        <v>242</v>
      </c>
      <c r="B212">
        <v>3050535</v>
      </c>
      <c r="C212">
        <v>41651</v>
      </c>
      <c r="E212">
        <v>323787901</v>
      </c>
      <c r="F212" t="s">
        <v>1026</v>
      </c>
      <c r="G212" s="60">
        <v>46054</v>
      </c>
      <c r="I212" t="s">
        <v>1214</v>
      </c>
      <c r="J212" t="s">
        <v>260</v>
      </c>
      <c r="K212" t="s">
        <v>65</v>
      </c>
      <c r="N212" t="s">
        <v>243</v>
      </c>
      <c r="O212" t="s">
        <v>243</v>
      </c>
      <c r="P212" t="s">
        <v>284</v>
      </c>
      <c r="Q212">
        <v>2801591</v>
      </c>
      <c r="R212">
        <v>5000000</v>
      </c>
      <c r="S212" s="50"/>
      <c r="T212" s="50"/>
      <c r="U212" t="s">
        <v>79</v>
      </c>
      <c r="V212" t="s">
        <v>249</v>
      </c>
      <c r="W212" t="s">
        <v>92</v>
      </c>
      <c r="X212" t="s">
        <v>86</v>
      </c>
      <c r="Y212" t="s">
        <v>291</v>
      </c>
      <c r="Z212">
        <v>10573631</v>
      </c>
      <c r="AA212" s="50">
        <v>46081</v>
      </c>
      <c r="AB212" s="87" t="s">
        <v>93</v>
      </c>
      <c r="AC212" s="86">
        <v>-4389.96</v>
      </c>
      <c r="AD212" t="s">
        <v>70</v>
      </c>
      <c r="AE212" s="85">
        <v>-3.04</v>
      </c>
      <c r="AF212" s="85">
        <v>-3.04</v>
      </c>
      <c r="AG212" s="85"/>
      <c r="AH212" s="85"/>
      <c r="AI212" s="85"/>
      <c r="AJ212" s="85"/>
      <c r="AK212" s="85"/>
      <c r="AL212" s="85"/>
      <c r="AM212" s="85"/>
      <c r="AN212" s="85"/>
      <c r="AO212" s="85"/>
      <c r="AP212" s="85"/>
      <c r="AQ212" s="85"/>
      <c r="AR212" s="85"/>
      <c r="AS212" s="85"/>
      <c r="AT212" s="85"/>
      <c r="AU212" s="85"/>
      <c r="AV212" s="85"/>
      <c r="AW212" s="85"/>
      <c r="AX212" s="85"/>
      <c r="AY212" s="85"/>
      <c r="AZ212" s="85"/>
      <c r="BA212" s="85"/>
      <c r="BB212" s="85"/>
      <c r="BC212" s="85"/>
      <c r="BD212" s="85"/>
      <c r="BE212" s="85">
        <v>0</v>
      </c>
      <c r="BF212" s="85">
        <v>0</v>
      </c>
      <c r="BG212" s="85">
        <v>0</v>
      </c>
      <c r="BH212" s="85">
        <v>-4389.96</v>
      </c>
      <c r="BI212" s="85">
        <v>-3.04</v>
      </c>
      <c r="BJ212" s="85">
        <v>-3.04</v>
      </c>
      <c r="BO212">
        <v>39.549999999999997</v>
      </c>
      <c r="BP212" s="86">
        <v>-1736.34</v>
      </c>
      <c r="BQ212">
        <v>-1.2</v>
      </c>
      <c r="BR212">
        <v>-1.2</v>
      </c>
      <c r="BS212" s="85">
        <v>-2653.62</v>
      </c>
      <c r="BT212" s="85">
        <v>-1.84</v>
      </c>
      <c r="BU212" s="85">
        <v>-1.84</v>
      </c>
      <c r="BX212" t="s">
        <v>1183</v>
      </c>
      <c r="BZ212">
        <v>14030950</v>
      </c>
      <c r="CA212">
        <v>14030950</v>
      </c>
      <c r="CC212" t="s">
        <v>250</v>
      </c>
      <c r="CE212" t="s">
        <v>530</v>
      </c>
    </row>
    <row r="213" spans="1:83" x14ac:dyDescent="0.35">
      <c r="A213" t="s">
        <v>242</v>
      </c>
      <c r="B213">
        <v>3050535</v>
      </c>
      <c r="C213">
        <v>41651</v>
      </c>
      <c r="D213" t="s">
        <v>262</v>
      </c>
      <c r="E213">
        <v>322158401</v>
      </c>
      <c r="F213" t="s">
        <v>676</v>
      </c>
      <c r="G213" s="60">
        <v>46054</v>
      </c>
      <c r="H213">
        <v>40887371</v>
      </c>
      <c r="I213" t="s">
        <v>1261</v>
      </c>
      <c r="J213" t="s">
        <v>260</v>
      </c>
      <c r="K213" t="s">
        <v>65</v>
      </c>
      <c r="L213">
        <v>0</v>
      </c>
      <c r="M213">
        <v>0</v>
      </c>
      <c r="N213" t="s">
        <v>561</v>
      </c>
      <c r="O213" t="s">
        <v>561</v>
      </c>
      <c r="P213" t="s">
        <v>257</v>
      </c>
      <c r="Q213">
        <v>57936819</v>
      </c>
      <c r="R213">
        <v>9869791.9600000009</v>
      </c>
      <c r="S213" s="50">
        <v>46024</v>
      </c>
      <c r="T213" s="50">
        <v>46081</v>
      </c>
      <c r="U213" t="s">
        <v>69</v>
      </c>
      <c r="V213" t="s">
        <v>249</v>
      </c>
      <c r="W213" t="s">
        <v>92</v>
      </c>
      <c r="X213" t="s">
        <v>86</v>
      </c>
      <c r="Y213" t="s">
        <v>291</v>
      </c>
      <c r="Z213">
        <v>10573703</v>
      </c>
      <c r="AA213" s="50">
        <v>46081</v>
      </c>
      <c r="AB213" s="87" t="s">
        <v>93</v>
      </c>
      <c r="AC213" s="86">
        <v>12363.07</v>
      </c>
      <c r="AD213" t="s">
        <v>70</v>
      </c>
      <c r="AE213" s="85">
        <v>8.5500000000000007</v>
      </c>
      <c r="AF213" s="85">
        <v>8.5500000000000007</v>
      </c>
      <c r="AG213" s="85"/>
      <c r="AH213" s="85"/>
      <c r="AI213" s="85"/>
      <c r="AJ213" s="85"/>
      <c r="AK213" s="85"/>
      <c r="AL213" s="85"/>
      <c r="AM213" s="85"/>
      <c r="AN213" s="85"/>
      <c r="AO213" s="85"/>
      <c r="AP213" s="85"/>
      <c r="AQ213" s="85"/>
      <c r="AR213" s="85"/>
      <c r="AS213" s="85"/>
      <c r="AT213" s="85"/>
      <c r="AU213" s="85"/>
      <c r="AV213" s="85"/>
      <c r="AW213" s="85"/>
      <c r="AX213" s="85"/>
      <c r="AY213" s="85"/>
      <c r="AZ213" s="85"/>
      <c r="BA213" s="85"/>
      <c r="BB213" s="85"/>
      <c r="BC213" s="85"/>
      <c r="BD213" s="85"/>
      <c r="BE213" s="85">
        <v>0</v>
      </c>
      <c r="BF213" s="85">
        <v>0</v>
      </c>
      <c r="BG213" s="85">
        <v>0</v>
      </c>
      <c r="BH213" s="85">
        <v>12363.07</v>
      </c>
      <c r="BI213" s="85">
        <v>8.5500000000000007</v>
      </c>
      <c r="BJ213" s="85">
        <v>8.5500000000000007</v>
      </c>
      <c r="BO213">
        <v>39.549999999999997</v>
      </c>
      <c r="BP213" s="86">
        <v>4889.8999999999996</v>
      </c>
      <c r="BQ213">
        <v>3.38</v>
      </c>
      <c r="BR213">
        <v>3.38</v>
      </c>
      <c r="BS213" s="85">
        <v>7473.17</v>
      </c>
      <c r="BT213" s="85">
        <v>5.17</v>
      </c>
      <c r="BU213" s="85">
        <v>5.17</v>
      </c>
      <c r="BX213" t="s">
        <v>723</v>
      </c>
      <c r="BZ213">
        <v>224573</v>
      </c>
      <c r="CA213">
        <v>224573</v>
      </c>
      <c r="CB213" t="s">
        <v>251</v>
      </c>
      <c r="CC213" t="s">
        <v>250</v>
      </c>
      <c r="CE213" t="s">
        <v>530</v>
      </c>
    </row>
    <row r="214" spans="1:83" x14ac:dyDescent="0.35">
      <c r="A214" t="s">
        <v>242</v>
      </c>
      <c r="B214">
        <v>3050535</v>
      </c>
      <c r="C214">
        <v>41651</v>
      </c>
      <c r="D214" t="s">
        <v>1218</v>
      </c>
      <c r="E214">
        <v>324900001</v>
      </c>
      <c r="F214" t="s">
        <v>1116</v>
      </c>
      <c r="G214" s="60">
        <v>46054</v>
      </c>
      <c r="H214">
        <v>40937826</v>
      </c>
      <c r="I214" t="s">
        <v>1344</v>
      </c>
      <c r="J214" t="s">
        <v>260</v>
      </c>
      <c r="K214" t="s">
        <v>65</v>
      </c>
      <c r="L214">
        <v>0</v>
      </c>
      <c r="M214">
        <v>0</v>
      </c>
      <c r="N214" t="s">
        <v>94</v>
      </c>
      <c r="O214" t="s">
        <v>94</v>
      </c>
      <c r="P214" t="s">
        <v>1117</v>
      </c>
      <c r="Q214">
        <v>110597037</v>
      </c>
      <c r="R214">
        <v>8084766</v>
      </c>
      <c r="S214" s="50">
        <v>46066</v>
      </c>
      <c r="T214" s="50">
        <v>46068</v>
      </c>
      <c r="U214" t="s">
        <v>69</v>
      </c>
      <c r="V214" t="s">
        <v>249</v>
      </c>
      <c r="W214" t="s">
        <v>92</v>
      </c>
      <c r="X214" t="s">
        <v>86</v>
      </c>
      <c r="Y214" t="s">
        <v>291</v>
      </c>
      <c r="Z214">
        <v>10573719</v>
      </c>
      <c r="AA214" s="50">
        <v>46081</v>
      </c>
      <c r="AB214" s="87" t="s">
        <v>93</v>
      </c>
      <c r="AC214" s="86">
        <v>16709.939999999999</v>
      </c>
      <c r="AD214" t="s">
        <v>70</v>
      </c>
      <c r="AE214" s="85">
        <v>11.56</v>
      </c>
      <c r="AF214" s="85">
        <v>11.56</v>
      </c>
      <c r="AG214" s="85"/>
      <c r="AH214" s="85"/>
      <c r="AI214" s="85"/>
      <c r="AJ214" s="85"/>
      <c r="AK214" s="85"/>
      <c r="AL214" s="85"/>
      <c r="AM214" s="85"/>
      <c r="AN214" s="85"/>
      <c r="AO214" s="85"/>
      <c r="AP214" s="85"/>
      <c r="AQ214" s="85"/>
      <c r="AR214" s="85"/>
      <c r="AS214" s="85"/>
      <c r="AT214" s="85"/>
      <c r="AU214" s="85"/>
      <c r="AV214" s="85"/>
      <c r="AW214" s="85"/>
      <c r="AX214" s="85"/>
      <c r="AY214" s="85"/>
      <c r="AZ214" s="85"/>
      <c r="BA214" s="85"/>
      <c r="BB214" s="85"/>
      <c r="BC214" s="85"/>
      <c r="BD214" s="85"/>
      <c r="BE214" s="85">
        <v>0</v>
      </c>
      <c r="BF214" s="85">
        <v>0</v>
      </c>
      <c r="BG214" s="85">
        <v>0</v>
      </c>
      <c r="BH214" s="85">
        <v>16709.939999999999</v>
      </c>
      <c r="BI214" s="85">
        <v>11.56</v>
      </c>
      <c r="BJ214" s="85">
        <v>11.56</v>
      </c>
      <c r="BO214">
        <v>22</v>
      </c>
      <c r="BP214" s="86">
        <v>3676.19</v>
      </c>
      <c r="BQ214">
        <v>2.54</v>
      </c>
      <c r="BR214">
        <v>2.54</v>
      </c>
      <c r="BS214" s="85">
        <v>13033.75</v>
      </c>
      <c r="BT214" s="85">
        <v>9.02</v>
      </c>
      <c r="BU214" s="85">
        <v>9.02</v>
      </c>
      <c r="BX214" t="s">
        <v>1345</v>
      </c>
      <c r="BZ214">
        <v>224554</v>
      </c>
      <c r="CA214">
        <v>224554</v>
      </c>
      <c r="CB214" t="s">
        <v>73</v>
      </c>
      <c r="CC214" t="s">
        <v>250</v>
      </c>
      <c r="CE214" t="s">
        <v>530</v>
      </c>
    </row>
    <row r="215" spans="1:83" x14ac:dyDescent="0.35">
      <c r="A215" t="s">
        <v>242</v>
      </c>
      <c r="B215">
        <v>3050535</v>
      </c>
      <c r="C215">
        <v>41651</v>
      </c>
      <c r="D215" t="s">
        <v>774</v>
      </c>
      <c r="E215">
        <v>323787401</v>
      </c>
      <c r="F215" t="s">
        <v>715</v>
      </c>
      <c r="G215" s="60">
        <v>46054</v>
      </c>
      <c r="H215">
        <v>40859691</v>
      </c>
      <c r="I215" t="s">
        <v>775</v>
      </c>
      <c r="J215" t="s">
        <v>260</v>
      </c>
      <c r="K215" t="s">
        <v>65</v>
      </c>
      <c r="L215">
        <v>0</v>
      </c>
      <c r="M215">
        <v>0</v>
      </c>
      <c r="N215" t="s">
        <v>720</v>
      </c>
      <c r="O215" t="s">
        <v>720</v>
      </c>
      <c r="P215" t="s">
        <v>716</v>
      </c>
      <c r="Q215">
        <v>209164024</v>
      </c>
      <c r="R215">
        <v>50000</v>
      </c>
      <c r="S215" s="50">
        <v>46049</v>
      </c>
      <c r="T215" s="50">
        <v>46203</v>
      </c>
      <c r="U215" t="s">
        <v>79</v>
      </c>
      <c r="V215" t="s">
        <v>249</v>
      </c>
      <c r="W215" t="s">
        <v>719</v>
      </c>
      <c r="X215" t="s">
        <v>86</v>
      </c>
      <c r="Y215" t="s">
        <v>291</v>
      </c>
      <c r="Z215">
        <v>10572880</v>
      </c>
      <c r="AA215" s="50">
        <v>46081</v>
      </c>
      <c r="AB215" s="87" t="s">
        <v>70</v>
      </c>
      <c r="AC215" s="86">
        <v>1722</v>
      </c>
      <c r="AD215" t="s">
        <v>70</v>
      </c>
      <c r="AE215" s="85">
        <v>1722</v>
      </c>
      <c r="AF215" s="85">
        <v>1722</v>
      </c>
      <c r="AG215" s="85"/>
      <c r="AH215" s="85"/>
      <c r="AI215" s="85"/>
      <c r="AJ215" s="85"/>
      <c r="AK215" s="85"/>
      <c r="AL215" s="85"/>
      <c r="AM215" s="85"/>
      <c r="AN215" s="85"/>
      <c r="AO215" s="85"/>
      <c r="AP215" s="85"/>
      <c r="AQ215" s="85"/>
      <c r="AR215" s="85"/>
      <c r="AS215" s="85"/>
      <c r="AT215" s="85"/>
      <c r="AU215" s="85"/>
      <c r="AV215" s="85"/>
      <c r="AW215" s="85"/>
      <c r="AX215" s="85"/>
      <c r="AY215" s="85"/>
      <c r="AZ215" s="85"/>
      <c r="BA215" s="85"/>
      <c r="BB215" s="85"/>
      <c r="BC215" s="85"/>
      <c r="BD215" s="85"/>
      <c r="BE215" s="85">
        <v>0</v>
      </c>
      <c r="BF215" s="85">
        <v>0</v>
      </c>
      <c r="BG215" s="85">
        <v>0</v>
      </c>
      <c r="BH215" s="85">
        <v>1722</v>
      </c>
      <c r="BI215" s="85">
        <v>1722</v>
      </c>
      <c r="BJ215" s="85">
        <v>1722</v>
      </c>
      <c r="BO215">
        <v>15</v>
      </c>
      <c r="BP215" s="86">
        <v>258.3</v>
      </c>
      <c r="BQ215">
        <v>258.3</v>
      </c>
      <c r="BR215">
        <v>258.3</v>
      </c>
      <c r="BS215" s="85">
        <v>1463.7</v>
      </c>
      <c r="BT215" s="85">
        <v>1463.7</v>
      </c>
      <c r="BU215" s="85">
        <v>1463.7</v>
      </c>
      <c r="BX215" t="s">
        <v>776</v>
      </c>
      <c r="BZ215">
        <v>140088451</v>
      </c>
      <c r="CA215">
        <v>140088451</v>
      </c>
      <c r="CB215" t="s">
        <v>72</v>
      </c>
      <c r="CC215" t="s">
        <v>250</v>
      </c>
      <c r="CE215" t="s">
        <v>530</v>
      </c>
    </row>
    <row r="216" spans="1:83" x14ac:dyDescent="0.35">
      <c r="A216" t="s">
        <v>242</v>
      </c>
      <c r="B216">
        <v>3050535</v>
      </c>
      <c r="C216">
        <v>41651</v>
      </c>
      <c r="D216" t="s">
        <v>262</v>
      </c>
      <c r="E216">
        <v>323164701</v>
      </c>
      <c r="F216" t="s">
        <v>703</v>
      </c>
      <c r="G216" s="60">
        <v>46054</v>
      </c>
      <c r="H216">
        <v>40822591</v>
      </c>
      <c r="I216" t="s">
        <v>764</v>
      </c>
      <c r="J216" t="s">
        <v>260</v>
      </c>
      <c r="K216" t="s">
        <v>65</v>
      </c>
      <c r="L216">
        <v>0</v>
      </c>
      <c r="M216">
        <v>0</v>
      </c>
      <c r="N216" t="s">
        <v>561</v>
      </c>
      <c r="O216" t="s">
        <v>561</v>
      </c>
      <c r="P216" t="s">
        <v>257</v>
      </c>
      <c r="Q216">
        <v>57936819</v>
      </c>
      <c r="R216">
        <v>8949933.4199999999</v>
      </c>
      <c r="S216" s="50">
        <v>46042</v>
      </c>
      <c r="T216" s="50">
        <v>46081</v>
      </c>
      <c r="U216" t="s">
        <v>69</v>
      </c>
      <c r="V216" t="s">
        <v>249</v>
      </c>
      <c r="W216" t="s">
        <v>92</v>
      </c>
      <c r="X216" t="s">
        <v>86</v>
      </c>
      <c r="Y216" t="s">
        <v>291</v>
      </c>
      <c r="Z216">
        <v>10573633</v>
      </c>
      <c r="AA216" s="50">
        <v>46081</v>
      </c>
      <c r="AB216" s="87" t="s">
        <v>93</v>
      </c>
      <c r="AC216" s="86">
        <v>542338.96</v>
      </c>
      <c r="AD216" t="s">
        <v>70</v>
      </c>
      <c r="AE216" s="85">
        <v>375.22</v>
      </c>
      <c r="AF216" s="85">
        <v>375.22</v>
      </c>
      <c r="AG216" s="85"/>
      <c r="AH216" s="85"/>
      <c r="AI216" s="85"/>
      <c r="AJ216" s="85"/>
      <c r="AK216" s="85"/>
      <c r="AL216" s="85"/>
      <c r="AM216" s="85"/>
      <c r="AN216" s="85"/>
      <c r="AO216" s="85"/>
      <c r="AP216" s="85"/>
      <c r="AQ216" s="85"/>
      <c r="AR216" s="85"/>
      <c r="AS216" s="85"/>
      <c r="AT216" s="85"/>
      <c r="AU216" s="85"/>
      <c r="AV216" s="85"/>
      <c r="AW216" s="85"/>
      <c r="AX216" s="85"/>
      <c r="AY216" s="85"/>
      <c r="AZ216" s="85"/>
      <c r="BA216" s="85"/>
      <c r="BB216" s="85"/>
      <c r="BC216" s="85"/>
      <c r="BD216" s="85"/>
      <c r="BE216" s="85">
        <v>0</v>
      </c>
      <c r="BF216" s="85">
        <v>0</v>
      </c>
      <c r="BG216" s="85">
        <v>0</v>
      </c>
      <c r="BH216" s="85">
        <v>542338.96</v>
      </c>
      <c r="BI216" s="85">
        <v>375.22</v>
      </c>
      <c r="BJ216" s="85">
        <v>375.22</v>
      </c>
      <c r="BO216">
        <v>39.549999999999997</v>
      </c>
      <c r="BP216" s="86">
        <v>214508.62</v>
      </c>
      <c r="BQ216">
        <v>148.41</v>
      </c>
      <c r="BR216">
        <v>148.41</v>
      </c>
      <c r="BS216" s="85">
        <v>327830.34000000003</v>
      </c>
      <c r="BT216" s="85">
        <v>226.81</v>
      </c>
      <c r="BU216" s="85">
        <v>226.81</v>
      </c>
      <c r="BX216" t="s">
        <v>765</v>
      </c>
      <c r="BZ216">
        <v>224573</v>
      </c>
      <c r="CA216">
        <v>224573</v>
      </c>
      <c r="CB216" t="s">
        <v>73</v>
      </c>
      <c r="CC216" t="s">
        <v>250</v>
      </c>
      <c r="CE216" t="s">
        <v>530</v>
      </c>
    </row>
    <row r="217" spans="1:83" x14ac:dyDescent="0.35">
      <c r="A217" t="s">
        <v>242</v>
      </c>
      <c r="B217">
        <v>3050535</v>
      </c>
      <c r="C217">
        <v>41651</v>
      </c>
      <c r="D217" t="s">
        <v>583</v>
      </c>
      <c r="E217">
        <v>324930701</v>
      </c>
      <c r="F217" t="s">
        <v>1139</v>
      </c>
      <c r="G217" s="60">
        <v>46054</v>
      </c>
      <c r="H217">
        <v>40938204</v>
      </c>
      <c r="I217" t="s">
        <v>1346</v>
      </c>
      <c r="J217" t="s">
        <v>260</v>
      </c>
      <c r="K217" t="s">
        <v>65</v>
      </c>
      <c r="L217">
        <v>0</v>
      </c>
      <c r="M217">
        <v>0</v>
      </c>
      <c r="N217" t="s">
        <v>108</v>
      </c>
      <c r="O217" t="s">
        <v>108</v>
      </c>
      <c r="P217" t="s">
        <v>104</v>
      </c>
      <c r="Q217">
        <v>292623</v>
      </c>
      <c r="R217">
        <v>249000.75</v>
      </c>
      <c r="S217" s="50">
        <v>46067</v>
      </c>
      <c r="T217" s="50">
        <v>46074</v>
      </c>
      <c r="U217" t="s">
        <v>79</v>
      </c>
      <c r="V217" t="s">
        <v>249</v>
      </c>
      <c r="W217" t="s">
        <v>92</v>
      </c>
      <c r="X217" t="s">
        <v>86</v>
      </c>
      <c r="Y217" t="s">
        <v>291</v>
      </c>
      <c r="Z217">
        <v>10573684</v>
      </c>
      <c r="AA217" s="50">
        <v>46081</v>
      </c>
      <c r="AB217" s="87" t="s">
        <v>93</v>
      </c>
      <c r="AC217" s="86">
        <v>92205.06</v>
      </c>
      <c r="AD217" t="s">
        <v>70</v>
      </c>
      <c r="AE217" s="85">
        <v>63.79</v>
      </c>
      <c r="AF217" s="85">
        <v>63.79</v>
      </c>
      <c r="AG217" s="85"/>
      <c r="AH217" s="85"/>
      <c r="AI217" s="85"/>
      <c r="AJ217" s="85"/>
      <c r="AK217" s="85"/>
      <c r="AL217" s="85"/>
      <c r="AM217" s="85"/>
      <c r="AN217" s="85"/>
      <c r="AO217" s="85"/>
      <c r="AP217" s="85"/>
      <c r="AQ217" s="85"/>
      <c r="AR217" s="85"/>
      <c r="AS217" s="85"/>
      <c r="AT217" s="85"/>
      <c r="AU217" s="85"/>
      <c r="AV217" s="85"/>
      <c r="AW217" s="85"/>
      <c r="AX217" s="85"/>
      <c r="AY217" s="85"/>
      <c r="AZ217" s="85"/>
      <c r="BA217" s="85"/>
      <c r="BB217" s="85"/>
      <c r="BC217" s="85"/>
      <c r="BD217" s="85"/>
      <c r="BE217" s="85">
        <v>0</v>
      </c>
      <c r="BF217" s="85">
        <v>0</v>
      </c>
      <c r="BG217" s="85">
        <v>0</v>
      </c>
      <c r="BH217" s="85">
        <v>92205.06</v>
      </c>
      <c r="BI217" s="85">
        <v>63.79</v>
      </c>
      <c r="BJ217" s="85">
        <v>63.79</v>
      </c>
      <c r="BO217">
        <v>22</v>
      </c>
      <c r="BP217" s="86">
        <v>20285.11</v>
      </c>
      <c r="BQ217">
        <v>14.03</v>
      </c>
      <c r="BR217">
        <v>14.03</v>
      </c>
      <c r="BS217" s="85">
        <v>71919.95</v>
      </c>
      <c r="BT217" s="85">
        <v>49.76</v>
      </c>
      <c r="BU217" s="85">
        <v>49.76</v>
      </c>
      <c r="BX217" t="s">
        <v>1264</v>
      </c>
      <c r="BZ217">
        <v>224529</v>
      </c>
      <c r="CA217">
        <v>224529</v>
      </c>
      <c r="CB217" t="s">
        <v>73</v>
      </c>
      <c r="CC217" t="s">
        <v>250</v>
      </c>
      <c r="CE217" t="s">
        <v>530</v>
      </c>
    </row>
    <row r="218" spans="1:83" x14ac:dyDescent="0.35">
      <c r="A218" t="s">
        <v>242</v>
      </c>
      <c r="B218">
        <v>3050535</v>
      </c>
      <c r="C218">
        <v>41651</v>
      </c>
      <c r="D218" t="s">
        <v>644</v>
      </c>
      <c r="E218">
        <v>323787901</v>
      </c>
      <c r="F218" t="s">
        <v>1026</v>
      </c>
      <c r="G218" s="60">
        <v>46054</v>
      </c>
      <c r="H218">
        <v>40881231</v>
      </c>
      <c r="I218" t="s">
        <v>786</v>
      </c>
      <c r="J218" t="s">
        <v>260</v>
      </c>
      <c r="K218" t="s">
        <v>65</v>
      </c>
      <c r="L218">
        <v>0</v>
      </c>
      <c r="M218">
        <v>0</v>
      </c>
      <c r="N218" t="s">
        <v>243</v>
      </c>
      <c r="O218" t="s">
        <v>243</v>
      </c>
      <c r="P218" t="s">
        <v>284</v>
      </c>
      <c r="Q218">
        <v>2801591</v>
      </c>
      <c r="R218">
        <v>5000000</v>
      </c>
      <c r="S218" s="50">
        <v>46054</v>
      </c>
      <c r="T218" s="50">
        <v>46081</v>
      </c>
      <c r="U218" t="s">
        <v>79</v>
      </c>
      <c r="V218" t="s">
        <v>249</v>
      </c>
      <c r="W218" t="s">
        <v>92</v>
      </c>
      <c r="X218" t="s">
        <v>86</v>
      </c>
      <c r="Y218" t="s">
        <v>291</v>
      </c>
      <c r="Z218">
        <v>10573631</v>
      </c>
      <c r="AA218" s="50">
        <v>46081</v>
      </c>
      <c r="AB218" s="87" t="s">
        <v>93</v>
      </c>
      <c r="AC218" s="86">
        <v>1678.16</v>
      </c>
      <c r="AD218" t="s">
        <v>70</v>
      </c>
      <c r="AE218" s="85">
        <v>1.1599999999999999</v>
      </c>
      <c r="AF218" s="85">
        <v>1.1599999999999999</v>
      </c>
      <c r="AG218" s="85"/>
      <c r="AH218" s="85"/>
      <c r="AI218" s="85"/>
      <c r="AJ218" s="85"/>
      <c r="AK218" s="85"/>
      <c r="AL218" s="85"/>
      <c r="AM218" s="85"/>
      <c r="AN218" s="85"/>
      <c r="AO218" s="85"/>
      <c r="AP218" s="85"/>
      <c r="AQ218" s="85"/>
      <c r="AR218" s="85"/>
      <c r="AS218" s="85"/>
      <c r="AT218" s="85"/>
      <c r="AU218" s="85"/>
      <c r="AV218" s="85"/>
      <c r="AW218" s="85"/>
      <c r="AX218" s="85"/>
      <c r="AY218" s="85"/>
      <c r="AZ218" s="85"/>
      <c r="BA218" s="85"/>
      <c r="BB218" s="85"/>
      <c r="BC218" s="85"/>
      <c r="BD218" s="85"/>
      <c r="BE218" s="85">
        <v>0</v>
      </c>
      <c r="BF218" s="85">
        <v>0</v>
      </c>
      <c r="BG218" s="85">
        <v>0</v>
      </c>
      <c r="BH218" s="85">
        <v>1678.16</v>
      </c>
      <c r="BI218" s="85">
        <v>1.1599999999999999</v>
      </c>
      <c r="BJ218" s="85">
        <v>1.1599999999999999</v>
      </c>
      <c r="BO218">
        <v>39.549999999999997</v>
      </c>
      <c r="BP218" s="86">
        <v>663.76</v>
      </c>
      <c r="BQ218">
        <v>0.46</v>
      </c>
      <c r="BR218">
        <v>0.46</v>
      </c>
      <c r="BS218" s="85">
        <v>1014.4</v>
      </c>
      <c r="BT218" s="85">
        <v>0.7</v>
      </c>
      <c r="BU218" s="85">
        <v>0.7</v>
      </c>
      <c r="BX218" t="s">
        <v>1183</v>
      </c>
      <c r="BZ218">
        <v>14030950</v>
      </c>
      <c r="CA218">
        <v>14030950</v>
      </c>
      <c r="CB218" t="s">
        <v>68</v>
      </c>
      <c r="CC218" t="s">
        <v>250</v>
      </c>
      <c r="CE218" t="s">
        <v>530</v>
      </c>
    </row>
    <row r="219" spans="1:83" x14ac:dyDescent="0.35">
      <c r="A219" t="s">
        <v>242</v>
      </c>
      <c r="B219">
        <v>3050535</v>
      </c>
      <c r="C219">
        <v>41651</v>
      </c>
      <c r="D219" t="s">
        <v>756</v>
      </c>
      <c r="E219">
        <v>323378801</v>
      </c>
      <c r="F219" t="s">
        <v>705</v>
      </c>
      <c r="G219" s="60">
        <v>46054</v>
      </c>
      <c r="H219">
        <v>40832864</v>
      </c>
      <c r="I219" t="s">
        <v>757</v>
      </c>
      <c r="J219" t="s">
        <v>260</v>
      </c>
      <c r="K219" t="s">
        <v>65</v>
      </c>
      <c r="L219">
        <v>0</v>
      </c>
      <c r="M219">
        <v>0</v>
      </c>
      <c r="N219" t="s">
        <v>709</v>
      </c>
      <c r="O219" t="s">
        <v>709</v>
      </c>
      <c r="P219" t="s">
        <v>706</v>
      </c>
      <c r="Q219">
        <v>10284340</v>
      </c>
      <c r="R219">
        <v>6000000</v>
      </c>
      <c r="S219" s="50">
        <v>46044</v>
      </c>
      <c r="T219" s="50">
        <v>46112</v>
      </c>
      <c r="U219" t="s">
        <v>79</v>
      </c>
      <c r="V219" t="s">
        <v>249</v>
      </c>
      <c r="W219" t="s">
        <v>92</v>
      </c>
      <c r="X219" t="s">
        <v>86</v>
      </c>
      <c r="Y219" t="s">
        <v>291</v>
      </c>
      <c r="Z219">
        <v>10573642</v>
      </c>
      <c r="AA219" s="50">
        <v>46081</v>
      </c>
      <c r="AB219" s="87" t="s">
        <v>93</v>
      </c>
      <c r="AC219" s="86">
        <v>2028302.04</v>
      </c>
      <c r="AD219" t="s">
        <v>70</v>
      </c>
      <c r="AE219" s="85">
        <v>1403.28</v>
      </c>
      <c r="AF219" s="85">
        <v>1403.28</v>
      </c>
      <c r="AG219" s="85"/>
      <c r="AH219" s="85"/>
      <c r="AI219" s="85"/>
      <c r="AJ219" s="85"/>
      <c r="AK219" s="85"/>
      <c r="AL219" s="85"/>
      <c r="AM219" s="85"/>
      <c r="AN219" s="85"/>
      <c r="AO219" s="85"/>
      <c r="AP219" s="85"/>
      <c r="AQ219" s="85"/>
      <c r="AR219" s="85"/>
      <c r="AS219" s="85"/>
      <c r="AT219" s="85"/>
      <c r="AU219" s="85"/>
      <c r="AV219" s="85"/>
      <c r="AW219" s="85"/>
      <c r="AX219" s="85"/>
      <c r="AY219" s="85"/>
      <c r="AZ219" s="85"/>
      <c r="BA219" s="85"/>
      <c r="BB219" s="85"/>
      <c r="BC219" s="85"/>
      <c r="BD219" s="85"/>
      <c r="BE219" s="85">
        <v>0</v>
      </c>
      <c r="BF219" s="85">
        <v>0</v>
      </c>
      <c r="BG219" s="85">
        <v>0</v>
      </c>
      <c r="BH219" s="85">
        <v>2028302.04</v>
      </c>
      <c r="BI219" s="85">
        <v>1403.28</v>
      </c>
      <c r="BJ219" s="85">
        <v>1403.28</v>
      </c>
      <c r="BO219">
        <v>39.549999999999997</v>
      </c>
      <c r="BP219" s="86">
        <v>802244.17</v>
      </c>
      <c r="BQ219">
        <v>555.03</v>
      </c>
      <c r="BR219">
        <v>555.03</v>
      </c>
      <c r="BS219" s="85">
        <v>1226057.8700000001</v>
      </c>
      <c r="BT219" s="85">
        <v>848.25</v>
      </c>
      <c r="BU219" s="85">
        <v>848.25</v>
      </c>
      <c r="BX219" t="s">
        <v>758</v>
      </c>
      <c r="BZ219">
        <v>106552507</v>
      </c>
      <c r="CA219">
        <v>106552507</v>
      </c>
      <c r="CB219" t="s">
        <v>73</v>
      </c>
      <c r="CC219" t="s">
        <v>250</v>
      </c>
      <c r="CE219" t="s">
        <v>530</v>
      </c>
    </row>
    <row r="220" spans="1:83" x14ac:dyDescent="0.35">
      <c r="A220" t="s">
        <v>242</v>
      </c>
      <c r="B220">
        <v>3050535</v>
      </c>
      <c r="C220">
        <v>41651</v>
      </c>
      <c r="D220" t="s">
        <v>560</v>
      </c>
      <c r="E220">
        <v>323167301</v>
      </c>
      <c r="F220" t="s">
        <v>704</v>
      </c>
      <c r="G220" s="60">
        <v>46054</v>
      </c>
      <c r="H220">
        <v>40915378</v>
      </c>
      <c r="I220" t="s">
        <v>1184</v>
      </c>
      <c r="J220" t="s">
        <v>260</v>
      </c>
      <c r="K220" t="s">
        <v>65</v>
      </c>
      <c r="L220">
        <v>0</v>
      </c>
      <c r="M220">
        <v>0</v>
      </c>
      <c r="N220" t="s">
        <v>509</v>
      </c>
      <c r="O220" t="s">
        <v>509</v>
      </c>
      <c r="P220" t="s">
        <v>506</v>
      </c>
      <c r="Q220">
        <v>530773</v>
      </c>
      <c r="R220">
        <v>12000000</v>
      </c>
      <c r="S220" s="50">
        <v>46042</v>
      </c>
      <c r="T220" s="50">
        <v>46387</v>
      </c>
      <c r="U220" t="s">
        <v>79</v>
      </c>
      <c r="V220" t="s">
        <v>249</v>
      </c>
      <c r="W220" t="s">
        <v>92</v>
      </c>
      <c r="X220" t="s">
        <v>86</v>
      </c>
      <c r="Y220" t="s">
        <v>291</v>
      </c>
      <c r="Z220">
        <v>10573655</v>
      </c>
      <c r="AA220" s="50">
        <v>46081</v>
      </c>
      <c r="AB220" s="87" t="s">
        <v>93</v>
      </c>
      <c r="AC220" s="86">
        <v>163618.12</v>
      </c>
      <c r="AD220" t="s">
        <v>70</v>
      </c>
      <c r="AE220" s="85">
        <v>113.2</v>
      </c>
      <c r="AF220" s="85">
        <v>113.2</v>
      </c>
      <c r="AG220" s="85"/>
      <c r="AH220" s="85"/>
      <c r="AI220" s="85"/>
      <c r="AJ220" s="85"/>
      <c r="AK220" s="85"/>
      <c r="AL220" s="85"/>
      <c r="AM220" s="85"/>
      <c r="AN220" s="85"/>
      <c r="AO220" s="85"/>
      <c r="AP220" s="85"/>
      <c r="AQ220" s="85"/>
      <c r="AR220" s="85"/>
      <c r="AS220" s="85"/>
      <c r="AT220" s="85"/>
      <c r="AU220" s="85"/>
      <c r="AV220" s="85"/>
      <c r="AW220" s="85"/>
      <c r="AX220" s="85"/>
      <c r="AY220" s="85"/>
      <c r="AZ220" s="85"/>
      <c r="BA220" s="85"/>
      <c r="BB220" s="85"/>
      <c r="BC220" s="85"/>
      <c r="BD220" s="85"/>
      <c r="BE220" s="85">
        <v>0</v>
      </c>
      <c r="BF220" s="85">
        <v>0</v>
      </c>
      <c r="BG220" s="85">
        <v>0</v>
      </c>
      <c r="BH220" s="85">
        <v>163618.12</v>
      </c>
      <c r="BI220" s="85">
        <v>113.2</v>
      </c>
      <c r="BJ220" s="85">
        <v>113.2</v>
      </c>
      <c r="BO220">
        <v>39.549999999999997</v>
      </c>
      <c r="BP220" s="86">
        <v>64715.06</v>
      </c>
      <c r="BQ220">
        <v>44.77</v>
      </c>
      <c r="BR220">
        <v>44.77</v>
      </c>
      <c r="BS220" s="85">
        <v>98903.06</v>
      </c>
      <c r="BT220" s="85">
        <v>68.430000000000007</v>
      </c>
      <c r="BU220" s="85">
        <v>68.430000000000007</v>
      </c>
      <c r="BX220" t="s">
        <v>732</v>
      </c>
      <c r="BZ220">
        <v>530772</v>
      </c>
      <c r="CA220">
        <v>530772</v>
      </c>
      <c r="CB220" t="s">
        <v>73</v>
      </c>
      <c r="CC220" t="s">
        <v>250</v>
      </c>
      <c r="CE220" t="s">
        <v>530</v>
      </c>
    </row>
    <row r="221" spans="1:83" x14ac:dyDescent="0.35">
      <c r="A221" t="s">
        <v>242</v>
      </c>
      <c r="B221">
        <v>3050535</v>
      </c>
      <c r="C221">
        <v>41651</v>
      </c>
      <c r="D221" t="s">
        <v>560</v>
      </c>
      <c r="E221">
        <v>323167301</v>
      </c>
      <c r="F221" t="s">
        <v>704</v>
      </c>
      <c r="G221" s="60">
        <v>46054</v>
      </c>
      <c r="H221">
        <v>40969650</v>
      </c>
      <c r="I221" t="s">
        <v>1347</v>
      </c>
      <c r="J221" t="s">
        <v>260</v>
      </c>
      <c r="K221" t="s">
        <v>65</v>
      </c>
      <c r="L221">
        <v>0</v>
      </c>
      <c r="M221">
        <v>0</v>
      </c>
      <c r="N221" t="s">
        <v>509</v>
      </c>
      <c r="O221" t="s">
        <v>509</v>
      </c>
      <c r="P221" t="s">
        <v>506</v>
      </c>
      <c r="Q221">
        <v>530773</v>
      </c>
      <c r="R221">
        <v>12000000</v>
      </c>
      <c r="S221" s="50">
        <v>46042</v>
      </c>
      <c r="T221" s="50">
        <v>46387</v>
      </c>
      <c r="U221" t="s">
        <v>79</v>
      </c>
      <c r="V221" t="s">
        <v>249</v>
      </c>
      <c r="W221" t="s">
        <v>92</v>
      </c>
      <c r="X221" t="s">
        <v>86</v>
      </c>
      <c r="Y221" t="s">
        <v>291</v>
      </c>
      <c r="Z221">
        <v>10573655</v>
      </c>
      <c r="AA221" s="50">
        <v>46081</v>
      </c>
      <c r="AB221" s="87" t="s">
        <v>93</v>
      </c>
      <c r="AC221" s="86">
        <v>95.44</v>
      </c>
      <c r="AD221" t="s">
        <v>70</v>
      </c>
      <c r="AE221" s="85">
        <v>7.0000000000000007E-2</v>
      </c>
      <c r="AF221" s="85">
        <v>7.0000000000000007E-2</v>
      </c>
      <c r="AG221" s="85"/>
      <c r="AH221" s="85"/>
      <c r="AI221" s="85"/>
      <c r="AJ221" s="85"/>
      <c r="AK221" s="85"/>
      <c r="AL221" s="85"/>
      <c r="AM221" s="85"/>
      <c r="AN221" s="85"/>
      <c r="AO221" s="85"/>
      <c r="AP221" s="85"/>
      <c r="AQ221" s="85"/>
      <c r="AR221" s="85"/>
      <c r="AS221" s="85"/>
      <c r="AT221" s="85"/>
      <c r="AU221" s="85"/>
      <c r="AV221" s="85"/>
      <c r="AW221" s="85"/>
      <c r="AX221" s="85"/>
      <c r="AY221" s="85"/>
      <c r="AZ221" s="85"/>
      <c r="BA221" s="85"/>
      <c r="BB221" s="85"/>
      <c r="BC221" s="85"/>
      <c r="BD221" s="85"/>
      <c r="BE221" s="85">
        <v>0</v>
      </c>
      <c r="BF221" s="85">
        <v>0</v>
      </c>
      <c r="BG221" s="85">
        <v>0</v>
      </c>
      <c r="BH221" s="85">
        <v>95.44</v>
      </c>
      <c r="BI221" s="85">
        <v>7.0000000000000007E-2</v>
      </c>
      <c r="BJ221" s="85">
        <v>7.0000000000000007E-2</v>
      </c>
      <c r="BO221">
        <v>39.549999999999997</v>
      </c>
      <c r="BP221" s="86">
        <v>37.75</v>
      </c>
      <c r="BQ221">
        <v>0.03</v>
      </c>
      <c r="BR221">
        <v>0.03</v>
      </c>
      <c r="BS221" s="85">
        <v>57.69</v>
      </c>
      <c r="BT221" s="85">
        <v>0.04</v>
      </c>
      <c r="BU221" s="85">
        <v>0.04</v>
      </c>
      <c r="BX221" t="s">
        <v>732</v>
      </c>
      <c r="BZ221">
        <v>530772</v>
      </c>
      <c r="CA221">
        <v>530772</v>
      </c>
      <c r="CB221" t="s">
        <v>73</v>
      </c>
      <c r="CC221" t="s">
        <v>250</v>
      </c>
      <c r="CE221" t="s">
        <v>530</v>
      </c>
    </row>
    <row r="222" spans="1:83" x14ac:dyDescent="0.35">
      <c r="A222" t="s">
        <v>242</v>
      </c>
      <c r="B222">
        <v>3050535</v>
      </c>
      <c r="C222">
        <v>41651</v>
      </c>
      <c r="D222" t="s">
        <v>612</v>
      </c>
      <c r="E222">
        <v>299384801</v>
      </c>
      <c r="F222" t="s">
        <v>604</v>
      </c>
      <c r="G222" s="60">
        <v>46054</v>
      </c>
      <c r="H222">
        <v>40886727</v>
      </c>
      <c r="I222" t="s">
        <v>1348</v>
      </c>
      <c r="J222" t="s">
        <v>260</v>
      </c>
      <c r="K222" t="s">
        <v>65</v>
      </c>
      <c r="L222">
        <v>0</v>
      </c>
      <c r="M222">
        <v>0</v>
      </c>
      <c r="P222" t="s">
        <v>605</v>
      </c>
      <c r="Q222">
        <v>183777845</v>
      </c>
      <c r="R222">
        <v>12000000</v>
      </c>
      <c r="S222" s="50">
        <v>45666</v>
      </c>
      <c r="T222" s="50">
        <v>46112</v>
      </c>
      <c r="U222" t="s">
        <v>79</v>
      </c>
      <c r="V222" t="s">
        <v>249</v>
      </c>
      <c r="W222" t="s">
        <v>92</v>
      </c>
      <c r="X222" t="s">
        <v>86</v>
      </c>
      <c r="Y222" t="s">
        <v>291</v>
      </c>
      <c r="Z222">
        <v>10573656</v>
      </c>
      <c r="AA222" s="50">
        <v>46081</v>
      </c>
      <c r="AB222" s="87" t="s">
        <v>93</v>
      </c>
      <c r="AC222" s="86">
        <v>66576.42</v>
      </c>
      <c r="AD222" t="s">
        <v>70</v>
      </c>
      <c r="AE222" s="85">
        <v>46.06</v>
      </c>
      <c r="AF222" s="85">
        <v>46.06</v>
      </c>
      <c r="AG222" s="85"/>
      <c r="AH222" s="85"/>
      <c r="AI222" s="85"/>
      <c r="AJ222" s="85"/>
      <c r="AK222" s="85"/>
      <c r="AL222" s="85"/>
      <c r="AM222" s="85"/>
      <c r="AN222" s="85"/>
      <c r="AO222" s="85"/>
      <c r="AP222" s="85"/>
      <c r="AQ222" s="85"/>
      <c r="AR222" s="85"/>
      <c r="AS222" s="85"/>
      <c r="AT222" s="85"/>
      <c r="AU222" s="85"/>
      <c r="AV222" s="85"/>
      <c r="AW222" s="85"/>
      <c r="AX222" s="85"/>
      <c r="AY222" s="85"/>
      <c r="AZ222" s="85"/>
      <c r="BA222" s="85"/>
      <c r="BB222" s="85"/>
      <c r="BC222" s="85"/>
      <c r="BD222" s="85"/>
      <c r="BE222" s="85">
        <v>0</v>
      </c>
      <c r="BF222" s="85">
        <v>0</v>
      </c>
      <c r="BG222" s="85">
        <v>0</v>
      </c>
      <c r="BH222" s="85">
        <v>66576.42</v>
      </c>
      <c r="BI222" s="85">
        <v>46.06</v>
      </c>
      <c r="BJ222" s="85">
        <v>46.06</v>
      </c>
      <c r="BO222">
        <v>39.549999999999997</v>
      </c>
      <c r="BP222" s="86">
        <v>26332.639999999999</v>
      </c>
      <c r="BQ222">
        <v>18.22</v>
      </c>
      <c r="BR222">
        <v>18.22</v>
      </c>
      <c r="BS222" s="85">
        <v>40243.78</v>
      </c>
      <c r="BT222" s="85">
        <v>27.84</v>
      </c>
      <c r="BU222" s="85">
        <v>27.84</v>
      </c>
      <c r="BX222" t="s">
        <v>613</v>
      </c>
      <c r="CB222" t="s">
        <v>72</v>
      </c>
      <c r="CC222" t="s">
        <v>250</v>
      </c>
      <c r="CE222" t="s">
        <v>530</v>
      </c>
    </row>
    <row r="223" spans="1:83" x14ac:dyDescent="0.35">
      <c r="A223" t="s">
        <v>242</v>
      </c>
      <c r="B223">
        <v>3050535</v>
      </c>
      <c r="C223">
        <v>41651</v>
      </c>
      <c r="D223" t="s">
        <v>1238</v>
      </c>
      <c r="E223">
        <v>322353602</v>
      </c>
      <c r="F223" t="s">
        <v>978</v>
      </c>
      <c r="G223" s="60">
        <v>46054</v>
      </c>
      <c r="H223">
        <v>40855359</v>
      </c>
      <c r="I223" t="s">
        <v>1349</v>
      </c>
      <c r="J223" t="s">
        <v>482</v>
      </c>
      <c r="K223" t="s">
        <v>65</v>
      </c>
      <c r="L223">
        <v>0</v>
      </c>
      <c r="M223">
        <v>0</v>
      </c>
      <c r="N223" t="s">
        <v>94</v>
      </c>
      <c r="O223" t="s">
        <v>94</v>
      </c>
      <c r="P223" t="s">
        <v>544</v>
      </c>
      <c r="Q223">
        <v>821027</v>
      </c>
      <c r="R223">
        <v>2180250</v>
      </c>
      <c r="S223" s="50">
        <v>46059</v>
      </c>
      <c r="T223" s="50">
        <v>46059</v>
      </c>
      <c r="U223" t="s">
        <v>69</v>
      </c>
      <c r="V223" t="s">
        <v>249</v>
      </c>
      <c r="W223" t="s">
        <v>92</v>
      </c>
      <c r="X223" t="s">
        <v>86</v>
      </c>
      <c r="Y223" t="s">
        <v>291</v>
      </c>
      <c r="Z223">
        <v>10573672</v>
      </c>
      <c r="AA223" s="50">
        <v>46081</v>
      </c>
      <c r="AB223" s="87" t="s">
        <v>93</v>
      </c>
      <c r="AC223" s="86">
        <v>2180250</v>
      </c>
      <c r="AD223" t="s">
        <v>70</v>
      </c>
      <c r="AE223" s="85">
        <v>1508.41</v>
      </c>
      <c r="AF223" s="85">
        <v>1508.41</v>
      </c>
      <c r="AG223" s="85"/>
      <c r="AH223" s="85"/>
      <c r="AI223" s="85"/>
      <c r="AJ223" s="85"/>
      <c r="AK223" s="85"/>
      <c r="AL223" s="85"/>
      <c r="AM223" s="85"/>
      <c r="AN223" s="85"/>
      <c r="AO223" s="85"/>
      <c r="AP223" s="85"/>
      <c r="AQ223" s="85"/>
      <c r="AR223" s="85"/>
      <c r="AS223" s="85"/>
      <c r="AT223" s="85"/>
      <c r="AU223" s="85"/>
      <c r="AV223" s="85"/>
      <c r="AW223" s="85"/>
      <c r="AX223" s="85"/>
      <c r="AY223" s="85"/>
      <c r="AZ223" s="85"/>
      <c r="BA223" s="85"/>
      <c r="BB223" s="85"/>
      <c r="BC223" s="85"/>
      <c r="BD223" s="85"/>
      <c r="BE223" s="85">
        <v>0</v>
      </c>
      <c r="BF223" s="85">
        <v>0</v>
      </c>
      <c r="BG223" s="85">
        <v>0</v>
      </c>
      <c r="BH223" s="85">
        <v>2180250</v>
      </c>
      <c r="BI223" s="85">
        <v>1508.41</v>
      </c>
      <c r="BJ223" s="85">
        <v>1508.41</v>
      </c>
      <c r="BO223">
        <v>34</v>
      </c>
      <c r="BP223" s="86">
        <v>741241.4</v>
      </c>
      <c r="BQ223">
        <v>512.83000000000004</v>
      </c>
      <c r="BR223">
        <v>512.83000000000004</v>
      </c>
      <c r="BS223" s="85">
        <v>1439008.6</v>
      </c>
      <c r="BT223" s="85">
        <v>995.58</v>
      </c>
      <c r="BU223" s="85">
        <v>995.58</v>
      </c>
      <c r="BW223" t="s">
        <v>286</v>
      </c>
      <c r="BX223" t="s">
        <v>1350</v>
      </c>
      <c r="BZ223">
        <v>224554</v>
      </c>
      <c r="CA223">
        <v>224554</v>
      </c>
      <c r="CB223" t="s">
        <v>76</v>
      </c>
      <c r="CC223" t="s">
        <v>250</v>
      </c>
      <c r="CE223" t="s">
        <v>530</v>
      </c>
    </row>
    <row r="224" spans="1:83" x14ac:dyDescent="0.35">
      <c r="A224" t="s">
        <v>242</v>
      </c>
      <c r="B224">
        <v>3050535</v>
      </c>
      <c r="C224">
        <v>41651</v>
      </c>
      <c r="D224" t="s">
        <v>614</v>
      </c>
      <c r="E224">
        <v>324279201</v>
      </c>
      <c r="F224" t="s">
        <v>1072</v>
      </c>
      <c r="G224" s="60">
        <v>46054</v>
      </c>
      <c r="H224">
        <v>40898726</v>
      </c>
      <c r="I224" t="s">
        <v>1351</v>
      </c>
      <c r="J224" t="s">
        <v>260</v>
      </c>
      <c r="K224" t="s">
        <v>65</v>
      </c>
      <c r="L224">
        <v>0</v>
      </c>
      <c r="M224">
        <v>0</v>
      </c>
      <c r="N224" t="s">
        <v>108</v>
      </c>
      <c r="O224" t="s">
        <v>108</v>
      </c>
      <c r="P224" t="s">
        <v>579</v>
      </c>
      <c r="Q224">
        <v>2097220</v>
      </c>
      <c r="R224">
        <v>3000000</v>
      </c>
      <c r="S224" s="50">
        <v>46062</v>
      </c>
      <c r="T224" s="50">
        <v>46089</v>
      </c>
      <c r="U224" t="s">
        <v>79</v>
      </c>
      <c r="V224" t="s">
        <v>249</v>
      </c>
      <c r="W224" t="s">
        <v>92</v>
      </c>
      <c r="X224" t="s">
        <v>86</v>
      </c>
      <c r="Y224" t="s">
        <v>291</v>
      </c>
      <c r="Z224">
        <v>10573728</v>
      </c>
      <c r="AA224" s="50">
        <v>46081</v>
      </c>
      <c r="AB224" s="87" t="s">
        <v>93</v>
      </c>
      <c r="AC224" s="86">
        <v>1417361.47</v>
      </c>
      <c r="AD224" t="s">
        <v>70</v>
      </c>
      <c r="AE224" s="85">
        <v>980.6</v>
      </c>
      <c r="AF224" s="85">
        <v>980.6</v>
      </c>
      <c r="AG224" s="85"/>
      <c r="AH224" s="85"/>
      <c r="AI224" s="85"/>
      <c r="AJ224" s="85"/>
      <c r="AK224" s="85"/>
      <c r="AL224" s="85"/>
      <c r="AM224" s="85"/>
      <c r="AN224" s="85"/>
      <c r="AO224" s="85"/>
      <c r="AP224" s="85"/>
      <c r="AQ224" s="85"/>
      <c r="AR224" s="85"/>
      <c r="AS224" s="85"/>
      <c r="AT224" s="85"/>
      <c r="AU224" s="85"/>
      <c r="AV224" s="85"/>
      <c r="AW224" s="85"/>
      <c r="AX224" s="85"/>
      <c r="AY224" s="85"/>
      <c r="AZ224" s="85"/>
      <c r="BA224" s="85"/>
      <c r="BB224" s="85"/>
      <c r="BC224" s="85"/>
      <c r="BD224" s="85"/>
      <c r="BE224" s="85">
        <v>0</v>
      </c>
      <c r="BF224" s="85">
        <v>0</v>
      </c>
      <c r="BG224" s="85">
        <v>0</v>
      </c>
      <c r="BH224" s="85">
        <v>1417361.47</v>
      </c>
      <c r="BI224" s="85">
        <v>980.6</v>
      </c>
      <c r="BJ224" s="85">
        <v>980.6</v>
      </c>
      <c r="BO224">
        <v>22</v>
      </c>
      <c r="BP224" s="86">
        <v>311819.52000000002</v>
      </c>
      <c r="BQ224">
        <v>215.73</v>
      </c>
      <c r="BR224">
        <v>215.73</v>
      </c>
      <c r="BS224" s="85">
        <v>1105541.95</v>
      </c>
      <c r="BT224" s="85">
        <v>764.87</v>
      </c>
      <c r="BU224" s="85">
        <v>764.87</v>
      </c>
      <c r="BX224" t="s">
        <v>1225</v>
      </c>
      <c r="BZ224">
        <v>224529</v>
      </c>
      <c r="CA224">
        <v>224529</v>
      </c>
      <c r="CB224" t="s">
        <v>72</v>
      </c>
      <c r="CC224" t="s">
        <v>250</v>
      </c>
      <c r="CE224" t="s">
        <v>530</v>
      </c>
    </row>
    <row r="225" spans="1:83" x14ac:dyDescent="0.35">
      <c r="A225" t="s">
        <v>242</v>
      </c>
      <c r="B225">
        <v>3050535</v>
      </c>
      <c r="C225">
        <v>41651</v>
      </c>
      <c r="D225" t="s">
        <v>614</v>
      </c>
      <c r="E225">
        <v>324279201</v>
      </c>
      <c r="F225" t="s">
        <v>1072</v>
      </c>
      <c r="G225" s="60">
        <v>46054</v>
      </c>
      <c r="H225">
        <v>40894117</v>
      </c>
      <c r="I225" t="s">
        <v>1352</v>
      </c>
      <c r="J225" t="s">
        <v>260</v>
      </c>
      <c r="K225" t="s">
        <v>65</v>
      </c>
      <c r="L225">
        <v>0</v>
      </c>
      <c r="M225">
        <v>0</v>
      </c>
      <c r="N225" t="s">
        <v>108</v>
      </c>
      <c r="O225" t="s">
        <v>108</v>
      </c>
      <c r="P225" t="s">
        <v>579</v>
      </c>
      <c r="Q225">
        <v>2097220</v>
      </c>
      <c r="R225">
        <v>3000000</v>
      </c>
      <c r="S225" s="50">
        <v>46062</v>
      </c>
      <c r="T225" s="50">
        <v>46089</v>
      </c>
      <c r="U225" t="s">
        <v>79</v>
      </c>
      <c r="V225" t="s">
        <v>249</v>
      </c>
      <c r="W225" t="s">
        <v>92</v>
      </c>
      <c r="X225" t="s">
        <v>86</v>
      </c>
      <c r="Y225" t="s">
        <v>291</v>
      </c>
      <c r="Z225">
        <v>10573728</v>
      </c>
      <c r="AA225" s="50">
        <v>46081</v>
      </c>
      <c r="AB225" s="87" t="s">
        <v>93</v>
      </c>
      <c r="AC225" s="86">
        <v>997853.59</v>
      </c>
      <c r="AD225" t="s">
        <v>70</v>
      </c>
      <c r="AE225" s="85">
        <v>690.37</v>
      </c>
      <c r="AF225" s="85">
        <v>690.37</v>
      </c>
      <c r="AG225" s="85"/>
      <c r="AH225" s="85"/>
      <c r="AI225" s="85"/>
      <c r="AJ225" s="85"/>
      <c r="AK225" s="85"/>
      <c r="AL225" s="85"/>
      <c r="AM225" s="85"/>
      <c r="AN225" s="85"/>
      <c r="AO225" s="85"/>
      <c r="AP225" s="85"/>
      <c r="AQ225" s="85"/>
      <c r="AR225" s="85"/>
      <c r="AS225" s="85"/>
      <c r="AT225" s="85"/>
      <c r="AU225" s="85"/>
      <c r="AV225" s="85"/>
      <c r="AW225" s="85"/>
      <c r="AX225" s="85"/>
      <c r="AY225" s="85"/>
      <c r="AZ225" s="85"/>
      <c r="BA225" s="85"/>
      <c r="BB225" s="85"/>
      <c r="BC225" s="85"/>
      <c r="BD225" s="85"/>
      <c r="BE225" s="85">
        <v>0</v>
      </c>
      <c r="BF225" s="85">
        <v>0</v>
      </c>
      <c r="BG225" s="85">
        <v>0</v>
      </c>
      <c r="BH225" s="85">
        <v>997853.59</v>
      </c>
      <c r="BI225" s="85">
        <v>690.37</v>
      </c>
      <c r="BJ225" s="85">
        <v>690.37</v>
      </c>
      <c r="BO225">
        <v>22</v>
      </c>
      <c r="BP225" s="86">
        <v>219527.79</v>
      </c>
      <c r="BQ225">
        <v>151.88</v>
      </c>
      <c r="BR225">
        <v>151.88</v>
      </c>
      <c r="BS225" s="85">
        <v>778325.8</v>
      </c>
      <c r="BT225" s="85">
        <v>538.49</v>
      </c>
      <c r="BU225" s="85">
        <v>538.49</v>
      </c>
      <c r="BX225" t="s">
        <v>1225</v>
      </c>
      <c r="BZ225">
        <v>224529</v>
      </c>
      <c r="CA225">
        <v>224529</v>
      </c>
      <c r="CB225" t="s">
        <v>73</v>
      </c>
      <c r="CC225" t="s">
        <v>250</v>
      </c>
      <c r="CE225" t="s">
        <v>530</v>
      </c>
    </row>
    <row r="226" spans="1:83" x14ac:dyDescent="0.35">
      <c r="A226" t="s">
        <v>242</v>
      </c>
      <c r="B226">
        <v>3050535</v>
      </c>
      <c r="C226">
        <v>41651</v>
      </c>
      <c r="D226" t="s">
        <v>614</v>
      </c>
      <c r="E226">
        <v>324279201</v>
      </c>
      <c r="F226" t="s">
        <v>1072</v>
      </c>
      <c r="G226" s="60">
        <v>46054</v>
      </c>
      <c r="H226">
        <v>40898726</v>
      </c>
      <c r="I226" t="s">
        <v>1353</v>
      </c>
      <c r="J226" t="s">
        <v>260</v>
      </c>
      <c r="K226" t="s">
        <v>65</v>
      </c>
      <c r="L226">
        <v>0</v>
      </c>
      <c r="M226">
        <v>0</v>
      </c>
      <c r="N226" t="s">
        <v>108</v>
      </c>
      <c r="O226" t="s">
        <v>108</v>
      </c>
      <c r="P226" t="s">
        <v>579</v>
      </c>
      <c r="Q226">
        <v>2097220</v>
      </c>
      <c r="R226">
        <v>3000000</v>
      </c>
      <c r="S226" s="50">
        <v>46062</v>
      </c>
      <c r="T226" s="50">
        <v>46089</v>
      </c>
      <c r="U226" t="s">
        <v>79</v>
      </c>
      <c r="V226" t="s">
        <v>249</v>
      </c>
      <c r="W226" t="s">
        <v>92</v>
      </c>
      <c r="X226" t="s">
        <v>86</v>
      </c>
      <c r="Y226" t="s">
        <v>291</v>
      </c>
      <c r="Z226">
        <v>10573728</v>
      </c>
      <c r="AA226" s="50">
        <v>46081</v>
      </c>
      <c r="AB226" s="87" t="s">
        <v>93</v>
      </c>
      <c r="AC226" s="86">
        <v>472993.05</v>
      </c>
      <c r="AD226" t="s">
        <v>70</v>
      </c>
      <c r="AE226" s="85">
        <v>327.24</v>
      </c>
      <c r="AF226" s="85">
        <v>327.24</v>
      </c>
      <c r="AG226" s="85"/>
      <c r="AH226" s="85"/>
      <c r="AI226" s="85"/>
      <c r="AJ226" s="85"/>
      <c r="AK226" s="85"/>
      <c r="AL226" s="85"/>
      <c r="AM226" s="85"/>
      <c r="AN226" s="85"/>
      <c r="AO226" s="85"/>
      <c r="AP226" s="85"/>
      <c r="AQ226" s="85"/>
      <c r="AR226" s="85"/>
      <c r="AS226" s="85"/>
      <c r="AT226" s="85"/>
      <c r="AU226" s="85"/>
      <c r="AV226" s="85"/>
      <c r="AW226" s="85"/>
      <c r="AX226" s="85"/>
      <c r="AY226" s="85"/>
      <c r="AZ226" s="85"/>
      <c r="BA226" s="85"/>
      <c r="BB226" s="85"/>
      <c r="BC226" s="85"/>
      <c r="BD226" s="85"/>
      <c r="BE226" s="85">
        <v>0</v>
      </c>
      <c r="BF226" s="85">
        <v>0</v>
      </c>
      <c r="BG226" s="85">
        <v>0</v>
      </c>
      <c r="BH226" s="85">
        <v>472993.05</v>
      </c>
      <c r="BI226" s="85">
        <v>327.24</v>
      </c>
      <c r="BJ226" s="85">
        <v>327.24</v>
      </c>
      <c r="BO226">
        <v>22</v>
      </c>
      <c r="BP226" s="86">
        <v>104058.47</v>
      </c>
      <c r="BQ226">
        <v>71.989999999999995</v>
      </c>
      <c r="BR226">
        <v>71.989999999999995</v>
      </c>
      <c r="BS226" s="85">
        <v>368934.58</v>
      </c>
      <c r="BT226" s="85">
        <v>255.25</v>
      </c>
      <c r="BU226" s="85">
        <v>255.25</v>
      </c>
      <c r="BX226" t="s">
        <v>1225</v>
      </c>
      <c r="BZ226">
        <v>224529</v>
      </c>
      <c r="CA226">
        <v>224529</v>
      </c>
      <c r="CB226" t="s">
        <v>72</v>
      </c>
      <c r="CC226" t="s">
        <v>250</v>
      </c>
      <c r="CE226" t="s">
        <v>530</v>
      </c>
    </row>
    <row r="227" spans="1:83" x14ac:dyDescent="0.35">
      <c r="A227" t="s">
        <v>242</v>
      </c>
      <c r="B227">
        <v>3050535</v>
      </c>
      <c r="C227">
        <v>41651</v>
      </c>
      <c r="D227" t="s">
        <v>288</v>
      </c>
      <c r="E227">
        <v>322203201</v>
      </c>
      <c r="F227" t="s">
        <v>678</v>
      </c>
      <c r="G227" s="60">
        <v>46054</v>
      </c>
      <c r="H227">
        <v>40759134</v>
      </c>
      <c r="I227" t="s">
        <v>768</v>
      </c>
      <c r="J227" t="s">
        <v>260</v>
      </c>
      <c r="K227" t="s">
        <v>65</v>
      </c>
      <c r="L227">
        <v>0</v>
      </c>
      <c r="M227">
        <v>0</v>
      </c>
      <c r="N227" t="s">
        <v>522</v>
      </c>
      <c r="O227" t="s">
        <v>522</v>
      </c>
      <c r="P227" t="s">
        <v>287</v>
      </c>
      <c r="Q227">
        <v>148610446</v>
      </c>
      <c r="R227">
        <v>3000000</v>
      </c>
      <c r="S227" s="50">
        <v>46027</v>
      </c>
      <c r="T227" s="50">
        <v>46081</v>
      </c>
      <c r="U227" t="s">
        <v>69</v>
      </c>
      <c r="V227" t="s">
        <v>249</v>
      </c>
      <c r="W227" t="s">
        <v>92</v>
      </c>
      <c r="X227" t="s">
        <v>86</v>
      </c>
      <c r="Y227" t="s">
        <v>291</v>
      </c>
      <c r="Z227">
        <v>10573737</v>
      </c>
      <c r="AA227" s="50">
        <v>46081</v>
      </c>
      <c r="AB227" s="87" t="s">
        <v>93</v>
      </c>
      <c r="AC227" s="86">
        <v>859984.41</v>
      </c>
      <c r="AD227" t="s">
        <v>70</v>
      </c>
      <c r="AE227" s="85">
        <v>594.98</v>
      </c>
      <c r="AF227" s="85">
        <v>594.98</v>
      </c>
      <c r="AG227" s="85"/>
      <c r="AH227" s="85"/>
      <c r="AI227" s="85"/>
      <c r="AJ227" s="85"/>
      <c r="AK227" s="85"/>
      <c r="AL227" s="85"/>
      <c r="AM227" s="85"/>
      <c r="AN227" s="85"/>
      <c r="AO227" s="85"/>
      <c r="AP227" s="85"/>
      <c r="AQ227" s="85"/>
      <c r="AR227" s="85"/>
      <c r="AS227" s="85"/>
      <c r="AT227" s="85"/>
      <c r="AU227" s="85"/>
      <c r="AV227" s="85"/>
      <c r="AW227" s="85"/>
      <c r="AX227" s="85"/>
      <c r="AY227" s="85"/>
      <c r="AZ227" s="85"/>
      <c r="BA227" s="85"/>
      <c r="BB227" s="85"/>
      <c r="BC227" s="85"/>
      <c r="BD227" s="85"/>
      <c r="BE227" s="85">
        <v>0</v>
      </c>
      <c r="BF227" s="85">
        <v>0</v>
      </c>
      <c r="BG227" s="85">
        <v>0</v>
      </c>
      <c r="BH227" s="85">
        <v>859984.41</v>
      </c>
      <c r="BI227" s="85">
        <v>594.98</v>
      </c>
      <c r="BJ227" s="85">
        <v>594.98</v>
      </c>
      <c r="BO227">
        <v>39.549999999999997</v>
      </c>
      <c r="BP227" s="86">
        <v>340145.33</v>
      </c>
      <c r="BQ227">
        <v>235.33</v>
      </c>
      <c r="BR227">
        <v>235.33</v>
      </c>
      <c r="BS227" s="85">
        <v>519839.08</v>
      </c>
      <c r="BT227" s="85">
        <v>359.65</v>
      </c>
      <c r="BU227" s="85">
        <v>359.65</v>
      </c>
      <c r="BX227" t="s">
        <v>769</v>
      </c>
      <c r="BZ227">
        <v>192377147</v>
      </c>
      <c r="CA227">
        <v>192377147</v>
      </c>
      <c r="CB227" t="s">
        <v>73</v>
      </c>
      <c r="CC227" t="s">
        <v>250</v>
      </c>
      <c r="CE227" t="s">
        <v>530</v>
      </c>
    </row>
    <row r="228" spans="1:83" x14ac:dyDescent="0.35">
      <c r="A228" t="s">
        <v>242</v>
      </c>
      <c r="B228">
        <v>3050535</v>
      </c>
      <c r="C228">
        <v>41651</v>
      </c>
      <c r="D228" t="s">
        <v>573</v>
      </c>
      <c r="E228">
        <v>322258201</v>
      </c>
      <c r="F228" t="s">
        <v>686</v>
      </c>
      <c r="G228" s="60">
        <v>46054</v>
      </c>
      <c r="H228">
        <v>40794271</v>
      </c>
      <c r="I228" t="s">
        <v>783</v>
      </c>
      <c r="J228" t="s">
        <v>260</v>
      </c>
      <c r="K228" t="s">
        <v>65</v>
      </c>
      <c r="L228">
        <v>0</v>
      </c>
      <c r="M228">
        <v>0</v>
      </c>
      <c r="N228" t="s">
        <v>259</v>
      </c>
      <c r="O228" t="s">
        <v>259</v>
      </c>
      <c r="P228" t="s">
        <v>568</v>
      </c>
      <c r="Q228">
        <v>240194</v>
      </c>
      <c r="R228">
        <v>7800000</v>
      </c>
      <c r="S228" s="50">
        <v>46030</v>
      </c>
      <c r="T228" s="50">
        <v>46081</v>
      </c>
      <c r="U228" t="s">
        <v>79</v>
      </c>
      <c r="V228" t="s">
        <v>249</v>
      </c>
      <c r="W228" t="s">
        <v>92</v>
      </c>
      <c r="X228" t="s">
        <v>86</v>
      </c>
      <c r="Y228" t="s">
        <v>291</v>
      </c>
      <c r="Z228">
        <v>10573620</v>
      </c>
      <c r="AA228" s="50">
        <v>46081</v>
      </c>
      <c r="AB228" s="87" t="s">
        <v>93</v>
      </c>
      <c r="AC228" s="86">
        <v>315054.31</v>
      </c>
      <c r="AD228" t="s">
        <v>70</v>
      </c>
      <c r="AE228" s="85">
        <v>217.97</v>
      </c>
      <c r="AF228" s="85">
        <v>217.97</v>
      </c>
      <c r="AG228" s="85"/>
      <c r="AH228" s="85"/>
      <c r="AI228" s="85"/>
      <c r="AJ228" s="85"/>
      <c r="AK228" s="85"/>
      <c r="AL228" s="85"/>
      <c r="AM228" s="85"/>
      <c r="AN228" s="85"/>
      <c r="AO228" s="85"/>
      <c r="AP228" s="85"/>
      <c r="AQ228" s="85"/>
      <c r="AR228" s="85"/>
      <c r="AS228" s="85"/>
      <c r="AT228" s="85"/>
      <c r="AU228" s="85"/>
      <c r="AV228" s="85"/>
      <c r="AW228" s="85"/>
      <c r="AX228" s="85"/>
      <c r="AY228" s="85"/>
      <c r="AZ228" s="85"/>
      <c r="BA228" s="85"/>
      <c r="BB228" s="85"/>
      <c r="BC228" s="85"/>
      <c r="BD228" s="85"/>
      <c r="BE228" s="85">
        <v>0</v>
      </c>
      <c r="BF228" s="85">
        <v>0</v>
      </c>
      <c r="BG228" s="85">
        <v>0</v>
      </c>
      <c r="BH228" s="85">
        <v>315054.31</v>
      </c>
      <c r="BI228" s="85">
        <v>217.97</v>
      </c>
      <c r="BJ228" s="85">
        <v>217.97</v>
      </c>
      <c r="BO228">
        <v>39.549999999999997</v>
      </c>
      <c r="BP228" s="86">
        <v>124611.86</v>
      </c>
      <c r="BQ228">
        <v>86.21</v>
      </c>
      <c r="BR228">
        <v>86.21</v>
      </c>
      <c r="BS228" s="85">
        <v>190442.45</v>
      </c>
      <c r="BT228" s="85">
        <v>131.76</v>
      </c>
      <c r="BU228" s="85">
        <v>131.76</v>
      </c>
      <c r="BX228" t="s">
        <v>770</v>
      </c>
      <c r="BZ228">
        <v>66013147</v>
      </c>
      <c r="CA228">
        <v>66013147</v>
      </c>
      <c r="CB228" t="s">
        <v>73</v>
      </c>
      <c r="CC228" t="s">
        <v>250</v>
      </c>
      <c r="CE228" t="s">
        <v>530</v>
      </c>
    </row>
    <row r="229" spans="1:83" x14ac:dyDescent="0.35">
      <c r="A229" t="s">
        <v>242</v>
      </c>
      <c r="B229">
        <v>3050535</v>
      </c>
      <c r="C229">
        <v>41651</v>
      </c>
      <c r="D229" t="s">
        <v>573</v>
      </c>
      <c r="E229">
        <v>322258201</v>
      </c>
      <c r="F229" t="s">
        <v>686</v>
      </c>
      <c r="G229" s="60">
        <v>46054</v>
      </c>
      <c r="H229">
        <v>40794271</v>
      </c>
      <c r="I229" t="s">
        <v>783</v>
      </c>
      <c r="J229" t="s">
        <v>260</v>
      </c>
      <c r="K229" t="s">
        <v>65</v>
      </c>
      <c r="L229">
        <v>0</v>
      </c>
      <c r="M229">
        <v>0</v>
      </c>
      <c r="N229" t="s">
        <v>259</v>
      </c>
      <c r="O229" t="s">
        <v>259</v>
      </c>
      <c r="P229" t="s">
        <v>568</v>
      </c>
      <c r="Q229">
        <v>240194</v>
      </c>
      <c r="R229">
        <v>7800000</v>
      </c>
      <c r="S229" s="50">
        <v>46030</v>
      </c>
      <c r="T229" s="50">
        <v>46112</v>
      </c>
      <c r="U229" t="s">
        <v>79</v>
      </c>
      <c r="V229" t="s">
        <v>249</v>
      </c>
      <c r="W229" t="s">
        <v>92</v>
      </c>
      <c r="X229" t="s">
        <v>86</v>
      </c>
      <c r="Y229" t="s">
        <v>291</v>
      </c>
      <c r="Z229">
        <v>10573620</v>
      </c>
      <c r="AA229" s="50">
        <v>46081</v>
      </c>
      <c r="AB229" s="87" t="s">
        <v>93</v>
      </c>
      <c r="AC229" s="86">
        <v>37782</v>
      </c>
      <c r="AD229" t="s">
        <v>70</v>
      </c>
      <c r="AE229" s="85">
        <v>26.14</v>
      </c>
      <c r="AF229" s="85">
        <v>26.14</v>
      </c>
      <c r="AG229" s="85"/>
      <c r="AH229" s="85"/>
      <c r="AI229" s="85"/>
      <c r="AJ229" s="85"/>
      <c r="AK229" s="85"/>
      <c r="AL229" s="85"/>
      <c r="AM229" s="85"/>
      <c r="AN229" s="85"/>
      <c r="AO229" s="85"/>
      <c r="AP229" s="85"/>
      <c r="AQ229" s="85"/>
      <c r="AR229" s="85"/>
      <c r="AS229" s="85"/>
      <c r="AT229" s="85"/>
      <c r="AU229" s="85"/>
      <c r="AV229" s="85"/>
      <c r="AW229" s="85"/>
      <c r="AX229" s="85"/>
      <c r="AY229" s="85"/>
      <c r="AZ229" s="85"/>
      <c r="BA229" s="85"/>
      <c r="BB229" s="85"/>
      <c r="BC229" s="85"/>
      <c r="BD229" s="85"/>
      <c r="BE229" s="85">
        <v>0</v>
      </c>
      <c r="BF229" s="85">
        <v>0</v>
      </c>
      <c r="BG229" s="85">
        <v>0</v>
      </c>
      <c r="BH229" s="85">
        <v>37782</v>
      </c>
      <c r="BI229" s="85">
        <v>26.14</v>
      </c>
      <c r="BJ229" s="85">
        <v>26.14</v>
      </c>
      <c r="BO229">
        <v>39.549999999999997</v>
      </c>
      <c r="BP229" s="86">
        <v>14943.73</v>
      </c>
      <c r="BQ229">
        <v>10.34</v>
      </c>
      <c r="BR229">
        <v>10.34</v>
      </c>
      <c r="BS229" s="85">
        <v>22838.27</v>
      </c>
      <c r="BT229" s="85">
        <v>15.8</v>
      </c>
      <c r="BU229" s="85">
        <v>15.8</v>
      </c>
      <c r="BX229" t="s">
        <v>770</v>
      </c>
      <c r="BZ229">
        <v>66013147</v>
      </c>
      <c r="CA229">
        <v>66013147</v>
      </c>
      <c r="CB229" t="s">
        <v>73</v>
      </c>
      <c r="CC229" t="s">
        <v>250</v>
      </c>
      <c r="CE229" t="s">
        <v>530</v>
      </c>
    </row>
    <row r="230" spans="1:83" x14ac:dyDescent="0.35">
      <c r="A230" t="s">
        <v>242</v>
      </c>
      <c r="B230">
        <v>3050535</v>
      </c>
      <c r="C230">
        <v>41651</v>
      </c>
      <c r="D230" t="s">
        <v>583</v>
      </c>
      <c r="E230">
        <v>323565201</v>
      </c>
      <c r="F230" t="s">
        <v>711</v>
      </c>
      <c r="G230" s="60">
        <v>46054</v>
      </c>
      <c r="H230">
        <v>40905285</v>
      </c>
      <c r="I230" t="s">
        <v>1354</v>
      </c>
      <c r="J230" t="s">
        <v>260</v>
      </c>
      <c r="K230" t="s">
        <v>65</v>
      </c>
      <c r="L230">
        <v>0</v>
      </c>
      <c r="M230">
        <v>0</v>
      </c>
      <c r="N230" t="s">
        <v>108</v>
      </c>
      <c r="O230" t="s">
        <v>108</v>
      </c>
      <c r="P230" t="s">
        <v>104</v>
      </c>
      <c r="Q230">
        <v>292623</v>
      </c>
      <c r="R230">
        <v>1990002.6</v>
      </c>
      <c r="S230" s="50">
        <v>46045</v>
      </c>
      <c r="T230" s="50">
        <v>46080</v>
      </c>
      <c r="U230" t="s">
        <v>79</v>
      </c>
      <c r="V230" t="s">
        <v>249</v>
      </c>
      <c r="W230" t="s">
        <v>92</v>
      </c>
      <c r="X230" t="s">
        <v>86</v>
      </c>
      <c r="Y230" t="s">
        <v>291</v>
      </c>
      <c r="Z230">
        <v>10573643</v>
      </c>
      <c r="AA230" s="50">
        <v>46081</v>
      </c>
      <c r="AB230" s="87" t="s">
        <v>93</v>
      </c>
      <c r="AC230" s="86">
        <v>350000</v>
      </c>
      <c r="AD230" t="s">
        <v>70</v>
      </c>
      <c r="AE230" s="85">
        <v>242.15</v>
      </c>
      <c r="AF230" s="85">
        <v>242.15</v>
      </c>
      <c r="AG230" s="85"/>
      <c r="AH230" s="85"/>
      <c r="AI230" s="85"/>
      <c r="AJ230" s="85"/>
      <c r="AK230" s="85"/>
      <c r="AL230" s="85"/>
      <c r="AM230" s="85"/>
      <c r="AN230" s="85"/>
      <c r="AO230" s="85"/>
      <c r="AP230" s="85"/>
      <c r="AQ230" s="85"/>
      <c r="AR230" s="85"/>
      <c r="AS230" s="85"/>
      <c r="AT230" s="85"/>
      <c r="AU230" s="85"/>
      <c r="AV230" s="85"/>
      <c r="AW230" s="85"/>
      <c r="AX230" s="85"/>
      <c r="AY230" s="85"/>
      <c r="AZ230" s="85"/>
      <c r="BA230" s="85"/>
      <c r="BB230" s="85"/>
      <c r="BC230" s="85"/>
      <c r="BD230" s="85"/>
      <c r="BE230" s="85">
        <v>0</v>
      </c>
      <c r="BF230" s="85">
        <v>0</v>
      </c>
      <c r="BG230" s="85">
        <v>0</v>
      </c>
      <c r="BH230" s="85">
        <v>350000</v>
      </c>
      <c r="BI230" s="85">
        <v>242.15</v>
      </c>
      <c r="BJ230" s="85">
        <v>242.15</v>
      </c>
      <c r="BO230">
        <v>39.549999999999997</v>
      </c>
      <c r="BP230" s="86">
        <v>138433.75</v>
      </c>
      <c r="BQ230">
        <v>95.78</v>
      </c>
      <c r="BR230">
        <v>95.78</v>
      </c>
      <c r="BS230" s="85">
        <v>211566.25</v>
      </c>
      <c r="BT230" s="85">
        <v>146.37</v>
      </c>
      <c r="BU230" s="85">
        <v>146.37</v>
      </c>
      <c r="BX230" t="s">
        <v>795</v>
      </c>
      <c r="BZ230">
        <v>224529</v>
      </c>
      <c r="CA230">
        <v>224529</v>
      </c>
      <c r="CB230" t="s">
        <v>73</v>
      </c>
      <c r="CC230" t="s">
        <v>250</v>
      </c>
      <c r="CE230" t="s">
        <v>530</v>
      </c>
    </row>
    <row r="231" spans="1:83" x14ac:dyDescent="0.35">
      <c r="A231" t="s">
        <v>242</v>
      </c>
      <c r="B231">
        <v>3050535</v>
      </c>
      <c r="C231">
        <v>41651</v>
      </c>
      <c r="D231" t="s">
        <v>583</v>
      </c>
      <c r="E231">
        <v>323565201</v>
      </c>
      <c r="F231" t="s">
        <v>711</v>
      </c>
      <c r="G231" s="60">
        <v>46054</v>
      </c>
      <c r="H231">
        <v>40930745</v>
      </c>
      <c r="I231" t="s">
        <v>1355</v>
      </c>
      <c r="J231" t="s">
        <v>260</v>
      </c>
      <c r="K231" t="s">
        <v>65</v>
      </c>
      <c r="L231">
        <v>0</v>
      </c>
      <c r="M231">
        <v>0</v>
      </c>
      <c r="N231" t="s">
        <v>108</v>
      </c>
      <c r="O231" t="s">
        <v>108</v>
      </c>
      <c r="P231" t="s">
        <v>104</v>
      </c>
      <c r="Q231">
        <v>292623</v>
      </c>
      <c r="R231">
        <v>1990002.6</v>
      </c>
      <c r="S231" s="50">
        <v>46045</v>
      </c>
      <c r="T231" s="50">
        <v>46080</v>
      </c>
      <c r="U231" t="s">
        <v>79</v>
      </c>
      <c r="V231" t="s">
        <v>249</v>
      </c>
      <c r="W231" t="s">
        <v>92</v>
      </c>
      <c r="X231" t="s">
        <v>86</v>
      </c>
      <c r="Y231" t="s">
        <v>291</v>
      </c>
      <c r="Z231">
        <v>10573643</v>
      </c>
      <c r="AA231" s="50">
        <v>46081</v>
      </c>
      <c r="AB231" s="87" t="s">
        <v>93</v>
      </c>
      <c r="AC231" s="86">
        <v>388489.58</v>
      </c>
      <c r="AD231" t="s">
        <v>70</v>
      </c>
      <c r="AE231" s="85">
        <v>268.77999999999997</v>
      </c>
      <c r="AF231" s="85">
        <v>268.77999999999997</v>
      </c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>
        <v>0</v>
      </c>
      <c r="BF231" s="85">
        <v>0</v>
      </c>
      <c r="BG231" s="85">
        <v>0</v>
      </c>
      <c r="BH231" s="85">
        <v>388489.58</v>
      </c>
      <c r="BI231" s="85">
        <v>268.77999999999997</v>
      </c>
      <c r="BJ231" s="85">
        <v>268.77999999999997</v>
      </c>
      <c r="BO231">
        <v>39.549999999999997</v>
      </c>
      <c r="BP231" s="86">
        <v>153657.34</v>
      </c>
      <c r="BQ231">
        <v>106.31</v>
      </c>
      <c r="BR231">
        <v>106.31</v>
      </c>
      <c r="BS231" s="85">
        <v>234832.24</v>
      </c>
      <c r="BT231" s="85">
        <v>162.47</v>
      </c>
      <c r="BU231" s="85">
        <v>162.47</v>
      </c>
      <c r="BX231" t="s">
        <v>795</v>
      </c>
      <c r="BZ231">
        <v>224529</v>
      </c>
      <c r="CA231">
        <v>224529</v>
      </c>
      <c r="CB231" t="s">
        <v>73</v>
      </c>
      <c r="CC231" t="s">
        <v>250</v>
      </c>
      <c r="CE231" t="s">
        <v>530</v>
      </c>
    </row>
    <row r="232" spans="1:83" x14ac:dyDescent="0.35">
      <c r="A232" t="s">
        <v>242</v>
      </c>
      <c r="B232">
        <v>3050535</v>
      </c>
      <c r="C232">
        <v>41651</v>
      </c>
      <c r="D232" t="s">
        <v>479</v>
      </c>
      <c r="E232">
        <v>302594801</v>
      </c>
      <c r="F232" t="s">
        <v>557</v>
      </c>
      <c r="G232" s="60">
        <v>46054</v>
      </c>
      <c r="H232">
        <v>40838875</v>
      </c>
      <c r="I232" t="s">
        <v>760</v>
      </c>
      <c r="J232" t="s">
        <v>260</v>
      </c>
      <c r="K232" t="s">
        <v>65</v>
      </c>
      <c r="L232">
        <v>0</v>
      </c>
      <c r="M232">
        <v>0</v>
      </c>
      <c r="P232" t="s">
        <v>519</v>
      </c>
      <c r="Q232">
        <v>9663269</v>
      </c>
      <c r="R232">
        <v>310000000</v>
      </c>
      <c r="S232" s="50">
        <v>45730</v>
      </c>
      <c r="T232" s="50">
        <v>46418</v>
      </c>
      <c r="U232" t="s">
        <v>69</v>
      </c>
      <c r="V232" t="s">
        <v>249</v>
      </c>
      <c r="W232" t="s">
        <v>92</v>
      </c>
      <c r="X232" t="s">
        <v>86</v>
      </c>
      <c r="Y232" t="s">
        <v>291</v>
      </c>
      <c r="Z232">
        <v>10573738</v>
      </c>
      <c r="AA232" s="50">
        <v>46081</v>
      </c>
      <c r="AB232" s="87" t="s">
        <v>93</v>
      </c>
      <c r="AC232" s="86">
        <v>4570398.05</v>
      </c>
      <c r="AD232" t="s">
        <v>70</v>
      </c>
      <c r="AE232" s="85">
        <v>3162.04</v>
      </c>
      <c r="AF232" s="85">
        <v>3162.04</v>
      </c>
      <c r="AG232" s="85"/>
      <c r="AH232" s="85"/>
      <c r="AI232" s="85"/>
      <c r="AJ232" s="85"/>
      <c r="AK232" s="85"/>
      <c r="AL232" s="85"/>
      <c r="AM232" s="85"/>
      <c r="AN232" s="85"/>
      <c r="AO232" s="85"/>
      <c r="AP232" s="85"/>
      <c r="AQ232" s="85"/>
      <c r="AR232" s="85"/>
      <c r="AS232" s="85"/>
      <c r="AT232" s="85"/>
      <c r="AU232" s="85"/>
      <c r="AV232" s="85"/>
      <c r="AW232" s="85"/>
      <c r="AX232" s="85"/>
      <c r="AY232" s="85"/>
      <c r="AZ232" s="85"/>
      <c r="BA232" s="85"/>
      <c r="BB232" s="85"/>
      <c r="BC232" s="85"/>
      <c r="BD232" s="85"/>
      <c r="BE232" s="85">
        <v>0</v>
      </c>
      <c r="BF232" s="85">
        <v>0</v>
      </c>
      <c r="BG232" s="85">
        <v>0</v>
      </c>
      <c r="BH232" s="85">
        <v>4570398.05</v>
      </c>
      <c r="BI232" s="85">
        <v>3162.04</v>
      </c>
      <c r="BJ232" s="85">
        <v>3162.04</v>
      </c>
      <c r="BO232">
        <v>34</v>
      </c>
      <c r="BP232" s="86">
        <v>1553843.93</v>
      </c>
      <c r="BQ232">
        <v>1075.03</v>
      </c>
      <c r="BR232">
        <v>1075.03</v>
      </c>
      <c r="BS232" s="85">
        <v>3016554.12</v>
      </c>
      <c r="BT232" s="85">
        <v>2087.0100000000002</v>
      </c>
      <c r="BU232" s="85">
        <v>2087.0100000000002</v>
      </c>
      <c r="BX232" t="s">
        <v>559</v>
      </c>
      <c r="CB232" t="s">
        <v>73</v>
      </c>
      <c r="CC232" t="s">
        <v>250</v>
      </c>
      <c r="CE232" t="s">
        <v>530</v>
      </c>
    </row>
    <row r="233" spans="1:83" x14ac:dyDescent="0.35">
      <c r="A233" t="s">
        <v>242</v>
      </c>
      <c r="B233">
        <v>3050535</v>
      </c>
      <c r="C233">
        <v>41651</v>
      </c>
      <c r="D233" t="s">
        <v>1229</v>
      </c>
      <c r="E233">
        <v>320312002</v>
      </c>
      <c r="F233" t="s">
        <v>885</v>
      </c>
      <c r="G233" s="60">
        <v>46054</v>
      </c>
      <c r="H233">
        <v>40872434</v>
      </c>
      <c r="I233" t="s">
        <v>1356</v>
      </c>
      <c r="J233" t="s">
        <v>260</v>
      </c>
      <c r="K233" t="s">
        <v>65</v>
      </c>
      <c r="L233">
        <v>0</v>
      </c>
      <c r="M233">
        <v>0</v>
      </c>
      <c r="N233" t="s">
        <v>893</v>
      </c>
      <c r="O233" t="s">
        <v>893</v>
      </c>
      <c r="P233" t="s">
        <v>887</v>
      </c>
      <c r="Q233">
        <v>268721</v>
      </c>
      <c r="R233">
        <v>2700000</v>
      </c>
      <c r="S233" s="50">
        <v>46055</v>
      </c>
      <c r="T233" s="50">
        <v>46072</v>
      </c>
      <c r="U233" t="s">
        <v>79</v>
      </c>
      <c r="V233" t="s">
        <v>249</v>
      </c>
      <c r="W233" t="s">
        <v>92</v>
      </c>
      <c r="X233" t="s">
        <v>86</v>
      </c>
      <c r="Y233" t="s">
        <v>291</v>
      </c>
      <c r="Z233">
        <v>10573626</v>
      </c>
      <c r="AA233" s="50">
        <v>46081</v>
      </c>
      <c r="AB233" s="87" t="s">
        <v>93</v>
      </c>
      <c r="AC233" s="86">
        <v>1285324.1299999999</v>
      </c>
      <c r="AD233" t="s">
        <v>70</v>
      </c>
      <c r="AE233" s="85">
        <v>889.25</v>
      </c>
      <c r="AF233" s="85">
        <v>889.25</v>
      </c>
      <c r="AG233" s="85"/>
      <c r="AH233" s="85"/>
      <c r="AI233" s="85"/>
      <c r="AJ233" s="85"/>
      <c r="AK233" s="85"/>
      <c r="AL233" s="85"/>
      <c r="AM233" s="85"/>
      <c r="AN233" s="85"/>
      <c r="AO233" s="85"/>
      <c r="AP233" s="85"/>
      <c r="AQ233" s="85"/>
      <c r="AR233" s="85"/>
      <c r="AS233" s="85"/>
      <c r="AT233" s="85"/>
      <c r="AU233" s="85"/>
      <c r="AV233" s="85"/>
      <c r="AW233" s="85"/>
      <c r="AX233" s="85"/>
      <c r="AY233" s="85"/>
      <c r="AZ233" s="85"/>
      <c r="BA233" s="85"/>
      <c r="BB233" s="85"/>
      <c r="BC233" s="85"/>
      <c r="BD233" s="85"/>
      <c r="BE233" s="85">
        <v>0</v>
      </c>
      <c r="BF233" s="85">
        <v>0</v>
      </c>
      <c r="BG233" s="85">
        <v>0</v>
      </c>
      <c r="BH233" s="85">
        <v>1285324.1299999999</v>
      </c>
      <c r="BI233" s="85">
        <v>889.25</v>
      </c>
      <c r="BJ233" s="85">
        <v>889.25</v>
      </c>
      <c r="BO233">
        <v>34</v>
      </c>
      <c r="BP233" s="86">
        <v>436984.5</v>
      </c>
      <c r="BQ233">
        <v>302.33</v>
      </c>
      <c r="BR233">
        <v>302.33</v>
      </c>
      <c r="BS233" s="85">
        <v>848339.63</v>
      </c>
      <c r="BT233" s="85">
        <v>586.91999999999996</v>
      </c>
      <c r="BU233" s="85">
        <v>586.91999999999996</v>
      </c>
      <c r="BX233" t="s">
        <v>1231</v>
      </c>
      <c r="BZ233">
        <v>262319</v>
      </c>
      <c r="CA233">
        <v>262319</v>
      </c>
      <c r="CB233" t="s">
        <v>73</v>
      </c>
      <c r="CC233" t="s">
        <v>250</v>
      </c>
      <c r="CE233" t="s">
        <v>530</v>
      </c>
    </row>
    <row r="234" spans="1:83" x14ac:dyDescent="0.35">
      <c r="A234" t="s">
        <v>242</v>
      </c>
      <c r="B234">
        <v>3050535</v>
      </c>
      <c r="C234">
        <v>41651</v>
      </c>
      <c r="D234" t="s">
        <v>554</v>
      </c>
      <c r="E234">
        <v>309496901</v>
      </c>
      <c r="F234" t="s">
        <v>582</v>
      </c>
      <c r="G234" s="60">
        <v>46054</v>
      </c>
      <c r="H234">
        <v>40775999</v>
      </c>
      <c r="I234" t="s">
        <v>599</v>
      </c>
      <c r="J234" t="s">
        <v>260</v>
      </c>
      <c r="K234" t="s">
        <v>65</v>
      </c>
      <c r="L234">
        <v>0</v>
      </c>
      <c r="M234">
        <v>0</v>
      </c>
      <c r="N234" t="s">
        <v>370</v>
      </c>
      <c r="O234" t="s">
        <v>370</v>
      </c>
      <c r="P234" t="s">
        <v>111</v>
      </c>
      <c r="Q234">
        <v>124567</v>
      </c>
      <c r="R234">
        <v>2780000</v>
      </c>
      <c r="S234" s="50">
        <v>45806</v>
      </c>
      <c r="T234" s="50">
        <v>46081</v>
      </c>
      <c r="U234" t="s">
        <v>79</v>
      </c>
      <c r="V234" t="s">
        <v>249</v>
      </c>
      <c r="W234" t="s">
        <v>92</v>
      </c>
      <c r="X234" t="s">
        <v>86</v>
      </c>
      <c r="Y234" t="s">
        <v>291</v>
      </c>
      <c r="Z234">
        <v>10573701</v>
      </c>
      <c r="AA234" s="50">
        <v>46081</v>
      </c>
      <c r="AB234" s="87" t="s">
        <v>93</v>
      </c>
      <c r="AC234" s="86">
        <v>311760.77</v>
      </c>
      <c r="AD234" t="s">
        <v>70</v>
      </c>
      <c r="AE234" s="85">
        <v>215.69</v>
      </c>
      <c r="AF234" s="85">
        <v>215.69</v>
      </c>
      <c r="AG234" s="85"/>
      <c r="AH234" s="85"/>
      <c r="AI234" s="85"/>
      <c r="AJ234" s="85"/>
      <c r="AK234" s="85"/>
      <c r="AL234" s="85"/>
      <c r="AM234" s="85"/>
      <c r="AN234" s="85"/>
      <c r="AO234" s="85"/>
      <c r="AP234" s="85"/>
      <c r="AQ234" s="85"/>
      <c r="AR234" s="85"/>
      <c r="AS234" s="85"/>
      <c r="AT234" s="85"/>
      <c r="AU234" s="85"/>
      <c r="AV234" s="85"/>
      <c r="AW234" s="85"/>
      <c r="AX234" s="85"/>
      <c r="AY234" s="85"/>
      <c r="AZ234" s="85"/>
      <c r="BA234" s="85"/>
      <c r="BB234" s="85"/>
      <c r="BC234" s="85"/>
      <c r="BD234" s="85"/>
      <c r="BE234" s="85">
        <v>0</v>
      </c>
      <c r="BF234" s="85">
        <v>0</v>
      </c>
      <c r="BG234" s="85">
        <v>0</v>
      </c>
      <c r="BH234" s="85">
        <v>311760.77</v>
      </c>
      <c r="BI234" s="85">
        <v>215.69</v>
      </c>
      <c r="BJ234" s="85">
        <v>215.69</v>
      </c>
      <c r="BO234">
        <v>39.549999999999997</v>
      </c>
      <c r="BP234" s="86">
        <v>123309.18</v>
      </c>
      <c r="BQ234">
        <v>85.31</v>
      </c>
      <c r="BR234">
        <v>85.31</v>
      </c>
      <c r="BS234" s="85">
        <v>188451.59</v>
      </c>
      <c r="BT234" s="85">
        <v>130.38</v>
      </c>
      <c r="BU234" s="85">
        <v>130.38</v>
      </c>
      <c r="BX234" t="s">
        <v>587</v>
      </c>
      <c r="BZ234">
        <v>181584876</v>
      </c>
      <c r="CA234">
        <v>181584876</v>
      </c>
      <c r="CB234" t="s">
        <v>73</v>
      </c>
      <c r="CC234" t="s">
        <v>250</v>
      </c>
      <c r="CE234" t="s">
        <v>530</v>
      </c>
    </row>
    <row r="235" spans="1:83" x14ac:dyDescent="0.35">
      <c r="A235" t="s">
        <v>242</v>
      </c>
      <c r="B235">
        <v>3050535</v>
      </c>
      <c r="C235">
        <v>41651</v>
      </c>
      <c r="D235" t="s">
        <v>571</v>
      </c>
      <c r="E235">
        <v>275149001</v>
      </c>
      <c r="F235" t="s">
        <v>562</v>
      </c>
      <c r="G235" s="60">
        <v>46054</v>
      </c>
      <c r="H235">
        <v>40789845</v>
      </c>
      <c r="I235" t="s">
        <v>733</v>
      </c>
      <c r="J235" t="s">
        <v>260</v>
      </c>
      <c r="K235" t="s">
        <v>65</v>
      </c>
      <c r="L235">
        <v>0</v>
      </c>
      <c r="M235">
        <v>0</v>
      </c>
      <c r="N235" t="s">
        <v>566</v>
      </c>
      <c r="O235" t="s">
        <v>566</v>
      </c>
      <c r="P235" t="s">
        <v>563</v>
      </c>
      <c r="Q235">
        <v>5733116</v>
      </c>
      <c r="R235">
        <v>40600000</v>
      </c>
      <c r="S235" s="50">
        <v>45292</v>
      </c>
      <c r="T235" s="50">
        <v>46112</v>
      </c>
      <c r="U235" t="s">
        <v>66</v>
      </c>
      <c r="V235" t="s">
        <v>249</v>
      </c>
      <c r="W235" t="s">
        <v>92</v>
      </c>
      <c r="X235" t="s">
        <v>86</v>
      </c>
      <c r="Y235" t="s">
        <v>291</v>
      </c>
      <c r="Z235">
        <v>10573709</v>
      </c>
      <c r="AA235" s="50">
        <v>46081</v>
      </c>
      <c r="AB235" s="87" t="s">
        <v>93</v>
      </c>
      <c r="AC235" s="86">
        <v>23000</v>
      </c>
      <c r="AD235" t="s">
        <v>70</v>
      </c>
      <c r="AE235" s="85">
        <v>15.91</v>
      </c>
      <c r="AF235" s="85">
        <v>15.91</v>
      </c>
      <c r="AG235" s="85"/>
      <c r="AH235" s="85"/>
      <c r="AI235" s="85"/>
      <c r="AJ235" s="85"/>
      <c r="AK235" s="85"/>
      <c r="AL235" s="85"/>
      <c r="AM235" s="85"/>
      <c r="AN235" s="85"/>
      <c r="AO235" s="85"/>
      <c r="AP235" s="85"/>
      <c r="AQ235" s="85"/>
      <c r="AR235" s="85"/>
      <c r="AS235" s="85"/>
      <c r="AT235" s="85"/>
      <c r="AU235" s="85"/>
      <c r="AV235" s="85"/>
      <c r="AW235" s="85"/>
      <c r="AX235" s="85"/>
      <c r="AY235" s="85"/>
      <c r="AZ235" s="85"/>
      <c r="BA235" s="85"/>
      <c r="BB235" s="85"/>
      <c r="BC235" s="85"/>
      <c r="BD235" s="85"/>
      <c r="BE235" s="85">
        <v>0</v>
      </c>
      <c r="BF235" s="85">
        <v>0</v>
      </c>
      <c r="BG235" s="85">
        <v>0</v>
      </c>
      <c r="BH235" s="85">
        <v>23000</v>
      </c>
      <c r="BI235" s="85">
        <v>15.91</v>
      </c>
      <c r="BJ235" s="85">
        <v>15.91</v>
      </c>
      <c r="BO235">
        <v>39.549999999999997</v>
      </c>
      <c r="BP235" s="86">
        <v>9097.08</v>
      </c>
      <c r="BQ235">
        <v>6.29</v>
      </c>
      <c r="BR235">
        <v>6.29</v>
      </c>
      <c r="BS235" s="85">
        <v>13902.92</v>
      </c>
      <c r="BT235" s="85">
        <v>9.6199999999999992</v>
      </c>
      <c r="BU235" s="85">
        <v>9.6199999999999992</v>
      </c>
      <c r="BX235" t="s">
        <v>572</v>
      </c>
      <c r="BZ235">
        <v>47720819</v>
      </c>
      <c r="CA235">
        <v>47720819</v>
      </c>
      <c r="CB235" t="s">
        <v>73</v>
      </c>
      <c r="CC235" t="s">
        <v>250</v>
      </c>
      <c r="CE235" t="s">
        <v>530</v>
      </c>
    </row>
    <row r="236" spans="1:83" x14ac:dyDescent="0.35">
      <c r="A236" t="s">
        <v>242</v>
      </c>
      <c r="B236">
        <v>3050535</v>
      </c>
      <c r="C236">
        <v>41651</v>
      </c>
      <c r="D236" t="s">
        <v>571</v>
      </c>
      <c r="E236">
        <v>275149001</v>
      </c>
      <c r="F236" t="s">
        <v>562</v>
      </c>
      <c r="G236" s="60">
        <v>46054</v>
      </c>
      <c r="H236">
        <v>40789966</v>
      </c>
      <c r="I236" t="s">
        <v>734</v>
      </c>
      <c r="J236" t="s">
        <v>260</v>
      </c>
      <c r="K236" t="s">
        <v>65</v>
      </c>
      <c r="L236">
        <v>0</v>
      </c>
      <c r="M236">
        <v>0</v>
      </c>
      <c r="N236" t="s">
        <v>566</v>
      </c>
      <c r="O236" t="s">
        <v>566</v>
      </c>
      <c r="P236" t="s">
        <v>563</v>
      </c>
      <c r="Q236">
        <v>5733116</v>
      </c>
      <c r="R236">
        <v>40600000</v>
      </c>
      <c r="S236" s="50">
        <v>45292</v>
      </c>
      <c r="T236" s="50">
        <v>46112</v>
      </c>
      <c r="U236" t="s">
        <v>66</v>
      </c>
      <c r="V236" t="s">
        <v>249</v>
      </c>
      <c r="W236" t="s">
        <v>92</v>
      </c>
      <c r="X236" t="s">
        <v>86</v>
      </c>
      <c r="Y236" t="s">
        <v>291</v>
      </c>
      <c r="Z236">
        <v>10573709</v>
      </c>
      <c r="AA236" s="50">
        <v>46081</v>
      </c>
      <c r="AB236" s="87" t="s">
        <v>93</v>
      </c>
      <c r="AC236" s="86">
        <v>32000</v>
      </c>
      <c r="AD236" t="s">
        <v>70</v>
      </c>
      <c r="AE236" s="85">
        <v>22.14</v>
      </c>
      <c r="AF236" s="85">
        <v>22.14</v>
      </c>
      <c r="AG236" s="85"/>
      <c r="AH236" s="85"/>
      <c r="AI236" s="85"/>
      <c r="AJ236" s="85"/>
      <c r="AK236" s="85"/>
      <c r="AL236" s="85"/>
      <c r="AM236" s="85"/>
      <c r="AN236" s="85"/>
      <c r="AO236" s="85"/>
      <c r="AP236" s="85"/>
      <c r="AQ236" s="85"/>
      <c r="AR236" s="85"/>
      <c r="AS236" s="85"/>
      <c r="AT236" s="85"/>
      <c r="AU236" s="85"/>
      <c r="AV236" s="85"/>
      <c r="AW236" s="85"/>
      <c r="AX236" s="85"/>
      <c r="AY236" s="85"/>
      <c r="AZ236" s="85"/>
      <c r="BA236" s="85"/>
      <c r="BB236" s="85"/>
      <c r="BC236" s="85"/>
      <c r="BD236" s="85"/>
      <c r="BE236" s="85">
        <v>0</v>
      </c>
      <c r="BF236" s="85">
        <v>0</v>
      </c>
      <c r="BG236" s="85">
        <v>0</v>
      </c>
      <c r="BH236" s="85">
        <v>32000</v>
      </c>
      <c r="BI236" s="85">
        <v>22.14</v>
      </c>
      <c r="BJ236" s="85">
        <v>22.14</v>
      </c>
      <c r="BO236">
        <v>39.549999999999997</v>
      </c>
      <c r="BP236" s="86">
        <v>12656.8</v>
      </c>
      <c r="BQ236">
        <v>8.76</v>
      </c>
      <c r="BR236">
        <v>8.76</v>
      </c>
      <c r="BS236" s="85">
        <v>19343.2</v>
      </c>
      <c r="BT236" s="85">
        <v>13.38</v>
      </c>
      <c r="BU236" s="85">
        <v>13.38</v>
      </c>
      <c r="BX236" t="s">
        <v>572</v>
      </c>
      <c r="BZ236">
        <v>47720819</v>
      </c>
      <c r="CA236">
        <v>47720819</v>
      </c>
      <c r="CB236" t="s">
        <v>73</v>
      </c>
      <c r="CC236" t="s">
        <v>250</v>
      </c>
      <c r="CE236" t="s">
        <v>530</v>
      </c>
    </row>
    <row r="237" spans="1:83" x14ac:dyDescent="0.35">
      <c r="A237" t="s">
        <v>242</v>
      </c>
      <c r="B237">
        <v>3050535</v>
      </c>
      <c r="C237">
        <v>41651</v>
      </c>
      <c r="D237" t="s">
        <v>571</v>
      </c>
      <c r="E237">
        <v>275149001</v>
      </c>
      <c r="F237" t="s">
        <v>562</v>
      </c>
      <c r="G237" s="60">
        <v>46054</v>
      </c>
      <c r="H237">
        <v>40888662</v>
      </c>
      <c r="I237" t="s">
        <v>1251</v>
      </c>
      <c r="J237" t="s">
        <v>260</v>
      </c>
      <c r="K237" t="s">
        <v>65</v>
      </c>
      <c r="L237">
        <v>0</v>
      </c>
      <c r="M237">
        <v>0</v>
      </c>
      <c r="N237" t="s">
        <v>566</v>
      </c>
      <c r="O237" t="s">
        <v>566</v>
      </c>
      <c r="P237" t="s">
        <v>563</v>
      </c>
      <c r="Q237">
        <v>5733116</v>
      </c>
      <c r="R237">
        <v>40600000</v>
      </c>
      <c r="S237" s="50">
        <v>45292</v>
      </c>
      <c r="T237" s="50">
        <v>46127</v>
      </c>
      <c r="U237" t="s">
        <v>66</v>
      </c>
      <c r="V237" t="s">
        <v>249</v>
      </c>
      <c r="W237" t="s">
        <v>92</v>
      </c>
      <c r="X237" t="s">
        <v>86</v>
      </c>
      <c r="Y237" t="s">
        <v>291</v>
      </c>
      <c r="Z237">
        <v>10573709</v>
      </c>
      <c r="AA237" s="50">
        <v>46081</v>
      </c>
      <c r="AB237" s="87" t="s">
        <v>93</v>
      </c>
      <c r="AC237" s="86">
        <v>51259.76</v>
      </c>
      <c r="AD237" t="s">
        <v>70</v>
      </c>
      <c r="AE237" s="85">
        <v>35.46</v>
      </c>
      <c r="AF237" s="85">
        <v>35.46</v>
      </c>
      <c r="AG237" s="85"/>
      <c r="AH237" s="85"/>
      <c r="AI237" s="85"/>
      <c r="AJ237" s="85"/>
      <c r="AK237" s="85"/>
      <c r="AL237" s="85"/>
      <c r="AM237" s="85"/>
      <c r="AN237" s="85"/>
      <c r="AO237" s="85"/>
      <c r="AP237" s="85"/>
      <c r="AQ237" s="85"/>
      <c r="AR237" s="85"/>
      <c r="AS237" s="85"/>
      <c r="AT237" s="85"/>
      <c r="AU237" s="85"/>
      <c r="AV237" s="85"/>
      <c r="AW237" s="85"/>
      <c r="AX237" s="85"/>
      <c r="AY237" s="85"/>
      <c r="AZ237" s="85"/>
      <c r="BA237" s="85"/>
      <c r="BB237" s="85"/>
      <c r="BC237" s="85"/>
      <c r="BD237" s="85"/>
      <c r="BE237" s="85">
        <v>0</v>
      </c>
      <c r="BF237" s="85">
        <v>0</v>
      </c>
      <c r="BG237" s="85">
        <v>0</v>
      </c>
      <c r="BH237" s="85">
        <v>51259.76</v>
      </c>
      <c r="BI237" s="85">
        <v>35.46</v>
      </c>
      <c r="BJ237" s="85">
        <v>35.46</v>
      </c>
      <c r="BO237">
        <v>39.549999999999997</v>
      </c>
      <c r="BP237" s="86">
        <v>20274.52</v>
      </c>
      <c r="BQ237">
        <v>14.03</v>
      </c>
      <c r="BR237">
        <v>14.03</v>
      </c>
      <c r="BS237" s="85">
        <v>30985.24</v>
      </c>
      <c r="BT237" s="85">
        <v>21.43</v>
      </c>
      <c r="BU237" s="85">
        <v>21.43</v>
      </c>
      <c r="BX237" t="s">
        <v>572</v>
      </c>
      <c r="BZ237">
        <v>47720819</v>
      </c>
      <c r="CA237">
        <v>47720819</v>
      </c>
      <c r="CB237" t="s">
        <v>73</v>
      </c>
      <c r="CC237" t="s">
        <v>250</v>
      </c>
      <c r="CE237" t="s">
        <v>530</v>
      </c>
    </row>
    <row r="238" spans="1:83" x14ac:dyDescent="0.35">
      <c r="A238" t="s">
        <v>242</v>
      </c>
      <c r="B238">
        <v>3050535</v>
      </c>
      <c r="C238">
        <v>41651</v>
      </c>
      <c r="D238" t="s">
        <v>288</v>
      </c>
      <c r="E238">
        <v>316314309</v>
      </c>
      <c r="F238" t="s">
        <v>658</v>
      </c>
      <c r="G238" s="60">
        <v>46054</v>
      </c>
      <c r="H238">
        <v>40884286</v>
      </c>
      <c r="I238" t="s">
        <v>1357</v>
      </c>
      <c r="J238" t="s">
        <v>482</v>
      </c>
      <c r="K238" t="s">
        <v>65</v>
      </c>
      <c r="L238">
        <v>0</v>
      </c>
      <c r="M238">
        <v>0</v>
      </c>
      <c r="N238" t="s">
        <v>522</v>
      </c>
      <c r="O238" t="s">
        <v>522</v>
      </c>
      <c r="P238" t="s">
        <v>287</v>
      </c>
      <c r="Q238">
        <v>148610446</v>
      </c>
      <c r="R238">
        <v>801900</v>
      </c>
      <c r="S238" s="50">
        <v>46056</v>
      </c>
      <c r="T238" s="50">
        <v>46056</v>
      </c>
      <c r="U238" t="s">
        <v>69</v>
      </c>
      <c r="V238" t="s">
        <v>249</v>
      </c>
      <c r="W238" t="s">
        <v>92</v>
      </c>
      <c r="X238" t="s">
        <v>86</v>
      </c>
      <c r="Y238" t="s">
        <v>291</v>
      </c>
      <c r="Z238">
        <v>10573720</v>
      </c>
      <c r="AA238" s="50">
        <v>46081</v>
      </c>
      <c r="AB238" s="87" t="s">
        <v>93</v>
      </c>
      <c r="AC238" s="86">
        <v>801900</v>
      </c>
      <c r="AD238" t="s">
        <v>70</v>
      </c>
      <c r="AE238" s="85">
        <v>554.79999999999995</v>
      </c>
      <c r="AF238" s="85">
        <v>554.79999999999995</v>
      </c>
      <c r="AG238" s="85"/>
      <c r="AH238" s="85"/>
      <c r="AI238" s="85"/>
      <c r="AJ238" s="85"/>
      <c r="AK238" s="85"/>
      <c r="AL238" s="85"/>
      <c r="AM238" s="85"/>
      <c r="AN238" s="85"/>
      <c r="AO238" s="85"/>
      <c r="AP238" s="85"/>
      <c r="AQ238" s="85"/>
      <c r="AR238" s="85"/>
      <c r="AS238" s="85"/>
      <c r="AT238" s="85"/>
      <c r="AU238" s="85"/>
      <c r="AV238" s="85"/>
      <c r="AW238" s="85"/>
      <c r="AX238" s="85"/>
      <c r="AY238" s="85"/>
      <c r="AZ238" s="85"/>
      <c r="BA238" s="85"/>
      <c r="BB238" s="85"/>
      <c r="BC238" s="85"/>
      <c r="BD238" s="85"/>
      <c r="BE238" s="85">
        <v>0</v>
      </c>
      <c r="BF238" s="85">
        <v>0</v>
      </c>
      <c r="BG238" s="85">
        <v>0</v>
      </c>
      <c r="BH238" s="85">
        <v>801900</v>
      </c>
      <c r="BI238" s="85">
        <v>554.79999999999995</v>
      </c>
      <c r="BJ238" s="85">
        <v>554.79999999999995</v>
      </c>
      <c r="BO238">
        <v>39.549999999999997</v>
      </c>
      <c r="BP238" s="86">
        <v>317171.5</v>
      </c>
      <c r="BQ238">
        <v>219.44</v>
      </c>
      <c r="BR238">
        <v>219.44</v>
      </c>
      <c r="BS238" s="85">
        <v>484728.5</v>
      </c>
      <c r="BT238" s="85">
        <v>335.36</v>
      </c>
      <c r="BU238" s="85">
        <v>335.36</v>
      </c>
      <c r="BW238" t="s">
        <v>527</v>
      </c>
      <c r="BX238" t="s">
        <v>735</v>
      </c>
      <c r="BZ238">
        <v>192377147</v>
      </c>
      <c r="CA238">
        <v>192377147</v>
      </c>
      <c r="CB238" t="s">
        <v>76</v>
      </c>
      <c r="CC238" t="s">
        <v>250</v>
      </c>
      <c r="CE238" t="s">
        <v>530</v>
      </c>
    </row>
    <row r="239" spans="1:83" x14ac:dyDescent="0.35">
      <c r="A239" t="s">
        <v>242</v>
      </c>
      <c r="B239">
        <v>3050535</v>
      </c>
      <c r="C239">
        <v>41651</v>
      </c>
      <c r="D239" t="s">
        <v>258</v>
      </c>
      <c r="E239">
        <v>322257401</v>
      </c>
      <c r="F239" t="s">
        <v>684</v>
      </c>
      <c r="G239" s="60">
        <v>46054</v>
      </c>
      <c r="H239">
        <v>40816303</v>
      </c>
      <c r="I239" t="s">
        <v>792</v>
      </c>
      <c r="J239" t="s">
        <v>260</v>
      </c>
      <c r="K239" t="s">
        <v>65</v>
      </c>
      <c r="L239">
        <v>0</v>
      </c>
      <c r="M239">
        <v>0</v>
      </c>
      <c r="N239" t="s">
        <v>100</v>
      </c>
      <c r="O239" t="s">
        <v>100</v>
      </c>
      <c r="P239" t="s">
        <v>115</v>
      </c>
      <c r="Q239">
        <v>100986</v>
      </c>
      <c r="R239">
        <v>5500000</v>
      </c>
      <c r="S239" s="50">
        <v>46035</v>
      </c>
      <c r="T239" s="50">
        <v>46076</v>
      </c>
      <c r="U239" t="s">
        <v>69</v>
      </c>
      <c r="V239" t="s">
        <v>249</v>
      </c>
      <c r="W239" t="s">
        <v>92</v>
      </c>
      <c r="X239" t="s">
        <v>86</v>
      </c>
      <c r="Y239" t="s">
        <v>291</v>
      </c>
      <c r="Z239">
        <v>10573648</v>
      </c>
      <c r="AA239" s="50">
        <v>46081</v>
      </c>
      <c r="AB239" s="87" t="s">
        <v>93</v>
      </c>
      <c r="AC239" s="86">
        <v>4387094.46</v>
      </c>
      <c r="AD239" t="s">
        <v>70</v>
      </c>
      <c r="AE239" s="85">
        <v>3035.22</v>
      </c>
      <c r="AF239" s="85">
        <v>3035.22</v>
      </c>
      <c r="AG239" s="85"/>
      <c r="AH239" s="85"/>
      <c r="AI239" s="85"/>
      <c r="AJ239" s="85"/>
      <c r="AK239" s="85"/>
      <c r="AL239" s="85"/>
      <c r="AM239" s="85"/>
      <c r="AN239" s="85"/>
      <c r="AO239" s="85"/>
      <c r="AP239" s="85"/>
      <c r="AQ239" s="85"/>
      <c r="AR239" s="85"/>
      <c r="AS239" s="85"/>
      <c r="AT239" s="85"/>
      <c r="AU239" s="85"/>
      <c r="AV239" s="85"/>
      <c r="AW239" s="85"/>
      <c r="AX239" s="85"/>
      <c r="AY239" s="85"/>
      <c r="AZ239" s="85"/>
      <c r="BA239" s="85"/>
      <c r="BB239" s="85"/>
      <c r="BC239" s="85"/>
      <c r="BD239" s="85"/>
      <c r="BE239" s="85">
        <v>0</v>
      </c>
      <c r="BF239" s="85">
        <v>0</v>
      </c>
      <c r="BG239" s="85">
        <v>0</v>
      </c>
      <c r="BH239" s="85">
        <v>4387094.46</v>
      </c>
      <c r="BI239" s="85">
        <v>3035.22</v>
      </c>
      <c r="BJ239" s="85">
        <v>3035.22</v>
      </c>
      <c r="BO239">
        <v>39.549999999999997</v>
      </c>
      <c r="BP239" s="86">
        <v>1735205.54</v>
      </c>
      <c r="BQ239">
        <v>1200.5</v>
      </c>
      <c r="BR239">
        <v>1200.5</v>
      </c>
      <c r="BS239" s="85">
        <v>2651888.92</v>
      </c>
      <c r="BT239" s="85">
        <v>1834.72</v>
      </c>
      <c r="BU239" s="85">
        <v>1834.72</v>
      </c>
      <c r="BX239" t="s">
        <v>793</v>
      </c>
      <c r="BZ239">
        <v>224581</v>
      </c>
      <c r="CA239">
        <v>224581</v>
      </c>
      <c r="CB239" t="s">
        <v>73</v>
      </c>
      <c r="CC239" t="s">
        <v>250</v>
      </c>
      <c r="CE239" t="s">
        <v>530</v>
      </c>
    </row>
    <row r="240" spans="1:83" x14ac:dyDescent="0.35">
      <c r="A240" t="s">
        <v>242</v>
      </c>
      <c r="B240">
        <v>3050535</v>
      </c>
      <c r="C240">
        <v>41651</v>
      </c>
      <c r="D240" t="s">
        <v>283</v>
      </c>
      <c r="E240">
        <v>321925201</v>
      </c>
      <c r="F240" t="s">
        <v>637</v>
      </c>
      <c r="G240" s="60">
        <v>46054</v>
      </c>
      <c r="H240">
        <v>40734032</v>
      </c>
      <c r="I240" t="s">
        <v>648</v>
      </c>
      <c r="J240" t="s">
        <v>260</v>
      </c>
      <c r="K240" t="s">
        <v>65</v>
      </c>
      <c r="L240">
        <v>0</v>
      </c>
      <c r="M240">
        <v>0</v>
      </c>
      <c r="N240" t="s">
        <v>108</v>
      </c>
      <c r="O240" t="s">
        <v>108</v>
      </c>
      <c r="P240" t="s">
        <v>104</v>
      </c>
      <c r="Q240">
        <v>292623</v>
      </c>
      <c r="R240">
        <v>6763550</v>
      </c>
      <c r="S240" s="50">
        <v>46017</v>
      </c>
      <c r="T240" s="50">
        <v>46081</v>
      </c>
      <c r="U240" t="s">
        <v>79</v>
      </c>
      <c r="V240" t="s">
        <v>249</v>
      </c>
      <c r="W240" t="s">
        <v>92</v>
      </c>
      <c r="X240" t="s">
        <v>86</v>
      </c>
      <c r="Y240" t="s">
        <v>291</v>
      </c>
      <c r="Z240">
        <v>10573736</v>
      </c>
      <c r="AA240" s="50">
        <v>46081</v>
      </c>
      <c r="AB240" s="87" t="s">
        <v>93</v>
      </c>
      <c r="AC240" s="86">
        <v>371537.96</v>
      </c>
      <c r="AD240" t="s">
        <v>70</v>
      </c>
      <c r="AE240" s="85">
        <v>257.05</v>
      </c>
      <c r="AF240" s="85">
        <v>257.05</v>
      </c>
      <c r="AG240" s="85"/>
      <c r="AH240" s="85"/>
      <c r="AI240" s="85"/>
      <c r="AJ240" s="85"/>
      <c r="AK240" s="85"/>
      <c r="AL240" s="85"/>
      <c r="AM240" s="85"/>
      <c r="AN240" s="85"/>
      <c r="AO240" s="85"/>
      <c r="AP240" s="85"/>
      <c r="AQ240" s="85"/>
      <c r="AR240" s="85"/>
      <c r="AS240" s="85"/>
      <c r="AT240" s="85"/>
      <c r="AU240" s="85"/>
      <c r="AV240" s="85"/>
      <c r="AW240" s="85"/>
      <c r="AX240" s="85"/>
      <c r="AY240" s="85"/>
      <c r="AZ240" s="85"/>
      <c r="BA240" s="85"/>
      <c r="BB240" s="85"/>
      <c r="BC240" s="85"/>
      <c r="BD240" s="85"/>
      <c r="BE240" s="85">
        <v>0</v>
      </c>
      <c r="BF240" s="85">
        <v>0</v>
      </c>
      <c r="BG240" s="85">
        <v>0</v>
      </c>
      <c r="BH240" s="85">
        <v>371537.96</v>
      </c>
      <c r="BI240" s="85">
        <v>257.05</v>
      </c>
      <c r="BJ240" s="85">
        <v>257.05</v>
      </c>
      <c r="BO240">
        <v>39.549999999999997</v>
      </c>
      <c r="BP240" s="86">
        <v>146952.54999999999</v>
      </c>
      <c r="BQ240">
        <v>101.67</v>
      </c>
      <c r="BR240">
        <v>101.67</v>
      </c>
      <c r="BS240" s="85">
        <v>224585.41</v>
      </c>
      <c r="BT240" s="85">
        <v>155.38</v>
      </c>
      <c r="BU240" s="85">
        <v>155.38</v>
      </c>
      <c r="BX240" t="s">
        <v>643</v>
      </c>
      <c r="BZ240">
        <v>224529</v>
      </c>
      <c r="CA240">
        <v>224529</v>
      </c>
      <c r="CB240" t="s">
        <v>73</v>
      </c>
      <c r="CC240" t="s">
        <v>250</v>
      </c>
      <c r="CE240" t="s">
        <v>530</v>
      </c>
    </row>
    <row r="241" spans="1:83" x14ac:dyDescent="0.35">
      <c r="A241" t="s">
        <v>242</v>
      </c>
      <c r="B241">
        <v>3050535</v>
      </c>
      <c r="C241">
        <v>41651</v>
      </c>
      <c r="D241" t="s">
        <v>258</v>
      </c>
      <c r="E241">
        <v>324621001</v>
      </c>
      <c r="F241" t="s">
        <v>1098</v>
      </c>
      <c r="G241" s="60">
        <v>46054</v>
      </c>
      <c r="H241">
        <v>40925728</v>
      </c>
      <c r="I241" t="s">
        <v>1358</v>
      </c>
      <c r="J241" t="s">
        <v>260</v>
      </c>
      <c r="K241" t="s">
        <v>65</v>
      </c>
      <c r="L241">
        <v>0</v>
      </c>
      <c r="M241">
        <v>0</v>
      </c>
      <c r="N241" t="s">
        <v>100</v>
      </c>
      <c r="O241" t="s">
        <v>100</v>
      </c>
      <c r="P241" t="s">
        <v>115</v>
      </c>
      <c r="Q241">
        <v>100986</v>
      </c>
      <c r="R241">
        <v>7000000</v>
      </c>
      <c r="S241" s="50">
        <v>46063</v>
      </c>
      <c r="T241" s="50">
        <v>46122</v>
      </c>
      <c r="U241" t="s">
        <v>69</v>
      </c>
      <c r="V241" t="s">
        <v>249</v>
      </c>
      <c r="W241" t="s">
        <v>92</v>
      </c>
      <c r="X241" t="s">
        <v>86</v>
      </c>
      <c r="Y241" t="s">
        <v>291</v>
      </c>
      <c r="Z241">
        <v>10573681</v>
      </c>
      <c r="AA241" s="50">
        <v>46081</v>
      </c>
      <c r="AB241" s="87" t="s">
        <v>93</v>
      </c>
      <c r="AC241" s="86">
        <v>2113734.34</v>
      </c>
      <c r="AD241" t="s">
        <v>70</v>
      </c>
      <c r="AE241" s="85">
        <v>1462.39</v>
      </c>
      <c r="AF241" s="85">
        <v>1462.39</v>
      </c>
      <c r="AG241" s="85"/>
      <c r="AH241" s="85"/>
      <c r="AI241" s="85"/>
      <c r="AJ241" s="85"/>
      <c r="AK241" s="85"/>
      <c r="AL241" s="85"/>
      <c r="AM241" s="85"/>
      <c r="AN241" s="85"/>
      <c r="AO241" s="85"/>
      <c r="AP241" s="85"/>
      <c r="AQ241" s="85"/>
      <c r="AR241" s="85"/>
      <c r="AS241" s="85"/>
      <c r="AT241" s="85"/>
      <c r="AU241" s="85"/>
      <c r="AV241" s="85"/>
      <c r="AW241" s="85"/>
      <c r="AX241" s="85"/>
      <c r="AY241" s="85"/>
      <c r="AZ241" s="85"/>
      <c r="BA241" s="85"/>
      <c r="BB241" s="85"/>
      <c r="BC241" s="85"/>
      <c r="BD241" s="85"/>
      <c r="BE241" s="85">
        <v>0</v>
      </c>
      <c r="BF241" s="85">
        <v>0</v>
      </c>
      <c r="BG241" s="85">
        <v>0</v>
      </c>
      <c r="BH241" s="85">
        <v>2113734.34</v>
      </c>
      <c r="BI241" s="85">
        <v>1462.39</v>
      </c>
      <c r="BJ241" s="85">
        <v>1462.39</v>
      </c>
      <c r="BO241">
        <v>22</v>
      </c>
      <c r="BP241" s="86">
        <v>465021.56</v>
      </c>
      <c r="BQ241">
        <v>321.73</v>
      </c>
      <c r="BR241">
        <v>321.73</v>
      </c>
      <c r="BS241" s="85">
        <v>1648712.78</v>
      </c>
      <c r="BT241" s="85">
        <v>1140.6600000000001</v>
      </c>
      <c r="BU241" s="85">
        <v>1140.6600000000001</v>
      </c>
      <c r="BX241" t="s">
        <v>1359</v>
      </c>
      <c r="BZ241">
        <v>224581</v>
      </c>
      <c r="CA241">
        <v>224581</v>
      </c>
      <c r="CB241" t="s">
        <v>73</v>
      </c>
      <c r="CC241" t="s">
        <v>250</v>
      </c>
      <c r="CE241" t="s">
        <v>530</v>
      </c>
    </row>
    <row r="242" spans="1:83" x14ac:dyDescent="0.35">
      <c r="A242" t="s">
        <v>242</v>
      </c>
      <c r="B242">
        <v>3050535</v>
      </c>
      <c r="C242">
        <v>41651</v>
      </c>
      <c r="D242" t="s">
        <v>552</v>
      </c>
      <c r="E242">
        <v>322531401</v>
      </c>
      <c r="F242" t="s">
        <v>692</v>
      </c>
      <c r="G242" s="60">
        <v>46054</v>
      </c>
      <c r="H242">
        <v>40979598</v>
      </c>
      <c r="I242" t="s">
        <v>1360</v>
      </c>
      <c r="J242" t="s">
        <v>260</v>
      </c>
      <c r="K242" t="s">
        <v>65</v>
      </c>
      <c r="L242">
        <v>0</v>
      </c>
      <c r="M242">
        <v>0</v>
      </c>
      <c r="N242" t="s">
        <v>255</v>
      </c>
      <c r="O242" t="s">
        <v>255</v>
      </c>
      <c r="P242" t="s">
        <v>548</v>
      </c>
      <c r="Q242">
        <v>7000116</v>
      </c>
      <c r="R242">
        <v>12650000</v>
      </c>
      <c r="S242" s="50">
        <v>46035</v>
      </c>
      <c r="T242" s="50">
        <v>46081</v>
      </c>
      <c r="U242" t="s">
        <v>79</v>
      </c>
      <c r="V242" t="s">
        <v>249</v>
      </c>
      <c r="W242" t="s">
        <v>92</v>
      </c>
      <c r="X242" t="s">
        <v>86</v>
      </c>
      <c r="Y242" t="s">
        <v>291</v>
      </c>
      <c r="Z242">
        <v>10573696</v>
      </c>
      <c r="AA242" s="50">
        <v>46081</v>
      </c>
      <c r="AB242" s="87" t="s">
        <v>93</v>
      </c>
      <c r="AC242" s="86">
        <v>100000</v>
      </c>
      <c r="AD242" t="s">
        <v>70</v>
      </c>
      <c r="AE242" s="85">
        <v>69.19</v>
      </c>
      <c r="AF242" s="85">
        <v>69.19</v>
      </c>
      <c r="AG242" s="85"/>
      <c r="AH242" s="85"/>
      <c r="AI242" s="85"/>
      <c r="AJ242" s="85"/>
      <c r="AK242" s="85"/>
      <c r="AL242" s="85"/>
      <c r="AM242" s="85"/>
      <c r="AN242" s="85"/>
      <c r="AO242" s="85"/>
      <c r="AP242" s="85"/>
      <c r="AQ242" s="85"/>
      <c r="AR242" s="85"/>
      <c r="AS242" s="85"/>
      <c r="AT242" s="85"/>
      <c r="AU242" s="85"/>
      <c r="AV242" s="85"/>
      <c r="AW242" s="85"/>
      <c r="AX242" s="85"/>
      <c r="AY242" s="85"/>
      <c r="AZ242" s="85"/>
      <c r="BA242" s="85"/>
      <c r="BB242" s="85"/>
      <c r="BC242" s="85"/>
      <c r="BD242" s="85"/>
      <c r="BE242" s="85">
        <v>0</v>
      </c>
      <c r="BF242" s="85">
        <v>0</v>
      </c>
      <c r="BG242" s="85">
        <v>0</v>
      </c>
      <c r="BH242" s="85">
        <v>100000</v>
      </c>
      <c r="BI242" s="85">
        <v>69.19</v>
      </c>
      <c r="BJ242" s="85">
        <v>69.19</v>
      </c>
      <c r="BO242">
        <v>39.549999999999997</v>
      </c>
      <c r="BP242" s="86">
        <v>39552.5</v>
      </c>
      <c r="BQ242">
        <v>27.36</v>
      </c>
      <c r="BR242">
        <v>27.36</v>
      </c>
      <c r="BS242" s="85">
        <v>60447.5</v>
      </c>
      <c r="BT242" s="85">
        <v>41.83</v>
      </c>
      <c r="BU242" s="85">
        <v>41.83</v>
      </c>
      <c r="BX242" t="s">
        <v>731</v>
      </c>
      <c r="BZ242">
        <v>63304606</v>
      </c>
      <c r="CA242">
        <v>63304606</v>
      </c>
      <c r="CB242" t="s">
        <v>73</v>
      </c>
      <c r="CC242" t="s">
        <v>250</v>
      </c>
      <c r="CE242" t="s">
        <v>530</v>
      </c>
    </row>
    <row r="243" spans="1:83" x14ac:dyDescent="0.35">
      <c r="A243" t="s">
        <v>242</v>
      </c>
      <c r="B243">
        <v>3050535</v>
      </c>
      <c r="C243">
        <v>41651</v>
      </c>
      <c r="D243" t="s">
        <v>552</v>
      </c>
      <c r="E243">
        <v>322531401</v>
      </c>
      <c r="F243" t="s">
        <v>692</v>
      </c>
      <c r="G243" s="60">
        <v>46054</v>
      </c>
      <c r="H243">
        <v>40979602</v>
      </c>
      <c r="I243" t="s">
        <v>1361</v>
      </c>
      <c r="J243" t="s">
        <v>260</v>
      </c>
      <c r="K243" t="s">
        <v>65</v>
      </c>
      <c r="L243">
        <v>0</v>
      </c>
      <c r="M243">
        <v>0</v>
      </c>
      <c r="N243" t="s">
        <v>255</v>
      </c>
      <c r="O243" t="s">
        <v>255</v>
      </c>
      <c r="P243" t="s">
        <v>548</v>
      </c>
      <c r="Q243">
        <v>7000116</v>
      </c>
      <c r="R243">
        <v>12650000</v>
      </c>
      <c r="S243" s="50">
        <v>46035</v>
      </c>
      <c r="T243" s="50">
        <v>46081</v>
      </c>
      <c r="U243" t="s">
        <v>79</v>
      </c>
      <c r="V243" t="s">
        <v>249</v>
      </c>
      <c r="W243" t="s">
        <v>92</v>
      </c>
      <c r="X243" t="s">
        <v>86</v>
      </c>
      <c r="Y243" t="s">
        <v>291</v>
      </c>
      <c r="Z243">
        <v>10573696</v>
      </c>
      <c r="AA243" s="50">
        <v>46081</v>
      </c>
      <c r="AB243" s="87" t="s">
        <v>93</v>
      </c>
      <c r="AC243" s="86">
        <v>192683.22</v>
      </c>
      <c r="AD243" t="s">
        <v>70</v>
      </c>
      <c r="AE243" s="85">
        <v>133.31</v>
      </c>
      <c r="AF243" s="85">
        <v>133.31</v>
      </c>
      <c r="AG243" s="85"/>
      <c r="AH243" s="85"/>
      <c r="AI243" s="85"/>
      <c r="AJ243" s="85"/>
      <c r="AK243" s="85"/>
      <c r="AL243" s="85"/>
      <c r="AM243" s="85"/>
      <c r="AN243" s="85"/>
      <c r="AO243" s="85"/>
      <c r="AP243" s="85"/>
      <c r="AQ243" s="85"/>
      <c r="AR243" s="85"/>
      <c r="AS243" s="85"/>
      <c r="AT243" s="85"/>
      <c r="AU243" s="85"/>
      <c r="AV243" s="85"/>
      <c r="AW243" s="85"/>
      <c r="AX243" s="85"/>
      <c r="AY243" s="85"/>
      <c r="AZ243" s="85"/>
      <c r="BA243" s="85"/>
      <c r="BB243" s="85"/>
      <c r="BC243" s="85"/>
      <c r="BD243" s="85"/>
      <c r="BE243" s="85">
        <v>0</v>
      </c>
      <c r="BF243" s="85">
        <v>0</v>
      </c>
      <c r="BG243" s="85">
        <v>0</v>
      </c>
      <c r="BH243" s="85">
        <v>192683.22</v>
      </c>
      <c r="BI243" s="85">
        <v>133.31</v>
      </c>
      <c r="BJ243" s="85">
        <v>133.31</v>
      </c>
      <c r="BO243">
        <v>39.549999999999997</v>
      </c>
      <c r="BP243" s="86">
        <v>76211.03</v>
      </c>
      <c r="BQ243">
        <v>52.73</v>
      </c>
      <c r="BR243">
        <v>52.73</v>
      </c>
      <c r="BS243" s="85">
        <v>116472.19</v>
      </c>
      <c r="BT243" s="85">
        <v>80.58</v>
      </c>
      <c r="BU243" s="85">
        <v>80.58</v>
      </c>
      <c r="BX243" t="s">
        <v>731</v>
      </c>
      <c r="BZ243">
        <v>63304606</v>
      </c>
      <c r="CA243">
        <v>63304606</v>
      </c>
      <c r="CB243" t="s">
        <v>72</v>
      </c>
      <c r="CC243" t="s">
        <v>250</v>
      </c>
      <c r="CE243" t="s">
        <v>530</v>
      </c>
    </row>
    <row r="244" spans="1:83" x14ac:dyDescent="0.35">
      <c r="A244" t="s">
        <v>242</v>
      </c>
      <c r="B244">
        <v>3050535</v>
      </c>
      <c r="C244">
        <v>41651</v>
      </c>
      <c r="D244" t="s">
        <v>552</v>
      </c>
      <c r="E244">
        <v>322531401</v>
      </c>
      <c r="F244" t="s">
        <v>692</v>
      </c>
      <c r="G244" s="60">
        <v>46054</v>
      </c>
      <c r="H244">
        <v>40881305</v>
      </c>
      <c r="I244" t="s">
        <v>1258</v>
      </c>
      <c r="J244" t="s">
        <v>260</v>
      </c>
      <c r="K244" t="s">
        <v>65</v>
      </c>
      <c r="L244">
        <v>0</v>
      </c>
      <c r="M244">
        <v>0</v>
      </c>
      <c r="N244" t="s">
        <v>255</v>
      </c>
      <c r="O244" t="s">
        <v>255</v>
      </c>
      <c r="P244" t="s">
        <v>548</v>
      </c>
      <c r="Q244">
        <v>7000116</v>
      </c>
      <c r="R244">
        <v>12650000</v>
      </c>
      <c r="S244" s="50">
        <v>46035</v>
      </c>
      <c r="T244" s="50">
        <v>46081</v>
      </c>
      <c r="U244" t="s">
        <v>79</v>
      </c>
      <c r="V244" t="s">
        <v>249</v>
      </c>
      <c r="W244" t="s">
        <v>92</v>
      </c>
      <c r="X244" t="s">
        <v>86</v>
      </c>
      <c r="Y244" t="s">
        <v>291</v>
      </c>
      <c r="Z244">
        <v>10573696</v>
      </c>
      <c r="AA244" s="50">
        <v>46081</v>
      </c>
      <c r="AB244" s="87" t="s">
        <v>93</v>
      </c>
      <c r="AC244" s="86">
        <v>210789.99</v>
      </c>
      <c r="AD244" t="s">
        <v>70</v>
      </c>
      <c r="AE244" s="85">
        <v>145.84</v>
      </c>
      <c r="AF244" s="85">
        <v>145.84</v>
      </c>
      <c r="AG244" s="85"/>
      <c r="AH244" s="85"/>
      <c r="AI244" s="85"/>
      <c r="AJ244" s="85"/>
      <c r="AK244" s="85"/>
      <c r="AL244" s="85"/>
      <c r="AM244" s="85"/>
      <c r="AN244" s="85"/>
      <c r="AO244" s="85"/>
      <c r="AP244" s="85"/>
      <c r="AQ244" s="85"/>
      <c r="AR244" s="85"/>
      <c r="AS244" s="85"/>
      <c r="AT244" s="85"/>
      <c r="AU244" s="85"/>
      <c r="AV244" s="85"/>
      <c r="AW244" s="85"/>
      <c r="AX244" s="85"/>
      <c r="AY244" s="85"/>
      <c r="AZ244" s="85"/>
      <c r="BA244" s="85"/>
      <c r="BB244" s="85"/>
      <c r="BC244" s="85"/>
      <c r="BD244" s="85"/>
      <c r="BE244" s="85">
        <v>0</v>
      </c>
      <c r="BF244" s="85">
        <v>0</v>
      </c>
      <c r="BG244" s="85">
        <v>0</v>
      </c>
      <c r="BH244" s="85">
        <v>210789.99</v>
      </c>
      <c r="BI244" s="85">
        <v>145.84</v>
      </c>
      <c r="BJ244" s="85">
        <v>145.84</v>
      </c>
      <c r="BO244">
        <v>39.549999999999997</v>
      </c>
      <c r="BP244" s="86">
        <v>83372.710000000006</v>
      </c>
      <c r="BQ244">
        <v>57.68</v>
      </c>
      <c r="BR244">
        <v>57.68</v>
      </c>
      <c r="BS244" s="85">
        <v>127417.28</v>
      </c>
      <c r="BT244" s="85">
        <v>88.16</v>
      </c>
      <c r="BU244" s="85">
        <v>88.16</v>
      </c>
      <c r="BX244" t="s">
        <v>731</v>
      </c>
      <c r="BZ244">
        <v>63304606</v>
      </c>
      <c r="CA244">
        <v>63304606</v>
      </c>
      <c r="CB244" t="s">
        <v>72</v>
      </c>
      <c r="CC244" t="s">
        <v>250</v>
      </c>
      <c r="CE244" t="s">
        <v>530</v>
      </c>
    </row>
    <row r="245" spans="1:83" x14ac:dyDescent="0.35">
      <c r="A245" t="s">
        <v>242</v>
      </c>
      <c r="B245">
        <v>3050535</v>
      </c>
      <c r="C245">
        <v>41651</v>
      </c>
      <c r="D245" t="s">
        <v>1362</v>
      </c>
      <c r="E245">
        <v>269483701</v>
      </c>
      <c r="F245" t="s">
        <v>797</v>
      </c>
      <c r="G245" s="60">
        <v>46054</v>
      </c>
      <c r="H245">
        <v>40459084</v>
      </c>
      <c r="I245" t="s">
        <v>1363</v>
      </c>
      <c r="J245" t="s">
        <v>260</v>
      </c>
      <c r="K245" t="s">
        <v>65</v>
      </c>
      <c r="L245">
        <v>0</v>
      </c>
      <c r="M245">
        <v>0</v>
      </c>
      <c r="P245" t="s">
        <v>798</v>
      </c>
      <c r="Q245">
        <v>105408595</v>
      </c>
      <c r="R245">
        <v>104633404</v>
      </c>
      <c r="S245" s="50">
        <v>45160</v>
      </c>
      <c r="T245" s="50">
        <v>46081</v>
      </c>
      <c r="U245" t="s">
        <v>79</v>
      </c>
      <c r="V245" t="s">
        <v>249</v>
      </c>
      <c r="W245" t="s">
        <v>92</v>
      </c>
      <c r="X245" t="s">
        <v>86</v>
      </c>
      <c r="Y245" t="s">
        <v>291</v>
      </c>
      <c r="Z245">
        <v>10573708</v>
      </c>
      <c r="AA245" s="50">
        <v>46081</v>
      </c>
      <c r="AB245" s="87" t="s">
        <v>93</v>
      </c>
      <c r="AC245" s="86">
        <v>911867.62</v>
      </c>
      <c r="AD245" t="s">
        <v>70</v>
      </c>
      <c r="AE245" s="85">
        <v>630.88</v>
      </c>
      <c r="AF245" s="85">
        <v>630.88</v>
      </c>
      <c r="AG245" s="85"/>
      <c r="AH245" s="85"/>
      <c r="AI245" s="85"/>
      <c r="AJ245" s="85"/>
      <c r="AK245" s="85"/>
      <c r="AL245" s="85"/>
      <c r="AM245" s="85"/>
      <c r="AN245" s="85"/>
      <c r="AO245" s="85"/>
      <c r="AP245" s="85"/>
      <c r="AQ245" s="85"/>
      <c r="AR245" s="85"/>
      <c r="AS245" s="85"/>
      <c r="AT245" s="85"/>
      <c r="AU245" s="85"/>
      <c r="AV245" s="85"/>
      <c r="AW245" s="85"/>
      <c r="AX245" s="85"/>
      <c r="AY245" s="85"/>
      <c r="AZ245" s="85"/>
      <c r="BA245" s="85"/>
      <c r="BB245" s="85"/>
      <c r="BC245" s="85"/>
      <c r="BD245" s="85"/>
      <c r="BE245" s="85">
        <v>0</v>
      </c>
      <c r="BF245" s="85">
        <v>0</v>
      </c>
      <c r="BG245" s="85">
        <v>0</v>
      </c>
      <c r="BH245" s="85">
        <v>911867.62</v>
      </c>
      <c r="BI245" s="85">
        <v>630.88</v>
      </c>
      <c r="BJ245" s="85">
        <v>630.88</v>
      </c>
      <c r="BO245">
        <v>39.549999999999997</v>
      </c>
      <c r="BP245" s="86">
        <v>360666.44</v>
      </c>
      <c r="BQ245">
        <v>249.53</v>
      </c>
      <c r="BR245">
        <v>249.53</v>
      </c>
      <c r="BS245" s="85">
        <v>551201.18000000005</v>
      </c>
      <c r="BT245" s="85">
        <v>381.35</v>
      </c>
      <c r="BU245" s="85">
        <v>381.35</v>
      </c>
      <c r="BX245" t="s">
        <v>1364</v>
      </c>
      <c r="CB245" t="s">
        <v>71</v>
      </c>
      <c r="CC245" t="s">
        <v>250</v>
      </c>
      <c r="CE245" t="s">
        <v>530</v>
      </c>
    </row>
    <row r="246" spans="1:83" x14ac:dyDescent="0.35">
      <c r="A246" t="s">
        <v>242</v>
      </c>
      <c r="B246">
        <v>3050535</v>
      </c>
      <c r="C246">
        <v>41651</v>
      </c>
      <c r="D246" t="s">
        <v>536</v>
      </c>
      <c r="E246">
        <v>323893901</v>
      </c>
      <c r="F246" t="s">
        <v>1057</v>
      </c>
      <c r="G246" s="60">
        <v>46054</v>
      </c>
      <c r="H246">
        <v>40881724</v>
      </c>
      <c r="I246" t="s">
        <v>1365</v>
      </c>
      <c r="J246" t="s">
        <v>260</v>
      </c>
      <c r="K246" t="s">
        <v>65</v>
      </c>
      <c r="L246">
        <v>0</v>
      </c>
      <c r="M246">
        <v>0</v>
      </c>
      <c r="N246" t="s">
        <v>243</v>
      </c>
      <c r="O246" t="s">
        <v>243</v>
      </c>
      <c r="P246" t="s">
        <v>284</v>
      </c>
      <c r="Q246">
        <v>2801591</v>
      </c>
      <c r="R246">
        <v>4000000</v>
      </c>
      <c r="S246" s="50">
        <v>46055</v>
      </c>
      <c r="T246" s="50">
        <v>46081</v>
      </c>
      <c r="U246" t="s">
        <v>79</v>
      </c>
      <c r="V246" t="s">
        <v>249</v>
      </c>
      <c r="W246" t="s">
        <v>92</v>
      </c>
      <c r="X246" t="s">
        <v>86</v>
      </c>
      <c r="Y246" t="s">
        <v>291</v>
      </c>
      <c r="Z246">
        <v>10573623</v>
      </c>
      <c r="AA246" s="50">
        <v>46081</v>
      </c>
      <c r="AB246" s="87" t="s">
        <v>93</v>
      </c>
      <c r="AC246" s="86">
        <v>4002572.21</v>
      </c>
      <c r="AD246" t="s">
        <v>70</v>
      </c>
      <c r="AE246" s="85">
        <v>2769.19</v>
      </c>
      <c r="AF246" s="85">
        <v>2769.19</v>
      </c>
      <c r="AG246" s="85"/>
      <c r="AH246" s="85"/>
      <c r="AI246" s="85"/>
      <c r="AJ246" s="85"/>
      <c r="AK246" s="85"/>
      <c r="AL246" s="85"/>
      <c r="AM246" s="85"/>
      <c r="AN246" s="85"/>
      <c r="AO246" s="85"/>
      <c r="AP246" s="85"/>
      <c r="AQ246" s="85"/>
      <c r="AR246" s="85"/>
      <c r="AS246" s="85"/>
      <c r="AT246" s="85"/>
      <c r="AU246" s="85"/>
      <c r="AV246" s="85"/>
      <c r="AW246" s="85"/>
      <c r="AX246" s="85"/>
      <c r="AY246" s="85"/>
      <c r="AZ246" s="85"/>
      <c r="BA246" s="85"/>
      <c r="BB246" s="85"/>
      <c r="BC246" s="85"/>
      <c r="BD246" s="85"/>
      <c r="BE246" s="85">
        <v>0</v>
      </c>
      <c r="BF246" s="85">
        <v>0</v>
      </c>
      <c r="BG246" s="85">
        <v>0</v>
      </c>
      <c r="BH246" s="85">
        <v>4002572.21</v>
      </c>
      <c r="BI246" s="85">
        <v>2769.19</v>
      </c>
      <c r="BJ246" s="85">
        <v>2769.19</v>
      </c>
      <c r="BO246">
        <v>39.549999999999997</v>
      </c>
      <c r="BP246" s="86">
        <v>1583117.37</v>
      </c>
      <c r="BQ246">
        <v>1095.28</v>
      </c>
      <c r="BR246">
        <v>1095.28</v>
      </c>
      <c r="BS246" s="85">
        <v>2419454.84</v>
      </c>
      <c r="BT246" s="85">
        <v>1673.91</v>
      </c>
      <c r="BU246" s="85">
        <v>1673.91</v>
      </c>
      <c r="BX246" t="s">
        <v>1288</v>
      </c>
      <c r="BZ246">
        <v>14030950</v>
      </c>
      <c r="CA246">
        <v>14030950</v>
      </c>
      <c r="CB246" t="s">
        <v>73</v>
      </c>
      <c r="CC246" t="s">
        <v>250</v>
      </c>
      <c r="CE246" t="s">
        <v>530</v>
      </c>
    </row>
    <row r="247" spans="1:83" x14ac:dyDescent="0.35">
      <c r="A247" t="s">
        <v>242</v>
      </c>
      <c r="B247">
        <v>3050535</v>
      </c>
      <c r="C247">
        <v>41651</v>
      </c>
      <c r="D247" t="s">
        <v>1259</v>
      </c>
      <c r="E247">
        <v>318698801</v>
      </c>
      <c r="F247" t="s">
        <v>618</v>
      </c>
      <c r="G247" s="60">
        <v>46054</v>
      </c>
      <c r="H247">
        <v>40497612</v>
      </c>
      <c r="I247" t="s">
        <v>623</v>
      </c>
      <c r="J247" t="s">
        <v>260</v>
      </c>
      <c r="K247" t="s">
        <v>65</v>
      </c>
      <c r="L247">
        <v>0</v>
      </c>
      <c r="M247">
        <v>0</v>
      </c>
      <c r="N247" t="s">
        <v>515</v>
      </c>
      <c r="O247" t="s">
        <v>515</v>
      </c>
      <c r="P247" t="s">
        <v>619</v>
      </c>
      <c r="Q247">
        <v>207572191</v>
      </c>
      <c r="R247">
        <v>12688415</v>
      </c>
      <c r="S247" s="50">
        <v>45971</v>
      </c>
      <c r="T247" s="50">
        <v>46081</v>
      </c>
      <c r="U247" t="s">
        <v>79</v>
      </c>
      <c r="V247" t="s">
        <v>249</v>
      </c>
      <c r="W247" t="s">
        <v>92</v>
      </c>
      <c r="X247" t="s">
        <v>86</v>
      </c>
      <c r="Y247" t="s">
        <v>291</v>
      </c>
      <c r="Z247">
        <v>10573662</v>
      </c>
      <c r="AA247" s="50">
        <v>46081</v>
      </c>
      <c r="AB247" s="87" t="s">
        <v>93</v>
      </c>
      <c r="AC247" s="86">
        <v>1067204.77</v>
      </c>
      <c r="AD247" t="s">
        <v>70</v>
      </c>
      <c r="AE247" s="85">
        <v>738.35</v>
      </c>
      <c r="AF247" s="85">
        <v>738.35</v>
      </c>
      <c r="AG247" s="85"/>
      <c r="AH247" s="85"/>
      <c r="AI247" s="85"/>
      <c r="AJ247" s="85"/>
      <c r="AK247" s="85"/>
      <c r="AL247" s="85"/>
      <c r="AM247" s="85"/>
      <c r="AN247" s="85"/>
      <c r="AO247" s="85"/>
      <c r="AP247" s="85"/>
      <c r="AQ247" s="85"/>
      <c r="AR247" s="85"/>
      <c r="AS247" s="85"/>
      <c r="AT247" s="85"/>
      <c r="AU247" s="85"/>
      <c r="AV247" s="85"/>
      <c r="AW247" s="85"/>
      <c r="AX247" s="85"/>
      <c r="AY247" s="85"/>
      <c r="AZ247" s="85"/>
      <c r="BA247" s="85"/>
      <c r="BB247" s="85"/>
      <c r="BC247" s="85"/>
      <c r="BD247" s="85"/>
      <c r="BE247" s="85">
        <v>0</v>
      </c>
      <c r="BF247" s="85">
        <v>0</v>
      </c>
      <c r="BG247" s="85">
        <v>0</v>
      </c>
      <c r="BH247" s="85">
        <v>1067204.77</v>
      </c>
      <c r="BI247" s="85">
        <v>738.35</v>
      </c>
      <c r="BJ247" s="85">
        <v>738.35</v>
      </c>
      <c r="BO247">
        <v>39.549999999999997</v>
      </c>
      <c r="BP247" s="86">
        <v>422106.17</v>
      </c>
      <c r="BQ247">
        <v>292.02999999999997</v>
      </c>
      <c r="BR247">
        <v>292.02999999999997</v>
      </c>
      <c r="BS247" s="85">
        <v>645098.6</v>
      </c>
      <c r="BT247" s="85">
        <v>446.32</v>
      </c>
      <c r="BU247" s="85">
        <v>446.32</v>
      </c>
      <c r="BX247" t="s">
        <v>624</v>
      </c>
      <c r="BZ247">
        <v>136433571</v>
      </c>
      <c r="CA247">
        <v>136433571</v>
      </c>
      <c r="CB247" t="s">
        <v>72</v>
      </c>
      <c r="CC247" t="s">
        <v>250</v>
      </c>
      <c r="CE247" t="s">
        <v>530</v>
      </c>
    </row>
    <row r="248" spans="1:83" x14ac:dyDescent="0.35">
      <c r="A248" t="s">
        <v>242</v>
      </c>
      <c r="B248">
        <v>3050535</v>
      </c>
      <c r="C248">
        <v>41651</v>
      </c>
      <c r="D248" t="s">
        <v>542</v>
      </c>
      <c r="E248">
        <v>322149901</v>
      </c>
      <c r="F248" t="s">
        <v>671</v>
      </c>
      <c r="G248" s="60">
        <v>46054</v>
      </c>
      <c r="H248">
        <v>40776231</v>
      </c>
      <c r="I248" t="s">
        <v>724</v>
      </c>
      <c r="J248" t="s">
        <v>260</v>
      </c>
      <c r="K248" t="s">
        <v>65</v>
      </c>
      <c r="L248">
        <v>0</v>
      </c>
      <c r="M248">
        <v>0</v>
      </c>
      <c r="N248" t="s">
        <v>259</v>
      </c>
      <c r="O248" t="s">
        <v>259</v>
      </c>
      <c r="P248" t="s">
        <v>524</v>
      </c>
      <c r="Q248">
        <v>292695</v>
      </c>
      <c r="R248">
        <v>8576000</v>
      </c>
      <c r="S248" s="50">
        <v>46023</v>
      </c>
      <c r="T248" s="50">
        <v>46081</v>
      </c>
      <c r="U248" t="s">
        <v>79</v>
      </c>
      <c r="V248" t="s">
        <v>249</v>
      </c>
      <c r="W248" t="s">
        <v>92</v>
      </c>
      <c r="X248" t="s">
        <v>86</v>
      </c>
      <c r="Y248" t="s">
        <v>291</v>
      </c>
      <c r="Z248">
        <v>10573693</v>
      </c>
      <c r="AA248" s="50">
        <v>46081</v>
      </c>
      <c r="AB248" s="87" t="s">
        <v>93</v>
      </c>
      <c r="AC248" s="86">
        <v>301607.77</v>
      </c>
      <c r="AD248" t="s">
        <v>70</v>
      </c>
      <c r="AE248" s="85">
        <v>208.67</v>
      </c>
      <c r="AF248" s="85">
        <v>208.67</v>
      </c>
      <c r="AG248" s="85"/>
      <c r="AH248" s="85"/>
      <c r="AI248" s="85"/>
      <c r="AJ248" s="85"/>
      <c r="AK248" s="85"/>
      <c r="AL248" s="85"/>
      <c r="AM248" s="85"/>
      <c r="AN248" s="85"/>
      <c r="AO248" s="85"/>
      <c r="AP248" s="85"/>
      <c r="AQ248" s="85"/>
      <c r="AR248" s="85"/>
      <c r="AS248" s="85"/>
      <c r="AT248" s="85"/>
      <c r="AU248" s="85"/>
      <c r="AV248" s="85"/>
      <c r="AW248" s="85"/>
      <c r="AX248" s="85"/>
      <c r="AY248" s="85"/>
      <c r="AZ248" s="85"/>
      <c r="BA248" s="85"/>
      <c r="BB248" s="85"/>
      <c r="BC248" s="85"/>
      <c r="BD248" s="85"/>
      <c r="BE248" s="85">
        <v>0</v>
      </c>
      <c r="BF248" s="85">
        <v>0</v>
      </c>
      <c r="BG248" s="85">
        <v>0</v>
      </c>
      <c r="BH248" s="85">
        <v>301607.77</v>
      </c>
      <c r="BI248" s="85">
        <v>208.67</v>
      </c>
      <c r="BJ248" s="85">
        <v>208.67</v>
      </c>
      <c r="BO248">
        <v>39.549999999999997</v>
      </c>
      <c r="BP248" s="86">
        <v>119293.41</v>
      </c>
      <c r="BQ248">
        <v>82.53</v>
      </c>
      <c r="BR248">
        <v>82.53</v>
      </c>
      <c r="BS248" s="85">
        <v>182314.36</v>
      </c>
      <c r="BT248" s="85">
        <v>126.14</v>
      </c>
      <c r="BU248" s="85">
        <v>126.14</v>
      </c>
      <c r="BX248" t="s">
        <v>725</v>
      </c>
      <c r="BZ248">
        <v>66013147</v>
      </c>
      <c r="CA248">
        <v>66013147</v>
      </c>
      <c r="CB248" t="s">
        <v>73</v>
      </c>
      <c r="CC248" t="s">
        <v>250</v>
      </c>
      <c r="CE248" t="s">
        <v>530</v>
      </c>
    </row>
    <row r="249" spans="1:83" x14ac:dyDescent="0.35">
      <c r="A249" t="s">
        <v>242</v>
      </c>
      <c r="B249">
        <v>3050535</v>
      </c>
      <c r="C249">
        <v>41651</v>
      </c>
      <c r="D249" t="s">
        <v>591</v>
      </c>
      <c r="E249">
        <v>322203301</v>
      </c>
      <c r="F249" t="s">
        <v>679</v>
      </c>
      <c r="G249" s="60">
        <v>46054</v>
      </c>
      <c r="H249">
        <v>40759179</v>
      </c>
      <c r="I249" t="s">
        <v>737</v>
      </c>
      <c r="J249" t="s">
        <v>260</v>
      </c>
      <c r="K249" t="s">
        <v>65</v>
      </c>
      <c r="L249">
        <v>0</v>
      </c>
      <c r="M249">
        <v>0</v>
      </c>
      <c r="N249" t="s">
        <v>522</v>
      </c>
      <c r="O249" t="s">
        <v>522</v>
      </c>
      <c r="P249" t="s">
        <v>287</v>
      </c>
      <c r="Q249">
        <v>148610446</v>
      </c>
      <c r="R249">
        <v>15550000</v>
      </c>
      <c r="S249" s="50">
        <v>46027</v>
      </c>
      <c r="T249" s="50">
        <v>46081</v>
      </c>
      <c r="U249" t="s">
        <v>69</v>
      </c>
      <c r="V249" t="s">
        <v>249</v>
      </c>
      <c r="W249" t="s">
        <v>92</v>
      </c>
      <c r="X249" t="s">
        <v>86</v>
      </c>
      <c r="Y249" t="s">
        <v>291</v>
      </c>
      <c r="Z249">
        <v>10573704</v>
      </c>
      <c r="AA249" s="50">
        <v>46081</v>
      </c>
      <c r="AB249" s="87" t="s">
        <v>93</v>
      </c>
      <c r="AC249" s="86">
        <v>2583098.65</v>
      </c>
      <c r="AD249" t="s">
        <v>70</v>
      </c>
      <c r="AE249" s="85">
        <v>1787.12</v>
      </c>
      <c r="AF249" s="85">
        <v>1787.12</v>
      </c>
      <c r="AG249" s="85"/>
      <c r="AH249" s="85"/>
      <c r="AI249" s="85"/>
      <c r="AJ249" s="85"/>
      <c r="AK249" s="85"/>
      <c r="AL249" s="85"/>
      <c r="AM249" s="85"/>
      <c r="AN249" s="85"/>
      <c r="AO249" s="85"/>
      <c r="AP249" s="85"/>
      <c r="AQ249" s="85"/>
      <c r="AR249" s="85"/>
      <c r="AS249" s="85"/>
      <c r="AT249" s="85"/>
      <c r="AU249" s="85"/>
      <c r="AV249" s="85"/>
      <c r="AW249" s="85"/>
      <c r="AX249" s="85"/>
      <c r="AY249" s="85"/>
      <c r="AZ249" s="85"/>
      <c r="BA249" s="85"/>
      <c r="BB249" s="85"/>
      <c r="BC249" s="85"/>
      <c r="BD249" s="85"/>
      <c r="BE249" s="85">
        <v>0</v>
      </c>
      <c r="BF249" s="85">
        <v>0</v>
      </c>
      <c r="BG249" s="85">
        <v>0</v>
      </c>
      <c r="BH249" s="85">
        <v>2583098.65</v>
      </c>
      <c r="BI249" s="85">
        <v>1787.12</v>
      </c>
      <c r="BJ249" s="85">
        <v>1787.12</v>
      </c>
      <c r="BO249">
        <v>39.549999999999997</v>
      </c>
      <c r="BP249" s="86">
        <v>1021680.1</v>
      </c>
      <c r="BQ249">
        <v>706.85</v>
      </c>
      <c r="BR249">
        <v>706.85</v>
      </c>
      <c r="BS249" s="85">
        <v>1561418.55</v>
      </c>
      <c r="BT249" s="85">
        <v>1080.27</v>
      </c>
      <c r="BU249" s="85">
        <v>1080.27</v>
      </c>
      <c r="BX249" t="s">
        <v>738</v>
      </c>
      <c r="BZ249">
        <v>192377147</v>
      </c>
      <c r="CA249">
        <v>192377147</v>
      </c>
      <c r="CB249" t="s">
        <v>73</v>
      </c>
      <c r="CC249" t="s">
        <v>250</v>
      </c>
      <c r="CE249" t="s">
        <v>530</v>
      </c>
    </row>
    <row r="250" spans="1:83" x14ac:dyDescent="0.35">
      <c r="A250" t="s">
        <v>242</v>
      </c>
      <c r="B250">
        <v>3050535</v>
      </c>
      <c r="C250">
        <v>41651</v>
      </c>
      <c r="D250" t="s">
        <v>262</v>
      </c>
      <c r="E250">
        <v>310117401</v>
      </c>
      <c r="F250" t="s">
        <v>588</v>
      </c>
      <c r="G250" s="60">
        <v>46054</v>
      </c>
      <c r="H250">
        <v>39718034</v>
      </c>
      <c r="I250" t="s">
        <v>598</v>
      </c>
      <c r="J250" t="s">
        <v>260</v>
      </c>
      <c r="K250" t="s">
        <v>65</v>
      </c>
      <c r="L250">
        <v>0</v>
      </c>
      <c r="M250">
        <v>0</v>
      </c>
      <c r="N250" t="s">
        <v>561</v>
      </c>
      <c r="O250" t="s">
        <v>561</v>
      </c>
      <c r="P250" t="s">
        <v>257</v>
      </c>
      <c r="Q250">
        <v>57936819</v>
      </c>
      <c r="R250">
        <v>15920154.99</v>
      </c>
      <c r="S250" s="50">
        <v>45821</v>
      </c>
      <c r="T250" s="50">
        <v>46081</v>
      </c>
      <c r="U250" t="s">
        <v>69</v>
      </c>
      <c r="V250" t="s">
        <v>249</v>
      </c>
      <c r="W250" t="s">
        <v>92</v>
      </c>
      <c r="X250" t="s">
        <v>86</v>
      </c>
      <c r="Y250" t="s">
        <v>291</v>
      </c>
      <c r="Z250">
        <v>10573714</v>
      </c>
      <c r="AA250" s="50">
        <v>46081</v>
      </c>
      <c r="AB250" s="87" t="s">
        <v>93</v>
      </c>
      <c r="AC250" s="86">
        <v>2007664.48</v>
      </c>
      <c r="AD250" t="s">
        <v>70</v>
      </c>
      <c r="AE250" s="85">
        <v>1389.01</v>
      </c>
      <c r="AF250" s="85">
        <v>1389.01</v>
      </c>
      <c r="AG250" s="85"/>
      <c r="AH250" s="85"/>
      <c r="AI250" s="85"/>
      <c r="AJ250" s="85"/>
      <c r="AK250" s="85"/>
      <c r="AL250" s="85"/>
      <c r="AM250" s="85"/>
      <c r="AN250" s="85"/>
      <c r="AO250" s="85"/>
      <c r="AP250" s="85"/>
      <c r="AQ250" s="85"/>
      <c r="AR250" s="85"/>
      <c r="AS250" s="85"/>
      <c r="AT250" s="85"/>
      <c r="AU250" s="85"/>
      <c r="AV250" s="85"/>
      <c r="AW250" s="85"/>
      <c r="AX250" s="85"/>
      <c r="AY250" s="85"/>
      <c r="AZ250" s="85"/>
      <c r="BA250" s="85"/>
      <c r="BB250" s="85"/>
      <c r="BC250" s="85"/>
      <c r="BD250" s="85"/>
      <c r="BE250" s="85">
        <v>0</v>
      </c>
      <c r="BF250" s="85">
        <v>0</v>
      </c>
      <c r="BG250" s="85">
        <v>0</v>
      </c>
      <c r="BH250" s="85">
        <v>2007664.48</v>
      </c>
      <c r="BI250" s="85">
        <v>1389.01</v>
      </c>
      <c r="BJ250" s="85">
        <v>1389.01</v>
      </c>
      <c r="BO250">
        <v>39.549999999999997</v>
      </c>
      <c r="BP250" s="86">
        <v>794081.49</v>
      </c>
      <c r="BQ250">
        <v>549.39</v>
      </c>
      <c r="BR250">
        <v>549.39</v>
      </c>
      <c r="BS250" s="85">
        <v>1213582.99</v>
      </c>
      <c r="BT250" s="85">
        <v>839.62</v>
      </c>
      <c r="BU250" s="85">
        <v>839.62</v>
      </c>
      <c r="BX250" t="s">
        <v>590</v>
      </c>
      <c r="BZ250">
        <v>224573</v>
      </c>
      <c r="CA250">
        <v>224573</v>
      </c>
      <c r="CB250" t="s">
        <v>73</v>
      </c>
      <c r="CC250" t="s">
        <v>250</v>
      </c>
      <c r="CE250" t="s">
        <v>530</v>
      </c>
    </row>
    <row r="251" spans="1:83" x14ac:dyDescent="0.35">
      <c r="G251" s="60"/>
      <c r="S251" s="50"/>
      <c r="T251" s="50"/>
      <c r="AA251" s="50"/>
    </row>
    <row r="252" spans="1:83" x14ac:dyDescent="0.35">
      <c r="G252" s="60"/>
      <c r="S252" s="50"/>
      <c r="T252" s="50"/>
      <c r="AA252" s="50"/>
    </row>
    <row r="253" spans="1:83" x14ac:dyDescent="0.35">
      <c r="G253" s="60"/>
      <c r="S253" s="50"/>
      <c r="T253" s="50"/>
      <c r="AA253" s="50"/>
    </row>
    <row r="254" spans="1:83" x14ac:dyDescent="0.35">
      <c r="G254" s="60"/>
      <c r="S254" s="50"/>
      <c r="T254" s="50"/>
      <c r="AA254" s="50"/>
    </row>
    <row r="255" spans="1:83" x14ac:dyDescent="0.35">
      <c r="G255" s="60"/>
      <c r="S255" s="50"/>
      <c r="T255" s="50"/>
      <c r="AA255" s="50"/>
    </row>
    <row r="256" spans="1:83" x14ac:dyDescent="0.35">
      <c r="G256" s="60"/>
      <c r="S256" s="50"/>
      <c r="T256" s="50"/>
      <c r="AA256" s="50"/>
    </row>
    <row r="257" spans="7:27" x14ac:dyDescent="0.35">
      <c r="G257" s="60"/>
      <c r="S257" s="50"/>
      <c r="T257" s="50"/>
      <c r="AA257" s="50"/>
    </row>
    <row r="258" spans="7:27" x14ac:dyDescent="0.35">
      <c r="G258" s="60"/>
      <c r="S258" s="50"/>
      <c r="T258" s="50"/>
      <c r="AA258" s="50"/>
    </row>
    <row r="259" spans="7:27" x14ac:dyDescent="0.35">
      <c r="G259" s="60"/>
      <c r="S259" s="50"/>
      <c r="T259" s="50"/>
      <c r="AA259" s="50"/>
    </row>
    <row r="260" spans="7:27" x14ac:dyDescent="0.35">
      <c r="G260" s="60"/>
      <c r="S260" s="50"/>
      <c r="T260" s="50"/>
      <c r="AA260" s="50"/>
    </row>
    <row r="261" spans="7:27" x14ac:dyDescent="0.35">
      <c r="G261" s="60"/>
      <c r="S261" s="50"/>
      <c r="T261" s="50"/>
      <c r="AA261" s="50"/>
    </row>
    <row r="262" spans="7:27" x14ac:dyDescent="0.35">
      <c r="G262" s="60"/>
      <c r="S262" s="50"/>
      <c r="T262" s="50"/>
      <c r="AA262" s="50"/>
    </row>
    <row r="263" spans="7:27" x14ac:dyDescent="0.35">
      <c r="G263" s="60"/>
      <c r="S263" s="50"/>
      <c r="T263" s="50"/>
      <c r="AA263" s="50"/>
    </row>
    <row r="264" spans="7:27" x14ac:dyDescent="0.35">
      <c r="G264" s="60"/>
      <c r="S264" s="50"/>
      <c r="T264" s="50"/>
      <c r="AA264" s="50"/>
    </row>
    <row r="265" spans="7:27" x14ac:dyDescent="0.35">
      <c r="G265" s="60"/>
      <c r="S265" s="50"/>
      <c r="T265" s="50"/>
      <c r="AA265" s="50"/>
    </row>
    <row r="266" spans="7:27" x14ac:dyDescent="0.35">
      <c r="G266" s="60"/>
      <c r="S266" s="50"/>
      <c r="T266" s="50"/>
      <c r="AA266" s="50"/>
    </row>
    <row r="267" spans="7:27" x14ac:dyDescent="0.35">
      <c r="G267" s="60"/>
      <c r="S267" s="50"/>
      <c r="T267" s="50"/>
      <c r="AA267" s="50"/>
    </row>
    <row r="268" spans="7:27" x14ac:dyDescent="0.35">
      <c r="G268" s="60"/>
      <c r="S268" s="50"/>
      <c r="T268" s="50"/>
      <c r="AA268" s="50"/>
    </row>
    <row r="269" spans="7:27" x14ac:dyDescent="0.35">
      <c r="G269" s="60"/>
      <c r="S269" s="50"/>
      <c r="T269" s="50"/>
      <c r="AA269" s="50"/>
    </row>
    <row r="270" spans="7:27" x14ac:dyDescent="0.35">
      <c r="G270" s="60"/>
      <c r="S270" s="50"/>
      <c r="T270" s="50"/>
      <c r="AA270" s="50"/>
    </row>
    <row r="271" spans="7:27" x14ac:dyDescent="0.35">
      <c r="G271" s="60"/>
      <c r="S271" s="50"/>
      <c r="T271" s="50"/>
      <c r="AA271" s="50"/>
    </row>
    <row r="272" spans="7:27" x14ac:dyDescent="0.35">
      <c r="G272" s="60"/>
      <c r="S272" s="50"/>
      <c r="T272" s="50"/>
      <c r="AA272" s="50"/>
    </row>
    <row r="273" spans="7:27" x14ac:dyDescent="0.35">
      <c r="G273" s="60"/>
      <c r="S273" s="50"/>
      <c r="T273" s="50"/>
      <c r="AA273" s="50"/>
    </row>
    <row r="274" spans="7:27" x14ac:dyDescent="0.35">
      <c r="G274" s="60"/>
      <c r="S274" s="50"/>
      <c r="T274" s="50"/>
      <c r="AA274" s="50"/>
    </row>
    <row r="275" spans="7:27" x14ac:dyDescent="0.35">
      <c r="G275" s="60"/>
      <c r="S275" s="50"/>
      <c r="T275" s="50"/>
      <c r="AA275" s="50"/>
    </row>
    <row r="276" spans="7:27" x14ac:dyDescent="0.35">
      <c r="G276" s="60"/>
      <c r="S276" s="50"/>
      <c r="T276" s="50"/>
      <c r="AA276" s="50"/>
    </row>
    <row r="277" spans="7:27" x14ac:dyDescent="0.35">
      <c r="G277" s="60"/>
      <c r="S277" s="50"/>
      <c r="T277" s="50"/>
      <c r="AA277" s="50"/>
    </row>
    <row r="278" spans="7:27" x14ac:dyDescent="0.35">
      <c r="G278" s="60"/>
      <c r="S278" s="50"/>
      <c r="T278" s="50"/>
      <c r="AA278" s="50"/>
    </row>
    <row r="279" spans="7:27" x14ac:dyDescent="0.35">
      <c r="G279" s="60"/>
      <c r="S279" s="50"/>
      <c r="T279" s="50"/>
      <c r="AA279" s="50"/>
    </row>
    <row r="280" spans="7:27" x14ac:dyDescent="0.35">
      <c r="G280" s="60"/>
      <c r="S280" s="50"/>
      <c r="T280" s="50"/>
      <c r="AA280" s="50"/>
    </row>
    <row r="281" spans="7:27" x14ac:dyDescent="0.35">
      <c r="G281" s="60"/>
      <c r="S281" s="50"/>
      <c r="T281" s="50"/>
      <c r="AA281" s="50"/>
    </row>
    <row r="282" spans="7:27" x14ac:dyDescent="0.35">
      <c r="G282" s="60"/>
      <c r="S282" s="50"/>
      <c r="T282" s="50"/>
      <c r="AA282" s="50"/>
    </row>
    <row r="283" spans="7:27" x14ac:dyDescent="0.35">
      <c r="G283" s="60"/>
      <c r="S283" s="50"/>
      <c r="T283" s="50"/>
      <c r="AA283" s="50"/>
    </row>
    <row r="284" spans="7:27" x14ac:dyDescent="0.35">
      <c r="G284" s="60"/>
      <c r="S284" s="50"/>
      <c r="T284" s="50"/>
      <c r="AA284" s="50"/>
    </row>
    <row r="285" spans="7:27" x14ac:dyDescent="0.35">
      <c r="G285" s="60"/>
      <c r="S285" s="50"/>
      <c r="T285" s="50"/>
      <c r="AA285" s="50"/>
    </row>
    <row r="286" spans="7:27" x14ac:dyDescent="0.35">
      <c r="G286" s="60"/>
      <c r="S286" s="50"/>
      <c r="T286" s="50"/>
      <c r="AA286" s="50"/>
    </row>
    <row r="287" spans="7:27" x14ac:dyDescent="0.35">
      <c r="G287" s="60"/>
      <c r="S287" s="50"/>
      <c r="T287" s="50"/>
      <c r="AA287" s="50"/>
    </row>
    <row r="288" spans="7:27" x14ac:dyDescent="0.35">
      <c r="G288" s="60"/>
      <c r="S288" s="50"/>
      <c r="T288" s="50"/>
      <c r="AA288" s="50"/>
    </row>
    <row r="289" spans="7:27" x14ac:dyDescent="0.35">
      <c r="G289" s="60"/>
      <c r="S289" s="50"/>
      <c r="T289" s="50"/>
      <c r="AA289" s="50"/>
    </row>
    <row r="290" spans="7:27" x14ac:dyDescent="0.35">
      <c r="G290" s="60"/>
      <c r="S290" s="50"/>
      <c r="T290" s="50"/>
      <c r="AA290" s="50"/>
    </row>
    <row r="291" spans="7:27" x14ac:dyDescent="0.35">
      <c r="G291" s="60"/>
      <c r="S291" s="50"/>
      <c r="T291" s="50"/>
      <c r="AA291" s="50"/>
    </row>
    <row r="292" spans="7:27" x14ac:dyDescent="0.35">
      <c r="G292" s="60"/>
      <c r="S292" s="50"/>
      <c r="T292" s="50"/>
      <c r="AA292" s="50"/>
    </row>
    <row r="293" spans="7:27" x14ac:dyDescent="0.35">
      <c r="G293" s="60"/>
      <c r="S293" s="50"/>
      <c r="T293" s="50"/>
      <c r="AA293" s="50"/>
    </row>
    <row r="294" spans="7:27" x14ac:dyDescent="0.35">
      <c r="G294" s="60"/>
      <c r="S294" s="50"/>
      <c r="T294" s="50"/>
      <c r="AA294" s="50"/>
    </row>
    <row r="295" spans="7:27" x14ac:dyDescent="0.35">
      <c r="G295" s="60"/>
      <c r="S295" s="50"/>
      <c r="T295" s="50"/>
      <c r="AA295" s="50"/>
    </row>
    <row r="296" spans="7:27" x14ac:dyDescent="0.35">
      <c r="G296" s="60"/>
      <c r="S296" s="50"/>
      <c r="T296" s="50"/>
      <c r="AA296" s="50"/>
    </row>
    <row r="297" spans="7:27" x14ac:dyDescent="0.35">
      <c r="G297" s="60"/>
      <c r="S297" s="50"/>
      <c r="T297" s="50"/>
      <c r="AA297" s="50"/>
    </row>
    <row r="298" spans="7:27" x14ac:dyDescent="0.35">
      <c r="G298" s="60"/>
      <c r="S298" s="50"/>
      <c r="T298" s="50"/>
      <c r="AA298" s="50"/>
    </row>
    <row r="299" spans="7:27" x14ac:dyDescent="0.35">
      <c r="G299" s="60"/>
      <c r="S299" s="50"/>
      <c r="T299" s="50"/>
      <c r="AA299" s="50"/>
    </row>
    <row r="300" spans="7:27" x14ac:dyDescent="0.35">
      <c r="G300" s="60"/>
      <c r="S300" s="50"/>
      <c r="T300" s="50"/>
      <c r="AA300" s="50"/>
    </row>
    <row r="301" spans="7:27" x14ac:dyDescent="0.35">
      <c r="G301" s="60"/>
      <c r="S301" s="50"/>
      <c r="T301" s="50"/>
      <c r="AA301" s="50"/>
    </row>
    <row r="302" spans="7:27" x14ac:dyDescent="0.35">
      <c r="G302" s="60"/>
      <c r="S302" s="50"/>
      <c r="T302" s="50"/>
      <c r="AA302" s="50"/>
    </row>
    <row r="303" spans="7:27" x14ac:dyDescent="0.35">
      <c r="G303" s="60"/>
      <c r="S303" s="50"/>
      <c r="T303" s="50"/>
      <c r="AA303" s="50"/>
    </row>
    <row r="304" spans="7:27" x14ac:dyDescent="0.35">
      <c r="G304" s="60"/>
      <c r="S304" s="50"/>
      <c r="T304" s="50"/>
      <c r="AA304" s="50"/>
    </row>
    <row r="305" spans="7:27" x14ac:dyDescent="0.35">
      <c r="G305" s="60"/>
      <c r="S305" s="50"/>
      <c r="T305" s="50"/>
      <c r="AA305" s="50"/>
    </row>
    <row r="306" spans="7:27" x14ac:dyDescent="0.35">
      <c r="G306" s="60"/>
      <c r="S306" s="50"/>
      <c r="T306" s="50"/>
      <c r="AA306" s="50"/>
    </row>
    <row r="307" spans="7:27" x14ac:dyDescent="0.35">
      <c r="G307" s="60"/>
      <c r="S307" s="50"/>
      <c r="T307" s="50"/>
      <c r="AA307" s="50"/>
    </row>
    <row r="308" spans="7:27" x14ac:dyDescent="0.35">
      <c r="G308" s="60"/>
      <c r="S308" s="50"/>
      <c r="T308" s="50"/>
      <c r="AA308" s="50"/>
    </row>
    <row r="309" spans="7:27" x14ac:dyDescent="0.35">
      <c r="G309" s="60"/>
      <c r="S309" s="50"/>
      <c r="T309" s="50"/>
      <c r="AA309" s="50"/>
    </row>
    <row r="310" spans="7:27" x14ac:dyDescent="0.35">
      <c r="G310" s="60"/>
      <c r="S310" s="50"/>
      <c r="T310" s="50"/>
      <c r="AA310" s="50"/>
    </row>
    <row r="311" spans="7:27" x14ac:dyDescent="0.35">
      <c r="G311" s="60"/>
      <c r="S311" s="50"/>
      <c r="T311" s="50"/>
      <c r="AA311" s="50"/>
    </row>
    <row r="312" spans="7:27" x14ac:dyDescent="0.35">
      <c r="G312" s="60"/>
      <c r="S312" s="50"/>
      <c r="T312" s="50"/>
      <c r="AA312" s="50"/>
    </row>
    <row r="313" spans="7:27" x14ac:dyDescent="0.35">
      <c r="G313" s="60"/>
      <c r="S313" s="50"/>
      <c r="T313" s="50"/>
      <c r="AA313" s="50"/>
    </row>
    <row r="314" spans="7:27" x14ac:dyDescent="0.35">
      <c r="G314" s="60"/>
      <c r="S314" s="50"/>
      <c r="T314" s="50"/>
      <c r="AA314" s="50"/>
    </row>
    <row r="315" spans="7:27" x14ac:dyDescent="0.35">
      <c r="G315" s="60"/>
      <c r="S315" s="50"/>
      <c r="T315" s="50"/>
      <c r="AA315" s="50"/>
    </row>
    <row r="316" spans="7:27" x14ac:dyDescent="0.35">
      <c r="G316" s="60"/>
      <c r="S316" s="50"/>
      <c r="T316" s="50"/>
      <c r="AA316" s="50"/>
    </row>
    <row r="317" spans="7:27" x14ac:dyDescent="0.35">
      <c r="G317" s="60"/>
      <c r="S317" s="50"/>
      <c r="T317" s="50"/>
      <c r="AA317" s="50"/>
    </row>
    <row r="318" spans="7:27" x14ac:dyDescent="0.35">
      <c r="G318" s="60"/>
      <c r="S318" s="50"/>
      <c r="T318" s="50"/>
      <c r="AA318" s="50"/>
    </row>
    <row r="319" spans="7:27" x14ac:dyDescent="0.35">
      <c r="G319" s="60"/>
      <c r="S319" s="50"/>
      <c r="T319" s="50"/>
      <c r="AA319" s="50"/>
    </row>
    <row r="320" spans="7:27" x14ac:dyDescent="0.35">
      <c r="G320" s="60"/>
      <c r="S320" s="50"/>
      <c r="T320" s="50"/>
      <c r="AA320" s="50"/>
    </row>
    <row r="321" spans="7:27" x14ac:dyDescent="0.35">
      <c r="G321" s="60"/>
      <c r="S321" s="50"/>
      <c r="T321" s="50"/>
      <c r="AA321" s="50"/>
    </row>
    <row r="322" spans="7:27" x14ac:dyDescent="0.35">
      <c r="G322" s="60"/>
      <c r="S322" s="50"/>
      <c r="T322" s="50"/>
      <c r="AA322" s="50"/>
    </row>
    <row r="323" spans="7:27" x14ac:dyDescent="0.35">
      <c r="G323" s="60"/>
      <c r="S323" s="50"/>
      <c r="T323" s="50"/>
      <c r="AA323" s="50"/>
    </row>
    <row r="324" spans="7:27" x14ac:dyDescent="0.35">
      <c r="G324" s="60"/>
      <c r="S324" s="50"/>
      <c r="T324" s="50"/>
      <c r="AA324" s="50"/>
    </row>
    <row r="325" spans="7:27" x14ac:dyDescent="0.35">
      <c r="G325" s="60"/>
      <c r="S325" s="50"/>
      <c r="T325" s="50"/>
      <c r="AA325" s="50"/>
    </row>
    <row r="326" spans="7:27" x14ac:dyDescent="0.35">
      <c r="G326" s="60"/>
      <c r="S326" s="50"/>
      <c r="T326" s="50"/>
      <c r="AA326" s="50"/>
    </row>
    <row r="327" spans="7:27" x14ac:dyDescent="0.35">
      <c r="G327" s="60"/>
      <c r="S327" s="50"/>
      <c r="T327" s="50"/>
      <c r="AA327" s="50"/>
    </row>
    <row r="328" spans="7:27" x14ac:dyDescent="0.35">
      <c r="G328" s="60"/>
      <c r="S328" s="50"/>
      <c r="T328" s="50"/>
      <c r="AA328" s="50"/>
    </row>
    <row r="329" spans="7:27" x14ac:dyDescent="0.35">
      <c r="G329" s="60"/>
      <c r="S329" s="50"/>
      <c r="T329" s="50"/>
      <c r="AA329" s="50"/>
    </row>
    <row r="330" spans="7:27" x14ac:dyDescent="0.35">
      <c r="G330" s="60"/>
      <c r="S330" s="50"/>
      <c r="T330" s="50"/>
      <c r="AA330" s="50"/>
    </row>
    <row r="331" spans="7:27" x14ac:dyDescent="0.35">
      <c r="G331" s="60"/>
      <c r="S331" s="50"/>
      <c r="T331" s="50"/>
      <c r="AA331" s="50"/>
    </row>
    <row r="332" spans="7:27" x14ac:dyDescent="0.35">
      <c r="G332" s="60"/>
      <c r="S332" s="50"/>
      <c r="T332" s="50"/>
      <c r="AA332" s="50"/>
    </row>
    <row r="333" spans="7:27" x14ac:dyDescent="0.35">
      <c r="G333" s="60"/>
      <c r="S333" s="50"/>
      <c r="T333" s="50"/>
      <c r="AA333" s="50"/>
    </row>
    <row r="334" spans="7:27" x14ac:dyDescent="0.35">
      <c r="G334" s="60"/>
      <c r="S334" s="50"/>
      <c r="T334" s="50"/>
      <c r="AA334" s="50"/>
    </row>
    <row r="335" spans="7:27" x14ac:dyDescent="0.35">
      <c r="G335" s="60"/>
      <c r="S335" s="50"/>
      <c r="T335" s="50"/>
      <c r="AA335" s="50"/>
    </row>
    <row r="336" spans="7:27" x14ac:dyDescent="0.35">
      <c r="G336" s="60"/>
      <c r="S336" s="50"/>
      <c r="T336" s="50"/>
      <c r="AA336" s="50"/>
    </row>
    <row r="337" spans="7:27" x14ac:dyDescent="0.35">
      <c r="G337" s="60"/>
      <c r="S337" s="50"/>
      <c r="T337" s="50"/>
      <c r="AA337" s="50"/>
    </row>
    <row r="338" spans="7:27" x14ac:dyDescent="0.35">
      <c r="G338" s="60"/>
      <c r="S338" s="50"/>
      <c r="T338" s="50"/>
      <c r="AA338" s="50"/>
    </row>
    <row r="339" spans="7:27" x14ac:dyDescent="0.35">
      <c r="G339" s="60"/>
      <c r="S339" s="50"/>
      <c r="T339" s="50"/>
      <c r="AA339" s="50"/>
    </row>
    <row r="340" spans="7:27" x14ac:dyDescent="0.35">
      <c r="G340" s="60"/>
      <c r="S340" s="50"/>
      <c r="T340" s="50"/>
      <c r="AA340" s="50"/>
    </row>
    <row r="341" spans="7:27" x14ac:dyDescent="0.35">
      <c r="G341" s="60"/>
      <c r="S341" s="50"/>
      <c r="T341" s="50"/>
      <c r="AA341" s="50"/>
    </row>
    <row r="342" spans="7:27" x14ac:dyDescent="0.35">
      <c r="G342" s="60"/>
      <c r="S342" s="50"/>
      <c r="T342" s="50"/>
      <c r="AA342" s="50"/>
    </row>
    <row r="343" spans="7:27" x14ac:dyDescent="0.35">
      <c r="G343" s="60"/>
      <c r="S343" s="50"/>
      <c r="T343" s="50"/>
      <c r="AA343" s="50"/>
    </row>
    <row r="344" spans="7:27" x14ac:dyDescent="0.35">
      <c r="G344" s="60"/>
      <c r="S344" s="50"/>
      <c r="T344" s="50"/>
      <c r="AA344" s="50"/>
    </row>
    <row r="345" spans="7:27" x14ac:dyDescent="0.35">
      <c r="G345" s="60"/>
      <c r="S345" s="50"/>
      <c r="T345" s="50"/>
      <c r="AA345" s="50"/>
    </row>
    <row r="346" spans="7:27" x14ac:dyDescent="0.35">
      <c r="G346" s="60"/>
      <c r="S346" s="50"/>
      <c r="T346" s="50"/>
      <c r="AA346" s="50"/>
    </row>
    <row r="347" spans="7:27" x14ac:dyDescent="0.35">
      <c r="G347" s="60"/>
      <c r="S347" s="50"/>
      <c r="T347" s="50"/>
      <c r="AA347" s="50"/>
    </row>
    <row r="348" spans="7:27" x14ac:dyDescent="0.35">
      <c r="G348" s="60"/>
      <c r="S348" s="50"/>
      <c r="T348" s="50"/>
      <c r="AA348" s="50"/>
    </row>
    <row r="349" spans="7:27" x14ac:dyDescent="0.35">
      <c r="G349" s="60"/>
      <c r="S349" s="50"/>
      <c r="T349" s="50"/>
      <c r="AA349" s="50"/>
    </row>
    <row r="350" spans="7:27" x14ac:dyDescent="0.35">
      <c r="G350" s="60"/>
      <c r="S350" s="50"/>
      <c r="T350" s="50"/>
      <c r="AA350" s="50"/>
    </row>
    <row r="351" spans="7:27" x14ac:dyDescent="0.35">
      <c r="G351" s="60"/>
      <c r="S351" s="50"/>
      <c r="T351" s="50"/>
      <c r="AA351" s="50"/>
    </row>
    <row r="352" spans="7:27" x14ac:dyDescent="0.35">
      <c r="G352" s="60"/>
      <c r="S352" s="50"/>
      <c r="T352" s="50"/>
      <c r="AA352" s="50"/>
    </row>
    <row r="353" spans="7:27" x14ac:dyDescent="0.35">
      <c r="G353" s="60"/>
      <c r="S353" s="50"/>
      <c r="T353" s="50"/>
      <c r="AA353" s="50"/>
    </row>
    <row r="354" spans="7:27" x14ac:dyDescent="0.35">
      <c r="G354" s="60"/>
      <c r="S354" s="50"/>
      <c r="T354" s="50"/>
      <c r="AA354" s="50"/>
    </row>
    <row r="355" spans="7:27" x14ac:dyDescent="0.35">
      <c r="G355" s="60"/>
      <c r="S355" s="50"/>
      <c r="T355" s="50"/>
      <c r="AA355" s="50"/>
    </row>
    <row r="356" spans="7:27" x14ac:dyDescent="0.35">
      <c r="G356" s="60"/>
      <c r="S356" s="50"/>
      <c r="T356" s="50"/>
      <c r="AA356" s="50"/>
    </row>
    <row r="357" spans="7:27" x14ac:dyDescent="0.35">
      <c r="G357" s="60"/>
      <c r="S357" s="50"/>
      <c r="T357" s="50"/>
      <c r="AA357" s="50"/>
    </row>
    <row r="358" spans="7:27" x14ac:dyDescent="0.35">
      <c r="G358" s="60"/>
      <c r="S358" s="50"/>
      <c r="T358" s="50"/>
      <c r="AA358" s="50"/>
    </row>
    <row r="359" spans="7:27" x14ac:dyDescent="0.35">
      <c r="G359" s="60"/>
      <c r="S359" s="50"/>
      <c r="T359" s="50"/>
      <c r="AA359" s="50"/>
    </row>
    <row r="360" spans="7:27" x14ac:dyDescent="0.35">
      <c r="G360" s="60"/>
      <c r="S360" s="50"/>
      <c r="T360" s="50"/>
      <c r="AA360" s="50"/>
    </row>
    <row r="361" spans="7:27" x14ac:dyDescent="0.35">
      <c r="G361" s="60"/>
      <c r="S361" s="50"/>
      <c r="T361" s="50"/>
      <c r="AA361" s="50"/>
    </row>
    <row r="362" spans="7:27" x14ac:dyDescent="0.35">
      <c r="G362" s="60"/>
      <c r="S362" s="50"/>
      <c r="T362" s="50"/>
      <c r="AA362" s="50"/>
    </row>
    <row r="363" spans="7:27" x14ac:dyDescent="0.35">
      <c r="G363" s="60"/>
      <c r="S363" s="50"/>
      <c r="T363" s="50"/>
      <c r="AA363" s="50"/>
    </row>
    <row r="364" spans="7:27" x14ac:dyDescent="0.35">
      <c r="G364" s="60"/>
      <c r="S364" s="50"/>
      <c r="T364" s="50"/>
      <c r="AA364" s="50"/>
    </row>
    <row r="365" spans="7:27" x14ac:dyDescent="0.35">
      <c r="G365" s="60"/>
      <c r="S365" s="50"/>
      <c r="T365" s="50"/>
      <c r="AA365" s="50"/>
    </row>
    <row r="366" spans="7:27" x14ac:dyDescent="0.35">
      <c r="G366" s="60"/>
      <c r="S366" s="50"/>
      <c r="T366" s="50"/>
      <c r="AA366" s="50"/>
    </row>
    <row r="367" spans="7:27" x14ac:dyDescent="0.35">
      <c r="G367" s="60"/>
      <c r="S367" s="50"/>
      <c r="T367" s="50"/>
      <c r="AA367" s="50"/>
    </row>
    <row r="368" spans="7:27" x14ac:dyDescent="0.35">
      <c r="G368" s="60"/>
      <c r="S368" s="50"/>
      <c r="T368" s="50"/>
      <c r="AA368" s="50"/>
    </row>
    <row r="369" spans="7:27" x14ac:dyDescent="0.35">
      <c r="G369" s="60"/>
      <c r="S369" s="50"/>
      <c r="T369" s="50"/>
      <c r="AA369" s="50"/>
    </row>
    <row r="370" spans="7:27" x14ac:dyDescent="0.35">
      <c r="G370" s="60"/>
      <c r="S370" s="50"/>
      <c r="T370" s="50"/>
      <c r="AA370" s="50"/>
    </row>
    <row r="371" spans="7:27" x14ac:dyDescent="0.35">
      <c r="G371" s="60"/>
      <c r="S371" s="50"/>
      <c r="T371" s="50"/>
      <c r="AA371" s="50"/>
    </row>
    <row r="372" spans="7:27" x14ac:dyDescent="0.35">
      <c r="G372" s="60"/>
      <c r="S372" s="50"/>
      <c r="T372" s="50"/>
      <c r="AA372" s="50"/>
    </row>
    <row r="373" spans="7:27" x14ac:dyDescent="0.35">
      <c r="G373" s="60"/>
      <c r="S373" s="50"/>
      <c r="T373" s="50"/>
      <c r="AA373" s="50"/>
    </row>
    <row r="374" spans="7:27" x14ac:dyDescent="0.35">
      <c r="G374" s="60"/>
      <c r="S374" s="50"/>
      <c r="T374" s="50"/>
      <c r="AA374" s="50"/>
    </row>
    <row r="375" spans="7:27" x14ac:dyDescent="0.35">
      <c r="G375" s="60"/>
      <c r="S375" s="50"/>
      <c r="T375" s="50"/>
      <c r="AA375" s="50"/>
    </row>
    <row r="376" spans="7:27" x14ac:dyDescent="0.35">
      <c r="G376" s="60"/>
      <c r="S376" s="50"/>
      <c r="T376" s="50"/>
      <c r="AA376" s="50"/>
    </row>
    <row r="377" spans="7:27" x14ac:dyDescent="0.35">
      <c r="G377" s="60"/>
      <c r="S377" s="50"/>
      <c r="T377" s="50"/>
      <c r="AA377" s="50"/>
    </row>
    <row r="378" spans="7:27" x14ac:dyDescent="0.35">
      <c r="G378" s="60"/>
      <c r="S378" s="50"/>
      <c r="T378" s="50"/>
      <c r="AA378" s="50"/>
    </row>
    <row r="379" spans="7:27" x14ac:dyDescent="0.35">
      <c r="G379" s="60"/>
      <c r="S379" s="50"/>
      <c r="T379" s="50"/>
      <c r="AA379" s="50"/>
    </row>
    <row r="380" spans="7:27" x14ac:dyDescent="0.35">
      <c r="G380" s="60"/>
      <c r="S380" s="50"/>
      <c r="T380" s="50"/>
      <c r="AA380" s="50"/>
    </row>
    <row r="381" spans="7:27" x14ac:dyDescent="0.35">
      <c r="G381" s="60"/>
      <c r="S381" s="50"/>
      <c r="T381" s="50"/>
      <c r="AA381" s="50"/>
    </row>
    <row r="382" spans="7:27" x14ac:dyDescent="0.35">
      <c r="G382" s="60"/>
      <c r="S382" s="50"/>
      <c r="T382" s="50"/>
      <c r="AA382" s="50"/>
    </row>
    <row r="383" spans="7:27" x14ac:dyDescent="0.35">
      <c r="G383" s="60"/>
      <c r="S383" s="50"/>
      <c r="T383" s="50"/>
      <c r="AA383" s="50"/>
    </row>
    <row r="384" spans="7:27" x14ac:dyDescent="0.35">
      <c r="G384" s="60"/>
      <c r="S384" s="50"/>
      <c r="T384" s="50"/>
      <c r="AA384" s="50"/>
    </row>
    <row r="385" spans="7:27" x14ac:dyDescent="0.35">
      <c r="G385" s="60"/>
      <c r="S385" s="50"/>
      <c r="T385" s="50"/>
      <c r="AA385" s="50"/>
    </row>
    <row r="386" spans="7:27" x14ac:dyDescent="0.35">
      <c r="G386" s="60"/>
      <c r="S386" s="50"/>
      <c r="T386" s="50"/>
      <c r="AA386" s="50"/>
    </row>
    <row r="387" spans="7:27" x14ac:dyDescent="0.35">
      <c r="G387" s="60"/>
      <c r="S387" s="50"/>
      <c r="T387" s="50"/>
      <c r="AA387" s="50"/>
    </row>
    <row r="388" spans="7:27" x14ac:dyDescent="0.35">
      <c r="G388" s="60"/>
      <c r="S388" s="50"/>
      <c r="T388" s="50"/>
      <c r="AA388" s="50"/>
    </row>
    <row r="389" spans="7:27" x14ac:dyDescent="0.35">
      <c r="G389" s="60"/>
      <c r="S389" s="50"/>
      <c r="T389" s="50"/>
      <c r="AA389" s="50"/>
    </row>
    <row r="390" spans="7:27" x14ac:dyDescent="0.35">
      <c r="G390" s="60"/>
      <c r="S390" s="50"/>
      <c r="T390" s="50"/>
      <c r="AA390" s="50"/>
    </row>
    <row r="391" spans="7:27" x14ac:dyDescent="0.35">
      <c r="G391" s="60"/>
      <c r="S391" s="50"/>
      <c r="T391" s="50"/>
      <c r="AA391" s="50"/>
    </row>
    <row r="392" spans="7:27" x14ac:dyDescent="0.35">
      <c r="G392" s="60"/>
      <c r="S392" s="50"/>
      <c r="T392" s="50"/>
      <c r="AA392" s="50"/>
    </row>
    <row r="393" spans="7:27" x14ac:dyDescent="0.35">
      <c r="G393" s="60"/>
      <c r="S393" s="50"/>
      <c r="T393" s="50"/>
      <c r="AA393" s="50"/>
    </row>
    <row r="394" spans="7:27" x14ac:dyDescent="0.35">
      <c r="G394" s="60"/>
      <c r="S394" s="50"/>
      <c r="T394" s="50"/>
      <c r="AA394" s="50"/>
    </row>
    <row r="395" spans="7:27" x14ac:dyDescent="0.35">
      <c r="G395" s="60"/>
      <c r="S395" s="50"/>
      <c r="T395" s="50"/>
      <c r="AA395" s="50"/>
    </row>
    <row r="396" spans="7:27" x14ac:dyDescent="0.35">
      <c r="G396" s="60"/>
      <c r="S396" s="50"/>
      <c r="T396" s="50"/>
      <c r="AA396" s="50"/>
    </row>
    <row r="397" spans="7:27" x14ac:dyDescent="0.35">
      <c r="G397" s="60"/>
      <c r="S397" s="50"/>
      <c r="T397" s="50"/>
      <c r="AA397" s="50"/>
    </row>
    <row r="398" spans="7:27" x14ac:dyDescent="0.35">
      <c r="G398" s="60"/>
      <c r="S398" s="50"/>
      <c r="T398" s="50"/>
      <c r="AA398" s="50"/>
    </row>
    <row r="399" spans="7:27" x14ac:dyDescent="0.35">
      <c r="G399" s="60"/>
      <c r="S399" s="50"/>
      <c r="T399" s="50"/>
      <c r="AA399" s="50"/>
    </row>
    <row r="400" spans="7:27" x14ac:dyDescent="0.35">
      <c r="G400" s="60"/>
      <c r="S400" s="50"/>
      <c r="T400" s="50"/>
      <c r="AA400" s="50"/>
    </row>
    <row r="401" spans="7:27" x14ac:dyDescent="0.35">
      <c r="G401" s="60"/>
      <c r="S401" s="50"/>
      <c r="T401" s="50"/>
      <c r="AA401" s="50"/>
    </row>
    <row r="402" spans="7:27" x14ac:dyDescent="0.35">
      <c r="G402" s="60"/>
      <c r="S402" s="50"/>
      <c r="T402" s="50"/>
      <c r="AA402" s="50"/>
    </row>
    <row r="403" spans="7:27" x14ac:dyDescent="0.35">
      <c r="G403" s="60"/>
      <c r="S403" s="50"/>
      <c r="T403" s="50"/>
      <c r="AA403" s="50"/>
    </row>
    <row r="404" spans="7:27" x14ac:dyDescent="0.35">
      <c r="G404" s="60"/>
      <c r="S404" s="50"/>
      <c r="T404" s="50"/>
      <c r="AA404" s="50"/>
    </row>
    <row r="405" spans="7:27" x14ac:dyDescent="0.35">
      <c r="G405" s="60"/>
      <c r="S405" s="50"/>
      <c r="T405" s="50"/>
      <c r="AA405" s="50"/>
    </row>
    <row r="406" spans="7:27" x14ac:dyDescent="0.35">
      <c r="G406" s="60"/>
      <c r="S406" s="50"/>
      <c r="T406" s="50"/>
      <c r="AA406" s="50"/>
    </row>
    <row r="407" spans="7:27" x14ac:dyDescent="0.35">
      <c r="G407" s="60"/>
      <c r="S407" s="50"/>
      <c r="T407" s="50"/>
      <c r="AA407" s="50"/>
    </row>
    <row r="408" spans="7:27" x14ac:dyDescent="0.35">
      <c r="G408" s="60"/>
      <c r="S408" s="50"/>
      <c r="T408" s="50"/>
      <c r="AA408" s="50"/>
    </row>
    <row r="409" spans="7:27" x14ac:dyDescent="0.35">
      <c r="G409" s="60"/>
      <c r="S409" s="50"/>
      <c r="T409" s="50"/>
      <c r="AA409" s="50"/>
    </row>
    <row r="410" spans="7:27" x14ac:dyDescent="0.35">
      <c r="G410" s="60"/>
      <c r="S410" s="50"/>
      <c r="T410" s="50"/>
      <c r="AA410" s="50"/>
    </row>
    <row r="411" spans="7:27" x14ac:dyDescent="0.35">
      <c r="G411" s="60"/>
      <c r="S411" s="50"/>
      <c r="T411" s="50"/>
      <c r="AA411" s="50"/>
    </row>
    <row r="412" spans="7:27" x14ac:dyDescent="0.35">
      <c r="G412" s="60"/>
      <c r="S412" s="50"/>
      <c r="T412" s="50"/>
      <c r="AA412" s="50"/>
    </row>
    <row r="413" spans="7:27" x14ac:dyDescent="0.35">
      <c r="G413" s="60"/>
      <c r="S413" s="50"/>
      <c r="T413" s="50"/>
      <c r="AA413" s="50"/>
    </row>
    <row r="414" spans="7:27" x14ac:dyDescent="0.35">
      <c r="G414" s="60"/>
      <c r="S414" s="50"/>
      <c r="T414" s="50"/>
      <c r="AA414" s="50"/>
    </row>
    <row r="415" spans="7:27" x14ac:dyDescent="0.35">
      <c r="G415" s="60"/>
      <c r="S415" s="50"/>
      <c r="T415" s="50"/>
      <c r="AA415" s="50"/>
    </row>
    <row r="416" spans="7:27" x14ac:dyDescent="0.35">
      <c r="G416" s="60"/>
      <c r="S416" s="50"/>
      <c r="T416" s="50"/>
      <c r="AA416" s="50"/>
    </row>
    <row r="417" spans="7:27" x14ac:dyDescent="0.35">
      <c r="G417" s="60"/>
      <c r="S417" s="50"/>
      <c r="T417" s="50"/>
      <c r="AA417" s="50"/>
    </row>
    <row r="418" spans="7:27" x14ac:dyDescent="0.35">
      <c r="G418" s="60"/>
      <c r="S418" s="50"/>
      <c r="T418" s="50"/>
      <c r="AA418" s="50"/>
    </row>
    <row r="419" spans="7:27" x14ac:dyDescent="0.35">
      <c r="G419" s="60"/>
      <c r="S419" s="50"/>
      <c r="T419" s="50"/>
      <c r="AA419" s="50"/>
    </row>
    <row r="420" spans="7:27" x14ac:dyDescent="0.35">
      <c r="G420" s="60"/>
      <c r="S420" s="50"/>
      <c r="T420" s="50"/>
      <c r="AA420" s="50"/>
    </row>
    <row r="421" spans="7:27" x14ac:dyDescent="0.35">
      <c r="G421" s="60"/>
      <c r="S421" s="50"/>
      <c r="T421" s="50"/>
      <c r="AA421" s="50"/>
    </row>
    <row r="422" spans="7:27" x14ac:dyDescent="0.35">
      <c r="G422" s="60"/>
      <c r="S422" s="50"/>
      <c r="T422" s="50"/>
      <c r="AA422" s="50"/>
    </row>
    <row r="423" spans="7:27" x14ac:dyDescent="0.35">
      <c r="G423" s="60"/>
      <c r="S423" s="50"/>
      <c r="T423" s="50"/>
      <c r="AA423" s="50"/>
    </row>
    <row r="424" spans="7:27" x14ac:dyDescent="0.35">
      <c r="G424" s="60"/>
      <c r="S424" s="50"/>
      <c r="T424" s="50"/>
      <c r="AA424" s="50"/>
    </row>
    <row r="425" spans="7:27" x14ac:dyDescent="0.35">
      <c r="G425" s="60"/>
      <c r="S425" s="50"/>
      <c r="T425" s="50"/>
      <c r="AA425" s="50"/>
    </row>
    <row r="426" spans="7:27" x14ac:dyDescent="0.35">
      <c r="G426" s="60"/>
      <c r="S426" s="50"/>
      <c r="T426" s="50"/>
      <c r="AA426" s="50"/>
    </row>
    <row r="427" spans="7:27" x14ac:dyDescent="0.35">
      <c r="G427" s="60"/>
      <c r="S427" s="50"/>
      <c r="T427" s="50"/>
      <c r="AA427" s="50"/>
    </row>
    <row r="428" spans="7:27" x14ac:dyDescent="0.35">
      <c r="G428" s="60"/>
      <c r="S428" s="50"/>
      <c r="T428" s="50"/>
      <c r="AA428" s="50"/>
    </row>
    <row r="429" spans="7:27" x14ac:dyDescent="0.35">
      <c r="G429" s="60"/>
      <c r="S429" s="50"/>
      <c r="T429" s="50"/>
      <c r="AA429" s="50"/>
    </row>
    <row r="430" spans="7:27" x14ac:dyDescent="0.35">
      <c r="G430" s="60"/>
      <c r="S430" s="50"/>
      <c r="T430" s="50"/>
      <c r="AA430" s="50"/>
    </row>
    <row r="431" spans="7:27" x14ac:dyDescent="0.35">
      <c r="G431" s="60"/>
      <c r="S431" s="50"/>
      <c r="T431" s="50"/>
      <c r="AA431" s="50"/>
    </row>
    <row r="432" spans="7:27" x14ac:dyDescent="0.35">
      <c r="G432" s="60"/>
      <c r="S432" s="50"/>
      <c r="T432" s="50"/>
      <c r="AA432" s="50"/>
    </row>
    <row r="433" spans="7:27" x14ac:dyDescent="0.35">
      <c r="G433" s="60"/>
      <c r="S433" s="50"/>
      <c r="T433" s="50"/>
      <c r="AA433" s="50"/>
    </row>
    <row r="434" spans="7:27" x14ac:dyDescent="0.35">
      <c r="G434" s="60"/>
      <c r="S434" s="50"/>
      <c r="T434" s="50"/>
      <c r="AA434" s="50"/>
    </row>
    <row r="435" spans="7:27" x14ac:dyDescent="0.35">
      <c r="G435" s="60"/>
      <c r="S435" s="50"/>
      <c r="T435" s="50"/>
      <c r="AA435" s="50"/>
    </row>
    <row r="436" spans="7:27" x14ac:dyDescent="0.35">
      <c r="G436" s="60"/>
      <c r="S436" s="50"/>
      <c r="T436" s="50"/>
      <c r="AA436" s="50"/>
    </row>
    <row r="437" spans="7:27" x14ac:dyDescent="0.35">
      <c r="G437" s="60"/>
      <c r="S437" s="50"/>
      <c r="T437" s="50"/>
      <c r="AA437" s="50"/>
    </row>
    <row r="438" spans="7:27" x14ac:dyDescent="0.35">
      <c r="G438" s="60"/>
      <c r="S438" s="50"/>
      <c r="T438" s="50"/>
      <c r="AA438" s="50"/>
    </row>
    <row r="439" spans="7:27" x14ac:dyDescent="0.35">
      <c r="G439" s="60"/>
      <c r="S439" s="50"/>
      <c r="T439" s="50"/>
      <c r="AA439" s="50"/>
    </row>
    <row r="440" spans="7:27" x14ac:dyDescent="0.35">
      <c r="G440" s="60"/>
      <c r="S440" s="50"/>
      <c r="T440" s="50"/>
      <c r="AA440" s="50"/>
    </row>
    <row r="441" spans="7:27" x14ac:dyDescent="0.35">
      <c r="G441" s="60"/>
      <c r="S441" s="50"/>
      <c r="T441" s="50"/>
      <c r="AA441" s="50"/>
    </row>
    <row r="442" spans="7:27" x14ac:dyDescent="0.35">
      <c r="G442" s="60"/>
      <c r="S442" s="50"/>
      <c r="T442" s="50"/>
      <c r="AA442" s="50"/>
    </row>
    <row r="443" spans="7:27" x14ac:dyDescent="0.35">
      <c r="G443" s="60"/>
      <c r="S443" s="50"/>
      <c r="T443" s="50"/>
      <c r="AA443" s="50"/>
    </row>
    <row r="444" spans="7:27" x14ac:dyDescent="0.35">
      <c r="G444" s="60"/>
      <c r="S444" s="50"/>
      <c r="T444" s="50"/>
      <c r="AA444" s="50"/>
    </row>
    <row r="445" spans="7:27" x14ac:dyDescent="0.35">
      <c r="G445" s="60"/>
      <c r="S445" s="50"/>
      <c r="T445" s="50"/>
      <c r="AA445" s="50"/>
    </row>
    <row r="446" spans="7:27" x14ac:dyDescent="0.35">
      <c r="G446" s="60"/>
      <c r="S446" s="50"/>
      <c r="T446" s="50"/>
      <c r="AA446" s="50"/>
    </row>
    <row r="447" spans="7:27" x14ac:dyDescent="0.35">
      <c r="G447" s="60"/>
      <c r="S447" s="50"/>
      <c r="T447" s="50"/>
      <c r="AA447" s="50"/>
    </row>
    <row r="448" spans="7:27" x14ac:dyDescent="0.35">
      <c r="G448" s="60"/>
      <c r="S448" s="50"/>
      <c r="T448" s="50"/>
      <c r="AA448" s="50"/>
    </row>
    <row r="449" spans="7:27" x14ac:dyDescent="0.35">
      <c r="G449" s="60"/>
      <c r="S449" s="50"/>
      <c r="T449" s="50"/>
      <c r="AA449" s="50"/>
    </row>
    <row r="450" spans="7:27" x14ac:dyDescent="0.35">
      <c r="G450" s="60"/>
      <c r="S450" s="50"/>
      <c r="T450" s="50"/>
      <c r="AA450" s="50"/>
    </row>
    <row r="451" spans="7:27" x14ac:dyDescent="0.35">
      <c r="G451" s="60"/>
      <c r="S451" s="50"/>
      <c r="T451" s="50"/>
      <c r="AA451" s="50"/>
    </row>
    <row r="452" spans="7:27" x14ac:dyDescent="0.35">
      <c r="G452" s="60"/>
      <c r="S452" s="50"/>
      <c r="T452" s="50"/>
      <c r="AA452" s="50"/>
    </row>
    <row r="453" spans="7:27" x14ac:dyDescent="0.35">
      <c r="G453" s="60"/>
      <c r="S453" s="50"/>
      <c r="T453" s="50"/>
      <c r="AA453" s="50"/>
    </row>
    <row r="454" spans="7:27" x14ac:dyDescent="0.35">
      <c r="G454" s="60"/>
      <c r="S454" s="50"/>
      <c r="T454" s="50"/>
      <c r="AA454" s="50"/>
    </row>
    <row r="455" spans="7:27" x14ac:dyDescent="0.35">
      <c r="G455" s="60"/>
      <c r="S455" s="50"/>
      <c r="T455" s="50"/>
      <c r="AA455" s="50"/>
    </row>
    <row r="456" spans="7:27" x14ac:dyDescent="0.35">
      <c r="G456" s="60"/>
      <c r="S456" s="50"/>
      <c r="T456" s="50"/>
      <c r="AA456" s="50"/>
    </row>
    <row r="457" spans="7:27" x14ac:dyDescent="0.35">
      <c r="G457" s="60"/>
      <c r="S457" s="50"/>
      <c r="T457" s="50"/>
      <c r="AA457" s="50"/>
    </row>
    <row r="458" spans="7:27" x14ac:dyDescent="0.35">
      <c r="G458" s="60"/>
      <c r="S458" s="50"/>
      <c r="T458" s="50"/>
      <c r="AA458" s="50"/>
    </row>
    <row r="459" spans="7:27" x14ac:dyDescent="0.35">
      <c r="G459" s="60"/>
      <c r="S459" s="50"/>
      <c r="T459" s="50"/>
      <c r="AA459" s="50"/>
    </row>
    <row r="460" spans="7:27" x14ac:dyDescent="0.35">
      <c r="G460" s="60"/>
      <c r="S460" s="50"/>
      <c r="T460" s="50"/>
      <c r="AA460" s="50"/>
    </row>
    <row r="461" spans="7:27" x14ac:dyDescent="0.35">
      <c r="G461" s="60"/>
      <c r="S461" s="50"/>
      <c r="T461" s="50"/>
      <c r="AA461" s="50"/>
    </row>
    <row r="462" spans="7:27" x14ac:dyDescent="0.35">
      <c r="G462" s="60"/>
      <c r="S462" s="50"/>
      <c r="T462" s="50"/>
      <c r="AA462" s="50"/>
    </row>
    <row r="463" spans="7:27" x14ac:dyDescent="0.35">
      <c r="G463" s="60"/>
      <c r="S463" s="50"/>
      <c r="T463" s="50"/>
      <c r="AA463" s="50"/>
    </row>
    <row r="464" spans="7:27" x14ac:dyDescent="0.35">
      <c r="G464" s="60"/>
      <c r="S464" s="50"/>
      <c r="T464" s="50"/>
      <c r="AA464" s="50"/>
    </row>
    <row r="465" spans="7:27" x14ac:dyDescent="0.35">
      <c r="G465" s="60"/>
      <c r="S465" s="50"/>
      <c r="T465" s="50"/>
      <c r="AA465" s="50"/>
    </row>
    <row r="466" spans="7:27" x14ac:dyDescent="0.35">
      <c r="G466" s="60"/>
      <c r="S466" s="50"/>
      <c r="T466" s="50"/>
      <c r="AA466" s="50"/>
    </row>
    <row r="467" spans="7:27" x14ac:dyDescent="0.35">
      <c r="G467" s="60"/>
      <c r="S467" s="50"/>
      <c r="T467" s="50"/>
      <c r="AA467" s="50"/>
    </row>
    <row r="468" spans="7:27" x14ac:dyDescent="0.35">
      <c r="G468" s="60"/>
      <c r="S468" s="50"/>
      <c r="T468" s="50"/>
      <c r="AA468" s="50"/>
    </row>
    <row r="469" spans="7:27" x14ac:dyDescent="0.35">
      <c r="G469" s="60"/>
      <c r="S469" s="50"/>
      <c r="T469" s="50"/>
      <c r="AA469" s="50"/>
    </row>
    <row r="470" spans="7:27" x14ac:dyDescent="0.35">
      <c r="G470" s="60"/>
      <c r="S470" s="50"/>
      <c r="T470" s="50"/>
      <c r="AA470" s="50"/>
    </row>
    <row r="471" spans="7:27" x14ac:dyDescent="0.35">
      <c r="G471" s="60"/>
      <c r="S471" s="50"/>
      <c r="T471" s="50"/>
      <c r="AA471" s="50"/>
    </row>
    <row r="472" spans="7:27" x14ac:dyDescent="0.35">
      <c r="G472" s="60"/>
      <c r="S472" s="50"/>
      <c r="T472" s="50"/>
      <c r="AA472" s="50"/>
    </row>
    <row r="473" spans="7:27" x14ac:dyDescent="0.35">
      <c r="G473" s="60"/>
      <c r="S473" s="50"/>
      <c r="T473" s="50"/>
      <c r="AA473" s="50"/>
    </row>
    <row r="474" spans="7:27" x14ac:dyDescent="0.35">
      <c r="G474" s="60"/>
      <c r="S474" s="50"/>
      <c r="T474" s="50"/>
      <c r="AA474" s="50"/>
    </row>
    <row r="475" spans="7:27" x14ac:dyDescent="0.35">
      <c r="G475" s="60"/>
      <c r="S475" s="50"/>
      <c r="T475" s="50"/>
      <c r="AA475" s="50"/>
    </row>
    <row r="476" spans="7:27" x14ac:dyDescent="0.35">
      <c r="G476" s="60"/>
      <c r="S476" s="50"/>
      <c r="T476" s="50"/>
      <c r="AA476" s="50"/>
    </row>
    <row r="477" spans="7:27" x14ac:dyDescent="0.35">
      <c r="G477" s="60"/>
      <c r="S477" s="50"/>
      <c r="T477" s="50"/>
      <c r="AA477" s="50"/>
    </row>
    <row r="478" spans="7:27" x14ac:dyDescent="0.35">
      <c r="G478" s="60"/>
      <c r="S478" s="50"/>
      <c r="T478" s="50"/>
      <c r="AA478" s="50"/>
    </row>
    <row r="479" spans="7:27" x14ac:dyDescent="0.35">
      <c r="G479" s="60"/>
      <c r="S479" s="50"/>
      <c r="T479" s="50"/>
      <c r="AA479" s="50"/>
    </row>
    <row r="480" spans="7:27" x14ac:dyDescent="0.35">
      <c r="G480" s="60"/>
      <c r="S480" s="50"/>
      <c r="T480" s="50"/>
      <c r="AA480" s="50"/>
    </row>
    <row r="481" spans="7:27" x14ac:dyDescent="0.35">
      <c r="G481" s="60"/>
      <c r="S481" s="50"/>
      <c r="T481" s="50"/>
      <c r="AA481" s="50"/>
    </row>
    <row r="482" spans="7:27" x14ac:dyDescent="0.35">
      <c r="G482" s="60"/>
      <c r="S482" s="50"/>
      <c r="T482" s="50"/>
      <c r="AA482" s="50"/>
    </row>
    <row r="483" spans="7:27" x14ac:dyDescent="0.35">
      <c r="G483" s="60"/>
      <c r="S483" s="50"/>
      <c r="T483" s="50"/>
      <c r="AA483" s="50"/>
    </row>
    <row r="484" spans="7:27" x14ac:dyDescent="0.35">
      <c r="G484" s="60"/>
      <c r="S484" s="50"/>
      <c r="T484" s="50"/>
      <c r="AA484" s="50"/>
    </row>
    <row r="485" spans="7:27" x14ac:dyDescent="0.35">
      <c r="G485" s="60"/>
      <c r="S485" s="50"/>
      <c r="T485" s="50"/>
      <c r="AA485" s="50"/>
    </row>
    <row r="486" spans="7:27" x14ac:dyDescent="0.35">
      <c r="G486" s="60"/>
      <c r="S486" s="50"/>
      <c r="T486" s="50"/>
      <c r="AA486" s="50"/>
    </row>
    <row r="487" spans="7:27" x14ac:dyDescent="0.35">
      <c r="G487" s="60"/>
      <c r="S487" s="50"/>
      <c r="T487" s="50"/>
      <c r="AA487" s="50"/>
    </row>
    <row r="488" spans="7:27" x14ac:dyDescent="0.35">
      <c r="G488" s="60"/>
      <c r="S488" s="50"/>
      <c r="T488" s="50"/>
      <c r="AA488" s="50"/>
    </row>
    <row r="489" spans="7:27" x14ac:dyDescent="0.35">
      <c r="G489" s="60"/>
      <c r="S489" s="50"/>
      <c r="T489" s="50"/>
      <c r="AA489" s="50"/>
    </row>
    <row r="490" spans="7:27" x14ac:dyDescent="0.35">
      <c r="G490" s="60"/>
      <c r="S490" s="50"/>
      <c r="T490" s="50"/>
      <c r="AA490" s="50"/>
    </row>
    <row r="491" spans="7:27" x14ac:dyDescent="0.35">
      <c r="G491" s="60"/>
      <c r="S491" s="50"/>
      <c r="T491" s="50"/>
      <c r="AA491" s="50"/>
    </row>
    <row r="492" spans="7:27" x14ac:dyDescent="0.35">
      <c r="G492" s="60"/>
      <c r="S492" s="50"/>
      <c r="T492" s="50"/>
      <c r="AA492" s="50"/>
    </row>
    <row r="493" spans="7:27" x14ac:dyDescent="0.35">
      <c r="G493" s="60"/>
      <c r="S493" s="50"/>
      <c r="T493" s="50"/>
      <c r="AA493" s="50"/>
    </row>
    <row r="494" spans="7:27" x14ac:dyDescent="0.35">
      <c r="G494" s="60"/>
      <c r="S494" s="50"/>
      <c r="T494" s="50"/>
      <c r="AA494" s="50"/>
    </row>
    <row r="495" spans="7:27" x14ac:dyDescent="0.35">
      <c r="G495" s="60"/>
      <c r="S495" s="50"/>
      <c r="T495" s="50"/>
      <c r="AA495" s="50"/>
    </row>
    <row r="496" spans="7:27" x14ac:dyDescent="0.35">
      <c r="G496" s="60"/>
      <c r="S496" s="50"/>
      <c r="T496" s="50"/>
      <c r="AA496" s="50"/>
    </row>
    <row r="497" spans="7:27" x14ac:dyDescent="0.35">
      <c r="G497" s="60"/>
      <c r="S497" s="50"/>
      <c r="T497" s="50"/>
      <c r="AA497" s="50"/>
    </row>
    <row r="498" spans="7:27" x14ac:dyDescent="0.35">
      <c r="G498" s="60"/>
      <c r="S498" s="50"/>
      <c r="T498" s="50"/>
      <c r="AA498" s="50"/>
    </row>
    <row r="499" spans="7:27" x14ac:dyDescent="0.35">
      <c r="G499" s="60"/>
      <c r="S499" s="50"/>
      <c r="T499" s="50"/>
      <c r="AA499" s="50"/>
    </row>
    <row r="500" spans="7:27" x14ac:dyDescent="0.35">
      <c r="G500" s="60"/>
      <c r="S500" s="50"/>
      <c r="T500" s="50"/>
      <c r="AA500" s="50"/>
    </row>
    <row r="501" spans="7:27" x14ac:dyDescent="0.35">
      <c r="G501" s="60"/>
      <c r="S501" s="50"/>
      <c r="T501" s="50"/>
      <c r="AA501" s="50"/>
    </row>
    <row r="502" spans="7:27" x14ac:dyDescent="0.35">
      <c r="G502" s="60"/>
      <c r="S502" s="50"/>
      <c r="T502" s="50"/>
      <c r="AA502" s="50"/>
    </row>
    <row r="503" spans="7:27" x14ac:dyDescent="0.35">
      <c r="G503" s="60"/>
      <c r="S503" s="50"/>
      <c r="T503" s="50"/>
      <c r="AA503" s="50"/>
    </row>
    <row r="504" spans="7:27" x14ac:dyDescent="0.35">
      <c r="G504" s="60"/>
      <c r="S504" s="50"/>
      <c r="T504" s="50"/>
      <c r="AA504" s="50"/>
    </row>
    <row r="505" spans="7:27" x14ac:dyDescent="0.35">
      <c r="G505" s="60"/>
      <c r="S505" s="50"/>
      <c r="T505" s="50"/>
      <c r="AA505" s="50"/>
    </row>
    <row r="506" spans="7:27" x14ac:dyDescent="0.35">
      <c r="G506" s="60"/>
      <c r="S506" s="50"/>
      <c r="T506" s="50"/>
      <c r="AA506" s="50"/>
    </row>
    <row r="507" spans="7:27" x14ac:dyDescent="0.35">
      <c r="G507" s="60"/>
      <c r="S507" s="50"/>
      <c r="T507" s="50"/>
      <c r="AA507" s="50"/>
    </row>
    <row r="508" spans="7:27" x14ac:dyDescent="0.35">
      <c r="G508" s="60"/>
      <c r="S508" s="50"/>
      <c r="T508" s="50"/>
      <c r="AA508" s="50"/>
    </row>
    <row r="509" spans="7:27" x14ac:dyDescent="0.35">
      <c r="G509" s="60"/>
      <c r="S509" s="50"/>
      <c r="T509" s="50"/>
      <c r="AA509" s="50"/>
    </row>
    <row r="510" spans="7:27" x14ac:dyDescent="0.35">
      <c r="G510" s="60"/>
      <c r="S510" s="50"/>
      <c r="T510" s="50"/>
      <c r="AA510" s="50"/>
    </row>
    <row r="511" spans="7:27" x14ac:dyDescent="0.35">
      <c r="G511" s="60"/>
      <c r="S511" s="50"/>
      <c r="T511" s="50"/>
      <c r="AA511" s="50"/>
    </row>
    <row r="512" spans="7:27" x14ac:dyDescent="0.35">
      <c r="G512" s="60"/>
      <c r="S512" s="50"/>
      <c r="T512" s="50"/>
      <c r="AA512" s="50"/>
    </row>
    <row r="513" spans="7:27" x14ac:dyDescent="0.35">
      <c r="G513" s="60"/>
      <c r="S513" s="50"/>
      <c r="T513" s="50"/>
      <c r="AA513" s="50"/>
    </row>
    <row r="514" spans="7:27" x14ac:dyDescent="0.35">
      <c r="G514" s="60"/>
      <c r="S514" s="50"/>
      <c r="T514" s="50"/>
      <c r="AA514" s="50"/>
    </row>
    <row r="515" spans="7:27" x14ac:dyDescent="0.35">
      <c r="G515" s="60"/>
      <c r="S515" s="50"/>
      <c r="T515" s="50"/>
      <c r="AA515" s="50"/>
    </row>
    <row r="516" spans="7:27" x14ac:dyDescent="0.35">
      <c r="G516" s="60"/>
      <c r="S516" s="50"/>
      <c r="T516" s="50"/>
      <c r="AA516" s="50"/>
    </row>
    <row r="517" spans="7:27" x14ac:dyDescent="0.35">
      <c r="G517" s="60"/>
      <c r="S517" s="50"/>
      <c r="T517" s="50"/>
      <c r="AA517" s="50"/>
    </row>
    <row r="518" spans="7:27" x14ac:dyDescent="0.35">
      <c r="G518" s="60"/>
      <c r="S518" s="50"/>
      <c r="T518" s="50"/>
      <c r="AA518" s="50"/>
    </row>
    <row r="519" spans="7:27" x14ac:dyDescent="0.35">
      <c r="G519" s="60"/>
      <c r="S519" s="50"/>
      <c r="T519" s="50"/>
      <c r="AA519" s="50"/>
    </row>
    <row r="520" spans="7:27" x14ac:dyDescent="0.35">
      <c r="G520" s="60"/>
      <c r="S520" s="50"/>
      <c r="T520" s="50"/>
      <c r="AA520" s="50"/>
    </row>
    <row r="521" spans="7:27" x14ac:dyDescent="0.35">
      <c r="G521" s="60"/>
      <c r="S521" s="50"/>
      <c r="T521" s="50"/>
      <c r="AA521" s="50"/>
    </row>
    <row r="522" spans="7:27" x14ac:dyDescent="0.35">
      <c r="G522" s="60"/>
      <c r="S522" s="50"/>
      <c r="T522" s="50"/>
      <c r="AA522" s="50"/>
    </row>
    <row r="523" spans="7:27" x14ac:dyDescent="0.35">
      <c r="G523" s="60"/>
      <c r="S523" s="50"/>
      <c r="T523" s="50"/>
      <c r="AA523" s="50"/>
    </row>
    <row r="524" spans="7:27" x14ac:dyDescent="0.35">
      <c r="G524" s="60"/>
      <c r="S524" s="50"/>
      <c r="T524" s="50"/>
      <c r="AA524" s="50"/>
    </row>
    <row r="525" spans="7:27" x14ac:dyDescent="0.35">
      <c r="G525" s="60"/>
      <c r="S525" s="50"/>
      <c r="T525" s="50"/>
      <c r="AA525" s="50"/>
    </row>
    <row r="526" spans="7:27" x14ac:dyDescent="0.35">
      <c r="G526" s="60"/>
      <c r="S526" s="50"/>
      <c r="T526" s="50"/>
      <c r="AA526" s="50"/>
    </row>
    <row r="527" spans="7:27" x14ac:dyDescent="0.35">
      <c r="G527" s="60"/>
      <c r="S527" s="50"/>
      <c r="T527" s="50"/>
      <c r="AA527" s="50"/>
    </row>
    <row r="528" spans="7:27" x14ac:dyDescent="0.35">
      <c r="G528" s="60"/>
      <c r="S528" s="50"/>
      <c r="T528" s="50"/>
      <c r="AA528" s="50"/>
    </row>
    <row r="529" spans="7:27" x14ac:dyDescent="0.35">
      <c r="G529" s="60"/>
      <c r="S529" s="50"/>
      <c r="T529" s="50"/>
      <c r="AA529" s="50"/>
    </row>
    <row r="530" spans="7:27" x14ac:dyDescent="0.35">
      <c r="G530" s="60"/>
      <c r="S530" s="50"/>
      <c r="T530" s="50"/>
      <c r="AA530" s="50"/>
    </row>
    <row r="531" spans="7:27" x14ac:dyDescent="0.35">
      <c r="G531" s="60"/>
      <c r="S531" s="50"/>
      <c r="T531" s="50"/>
      <c r="AA531" s="50"/>
    </row>
    <row r="532" spans="7:27" x14ac:dyDescent="0.35">
      <c r="G532" s="60"/>
      <c r="S532" s="50"/>
      <c r="T532" s="50"/>
      <c r="AA532" s="50"/>
    </row>
    <row r="533" spans="7:27" x14ac:dyDescent="0.35">
      <c r="G533" s="60"/>
      <c r="S533" s="50"/>
      <c r="T533" s="50"/>
      <c r="AA533" s="50"/>
    </row>
    <row r="534" spans="7:27" x14ac:dyDescent="0.35">
      <c r="G534" s="60"/>
      <c r="S534" s="50"/>
      <c r="T534" s="50"/>
      <c r="AA534" s="50"/>
    </row>
    <row r="535" spans="7:27" x14ac:dyDescent="0.35">
      <c r="G535" s="60"/>
      <c r="S535" s="50"/>
      <c r="T535" s="50"/>
      <c r="AA535" s="50"/>
    </row>
    <row r="536" spans="7:27" x14ac:dyDescent="0.35">
      <c r="G536" s="60"/>
      <c r="S536" s="50"/>
      <c r="T536" s="50"/>
      <c r="AA536" s="50"/>
    </row>
    <row r="537" spans="7:27" x14ac:dyDescent="0.35">
      <c r="G537" s="60"/>
      <c r="S537" s="50"/>
      <c r="T537" s="50"/>
      <c r="AA537" s="50"/>
    </row>
    <row r="538" spans="7:27" x14ac:dyDescent="0.35">
      <c r="G538" s="60"/>
      <c r="S538" s="50"/>
      <c r="T538" s="50"/>
      <c r="AA538" s="50"/>
    </row>
    <row r="539" spans="7:27" x14ac:dyDescent="0.35">
      <c r="G539" s="60"/>
      <c r="S539" s="50"/>
      <c r="T539" s="50"/>
      <c r="AA539" s="50"/>
    </row>
    <row r="540" spans="7:27" x14ac:dyDescent="0.35">
      <c r="G540" s="60"/>
      <c r="S540" s="50"/>
      <c r="T540" s="50"/>
      <c r="AA540" s="50"/>
    </row>
    <row r="541" spans="7:27" x14ac:dyDescent="0.35">
      <c r="G541" s="60"/>
      <c r="S541" s="50"/>
      <c r="T541" s="50"/>
      <c r="AA541" s="50"/>
    </row>
    <row r="542" spans="7:27" x14ac:dyDescent="0.35">
      <c r="G542" s="60"/>
      <c r="S542" s="50"/>
      <c r="T542" s="50"/>
      <c r="AA542" s="50"/>
    </row>
    <row r="543" spans="7:27" x14ac:dyDescent="0.35">
      <c r="G543" s="60"/>
      <c r="S543" s="50"/>
      <c r="T543" s="50"/>
      <c r="AA543" s="50"/>
    </row>
    <row r="544" spans="7:27" x14ac:dyDescent="0.35">
      <c r="G544" s="60"/>
      <c r="S544" s="50"/>
      <c r="T544" s="50"/>
      <c r="AA544" s="50"/>
    </row>
    <row r="545" spans="7:27" x14ac:dyDescent="0.35">
      <c r="G545" s="60"/>
      <c r="S545" s="50"/>
      <c r="T545" s="50"/>
      <c r="AA545" s="50"/>
    </row>
    <row r="546" spans="7:27" x14ac:dyDescent="0.35">
      <c r="G546" s="60"/>
      <c r="S546" s="50"/>
      <c r="T546" s="50"/>
      <c r="AA546" s="50"/>
    </row>
    <row r="547" spans="7:27" x14ac:dyDescent="0.35">
      <c r="G547" s="60"/>
      <c r="S547" s="50"/>
      <c r="T547" s="50"/>
      <c r="AA547" s="50"/>
    </row>
    <row r="548" spans="7:27" x14ac:dyDescent="0.35">
      <c r="G548" s="60"/>
      <c r="S548" s="50"/>
      <c r="T548" s="50"/>
      <c r="AA548" s="50"/>
    </row>
    <row r="549" spans="7:27" x14ac:dyDescent="0.35">
      <c r="G549" s="60"/>
      <c r="S549" s="50"/>
      <c r="T549" s="50"/>
      <c r="AA549" s="50"/>
    </row>
    <row r="550" spans="7:27" x14ac:dyDescent="0.35">
      <c r="G550" s="60"/>
      <c r="S550" s="50"/>
      <c r="T550" s="50"/>
      <c r="AA550" s="50"/>
    </row>
    <row r="551" spans="7:27" x14ac:dyDescent="0.35">
      <c r="G551" s="60"/>
      <c r="S551" s="50"/>
      <c r="T551" s="50"/>
      <c r="AA551" s="50"/>
    </row>
    <row r="552" spans="7:27" x14ac:dyDescent="0.35">
      <c r="G552" s="60"/>
      <c r="S552" s="50"/>
      <c r="T552" s="50"/>
      <c r="AA552" s="50"/>
    </row>
    <row r="553" spans="7:27" x14ac:dyDescent="0.35">
      <c r="G553" s="60"/>
      <c r="S553" s="50"/>
      <c r="T553" s="50"/>
      <c r="AA553" s="50"/>
    </row>
    <row r="554" spans="7:27" x14ac:dyDescent="0.35">
      <c r="G554" s="60"/>
      <c r="S554" s="50"/>
      <c r="T554" s="50"/>
      <c r="AA554" s="50"/>
    </row>
    <row r="555" spans="7:27" x14ac:dyDescent="0.35">
      <c r="G555" s="60"/>
      <c r="S555" s="50"/>
      <c r="T555" s="50"/>
      <c r="AA555" s="50"/>
    </row>
    <row r="556" spans="7:27" x14ac:dyDescent="0.35">
      <c r="G556" s="60"/>
      <c r="S556" s="50"/>
      <c r="T556" s="50"/>
      <c r="AA556" s="50"/>
    </row>
    <row r="557" spans="7:27" x14ac:dyDescent="0.35">
      <c r="G557" s="60"/>
      <c r="S557" s="50"/>
      <c r="T557" s="50"/>
      <c r="AA557" s="50"/>
    </row>
    <row r="558" spans="7:27" x14ac:dyDescent="0.35">
      <c r="G558" s="60"/>
      <c r="S558" s="50"/>
      <c r="T558" s="50"/>
      <c r="AA558" s="50"/>
    </row>
    <row r="559" spans="7:27" x14ac:dyDescent="0.35">
      <c r="G559" s="60"/>
      <c r="S559" s="50"/>
      <c r="T559" s="50"/>
      <c r="AA559" s="50"/>
    </row>
    <row r="560" spans="7:27" x14ac:dyDescent="0.35">
      <c r="G560" s="60"/>
      <c r="S560" s="50"/>
      <c r="T560" s="50"/>
      <c r="AA560" s="50"/>
    </row>
    <row r="561" spans="7:27" x14ac:dyDescent="0.35">
      <c r="G561" s="60"/>
      <c r="S561" s="50"/>
      <c r="T561" s="50"/>
      <c r="AA561" s="50"/>
    </row>
    <row r="562" spans="7:27" x14ac:dyDescent="0.35">
      <c r="G562" s="60"/>
      <c r="S562" s="50"/>
      <c r="T562" s="50"/>
      <c r="AA562" s="50"/>
    </row>
    <row r="563" spans="7:27" x14ac:dyDescent="0.35">
      <c r="G563" s="60"/>
      <c r="S563" s="50"/>
      <c r="T563" s="50"/>
      <c r="AA563" s="50"/>
    </row>
    <row r="564" spans="7:27" x14ac:dyDescent="0.35">
      <c r="G564" s="60"/>
      <c r="S564" s="50"/>
      <c r="T564" s="50"/>
      <c r="AA564" s="50"/>
    </row>
    <row r="565" spans="7:27" x14ac:dyDescent="0.35">
      <c r="G565" s="60"/>
      <c r="S565" s="50"/>
      <c r="T565" s="50"/>
      <c r="AA565" s="50"/>
    </row>
    <row r="566" spans="7:27" x14ac:dyDescent="0.35">
      <c r="G566" s="60"/>
      <c r="S566" s="50"/>
      <c r="T566" s="50"/>
      <c r="AA566" s="50"/>
    </row>
    <row r="567" spans="7:27" x14ac:dyDescent="0.35">
      <c r="G567" s="60"/>
      <c r="S567" s="50"/>
      <c r="T567" s="50"/>
      <c r="AA567" s="50"/>
    </row>
    <row r="568" spans="7:27" x14ac:dyDescent="0.35">
      <c r="G568" s="60"/>
      <c r="S568" s="50"/>
      <c r="T568" s="50"/>
      <c r="AA568" s="50"/>
    </row>
    <row r="569" spans="7:27" x14ac:dyDescent="0.35">
      <c r="G569" s="60"/>
      <c r="S569" s="50"/>
      <c r="T569" s="50"/>
      <c r="AA569" s="50"/>
    </row>
    <row r="570" spans="7:27" x14ac:dyDescent="0.35">
      <c r="G570" s="60"/>
      <c r="S570" s="50"/>
      <c r="T570" s="50"/>
      <c r="AA570" s="50"/>
    </row>
    <row r="571" spans="7:27" x14ac:dyDescent="0.35">
      <c r="G571" s="60"/>
      <c r="S571" s="50"/>
      <c r="T571" s="50"/>
      <c r="AA571" s="50"/>
    </row>
    <row r="572" spans="7:27" x14ac:dyDescent="0.35">
      <c r="G572" s="60"/>
      <c r="S572" s="50"/>
      <c r="T572" s="50"/>
      <c r="AA572" s="50"/>
    </row>
    <row r="573" spans="7:27" x14ac:dyDescent="0.35">
      <c r="G573" s="60"/>
      <c r="S573" s="50"/>
      <c r="T573" s="50"/>
      <c r="AA573" s="50"/>
    </row>
    <row r="574" spans="7:27" x14ac:dyDescent="0.35">
      <c r="G574" s="60"/>
      <c r="S574" s="50"/>
      <c r="T574" s="50"/>
      <c r="AA574" s="50"/>
    </row>
    <row r="575" spans="7:27" x14ac:dyDescent="0.35">
      <c r="G575" s="60"/>
      <c r="S575" s="50"/>
      <c r="T575" s="50"/>
      <c r="AA575" s="50"/>
    </row>
    <row r="576" spans="7:27" x14ac:dyDescent="0.35">
      <c r="G576" s="60"/>
      <c r="S576" s="50"/>
      <c r="T576" s="50"/>
      <c r="AA576" s="50"/>
    </row>
    <row r="577" spans="7:27" x14ac:dyDescent="0.35">
      <c r="G577" s="60"/>
      <c r="S577" s="50"/>
      <c r="T577" s="50"/>
      <c r="AA577" s="50"/>
    </row>
    <row r="578" spans="7:27" x14ac:dyDescent="0.35">
      <c r="G578" s="60"/>
      <c r="S578" s="50"/>
      <c r="T578" s="50"/>
      <c r="AA578" s="50"/>
    </row>
    <row r="579" spans="7:27" x14ac:dyDescent="0.35">
      <c r="G579" s="60"/>
      <c r="S579" s="50"/>
      <c r="T579" s="50"/>
      <c r="AA579" s="50"/>
    </row>
    <row r="580" spans="7:27" x14ac:dyDescent="0.35">
      <c r="G580" s="60"/>
      <c r="S580" s="50"/>
      <c r="T580" s="50"/>
      <c r="AA580" s="50"/>
    </row>
    <row r="581" spans="7:27" x14ac:dyDescent="0.35">
      <c r="G581" s="60"/>
      <c r="S581" s="50"/>
      <c r="T581" s="50"/>
      <c r="AA581" s="50"/>
    </row>
    <row r="582" spans="7:27" x14ac:dyDescent="0.35">
      <c r="G582" s="60"/>
      <c r="S582" s="50"/>
      <c r="T582" s="50"/>
      <c r="AA582" s="50"/>
    </row>
    <row r="583" spans="7:27" x14ac:dyDescent="0.35">
      <c r="G583" s="60"/>
      <c r="S583" s="50"/>
      <c r="T583" s="50"/>
      <c r="AA583" s="50"/>
    </row>
    <row r="584" spans="7:27" x14ac:dyDescent="0.35">
      <c r="G584" s="60"/>
      <c r="S584" s="50"/>
      <c r="T584" s="50"/>
      <c r="AA584" s="50"/>
    </row>
    <row r="585" spans="7:27" x14ac:dyDescent="0.35">
      <c r="G585" s="60"/>
      <c r="S585" s="50"/>
      <c r="T585" s="50"/>
      <c r="AA585" s="50"/>
    </row>
    <row r="586" spans="7:27" x14ac:dyDescent="0.35">
      <c r="G586" s="60"/>
      <c r="S586" s="50"/>
      <c r="T586" s="50"/>
      <c r="AA586" s="50"/>
    </row>
    <row r="587" spans="7:27" x14ac:dyDescent="0.35">
      <c r="G587" s="60"/>
      <c r="S587" s="50"/>
      <c r="T587" s="50"/>
      <c r="AA587" s="50"/>
    </row>
    <row r="588" spans="7:27" x14ac:dyDescent="0.35">
      <c r="G588" s="60"/>
      <c r="S588" s="50"/>
      <c r="T588" s="50"/>
      <c r="AA588" s="50"/>
    </row>
    <row r="589" spans="7:27" x14ac:dyDescent="0.35">
      <c r="G589" s="60"/>
      <c r="S589" s="50"/>
      <c r="T589" s="50"/>
      <c r="AA589" s="50"/>
    </row>
    <row r="590" spans="7:27" x14ac:dyDescent="0.35">
      <c r="G590" s="60"/>
      <c r="S590" s="50"/>
      <c r="T590" s="50"/>
      <c r="AA590" s="50"/>
    </row>
    <row r="591" spans="7:27" x14ac:dyDescent="0.35">
      <c r="G591" s="60"/>
      <c r="S591" s="50"/>
      <c r="T591" s="50"/>
      <c r="AA591" s="50"/>
    </row>
    <row r="592" spans="7:27" x14ac:dyDescent="0.35">
      <c r="G592" s="60"/>
      <c r="S592" s="50"/>
      <c r="T592" s="50"/>
      <c r="AA592" s="50"/>
    </row>
    <row r="593" spans="7:27" x14ac:dyDescent="0.35">
      <c r="G593" s="60"/>
      <c r="S593" s="50"/>
      <c r="T593" s="50"/>
      <c r="AA593" s="50"/>
    </row>
    <row r="594" spans="7:27" x14ac:dyDescent="0.35">
      <c r="G594" s="60"/>
      <c r="S594" s="50"/>
      <c r="T594" s="50"/>
      <c r="AA594" s="50"/>
    </row>
    <row r="595" spans="7:27" x14ac:dyDescent="0.35">
      <c r="G595" s="60"/>
      <c r="S595" s="50"/>
      <c r="T595" s="50"/>
      <c r="AA595" s="50"/>
    </row>
    <row r="596" spans="7:27" x14ac:dyDescent="0.35">
      <c r="G596" s="60"/>
      <c r="S596" s="50"/>
      <c r="T596" s="50"/>
      <c r="AA596" s="50"/>
    </row>
    <row r="597" spans="7:27" x14ac:dyDescent="0.35">
      <c r="G597" s="60"/>
      <c r="S597" s="50"/>
      <c r="T597" s="50"/>
      <c r="AA597" s="50"/>
    </row>
    <row r="598" spans="7:27" x14ac:dyDescent="0.35">
      <c r="G598" s="60"/>
      <c r="S598" s="50"/>
      <c r="T598" s="50"/>
      <c r="AA598" s="50"/>
    </row>
    <row r="599" spans="7:27" x14ac:dyDescent="0.35">
      <c r="G599" s="60"/>
      <c r="S599" s="50"/>
      <c r="T599" s="50"/>
      <c r="AA599" s="50"/>
    </row>
    <row r="600" spans="7:27" x14ac:dyDescent="0.35">
      <c r="G600" s="60"/>
      <c r="S600" s="50"/>
      <c r="T600" s="50"/>
      <c r="AA600" s="50"/>
    </row>
    <row r="601" spans="7:27" x14ac:dyDescent="0.35">
      <c r="G601" s="60"/>
      <c r="S601" s="50"/>
      <c r="T601" s="50"/>
      <c r="AA601" s="50"/>
    </row>
    <row r="602" spans="7:27" x14ac:dyDescent="0.35">
      <c r="G602" s="60"/>
      <c r="S602" s="50"/>
      <c r="T602" s="50"/>
      <c r="AA602" s="50"/>
    </row>
    <row r="603" spans="7:27" x14ac:dyDescent="0.35">
      <c r="G603" s="60"/>
      <c r="S603" s="50"/>
      <c r="T603" s="50"/>
      <c r="AA603" s="50"/>
    </row>
    <row r="604" spans="7:27" x14ac:dyDescent="0.35">
      <c r="G604" s="60"/>
      <c r="S604" s="50"/>
      <c r="T604" s="50"/>
      <c r="AA604" s="50"/>
    </row>
    <row r="605" spans="7:27" x14ac:dyDescent="0.35">
      <c r="G605" s="60"/>
      <c r="S605" s="50"/>
      <c r="T605" s="50"/>
      <c r="AA605" s="50"/>
    </row>
    <row r="606" spans="7:27" x14ac:dyDescent="0.35">
      <c r="G606" s="60"/>
      <c r="S606" s="50"/>
      <c r="T606" s="50"/>
      <c r="AA606" s="50"/>
    </row>
    <row r="607" spans="7:27" x14ac:dyDescent="0.35">
      <c r="G607" s="60"/>
      <c r="S607" s="50"/>
      <c r="T607" s="50"/>
      <c r="AA607" s="50"/>
    </row>
    <row r="608" spans="7:27" x14ac:dyDescent="0.35">
      <c r="G608" s="60"/>
      <c r="S608" s="50"/>
      <c r="T608" s="50"/>
      <c r="AA608" s="50"/>
    </row>
    <row r="609" spans="7:27" x14ac:dyDescent="0.35">
      <c r="G609" s="60"/>
      <c r="S609" s="50"/>
      <c r="T609" s="50"/>
      <c r="AA609" s="50"/>
    </row>
    <row r="610" spans="7:27" x14ac:dyDescent="0.35">
      <c r="G610" s="60"/>
      <c r="S610" s="50"/>
      <c r="T610" s="50"/>
      <c r="AA610" s="50"/>
    </row>
    <row r="611" spans="7:27" x14ac:dyDescent="0.35">
      <c r="G611" s="60"/>
      <c r="S611" s="50"/>
      <c r="T611" s="50"/>
      <c r="AA611" s="50"/>
    </row>
    <row r="612" spans="7:27" x14ac:dyDescent="0.35">
      <c r="G612" s="60"/>
      <c r="S612" s="50"/>
      <c r="T612" s="50"/>
      <c r="AA612" s="50"/>
    </row>
    <row r="613" spans="7:27" x14ac:dyDescent="0.35">
      <c r="G613" s="60"/>
      <c r="S613" s="50"/>
      <c r="T613" s="50"/>
      <c r="AA613" s="50"/>
    </row>
    <row r="614" spans="7:27" x14ac:dyDescent="0.35">
      <c r="G614" s="60"/>
      <c r="S614" s="50"/>
      <c r="T614" s="50"/>
      <c r="AA614" s="50"/>
    </row>
    <row r="615" spans="7:27" x14ac:dyDescent="0.35">
      <c r="G615" s="60"/>
      <c r="S615" s="50"/>
      <c r="T615" s="50"/>
      <c r="AA615" s="50"/>
    </row>
    <row r="616" spans="7:27" x14ac:dyDescent="0.35">
      <c r="G616" s="60"/>
      <c r="S616" s="50"/>
      <c r="T616" s="50"/>
      <c r="AA616" s="50"/>
    </row>
    <row r="617" spans="7:27" x14ac:dyDescent="0.35">
      <c r="G617" s="60"/>
      <c r="S617" s="50"/>
      <c r="T617" s="50"/>
      <c r="AA617" s="50"/>
    </row>
    <row r="618" spans="7:27" x14ac:dyDescent="0.35">
      <c r="G618" s="60"/>
      <c r="S618" s="50"/>
      <c r="T618" s="50"/>
      <c r="AA618" s="50"/>
    </row>
    <row r="619" spans="7:27" x14ac:dyDescent="0.35">
      <c r="G619" s="60"/>
      <c r="S619" s="50"/>
      <c r="T619" s="50"/>
      <c r="AA619" s="50"/>
    </row>
    <row r="620" spans="7:27" x14ac:dyDescent="0.35">
      <c r="G620" s="60"/>
      <c r="S620" s="50"/>
      <c r="T620" s="50"/>
      <c r="AA620" s="50"/>
    </row>
    <row r="621" spans="7:27" x14ac:dyDescent="0.35">
      <c r="G621" s="60"/>
      <c r="S621" s="50"/>
      <c r="T621" s="50"/>
      <c r="AA621" s="50"/>
    </row>
    <row r="622" spans="7:27" x14ac:dyDescent="0.35">
      <c r="G622" s="60"/>
      <c r="S622" s="50"/>
      <c r="T622" s="50"/>
      <c r="AA622" s="50"/>
    </row>
    <row r="623" spans="7:27" x14ac:dyDescent="0.35">
      <c r="G623" s="60"/>
      <c r="S623" s="50"/>
      <c r="T623" s="50"/>
      <c r="AA623" s="50"/>
    </row>
    <row r="624" spans="7:27" x14ac:dyDescent="0.35">
      <c r="G624" s="60"/>
      <c r="S624" s="50"/>
      <c r="T624" s="50"/>
      <c r="AA624" s="50"/>
    </row>
    <row r="625" spans="7:27" x14ac:dyDescent="0.35">
      <c r="G625" s="60"/>
      <c r="S625" s="50"/>
      <c r="T625" s="50"/>
      <c r="AA625" s="50"/>
    </row>
    <row r="626" spans="7:27" x14ac:dyDescent="0.35">
      <c r="G626" s="60"/>
      <c r="S626" s="50"/>
      <c r="T626" s="50"/>
      <c r="AA626" s="50"/>
    </row>
    <row r="627" spans="7:27" x14ac:dyDescent="0.35">
      <c r="G627" s="60"/>
      <c r="S627" s="50"/>
      <c r="T627" s="50"/>
      <c r="AA627" s="50"/>
    </row>
    <row r="628" spans="7:27" x14ac:dyDescent="0.35">
      <c r="G628" s="60"/>
      <c r="S628" s="50"/>
      <c r="T628" s="50"/>
      <c r="AA628" s="50"/>
    </row>
    <row r="629" spans="7:27" x14ac:dyDescent="0.35">
      <c r="G629" s="60"/>
      <c r="S629" s="50"/>
      <c r="T629" s="50"/>
      <c r="AA629" s="50"/>
    </row>
    <row r="630" spans="7:27" x14ac:dyDescent="0.35">
      <c r="G630" s="60"/>
      <c r="S630" s="50"/>
      <c r="T630" s="50"/>
      <c r="AA630" s="50"/>
    </row>
    <row r="631" spans="7:27" x14ac:dyDescent="0.35">
      <c r="G631" s="60"/>
      <c r="S631" s="50"/>
      <c r="T631" s="50"/>
      <c r="AA631" s="50"/>
    </row>
    <row r="632" spans="7:27" x14ac:dyDescent="0.35">
      <c r="G632" s="60"/>
      <c r="S632" s="50"/>
      <c r="T632" s="50"/>
      <c r="AA632" s="50"/>
    </row>
    <row r="633" spans="7:27" x14ac:dyDescent="0.35">
      <c r="G633" s="60"/>
      <c r="S633" s="50"/>
      <c r="T633" s="50"/>
      <c r="AA633" s="50"/>
    </row>
    <row r="634" spans="7:27" x14ac:dyDescent="0.35">
      <c r="G634" s="60"/>
      <c r="S634" s="50"/>
      <c r="T634" s="50"/>
      <c r="AA634" s="50"/>
    </row>
    <row r="635" spans="7:27" x14ac:dyDescent="0.35">
      <c r="G635" s="60"/>
      <c r="S635" s="50"/>
      <c r="T635" s="50"/>
      <c r="AA635" s="50"/>
    </row>
    <row r="636" spans="7:27" x14ac:dyDescent="0.35">
      <c r="G636" s="60"/>
      <c r="S636" s="50"/>
      <c r="T636" s="50"/>
      <c r="AA636" s="50"/>
    </row>
    <row r="637" spans="7:27" x14ac:dyDescent="0.35">
      <c r="G637" s="60"/>
      <c r="S637" s="50"/>
      <c r="T637" s="50"/>
      <c r="AA637" s="50"/>
    </row>
    <row r="638" spans="7:27" x14ac:dyDescent="0.35">
      <c r="G638" s="60"/>
      <c r="S638" s="50"/>
      <c r="T638" s="50"/>
      <c r="AA638" s="50"/>
    </row>
    <row r="639" spans="7:27" x14ac:dyDescent="0.35">
      <c r="G639" s="60"/>
      <c r="S639" s="50"/>
      <c r="T639" s="50"/>
      <c r="AA639" s="50"/>
    </row>
    <row r="640" spans="7:27" x14ac:dyDescent="0.35">
      <c r="G640" s="60"/>
      <c r="S640" s="50"/>
      <c r="T640" s="50"/>
      <c r="AA640" s="50"/>
    </row>
    <row r="641" spans="7:27" x14ac:dyDescent="0.35">
      <c r="G641" s="60"/>
      <c r="S641" s="50"/>
      <c r="T641" s="50"/>
      <c r="AA641" s="50"/>
    </row>
    <row r="642" spans="7:27" x14ac:dyDescent="0.35">
      <c r="G642" s="60"/>
      <c r="S642" s="50"/>
      <c r="T642" s="50"/>
      <c r="AA642" s="50"/>
    </row>
    <row r="643" spans="7:27" x14ac:dyDescent="0.35">
      <c r="G643" s="60"/>
      <c r="S643" s="50"/>
      <c r="T643" s="50"/>
      <c r="AA643" s="50"/>
    </row>
    <row r="644" spans="7:27" x14ac:dyDescent="0.35">
      <c r="G644" s="60"/>
      <c r="S644" s="50"/>
      <c r="T644" s="50"/>
      <c r="AA644" s="50"/>
    </row>
    <row r="645" spans="7:27" x14ac:dyDescent="0.35">
      <c r="G645" s="60"/>
      <c r="S645" s="50"/>
      <c r="T645" s="50"/>
      <c r="AA645" s="50"/>
    </row>
    <row r="646" spans="7:27" x14ac:dyDescent="0.35">
      <c r="G646" s="60"/>
      <c r="S646" s="50"/>
      <c r="T646" s="50"/>
      <c r="AA646" s="50"/>
    </row>
    <row r="647" spans="7:27" x14ac:dyDescent="0.35">
      <c r="G647" s="60"/>
      <c r="S647" s="50"/>
      <c r="T647" s="50"/>
      <c r="AA647" s="50"/>
    </row>
    <row r="648" spans="7:27" x14ac:dyDescent="0.35">
      <c r="G648" s="60"/>
      <c r="S648" s="50"/>
      <c r="T648" s="50"/>
      <c r="AA648" s="50"/>
    </row>
    <row r="649" spans="7:27" x14ac:dyDescent="0.35">
      <c r="G649" s="60"/>
      <c r="S649" s="50"/>
      <c r="T649" s="50"/>
      <c r="AA649" s="50"/>
    </row>
    <row r="650" spans="7:27" x14ac:dyDescent="0.35">
      <c r="G650" s="60"/>
      <c r="S650" s="50"/>
      <c r="T650" s="50"/>
      <c r="AA650" s="50"/>
    </row>
    <row r="651" spans="7:27" x14ac:dyDescent="0.35">
      <c r="G651" s="60"/>
      <c r="S651" s="50"/>
      <c r="T651" s="50"/>
      <c r="AA651" s="50"/>
    </row>
    <row r="652" spans="7:27" x14ac:dyDescent="0.35">
      <c r="G652" s="60"/>
      <c r="S652" s="50"/>
      <c r="T652" s="50"/>
      <c r="AA652" s="50"/>
    </row>
    <row r="653" spans="7:27" x14ac:dyDescent="0.35">
      <c r="G653" s="60"/>
      <c r="S653" s="50"/>
      <c r="T653" s="50"/>
      <c r="AA653" s="50"/>
    </row>
    <row r="654" spans="7:27" x14ac:dyDescent="0.35">
      <c r="G654" s="60"/>
      <c r="S654" s="50"/>
      <c r="T654" s="50"/>
      <c r="AA654" s="50"/>
    </row>
    <row r="655" spans="7:27" x14ac:dyDescent="0.35">
      <c r="G655" s="60"/>
      <c r="S655" s="50"/>
      <c r="T655" s="50"/>
      <c r="AA655" s="50"/>
    </row>
    <row r="656" spans="7:27" x14ac:dyDescent="0.35">
      <c r="G656" s="60"/>
      <c r="S656" s="50"/>
      <c r="T656" s="50"/>
      <c r="AA656" s="50"/>
    </row>
    <row r="657" spans="7:27" x14ac:dyDescent="0.35">
      <c r="G657" s="60"/>
      <c r="S657" s="50"/>
      <c r="T657" s="50"/>
      <c r="AA657" s="50"/>
    </row>
    <row r="658" spans="7:27" x14ac:dyDescent="0.35">
      <c r="G658" s="60"/>
      <c r="S658" s="50"/>
      <c r="T658" s="50"/>
      <c r="AA658" s="50"/>
    </row>
    <row r="659" spans="7:27" x14ac:dyDescent="0.35">
      <c r="G659" s="60"/>
      <c r="S659" s="50"/>
      <c r="T659" s="50"/>
      <c r="AA659" s="50"/>
    </row>
    <row r="660" spans="7:27" x14ac:dyDescent="0.35">
      <c r="G660" s="60"/>
      <c r="S660" s="50"/>
      <c r="T660" s="50"/>
      <c r="AA660" s="50"/>
    </row>
    <row r="661" spans="7:27" x14ac:dyDescent="0.35">
      <c r="G661" s="60"/>
      <c r="S661" s="50"/>
      <c r="T661" s="50"/>
      <c r="AA661" s="50"/>
    </row>
    <row r="662" spans="7:27" x14ac:dyDescent="0.35">
      <c r="G662" s="60"/>
      <c r="S662" s="50"/>
      <c r="T662" s="50"/>
      <c r="AA662" s="50"/>
    </row>
    <row r="663" spans="7:27" x14ac:dyDescent="0.35">
      <c r="G663" s="60"/>
      <c r="S663" s="50"/>
      <c r="T663" s="50"/>
      <c r="AA663" s="50"/>
    </row>
    <row r="664" spans="7:27" x14ac:dyDescent="0.35">
      <c r="G664" s="60"/>
      <c r="S664" s="50"/>
      <c r="T664" s="50"/>
      <c r="AA664" s="50"/>
    </row>
    <row r="665" spans="7:27" x14ac:dyDescent="0.35">
      <c r="G665" s="60"/>
      <c r="S665" s="50"/>
      <c r="T665" s="50"/>
      <c r="AA665" s="50"/>
    </row>
    <row r="666" spans="7:27" x14ac:dyDescent="0.35">
      <c r="G666" s="60"/>
      <c r="S666" s="50"/>
      <c r="T666" s="50"/>
      <c r="AA666" s="50"/>
    </row>
    <row r="667" spans="7:27" x14ac:dyDescent="0.35">
      <c r="G667" s="60"/>
      <c r="S667" s="50"/>
      <c r="T667" s="50"/>
      <c r="AA667" s="50"/>
    </row>
    <row r="668" spans="7:27" x14ac:dyDescent="0.35">
      <c r="G668" s="60"/>
      <c r="S668" s="50"/>
      <c r="T668" s="50"/>
      <c r="AA668" s="50"/>
    </row>
    <row r="669" spans="7:27" x14ac:dyDescent="0.35">
      <c r="G669" s="60"/>
      <c r="S669" s="50"/>
      <c r="T669" s="50"/>
      <c r="AA669" s="50"/>
    </row>
    <row r="670" spans="7:27" x14ac:dyDescent="0.35">
      <c r="G670" s="60"/>
      <c r="S670" s="50"/>
      <c r="T670" s="50"/>
      <c r="AA670" s="50"/>
    </row>
    <row r="671" spans="7:27" x14ac:dyDescent="0.35">
      <c r="G671" s="60"/>
      <c r="S671" s="50"/>
      <c r="T671" s="50"/>
      <c r="AA671" s="50"/>
    </row>
    <row r="672" spans="7:27" x14ac:dyDescent="0.35">
      <c r="G672" s="60"/>
      <c r="S672" s="50"/>
      <c r="T672" s="50"/>
      <c r="AA672" s="50"/>
    </row>
    <row r="673" spans="7:27" x14ac:dyDescent="0.35">
      <c r="G673" s="60"/>
      <c r="S673" s="50"/>
      <c r="T673" s="50"/>
      <c r="AA673" s="50"/>
    </row>
    <row r="674" spans="7:27" x14ac:dyDescent="0.35">
      <c r="G674" s="60"/>
      <c r="S674" s="50"/>
      <c r="T674" s="50"/>
      <c r="AA674" s="50"/>
    </row>
    <row r="675" spans="7:27" x14ac:dyDescent="0.35">
      <c r="G675" s="60"/>
      <c r="S675" s="50"/>
      <c r="T675" s="50"/>
      <c r="AA675" s="50"/>
    </row>
    <row r="676" spans="7:27" x14ac:dyDescent="0.35">
      <c r="G676" s="60"/>
      <c r="S676" s="50"/>
      <c r="T676" s="50"/>
      <c r="AA676" s="50"/>
    </row>
    <row r="677" spans="7:27" x14ac:dyDescent="0.35">
      <c r="G677" s="60"/>
      <c r="S677" s="50"/>
      <c r="T677" s="50"/>
      <c r="AA677" s="50"/>
    </row>
    <row r="678" spans="7:27" x14ac:dyDescent="0.35">
      <c r="G678" s="60"/>
      <c r="S678" s="50"/>
      <c r="T678" s="50"/>
      <c r="AA678" s="50"/>
    </row>
    <row r="679" spans="7:27" x14ac:dyDescent="0.35">
      <c r="G679" s="60"/>
      <c r="S679" s="50"/>
      <c r="T679" s="50"/>
      <c r="AA679" s="50"/>
    </row>
    <row r="680" spans="7:27" x14ac:dyDescent="0.35">
      <c r="G680" s="60"/>
      <c r="S680" s="50"/>
      <c r="T680" s="50"/>
      <c r="AA680" s="50"/>
    </row>
    <row r="681" spans="7:27" x14ac:dyDescent="0.35">
      <c r="G681" s="60"/>
      <c r="S681" s="50"/>
      <c r="T681" s="50"/>
      <c r="AA681" s="50"/>
    </row>
    <row r="682" spans="7:27" x14ac:dyDescent="0.35">
      <c r="G682" s="60"/>
      <c r="S682" s="50"/>
      <c r="T682" s="50"/>
      <c r="AA682" s="50"/>
    </row>
    <row r="683" spans="7:27" x14ac:dyDescent="0.35">
      <c r="G683" s="60"/>
      <c r="S683" s="50"/>
      <c r="T683" s="50"/>
      <c r="AA683" s="50"/>
    </row>
    <row r="684" spans="7:27" x14ac:dyDescent="0.35">
      <c r="G684" s="60"/>
      <c r="S684" s="50"/>
      <c r="T684" s="50"/>
      <c r="AA684" s="50"/>
    </row>
    <row r="685" spans="7:27" x14ac:dyDescent="0.35">
      <c r="G685" s="60"/>
      <c r="S685" s="50"/>
      <c r="T685" s="50"/>
      <c r="AA685" s="50"/>
    </row>
    <row r="686" spans="7:27" x14ac:dyDescent="0.35">
      <c r="G686" s="60"/>
      <c r="S686" s="50"/>
      <c r="T686" s="50"/>
      <c r="AA686" s="50"/>
    </row>
    <row r="687" spans="7:27" x14ac:dyDescent="0.35">
      <c r="G687" s="60"/>
      <c r="S687" s="50"/>
      <c r="T687" s="50"/>
      <c r="AA687" s="50"/>
    </row>
    <row r="688" spans="7:27" x14ac:dyDescent="0.35">
      <c r="G688" s="60"/>
      <c r="S688" s="50"/>
      <c r="T688" s="50"/>
      <c r="AA688" s="50"/>
    </row>
    <row r="689" spans="7:27" x14ac:dyDescent="0.35">
      <c r="G689" s="60"/>
      <c r="S689" s="50"/>
      <c r="T689" s="50"/>
      <c r="AA689" s="50"/>
    </row>
    <row r="690" spans="7:27" x14ac:dyDescent="0.35">
      <c r="G690" s="60"/>
      <c r="S690" s="50"/>
      <c r="T690" s="50"/>
      <c r="AA690" s="50"/>
    </row>
    <row r="691" spans="7:27" x14ac:dyDescent="0.35">
      <c r="G691" s="60"/>
      <c r="S691" s="50"/>
      <c r="T691" s="50"/>
      <c r="AA691" s="50"/>
    </row>
    <row r="692" spans="7:27" x14ac:dyDescent="0.35">
      <c r="G692" s="60"/>
      <c r="S692" s="50"/>
      <c r="T692" s="50"/>
      <c r="AA692" s="50"/>
    </row>
    <row r="693" spans="7:27" x14ac:dyDescent="0.35">
      <c r="G693" s="60"/>
      <c r="S693" s="50"/>
      <c r="T693" s="50"/>
      <c r="AA693" s="50"/>
    </row>
    <row r="694" spans="7:27" x14ac:dyDescent="0.35">
      <c r="G694" s="60"/>
      <c r="S694" s="50"/>
      <c r="T694" s="50"/>
      <c r="AA694" s="50"/>
    </row>
    <row r="695" spans="7:27" x14ac:dyDescent="0.35">
      <c r="G695" s="60"/>
      <c r="S695" s="50"/>
      <c r="T695" s="50"/>
      <c r="AA695" s="50"/>
    </row>
    <row r="696" spans="7:27" x14ac:dyDescent="0.35">
      <c r="G696" s="60"/>
      <c r="S696" s="50"/>
      <c r="T696" s="50"/>
      <c r="AA696" s="50"/>
    </row>
    <row r="697" spans="7:27" x14ac:dyDescent="0.35">
      <c r="G697" s="60"/>
      <c r="S697" s="50"/>
      <c r="T697" s="50"/>
      <c r="AA697" s="50"/>
    </row>
    <row r="698" spans="7:27" x14ac:dyDescent="0.35">
      <c r="G698" s="60"/>
      <c r="S698" s="50"/>
      <c r="T698" s="50"/>
      <c r="AA698" s="50"/>
    </row>
    <row r="699" spans="7:27" x14ac:dyDescent="0.35">
      <c r="G699" s="60"/>
      <c r="S699" s="50"/>
      <c r="T699" s="50"/>
      <c r="AA699" s="50"/>
    </row>
    <row r="700" spans="7:27" x14ac:dyDescent="0.35">
      <c r="G700" s="60"/>
      <c r="S700" s="50"/>
      <c r="T700" s="50"/>
      <c r="AA700" s="50"/>
    </row>
    <row r="701" spans="7:27" x14ac:dyDescent="0.35">
      <c r="G701" s="60"/>
      <c r="S701" s="50"/>
      <c r="T701" s="50"/>
      <c r="AA701" s="50"/>
    </row>
    <row r="702" spans="7:27" x14ac:dyDescent="0.35">
      <c r="G702" s="60"/>
      <c r="S702" s="50"/>
      <c r="T702" s="50"/>
      <c r="AA702" s="50"/>
    </row>
    <row r="703" spans="7:27" x14ac:dyDescent="0.35">
      <c r="G703" s="60"/>
      <c r="S703" s="50"/>
      <c r="T703" s="50"/>
      <c r="AA703" s="50"/>
    </row>
    <row r="704" spans="7:27" x14ac:dyDescent="0.35">
      <c r="G704" s="60"/>
      <c r="S704" s="50"/>
      <c r="T704" s="50"/>
      <c r="AA704" s="50"/>
    </row>
    <row r="705" spans="7:27" x14ac:dyDescent="0.35">
      <c r="G705" s="60"/>
      <c r="S705" s="50"/>
      <c r="T705" s="50"/>
      <c r="AA705" s="50"/>
    </row>
    <row r="706" spans="7:27" x14ac:dyDescent="0.35">
      <c r="G706" s="60"/>
      <c r="S706" s="50"/>
      <c r="T706" s="50"/>
      <c r="AA706" s="50"/>
    </row>
    <row r="707" spans="7:27" x14ac:dyDescent="0.35">
      <c r="G707" s="60"/>
      <c r="S707" s="50"/>
      <c r="T707" s="50"/>
      <c r="AA707" s="50"/>
    </row>
    <row r="708" spans="7:27" x14ac:dyDescent="0.35">
      <c r="G708" s="60"/>
      <c r="S708" s="50"/>
      <c r="T708" s="50"/>
      <c r="AA708" s="50"/>
    </row>
    <row r="709" spans="7:27" x14ac:dyDescent="0.35">
      <c r="G709" s="60"/>
      <c r="S709" s="50"/>
      <c r="T709" s="50"/>
      <c r="AA709" s="50"/>
    </row>
  </sheetData>
  <autoFilter ref="A2:CF250" xr:uid="{00000000-0001-0000-0200-000000000000}"/>
  <phoneticPr fontId="3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14299-728F-4C7B-BA65-A21A07395186}">
  <dimension ref="A1:CW99"/>
  <sheetViews>
    <sheetView zoomScale="80" zoomScaleNormal="80" workbookViewId="0"/>
  </sheetViews>
  <sheetFormatPr defaultColWidth="8.90625" defaultRowHeight="14.5" x14ac:dyDescent="0.35"/>
  <cols>
    <col min="1" max="1" width="40.1796875" bestFit="1" customWidth="1"/>
    <col min="2" max="2" width="19" bestFit="1" customWidth="1"/>
    <col min="3" max="3" width="23.36328125" bestFit="1" customWidth="1"/>
    <col min="4" max="4" width="16.81640625" bestFit="1" customWidth="1"/>
    <col min="5" max="5" width="12" bestFit="1" customWidth="1"/>
    <col min="6" max="6" width="12.90625" bestFit="1" customWidth="1"/>
    <col min="7" max="7" width="12.7265625" bestFit="1" customWidth="1"/>
    <col min="8" max="8" width="12.90625" bestFit="1" customWidth="1"/>
    <col min="9" max="9" width="50.81640625" bestFit="1" customWidth="1"/>
    <col min="10" max="10" width="21.26953125" bestFit="1" customWidth="1"/>
    <col min="11" max="11" width="24.7265625" bestFit="1" customWidth="1"/>
    <col min="12" max="13" width="19.1796875" bestFit="1" customWidth="1"/>
    <col min="14" max="15" width="18.54296875" bestFit="1" customWidth="1"/>
    <col min="16" max="16" width="22.81640625" bestFit="1" customWidth="1"/>
    <col min="17" max="17" width="15.1796875" bestFit="1" customWidth="1"/>
    <col min="18" max="18" width="15.90625" bestFit="1" customWidth="1"/>
    <col min="19" max="19" width="17.1796875" bestFit="1" customWidth="1"/>
    <col min="20" max="20" width="16" bestFit="1" customWidth="1"/>
    <col min="21" max="21" width="13.36328125" bestFit="1" customWidth="1"/>
    <col min="22" max="22" width="18.26953125" bestFit="1" customWidth="1"/>
    <col min="23" max="23" width="27.6328125" bestFit="1" customWidth="1"/>
    <col min="24" max="24" width="29.90625" bestFit="1" customWidth="1"/>
    <col min="25" max="25" width="19.1796875" bestFit="1" customWidth="1"/>
    <col min="26" max="26" width="20.54296875" bestFit="1" customWidth="1"/>
    <col min="27" max="27" width="25.36328125" bestFit="1" customWidth="1"/>
    <col min="28" max="28" width="28.1796875" bestFit="1" customWidth="1"/>
    <col min="29" max="29" width="26.54296875" bestFit="1" customWidth="1"/>
    <col min="30" max="30" width="17.1796875" bestFit="1" customWidth="1"/>
    <col min="31" max="31" width="27.6328125" bestFit="1" customWidth="1"/>
    <col min="32" max="32" width="30.6328125" bestFit="1" customWidth="1"/>
    <col min="33" max="33" width="32.81640625" bestFit="1" customWidth="1"/>
    <col min="34" max="34" width="27.6328125" bestFit="1" customWidth="1"/>
    <col min="35" max="35" width="28.26953125" bestFit="1" customWidth="1"/>
    <col min="36" max="36" width="31.36328125" bestFit="1" customWidth="1"/>
    <col min="37" max="37" width="33.6328125" bestFit="1" customWidth="1"/>
    <col min="38" max="38" width="28.26953125" bestFit="1" customWidth="1"/>
    <col min="39" max="39" width="30.81640625" bestFit="1" customWidth="1"/>
    <col min="40" max="40" width="33.81640625" bestFit="1" customWidth="1"/>
    <col min="41" max="41" width="36" bestFit="1" customWidth="1"/>
    <col min="42" max="42" width="30.81640625" bestFit="1" customWidth="1"/>
    <col min="43" max="43" width="35" bestFit="1" customWidth="1"/>
    <col min="44" max="44" width="37.26953125" bestFit="1" customWidth="1"/>
    <col min="45" max="45" width="31.90625" bestFit="1" customWidth="1"/>
    <col min="46" max="46" width="33.7265625" bestFit="1" customWidth="1"/>
    <col min="47" max="47" width="36.7265625" bestFit="1" customWidth="1"/>
    <col min="48" max="48" width="39" bestFit="1" customWidth="1"/>
    <col min="49" max="49" width="33.7265625" bestFit="1" customWidth="1"/>
    <col min="50" max="50" width="30.90625" bestFit="1" customWidth="1"/>
    <col min="51" max="51" width="27" bestFit="1" customWidth="1"/>
    <col min="52" max="52" width="29.26953125" bestFit="1" customWidth="1"/>
    <col min="53" max="53" width="24" bestFit="1" customWidth="1"/>
    <col min="54" max="54" width="32" bestFit="1" customWidth="1"/>
    <col min="55" max="55" width="30" bestFit="1" customWidth="1"/>
    <col min="56" max="56" width="39" bestFit="1" customWidth="1"/>
    <col min="57" max="57" width="32" bestFit="1" customWidth="1"/>
    <col min="58" max="58" width="22.90625" bestFit="1" customWidth="1"/>
    <col min="59" max="59" width="24.90625" bestFit="1" customWidth="1"/>
    <col min="60" max="60" width="29.54296875" bestFit="1" customWidth="1"/>
    <col min="61" max="61" width="30.36328125" bestFit="1" customWidth="1"/>
    <col min="62" max="62" width="21" bestFit="1" customWidth="1"/>
    <col min="63" max="63" width="15.1796875" bestFit="1" customWidth="1"/>
    <col min="64" max="64" width="35.453125" bestFit="1" customWidth="1"/>
    <col min="65" max="65" width="31" bestFit="1" customWidth="1"/>
    <col min="66" max="66" width="27" bestFit="1" customWidth="1"/>
    <col min="67" max="67" width="53.6328125" bestFit="1" customWidth="1"/>
    <col min="68" max="68" width="20.81640625" bestFit="1" customWidth="1"/>
    <col min="69" max="69" width="16.90625" bestFit="1" customWidth="1"/>
    <col min="70" max="70" width="13.7265625" bestFit="1" customWidth="1"/>
    <col min="71" max="71" width="25.453125" bestFit="1" customWidth="1"/>
    <col min="72" max="72" width="24.90625" bestFit="1" customWidth="1"/>
    <col min="73" max="73" width="17.453125" bestFit="1" customWidth="1"/>
    <col min="74" max="74" width="48.54296875" bestFit="1" customWidth="1"/>
    <col min="75" max="75" width="38.7265625" bestFit="1" customWidth="1"/>
    <col min="76" max="76" width="24.6328125" bestFit="1" customWidth="1"/>
    <col min="77" max="77" width="26.81640625" bestFit="1" customWidth="1"/>
    <col min="78" max="78" width="25.90625" bestFit="1" customWidth="1"/>
    <col min="79" max="79" width="19.54296875" bestFit="1" customWidth="1"/>
    <col min="80" max="80" width="49.54296875" bestFit="1" customWidth="1"/>
    <col min="81" max="81" width="39.7265625" bestFit="1" customWidth="1"/>
    <col min="82" max="82" width="22.1796875" bestFit="1" customWidth="1"/>
    <col min="83" max="83" width="26.453125" bestFit="1" customWidth="1"/>
    <col min="84" max="84" width="16.7265625" bestFit="1" customWidth="1"/>
    <col min="85" max="85" width="15.453125" bestFit="1" customWidth="1"/>
    <col min="86" max="86" width="16.26953125" bestFit="1" customWidth="1"/>
    <col min="87" max="87" width="17.90625" bestFit="1" customWidth="1"/>
    <col min="88" max="88" width="15" bestFit="1" customWidth="1"/>
    <col min="89" max="89" width="28.81640625" bestFit="1" customWidth="1"/>
    <col min="90" max="90" width="26.453125" bestFit="1" customWidth="1"/>
    <col min="91" max="91" width="45.36328125" bestFit="1" customWidth="1"/>
    <col min="92" max="92" width="40" bestFit="1" customWidth="1"/>
    <col min="93" max="93" width="46.08984375" bestFit="1" customWidth="1"/>
    <col min="94" max="94" width="17.1796875" bestFit="1" customWidth="1"/>
    <col min="95" max="95" width="15.453125" bestFit="1" customWidth="1"/>
    <col min="96" max="96" width="17.6328125" bestFit="1" customWidth="1"/>
    <col min="97" max="97" width="35.36328125" bestFit="1" customWidth="1"/>
    <col min="98" max="98" width="12.36328125" bestFit="1" customWidth="1"/>
    <col min="99" max="99" width="21.81640625" bestFit="1" customWidth="1"/>
    <col min="100" max="100" width="32.453125" bestFit="1" customWidth="1"/>
    <col min="101" max="101" width="4.54296875" bestFit="1" customWidth="1"/>
  </cols>
  <sheetData>
    <row r="1" spans="1:100" x14ac:dyDescent="0.35">
      <c r="A1" t="s">
        <v>0</v>
      </c>
      <c r="B1" t="s">
        <v>371</v>
      </c>
      <c r="C1" t="s">
        <v>372</v>
      </c>
      <c r="D1" t="s">
        <v>373</v>
      </c>
      <c r="E1" t="s">
        <v>374</v>
      </c>
      <c r="F1" t="s">
        <v>375</v>
      </c>
      <c r="G1" t="s">
        <v>376</v>
      </c>
      <c r="H1" t="s">
        <v>377</v>
      </c>
      <c r="I1" t="s">
        <v>14</v>
      </c>
      <c r="J1" t="s">
        <v>378</v>
      </c>
      <c r="K1" t="s">
        <v>379</v>
      </c>
      <c r="L1" t="s">
        <v>380</v>
      </c>
      <c r="M1" t="s">
        <v>16</v>
      </c>
      <c r="N1" t="s">
        <v>17</v>
      </c>
      <c r="O1" t="s">
        <v>18</v>
      </c>
      <c r="P1" t="s">
        <v>59</v>
      </c>
      <c r="Q1" t="s">
        <v>19</v>
      </c>
      <c r="R1" t="s">
        <v>20</v>
      </c>
      <c r="S1" t="s">
        <v>381</v>
      </c>
      <c r="T1" t="s">
        <v>382</v>
      </c>
      <c r="U1" t="s">
        <v>23</v>
      </c>
      <c r="V1" t="s">
        <v>26</v>
      </c>
      <c r="W1" t="s">
        <v>383</v>
      </c>
      <c r="X1" t="s">
        <v>384</v>
      </c>
      <c r="Y1" t="s">
        <v>385</v>
      </c>
      <c r="Z1" t="s">
        <v>28</v>
      </c>
      <c r="AA1" t="s">
        <v>386</v>
      </c>
      <c r="AB1" t="s">
        <v>387</v>
      </c>
      <c r="AC1" t="s">
        <v>388</v>
      </c>
      <c r="AD1" t="s">
        <v>389</v>
      </c>
      <c r="AE1" t="s">
        <v>35</v>
      </c>
      <c r="AF1" t="s">
        <v>36</v>
      </c>
      <c r="AG1" t="s">
        <v>37</v>
      </c>
      <c r="AH1" t="s">
        <v>38</v>
      </c>
      <c r="AI1" t="s">
        <v>39</v>
      </c>
      <c r="AJ1" t="s">
        <v>40</v>
      </c>
      <c r="AK1" t="s">
        <v>41</v>
      </c>
      <c r="AL1" t="s">
        <v>42</v>
      </c>
      <c r="AM1" t="s">
        <v>43</v>
      </c>
      <c r="AN1" t="s">
        <v>44</v>
      </c>
      <c r="AO1" t="s">
        <v>45</v>
      </c>
      <c r="AP1" t="s">
        <v>46</v>
      </c>
      <c r="AQ1" t="s">
        <v>47</v>
      </c>
      <c r="AR1" t="s">
        <v>48</v>
      </c>
      <c r="AS1" t="s">
        <v>49</v>
      </c>
      <c r="AT1" t="s">
        <v>50</v>
      </c>
      <c r="AU1" t="s">
        <v>51</v>
      </c>
      <c r="AV1" t="s">
        <v>52</v>
      </c>
      <c r="AW1" t="s">
        <v>53</v>
      </c>
      <c r="AX1" t="s">
        <v>390</v>
      </c>
      <c r="AY1" t="s">
        <v>391</v>
      </c>
      <c r="AZ1" t="s">
        <v>392</v>
      </c>
      <c r="BA1" t="s">
        <v>393</v>
      </c>
      <c r="BB1" t="s">
        <v>12</v>
      </c>
      <c r="BC1" t="s">
        <v>394</v>
      </c>
      <c r="BD1" t="s">
        <v>395</v>
      </c>
      <c r="BE1" t="s">
        <v>396</v>
      </c>
      <c r="BF1" t="s">
        <v>397</v>
      </c>
      <c r="BG1" t="s">
        <v>398</v>
      </c>
      <c r="BH1" t="s">
        <v>189</v>
      </c>
      <c r="BI1" t="s">
        <v>399</v>
      </c>
      <c r="BJ1" t="s">
        <v>400</v>
      </c>
      <c r="BK1" t="s">
        <v>401</v>
      </c>
      <c r="BL1" t="s">
        <v>402</v>
      </c>
      <c r="BM1" t="s">
        <v>403</v>
      </c>
      <c r="BN1" t="s">
        <v>404</v>
      </c>
      <c r="BO1" t="s">
        <v>405</v>
      </c>
      <c r="BP1" t="s">
        <v>406</v>
      </c>
      <c r="BQ1" t="s">
        <v>407</v>
      </c>
      <c r="BR1" t="s">
        <v>408</v>
      </c>
      <c r="BS1" t="s">
        <v>409</v>
      </c>
      <c r="BT1" t="s">
        <v>410</v>
      </c>
      <c r="BU1" t="s">
        <v>411</v>
      </c>
      <c r="BV1" t="s">
        <v>412</v>
      </c>
      <c r="BW1" t="s">
        <v>413</v>
      </c>
      <c r="BX1" t="s">
        <v>414</v>
      </c>
      <c r="BY1" t="s">
        <v>415</v>
      </c>
      <c r="BZ1" t="s">
        <v>416</v>
      </c>
      <c r="CA1" t="s">
        <v>417</v>
      </c>
      <c r="CB1" t="s">
        <v>418</v>
      </c>
      <c r="CC1" t="s">
        <v>419</v>
      </c>
      <c r="CD1" t="s">
        <v>420</v>
      </c>
      <c r="CE1" t="s">
        <v>421</v>
      </c>
      <c r="CF1" t="s">
        <v>131</v>
      </c>
      <c r="CG1" t="s">
        <v>422</v>
      </c>
      <c r="CH1" t="s">
        <v>423</v>
      </c>
      <c r="CI1" t="s">
        <v>424</v>
      </c>
      <c r="CJ1" t="s">
        <v>425</v>
      </c>
      <c r="CK1" t="s">
        <v>426</v>
      </c>
      <c r="CL1" t="s">
        <v>427</v>
      </c>
      <c r="CM1" t="s">
        <v>428</v>
      </c>
      <c r="CN1" t="s">
        <v>429</v>
      </c>
      <c r="CO1" t="s">
        <v>430</v>
      </c>
      <c r="CP1" t="s">
        <v>431</v>
      </c>
      <c r="CQ1" t="s">
        <v>432</v>
      </c>
      <c r="CR1" t="s">
        <v>433</v>
      </c>
      <c r="CS1" t="s">
        <v>434</v>
      </c>
      <c r="CT1" t="s">
        <v>435</v>
      </c>
      <c r="CU1" t="s">
        <v>436</v>
      </c>
      <c r="CV1" t="s">
        <v>437</v>
      </c>
    </row>
    <row r="2" spans="1:100" x14ac:dyDescent="0.35">
      <c r="A2" t="s">
        <v>242</v>
      </c>
      <c r="B2" t="s">
        <v>483</v>
      </c>
      <c r="C2" t="s">
        <v>484</v>
      </c>
      <c r="D2" t="s">
        <v>796</v>
      </c>
      <c r="E2" t="s">
        <v>797</v>
      </c>
      <c r="F2" t="s">
        <v>622</v>
      </c>
      <c r="G2" t="s">
        <v>260</v>
      </c>
      <c r="H2" t="s">
        <v>65</v>
      </c>
      <c r="I2" t="s">
        <v>798</v>
      </c>
      <c r="J2" t="s">
        <v>799</v>
      </c>
      <c r="K2" t="s">
        <v>800</v>
      </c>
      <c r="L2" t="s">
        <v>801</v>
      </c>
      <c r="M2" t="s">
        <v>802</v>
      </c>
      <c r="N2" t="s">
        <v>803</v>
      </c>
      <c r="O2" t="s">
        <v>804</v>
      </c>
      <c r="Q2" t="s">
        <v>79</v>
      </c>
      <c r="R2" t="s">
        <v>438</v>
      </c>
      <c r="S2" t="s">
        <v>92</v>
      </c>
      <c r="T2" t="s">
        <v>86</v>
      </c>
      <c r="U2" t="s">
        <v>291</v>
      </c>
      <c r="V2" t="s">
        <v>93</v>
      </c>
      <c r="W2">
        <v>911867.62</v>
      </c>
      <c r="X2" t="s">
        <v>805</v>
      </c>
      <c r="Y2" t="s">
        <v>805</v>
      </c>
      <c r="Z2" t="s">
        <v>70</v>
      </c>
      <c r="AB2" t="s">
        <v>439</v>
      </c>
      <c r="AC2" t="s">
        <v>439</v>
      </c>
      <c r="AD2" t="s">
        <v>439</v>
      </c>
      <c r="AF2" t="s">
        <v>439</v>
      </c>
      <c r="AG2" t="s">
        <v>439</v>
      </c>
      <c r="AH2" t="s">
        <v>439</v>
      </c>
      <c r="AJ2" t="s">
        <v>439</v>
      </c>
      <c r="AK2" t="s">
        <v>439</v>
      </c>
      <c r="AL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U2" t="s">
        <v>439</v>
      </c>
      <c r="AV2" t="s">
        <v>439</v>
      </c>
      <c r="AW2" t="s">
        <v>439</v>
      </c>
      <c r="AX2">
        <v>0</v>
      </c>
      <c r="AY2" t="s">
        <v>439</v>
      </c>
      <c r="AZ2" t="s">
        <v>439</v>
      </c>
      <c r="BA2" t="s">
        <v>439</v>
      </c>
      <c r="BC2">
        <v>911867.62</v>
      </c>
      <c r="BG2" t="s">
        <v>446</v>
      </c>
      <c r="BH2" t="s">
        <v>206</v>
      </c>
      <c r="BI2" t="s">
        <v>449</v>
      </c>
      <c r="BK2" t="s">
        <v>442</v>
      </c>
      <c r="BL2" t="s">
        <v>443</v>
      </c>
      <c r="BM2" t="s">
        <v>444</v>
      </c>
      <c r="BN2" t="s">
        <v>639</v>
      </c>
      <c r="BO2" t="s">
        <v>445</v>
      </c>
      <c r="BP2" t="s">
        <v>446</v>
      </c>
      <c r="BT2">
        <v>8</v>
      </c>
      <c r="BU2">
        <v>15</v>
      </c>
      <c r="CE2">
        <v>15</v>
      </c>
      <c r="CF2">
        <v>4.9000000000000002E-2</v>
      </c>
      <c r="CG2">
        <v>0.1575</v>
      </c>
      <c r="CH2">
        <v>37979.286373000003</v>
      </c>
      <c r="CI2">
        <v>136780.14299999998</v>
      </c>
      <c r="CJ2">
        <v>122076.27762749999</v>
      </c>
      <c r="CK2">
        <v>32.549999999999997</v>
      </c>
      <c r="CM2">
        <v>15</v>
      </c>
      <c r="CN2">
        <v>136780.14299999998</v>
      </c>
      <c r="CO2">
        <v>32.549999999999997</v>
      </c>
      <c r="CP2" s="55">
        <v>0.03</v>
      </c>
      <c r="CQ2" s="55">
        <v>0.04</v>
      </c>
      <c r="CS2" s="56">
        <v>911867.62</v>
      </c>
      <c r="CT2" s="57">
        <v>7.0000000000000007E-2</v>
      </c>
      <c r="CU2">
        <v>63830.733400000005</v>
      </c>
      <c r="CV2" s="56">
        <v>39.552500000000002</v>
      </c>
    </row>
    <row r="3" spans="1:100" x14ac:dyDescent="0.35">
      <c r="A3" t="s">
        <v>242</v>
      </c>
      <c r="B3" t="s">
        <v>483</v>
      </c>
      <c r="C3" t="s">
        <v>484</v>
      </c>
      <c r="D3" t="s">
        <v>806</v>
      </c>
      <c r="E3" t="s">
        <v>562</v>
      </c>
      <c r="F3" t="s">
        <v>622</v>
      </c>
      <c r="G3" t="s">
        <v>260</v>
      </c>
      <c r="H3" t="s">
        <v>65</v>
      </c>
      <c r="I3" t="s">
        <v>563</v>
      </c>
      <c r="J3" t="s">
        <v>564</v>
      </c>
      <c r="K3" t="s">
        <v>565</v>
      </c>
      <c r="L3" t="s">
        <v>265</v>
      </c>
      <c r="M3" t="s">
        <v>807</v>
      </c>
      <c r="N3" t="s">
        <v>808</v>
      </c>
      <c r="O3" t="s">
        <v>809</v>
      </c>
      <c r="Q3" t="s">
        <v>66</v>
      </c>
      <c r="R3" t="s">
        <v>438</v>
      </c>
      <c r="S3" t="s">
        <v>92</v>
      </c>
      <c r="T3" t="s">
        <v>86</v>
      </c>
      <c r="U3" t="s">
        <v>291</v>
      </c>
      <c r="V3" t="s">
        <v>93</v>
      </c>
      <c r="W3">
        <v>3855555.78</v>
      </c>
      <c r="X3" t="s">
        <v>810</v>
      </c>
      <c r="Y3" t="s">
        <v>810</v>
      </c>
      <c r="Z3" t="s">
        <v>70</v>
      </c>
      <c r="AB3" t="s">
        <v>439</v>
      </c>
      <c r="AC3" t="s">
        <v>439</v>
      </c>
      <c r="AD3" t="s">
        <v>439</v>
      </c>
      <c r="AF3" t="s">
        <v>439</v>
      </c>
      <c r="AG3" t="s">
        <v>439</v>
      </c>
      <c r="AH3" t="s">
        <v>439</v>
      </c>
      <c r="AJ3" t="s">
        <v>439</v>
      </c>
      <c r="AK3" t="s">
        <v>439</v>
      </c>
      <c r="AL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U3" t="s">
        <v>439</v>
      </c>
      <c r="AV3" t="s">
        <v>439</v>
      </c>
      <c r="AW3" t="s">
        <v>439</v>
      </c>
      <c r="AX3">
        <v>0</v>
      </c>
      <c r="AY3" t="s">
        <v>439</v>
      </c>
      <c r="AZ3" t="s">
        <v>439</v>
      </c>
      <c r="BA3" t="s">
        <v>439</v>
      </c>
      <c r="BB3" t="s">
        <v>566</v>
      </c>
      <c r="BC3">
        <v>3855555.78</v>
      </c>
      <c r="BE3" t="s">
        <v>566</v>
      </c>
      <c r="BF3" t="s">
        <v>567</v>
      </c>
      <c r="BG3" t="s">
        <v>446</v>
      </c>
      <c r="BH3" t="s">
        <v>196</v>
      </c>
      <c r="BI3" t="s">
        <v>449</v>
      </c>
      <c r="BK3" t="s">
        <v>442</v>
      </c>
      <c r="BL3" t="s">
        <v>443</v>
      </c>
      <c r="BM3" t="s">
        <v>444</v>
      </c>
      <c r="BN3" t="s">
        <v>639</v>
      </c>
      <c r="BO3" t="s">
        <v>445</v>
      </c>
      <c r="BP3" t="s">
        <v>446</v>
      </c>
      <c r="BT3">
        <v>8</v>
      </c>
      <c r="BU3">
        <v>15</v>
      </c>
      <c r="CE3">
        <v>15</v>
      </c>
      <c r="CF3">
        <v>4.9000000000000002E-2</v>
      </c>
      <c r="CG3">
        <v>0.1575</v>
      </c>
      <c r="CH3">
        <v>160583.89823699999</v>
      </c>
      <c r="CI3">
        <v>578333.36699999997</v>
      </c>
      <c r="CJ3">
        <v>516162.53004749998</v>
      </c>
      <c r="CK3">
        <v>32.549999999999997</v>
      </c>
      <c r="CM3">
        <v>15</v>
      </c>
      <c r="CN3">
        <v>578333.36699999997</v>
      </c>
      <c r="CO3">
        <v>32.549999999999997</v>
      </c>
      <c r="CP3" s="55">
        <v>0.03</v>
      </c>
      <c r="CQ3" s="55">
        <v>0.04</v>
      </c>
      <c r="CS3" s="56">
        <v>3855555.78</v>
      </c>
      <c r="CT3" s="57">
        <v>7.0000000000000007E-2</v>
      </c>
      <c r="CU3">
        <v>269888.90460000001</v>
      </c>
      <c r="CV3" s="56">
        <v>39.552500000000002</v>
      </c>
    </row>
    <row r="4" spans="1:100" x14ac:dyDescent="0.35">
      <c r="A4" t="s">
        <v>242</v>
      </c>
      <c r="B4" t="s">
        <v>483</v>
      </c>
      <c r="C4" t="s">
        <v>484</v>
      </c>
      <c r="D4" t="s">
        <v>811</v>
      </c>
      <c r="E4" t="s">
        <v>475</v>
      </c>
      <c r="F4" t="s">
        <v>622</v>
      </c>
      <c r="G4" t="s">
        <v>260</v>
      </c>
      <c r="H4" t="s">
        <v>65</v>
      </c>
      <c r="I4" t="s">
        <v>476</v>
      </c>
      <c r="J4" t="s">
        <v>489</v>
      </c>
      <c r="K4" t="s">
        <v>477</v>
      </c>
      <c r="L4" t="s">
        <v>265</v>
      </c>
      <c r="M4" t="s">
        <v>629</v>
      </c>
      <c r="N4" t="s">
        <v>812</v>
      </c>
      <c r="O4" t="s">
        <v>813</v>
      </c>
      <c r="Q4" t="s">
        <v>79</v>
      </c>
      <c r="R4" t="s">
        <v>438</v>
      </c>
      <c r="S4" t="s">
        <v>92</v>
      </c>
      <c r="T4" t="s">
        <v>86</v>
      </c>
      <c r="U4" t="s">
        <v>291</v>
      </c>
      <c r="V4" t="s">
        <v>93</v>
      </c>
      <c r="W4">
        <v>3113913.08</v>
      </c>
      <c r="X4" t="s">
        <v>814</v>
      </c>
      <c r="Y4" t="s">
        <v>814</v>
      </c>
      <c r="Z4" t="s">
        <v>70</v>
      </c>
      <c r="AB4" t="s">
        <v>439</v>
      </c>
      <c r="AC4" t="s">
        <v>439</v>
      </c>
      <c r="AD4" t="s">
        <v>439</v>
      </c>
      <c r="AF4" t="s">
        <v>439</v>
      </c>
      <c r="AG4" t="s">
        <v>439</v>
      </c>
      <c r="AH4" t="s">
        <v>439</v>
      </c>
      <c r="AJ4" t="s">
        <v>439</v>
      </c>
      <c r="AK4" t="s">
        <v>439</v>
      </c>
      <c r="AL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U4" t="s">
        <v>439</v>
      </c>
      <c r="AV4" t="s">
        <v>439</v>
      </c>
      <c r="AW4" t="s">
        <v>439</v>
      </c>
      <c r="AX4">
        <v>0</v>
      </c>
      <c r="AY4" t="s">
        <v>439</v>
      </c>
      <c r="AZ4" t="s">
        <v>439</v>
      </c>
      <c r="BA4" t="s">
        <v>439</v>
      </c>
      <c r="BC4">
        <v>3113913.08</v>
      </c>
      <c r="BG4" t="s">
        <v>446</v>
      </c>
      <c r="BH4" t="s">
        <v>196</v>
      </c>
      <c r="BI4" t="s">
        <v>449</v>
      </c>
      <c r="BK4" t="s">
        <v>442</v>
      </c>
      <c r="BL4" t="s">
        <v>443</v>
      </c>
      <c r="BM4" t="s">
        <v>444</v>
      </c>
      <c r="BN4" t="s">
        <v>639</v>
      </c>
      <c r="BO4" t="s">
        <v>445</v>
      </c>
      <c r="BP4" t="s">
        <v>446</v>
      </c>
      <c r="BT4">
        <v>8</v>
      </c>
      <c r="BU4">
        <v>15</v>
      </c>
      <c r="CE4">
        <v>15</v>
      </c>
      <c r="CF4">
        <v>4.9000000000000002E-2</v>
      </c>
      <c r="CG4">
        <v>0.1575</v>
      </c>
      <c r="CH4">
        <v>129694.47978200001</v>
      </c>
      <c r="CI4">
        <v>467086.962</v>
      </c>
      <c r="CJ4">
        <v>416875.11358499998</v>
      </c>
      <c r="CK4">
        <v>32.549999999999997</v>
      </c>
      <c r="CM4">
        <v>15</v>
      </c>
      <c r="CN4">
        <v>467086.962</v>
      </c>
      <c r="CO4">
        <v>32.549999999999997</v>
      </c>
      <c r="CP4" s="55">
        <v>0.03</v>
      </c>
      <c r="CQ4" s="55">
        <v>0.04</v>
      </c>
      <c r="CS4" s="56">
        <v>3113913.08</v>
      </c>
      <c r="CT4" s="57">
        <v>7.0000000000000007E-2</v>
      </c>
      <c r="CU4">
        <v>217973.91560000004</v>
      </c>
      <c r="CV4" s="56">
        <v>39.552500000000002</v>
      </c>
    </row>
    <row r="5" spans="1:100" x14ac:dyDescent="0.35">
      <c r="A5" t="s">
        <v>242</v>
      </c>
      <c r="B5" t="s">
        <v>483</v>
      </c>
      <c r="C5" t="s">
        <v>484</v>
      </c>
      <c r="D5" t="s">
        <v>815</v>
      </c>
      <c r="E5" t="s">
        <v>511</v>
      </c>
      <c r="F5" t="s">
        <v>622</v>
      </c>
      <c r="G5" t="s">
        <v>260</v>
      </c>
      <c r="H5" t="s">
        <v>65</v>
      </c>
      <c r="I5" t="s">
        <v>512</v>
      </c>
      <c r="J5" t="s">
        <v>513</v>
      </c>
      <c r="K5" t="s">
        <v>514</v>
      </c>
      <c r="L5" t="s">
        <v>265</v>
      </c>
      <c r="M5" t="s">
        <v>652</v>
      </c>
      <c r="N5" t="s">
        <v>816</v>
      </c>
      <c r="O5" t="s">
        <v>817</v>
      </c>
      <c r="Q5" t="s">
        <v>79</v>
      </c>
      <c r="R5" t="s">
        <v>438</v>
      </c>
      <c r="S5" t="s">
        <v>92</v>
      </c>
      <c r="T5" t="s">
        <v>86</v>
      </c>
      <c r="U5" t="s">
        <v>291</v>
      </c>
      <c r="V5" t="s">
        <v>93</v>
      </c>
      <c r="W5">
        <v>2687841.45</v>
      </c>
      <c r="X5" t="s">
        <v>818</v>
      </c>
      <c r="Y5" t="s">
        <v>818</v>
      </c>
      <c r="Z5" t="s">
        <v>70</v>
      </c>
      <c r="AB5" t="s">
        <v>439</v>
      </c>
      <c r="AC5" t="s">
        <v>439</v>
      </c>
      <c r="AD5" t="s">
        <v>439</v>
      </c>
      <c r="AF5" t="s">
        <v>439</v>
      </c>
      <c r="AG5" t="s">
        <v>439</v>
      </c>
      <c r="AH5" t="s">
        <v>439</v>
      </c>
      <c r="AJ5" t="s">
        <v>439</v>
      </c>
      <c r="AK5" t="s">
        <v>439</v>
      </c>
      <c r="AL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U5" t="s">
        <v>439</v>
      </c>
      <c r="AV5" t="s">
        <v>439</v>
      </c>
      <c r="AW5" t="s">
        <v>439</v>
      </c>
      <c r="AX5">
        <v>0</v>
      </c>
      <c r="AY5" t="s">
        <v>439</v>
      </c>
      <c r="AZ5" t="s">
        <v>439</v>
      </c>
      <c r="BA5" t="s">
        <v>439</v>
      </c>
      <c r="BB5" t="s">
        <v>515</v>
      </c>
      <c r="BC5">
        <v>2687841.45</v>
      </c>
      <c r="BE5" t="s">
        <v>515</v>
      </c>
      <c r="BF5" t="s">
        <v>516</v>
      </c>
      <c r="BG5" t="s">
        <v>446</v>
      </c>
      <c r="BH5" t="s">
        <v>196</v>
      </c>
      <c r="BI5" t="s">
        <v>449</v>
      </c>
      <c r="BK5" t="s">
        <v>442</v>
      </c>
      <c r="BL5" t="s">
        <v>443</v>
      </c>
      <c r="BM5" t="s">
        <v>444</v>
      </c>
      <c r="BN5" t="s">
        <v>639</v>
      </c>
      <c r="BO5" t="s">
        <v>445</v>
      </c>
      <c r="BP5" t="s">
        <v>446</v>
      </c>
      <c r="BT5">
        <v>8</v>
      </c>
      <c r="BU5">
        <v>15</v>
      </c>
      <c r="CE5">
        <v>15</v>
      </c>
      <c r="CF5">
        <v>4.9000000000000002E-2</v>
      </c>
      <c r="CG5">
        <v>0.1575</v>
      </c>
      <c r="CH5">
        <v>111948.5963925</v>
      </c>
      <c r="CI5">
        <v>403176.21750000003</v>
      </c>
      <c r="CJ5">
        <v>359834.77411875001</v>
      </c>
      <c r="CK5">
        <v>32.549999999999997</v>
      </c>
      <c r="CM5">
        <v>15</v>
      </c>
      <c r="CN5">
        <v>403176.21750000003</v>
      </c>
      <c r="CO5">
        <v>32.549999999999997</v>
      </c>
      <c r="CP5" s="55">
        <v>0.03</v>
      </c>
      <c r="CQ5" s="55">
        <v>0.04</v>
      </c>
      <c r="CS5" s="56">
        <v>2687841.45</v>
      </c>
      <c r="CT5" s="57">
        <v>7.0000000000000007E-2</v>
      </c>
      <c r="CU5">
        <v>188148.90150000004</v>
      </c>
      <c r="CV5" s="56">
        <v>39.552500000000002</v>
      </c>
    </row>
    <row r="6" spans="1:100" x14ac:dyDescent="0.35">
      <c r="A6" t="s">
        <v>242</v>
      </c>
      <c r="B6" t="s">
        <v>483</v>
      </c>
      <c r="C6" t="s">
        <v>484</v>
      </c>
      <c r="D6" t="s">
        <v>819</v>
      </c>
      <c r="E6" t="s">
        <v>653</v>
      </c>
      <c r="F6" t="s">
        <v>820</v>
      </c>
      <c r="G6" t="s">
        <v>260</v>
      </c>
      <c r="H6" t="s">
        <v>65</v>
      </c>
      <c r="I6" t="s">
        <v>654</v>
      </c>
      <c r="J6" t="s">
        <v>655</v>
      </c>
      <c r="K6" t="s">
        <v>656</v>
      </c>
      <c r="L6" t="s">
        <v>531</v>
      </c>
      <c r="M6" t="s">
        <v>657</v>
      </c>
      <c r="N6" t="s">
        <v>821</v>
      </c>
      <c r="O6" t="s">
        <v>817</v>
      </c>
      <c r="Q6" t="s">
        <v>69</v>
      </c>
      <c r="R6" t="s">
        <v>438</v>
      </c>
      <c r="S6" t="s">
        <v>92</v>
      </c>
      <c r="T6" t="s">
        <v>86</v>
      </c>
      <c r="U6" t="s">
        <v>291</v>
      </c>
      <c r="V6" t="s">
        <v>93</v>
      </c>
      <c r="W6">
        <v>1055530.2</v>
      </c>
      <c r="X6" t="s">
        <v>822</v>
      </c>
      <c r="Y6" t="s">
        <v>822</v>
      </c>
      <c r="Z6" t="s">
        <v>70</v>
      </c>
      <c r="AB6" t="s">
        <v>439</v>
      </c>
      <c r="AC6" t="s">
        <v>439</v>
      </c>
      <c r="AD6" t="s">
        <v>439</v>
      </c>
      <c r="AF6" t="s">
        <v>439</v>
      </c>
      <c r="AG6" t="s">
        <v>439</v>
      </c>
      <c r="AH6" t="s">
        <v>439</v>
      </c>
      <c r="AJ6" t="s">
        <v>439</v>
      </c>
      <c r="AK6" t="s">
        <v>439</v>
      </c>
      <c r="AL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U6" t="s">
        <v>439</v>
      </c>
      <c r="AV6" t="s">
        <v>439</v>
      </c>
      <c r="AW6" t="s">
        <v>439</v>
      </c>
      <c r="AX6">
        <v>0</v>
      </c>
      <c r="AY6" t="s">
        <v>439</v>
      </c>
      <c r="AZ6" t="s">
        <v>439</v>
      </c>
      <c r="BA6" t="s">
        <v>439</v>
      </c>
      <c r="BC6">
        <v>1055530.2</v>
      </c>
      <c r="BG6" t="s">
        <v>446</v>
      </c>
      <c r="BH6" t="s">
        <v>206</v>
      </c>
      <c r="BI6" t="s">
        <v>449</v>
      </c>
      <c r="BK6" t="s">
        <v>442</v>
      </c>
      <c r="BL6" t="s">
        <v>443</v>
      </c>
      <c r="BM6" t="s">
        <v>444</v>
      </c>
      <c r="BN6" t="s">
        <v>639</v>
      </c>
      <c r="BO6" t="s">
        <v>445</v>
      </c>
      <c r="BP6" t="s">
        <v>446</v>
      </c>
      <c r="BT6">
        <v>8</v>
      </c>
      <c r="BU6">
        <v>15</v>
      </c>
      <c r="CE6">
        <v>15</v>
      </c>
      <c r="CF6">
        <v>4.9000000000000002E-2</v>
      </c>
      <c r="CG6">
        <v>0.1575</v>
      </c>
      <c r="CH6">
        <v>43962.832829999999</v>
      </c>
      <c r="CI6">
        <v>158329.53</v>
      </c>
      <c r="CJ6">
        <v>141309.10552499999</v>
      </c>
      <c r="CK6">
        <v>32.549999999999997</v>
      </c>
      <c r="CM6">
        <v>15</v>
      </c>
      <c r="CN6">
        <v>158329.53</v>
      </c>
      <c r="CO6">
        <v>32.549999999999997</v>
      </c>
      <c r="CP6" s="55">
        <v>0.03</v>
      </c>
      <c r="CQ6" s="55">
        <v>0.04</v>
      </c>
      <c r="CS6" s="56">
        <v>1055530.2</v>
      </c>
      <c r="CT6" s="57">
        <v>7.0000000000000007E-2</v>
      </c>
      <c r="CU6">
        <v>73887.114000000001</v>
      </c>
      <c r="CV6" s="56">
        <v>39.552500000000002</v>
      </c>
    </row>
    <row r="7" spans="1:100" x14ac:dyDescent="0.35">
      <c r="A7" t="s">
        <v>242</v>
      </c>
      <c r="B7" t="s">
        <v>483</v>
      </c>
      <c r="C7" t="s">
        <v>484</v>
      </c>
      <c r="D7" t="s">
        <v>823</v>
      </c>
      <c r="E7" t="s">
        <v>537</v>
      </c>
      <c r="F7" t="s">
        <v>824</v>
      </c>
      <c r="G7" t="s">
        <v>260</v>
      </c>
      <c r="H7" t="s">
        <v>65</v>
      </c>
      <c r="I7" t="s">
        <v>280</v>
      </c>
      <c r="J7" t="s">
        <v>493</v>
      </c>
      <c r="K7" t="s">
        <v>472</v>
      </c>
      <c r="L7" t="s">
        <v>265</v>
      </c>
      <c r="M7" t="s">
        <v>825</v>
      </c>
      <c r="N7" t="s">
        <v>826</v>
      </c>
      <c r="O7" t="s">
        <v>817</v>
      </c>
      <c r="Q7" t="s">
        <v>66</v>
      </c>
      <c r="R7" t="s">
        <v>438</v>
      </c>
      <c r="S7" t="s">
        <v>92</v>
      </c>
      <c r="T7" t="s">
        <v>86</v>
      </c>
      <c r="U7" t="s">
        <v>291</v>
      </c>
      <c r="V7" t="s">
        <v>93</v>
      </c>
      <c r="W7">
        <v>1269863.22</v>
      </c>
      <c r="X7" t="s">
        <v>827</v>
      </c>
      <c r="Y7" t="s">
        <v>827</v>
      </c>
      <c r="Z7" t="s">
        <v>70</v>
      </c>
      <c r="AB7" t="s">
        <v>439</v>
      </c>
      <c r="AC7" t="s">
        <v>439</v>
      </c>
      <c r="AD7" t="s">
        <v>439</v>
      </c>
      <c r="AF7" t="s">
        <v>439</v>
      </c>
      <c r="AG7" t="s">
        <v>439</v>
      </c>
      <c r="AH7" t="s">
        <v>439</v>
      </c>
      <c r="AJ7" t="s">
        <v>439</v>
      </c>
      <c r="AK7" t="s">
        <v>439</v>
      </c>
      <c r="AL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U7" t="s">
        <v>439</v>
      </c>
      <c r="AV7" t="s">
        <v>439</v>
      </c>
      <c r="AW7" t="s">
        <v>439</v>
      </c>
      <c r="AX7">
        <v>0</v>
      </c>
      <c r="AY7" t="s">
        <v>439</v>
      </c>
      <c r="AZ7" t="s">
        <v>439</v>
      </c>
      <c r="BA7" t="s">
        <v>439</v>
      </c>
      <c r="BB7" t="s">
        <v>282</v>
      </c>
      <c r="BC7">
        <v>1269863.22</v>
      </c>
      <c r="BE7" t="s">
        <v>282</v>
      </c>
      <c r="BF7" t="s">
        <v>469</v>
      </c>
      <c r="BG7" t="s">
        <v>446</v>
      </c>
      <c r="BH7" t="s">
        <v>196</v>
      </c>
      <c r="BI7" t="s">
        <v>449</v>
      </c>
      <c r="BK7" t="s">
        <v>442</v>
      </c>
      <c r="BL7" t="s">
        <v>443</v>
      </c>
      <c r="BM7" t="s">
        <v>444</v>
      </c>
      <c r="BN7" t="s">
        <v>639</v>
      </c>
      <c r="BO7" t="s">
        <v>445</v>
      </c>
      <c r="BP7" t="s">
        <v>446</v>
      </c>
      <c r="BT7">
        <v>8</v>
      </c>
      <c r="BU7">
        <v>15</v>
      </c>
      <c r="CE7">
        <v>15</v>
      </c>
      <c r="CF7">
        <v>4.9000000000000002E-2</v>
      </c>
      <c r="CG7">
        <v>0.1575</v>
      </c>
      <c r="CH7">
        <v>52889.803113000002</v>
      </c>
      <c r="CI7">
        <v>190479.48299999998</v>
      </c>
      <c r="CJ7">
        <v>170002.9385775</v>
      </c>
      <c r="CK7">
        <v>32.549999999999997</v>
      </c>
      <c r="CM7">
        <v>15</v>
      </c>
      <c r="CN7">
        <v>190479.48299999998</v>
      </c>
      <c r="CO7">
        <v>32.549999999999997</v>
      </c>
      <c r="CP7" s="55">
        <v>0.03</v>
      </c>
      <c r="CQ7" s="55">
        <v>0.04</v>
      </c>
      <c r="CS7" s="56">
        <v>1269863.22</v>
      </c>
      <c r="CT7" s="57">
        <v>7.0000000000000007E-2</v>
      </c>
      <c r="CU7">
        <v>88890.425400000007</v>
      </c>
      <c r="CV7" s="56">
        <v>39.552500000000002</v>
      </c>
    </row>
    <row r="8" spans="1:100" x14ac:dyDescent="0.35">
      <c r="A8" t="s">
        <v>242</v>
      </c>
      <c r="B8" t="s">
        <v>483</v>
      </c>
      <c r="C8" t="s">
        <v>484</v>
      </c>
      <c r="D8" t="s">
        <v>828</v>
      </c>
      <c r="E8" t="s">
        <v>540</v>
      </c>
      <c r="F8" t="s">
        <v>622</v>
      </c>
      <c r="G8" t="s">
        <v>260</v>
      </c>
      <c r="H8" t="s">
        <v>65</v>
      </c>
      <c r="I8" t="s">
        <v>494</v>
      </c>
      <c r="J8" t="s">
        <v>495</v>
      </c>
      <c r="K8" t="s">
        <v>496</v>
      </c>
      <c r="L8" t="s">
        <v>265</v>
      </c>
      <c r="M8" t="s">
        <v>829</v>
      </c>
      <c r="N8" t="s">
        <v>830</v>
      </c>
      <c r="O8" t="s">
        <v>817</v>
      </c>
      <c r="Q8" t="s">
        <v>79</v>
      </c>
      <c r="R8" t="s">
        <v>438</v>
      </c>
      <c r="S8" t="s">
        <v>92</v>
      </c>
      <c r="T8" t="s">
        <v>86</v>
      </c>
      <c r="U8" t="s">
        <v>291</v>
      </c>
      <c r="V8" t="s">
        <v>93</v>
      </c>
      <c r="W8">
        <v>1900327.94</v>
      </c>
      <c r="X8" t="s">
        <v>831</v>
      </c>
      <c r="Y8" t="s">
        <v>831</v>
      </c>
      <c r="Z8" t="s">
        <v>70</v>
      </c>
      <c r="AB8" t="s">
        <v>439</v>
      </c>
      <c r="AC8" t="s">
        <v>439</v>
      </c>
      <c r="AD8" t="s">
        <v>439</v>
      </c>
      <c r="AF8" t="s">
        <v>439</v>
      </c>
      <c r="AG8" t="s">
        <v>439</v>
      </c>
      <c r="AH8" t="s">
        <v>439</v>
      </c>
      <c r="AJ8" t="s">
        <v>439</v>
      </c>
      <c r="AK8" t="s">
        <v>439</v>
      </c>
      <c r="AL8" t="s">
        <v>439</v>
      </c>
      <c r="AN8" t="s">
        <v>439</v>
      </c>
      <c r="AO8" t="s">
        <v>439</v>
      </c>
      <c r="AP8" t="s">
        <v>439</v>
      </c>
      <c r="AQ8" t="s">
        <v>439</v>
      </c>
      <c r="AR8" t="s">
        <v>439</v>
      </c>
      <c r="AS8" t="s">
        <v>439</v>
      </c>
      <c r="AU8" t="s">
        <v>439</v>
      </c>
      <c r="AV8" t="s">
        <v>439</v>
      </c>
      <c r="AW8" t="s">
        <v>439</v>
      </c>
      <c r="AX8">
        <v>0</v>
      </c>
      <c r="AY8" t="s">
        <v>439</v>
      </c>
      <c r="AZ8" t="s">
        <v>439</v>
      </c>
      <c r="BA8" t="s">
        <v>439</v>
      </c>
      <c r="BC8">
        <v>1900327.94</v>
      </c>
      <c r="BG8" t="s">
        <v>446</v>
      </c>
      <c r="BH8" t="s">
        <v>196</v>
      </c>
      <c r="BI8" t="s">
        <v>449</v>
      </c>
      <c r="BK8" t="s">
        <v>442</v>
      </c>
      <c r="BL8" t="s">
        <v>443</v>
      </c>
      <c r="BM8" t="s">
        <v>444</v>
      </c>
      <c r="BN8" t="s">
        <v>639</v>
      </c>
      <c r="BO8" t="s">
        <v>445</v>
      </c>
      <c r="BP8" t="s">
        <v>446</v>
      </c>
      <c r="BT8">
        <v>8</v>
      </c>
      <c r="BU8">
        <v>15</v>
      </c>
      <c r="CE8">
        <v>15</v>
      </c>
      <c r="CF8">
        <v>4.9000000000000002E-2</v>
      </c>
      <c r="CG8">
        <v>0.1575</v>
      </c>
      <c r="CH8">
        <v>79148.658700999993</v>
      </c>
      <c r="CI8">
        <v>285049.19099999999</v>
      </c>
      <c r="CJ8">
        <v>254406.40296750001</v>
      </c>
      <c r="CK8">
        <v>32.549999999999997</v>
      </c>
      <c r="CM8">
        <v>15</v>
      </c>
      <c r="CN8">
        <v>285049.19099999999</v>
      </c>
      <c r="CO8">
        <v>32.549999999999997</v>
      </c>
      <c r="CP8" s="55">
        <v>0.03</v>
      </c>
      <c r="CQ8" s="55">
        <v>0.04</v>
      </c>
      <c r="CS8" s="56">
        <v>1900327.94</v>
      </c>
      <c r="CT8" s="57">
        <v>7.0000000000000007E-2</v>
      </c>
      <c r="CU8">
        <v>133022.9558</v>
      </c>
      <c r="CV8" s="56">
        <v>39.552500000000002</v>
      </c>
    </row>
    <row r="9" spans="1:100" x14ac:dyDescent="0.35">
      <c r="A9" t="s">
        <v>242</v>
      </c>
      <c r="B9" t="s">
        <v>483</v>
      </c>
      <c r="C9" t="s">
        <v>484</v>
      </c>
      <c r="D9" t="s">
        <v>832</v>
      </c>
      <c r="E9" t="s">
        <v>604</v>
      </c>
      <c r="F9" t="s">
        <v>833</v>
      </c>
      <c r="G9" t="s">
        <v>260</v>
      </c>
      <c r="H9" t="s">
        <v>65</v>
      </c>
      <c r="I9" t="s">
        <v>605</v>
      </c>
      <c r="J9" t="s">
        <v>606</v>
      </c>
      <c r="K9" t="s">
        <v>607</v>
      </c>
      <c r="L9" t="s">
        <v>265</v>
      </c>
      <c r="M9" t="s">
        <v>603</v>
      </c>
      <c r="N9" t="s">
        <v>834</v>
      </c>
      <c r="O9" t="s">
        <v>813</v>
      </c>
      <c r="Q9" t="s">
        <v>79</v>
      </c>
      <c r="R9" t="s">
        <v>438</v>
      </c>
      <c r="S9" t="s">
        <v>92</v>
      </c>
      <c r="T9" t="s">
        <v>86</v>
      </c>
      <c r="U9" t="s">
        <v>291</v>
      </c>
      <c r="V9" t="s">
        <v>93</v>
      </c>
      <c r="W9">
        <v>81926.98</v>
      </c>
      <c r="X9" t="s">
        <v>835</v>
      </c>
      <c r="Y9" t="s">
        <v>835</v>
      </c>
      <c r="Z9" t="s">
        <v>70</v>
      </c>
      <c r="AB9" t="s">
        <v>439</v>
      </c>
      <c r="AC9" t="s">
        <v>439</v>
      </c>
      <c r="AD9" t="s">
        <v>439</v>
      </c>
      <c r="AF9" t="s">
        <v>439</v>
      </c>
      <c r="AG9" t="s">
        <v>439</v>
      </c>
      <c r="AH9" t="s">
        <v>439</v>
      </c>
      <c r="AJ9" t="s">
        <v>439</v>
      </c>
      <c r="AK9" t="s">
        <v>439</v>
      </c>
      <c r="AL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U9" t="s">
        <v>439</v>
      </c>
      <c r="AV9" t="s">
        <v>439</v>
      </c>
      <c r="AW9" t="s">
        <v>439</v>
      </c>
      <c r="AX9">
        <v>0</v>
      </c>
      <c r="AY9" t="s">
        <v>439</v>
      </c>
      <c r="AZ9" t="s">
        <v>439</v>
      </c>
      <c r="BA9" t="s">
        <v>439</v>
      </c>
      <c r="BC9">
        <v>81926.98</v>
      </c>
      <c r="BG9" t="s">
        <v>446</v>
      </c>
      <c r="BH9" t="s">
        <v>196</v>
      </c>
      <c r="BI9" t="s">
        <v>449</v>
      </c>
      <c r="BK9" t="s">
        <v>442</v>
      </c>
      <c r="BL9" t="s">
        <v>443</v>
      </c>
      <c r="BM9" t="s">
        <v>444</v>
      </c>
      <c r="BN9" t="s">
        <v>639</v>
      </c>
      <c r="BO9" t="s">
        <v>445</v>
      </c>
      <c r="BP9" t="s">
        <v>446</v>
      </c>
      <c r="BT9">
        <v>8</v>
      </c>
      <c r="BU9">
        <v>15</v>
      </c>
      <c r="CE9">
        <v>15</v>
      </c>
      <c r="CF9">
        <v>4.9000000000000002E-2</v>
      </c>
      <c r="CG9">
        <v>0.1575</v>
      </c>
      <c r="CH9">
        <v>3412.2587169999997</v>
      </c>
      <c r="CI9">
        <v>12289.046999999999</v>
      </c>
      <c r="CJ9">
        <v>10967.974447499999</v>
      </c>
      <c r="CK9">
        <v>32.549999999999997</v>
      </c>
      <c r="CM9">
        <v>15</v>
      </c>
      <c r="CN9">
        <v>12289.046999999999</v>
      </c>
      <c r="CO9">
        <v>32.549999999999997</v>
      </c>
      <c r="CP9" s="55">
        <v>0.03</v>
      </c>
      <c r="CQ9" s="55">
        <v>0.04</v>
      </c>
      <c r="CS9" s="56">
        <v>81926.98</v>
      </c>
      <c r="CT9" s="57">
        <v>7.0000000000000007E-2</v>
      </c>
      <c r="CU9">
        <v>5734.8886000000002</v>
      </c>
      <c r="CV9" s="56">
        <v>39.552500000000002</v>
      </c>
    </row>
    <row r="10" spans="1:100" x14ac:dyDescent="0.35">
      <c r="A10" t="s">
        <v>242</v>
      </c>
      <c r="B10" t="s">
        <v>483</v>
      </c>
      <c r="C10" t="s">
        <v>484</v>
      </c>
      <c r="D10" t="s">
        <v>836</v>
      </c>
      <c r="E10" t="s">
        <v>557</v>
      </c>
      <c r="F10" t="s">
        <v>622</v>
      </c>
      <c r="G10" t="s">
        <v>260</v>
      </c>
      <c r="H10" t="s">
        <v>65</v>
      </c>
      <c r="I10" t="s">
        <v>519</v>
      </c>
      <c r="J10" t="s">
        <v>520</v>
      </c>
      <c r="K10" t="s">
        <v>521</v>
      </c>
      <c r="L10" t="s">
        <v>504</v>
      </c>
      <c r="M10" t="s">
        <v>558</v>
      </c>
      <c r="N10" t="s">
        <v>837</v>
      </c>
      <c r="O10" t="s">
        <v>838</v>
      </c>
      <c r="Q10" t="s">
        <v>69</v>
      </c>
      <c r="R10" t="s">
        <v>438</v>
      </c>
      <c r="S10" t="s">
        <v>92</v>
      </c>
      <c r="T10" t="s">
        <v>86</v>
      </c>
      <c r="U10" t="s">
        <v>291</v>
      </c>
      <c r="V10" t="s">
        <v>93</v>
      </c>
      <c r="W10">
        <v>16336337.960000001</v>
      </c>
      <c r="X10" t="s">
        <v>839</v>
      </c>
      <c r="Y10" t="s">
        <v>839</v>
      </c>
      <c r="Z10" t="s">
        <v>70</v>
      </c>
      <c r="AB10" t="s">
        <v>439</v>
      </c>
      <c r="AC10" t="s">
        <v>439</v>
      </c>
      <c r="AD10" t="s">
        <v>439</v>
      </c>
      <c r="AF10" t="s">
        <v>439</v>
      </c>
      <c r="AG10" t="s">
        <v>439</v>
      </c>
      <c r="AH10" t="s">
        <v>439</v>
      </c>
      <c r="AJ10" t="s">
        <v>439</v>
      </c>
      <c r="AK10" t="s">
        <v>439</v>
      </c>
      <c r="AL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U10" t="s">
        <v>439</v>
      </c>
      <c r="AV10" t="s">
        <v>439</v>
      </c>
      <c r="AW10" t="s">
        <v>439</v>
      </c>
      <c r="AX10">
        <v>0</v>
      </c>
      <c r="AY10" t="s">
        <v>439</v>
      </c>
      <c r="AZ10" t="s">
        <v>439</v>
      </c>
      <c r="BA10" t="s">
        <v>439</v>
      </c>
      <c r="BC10">
        <v>16336337.960000001</v>
      </c>
      <c r="BG10" t="s">
        <v>446</v>
      </c>
      <c r="BH10" t="s">
        <v>505</v>
      </c>
      <c r="BI10" t="s">
        <v>441</v>
      </c>
      <c r="BK10" t="s">
        <v>442</v>
      </c>
      <c r="BL10" t="s">
        <v>443</v>
      </c>
      <c r="BM10" t="s">
        <v>444</v>
      </c>
      <c r="BN10" t="s">
        <v>639</v>
      </c>
      <c r="BO10" t="s">
        <v>445</v>
      </c>
      <c r="BP10" t="s">
        <v>446</v>
      </c>
      <c r="BS10" t="s">
        <v>446</v>
      </c>
      <c r="BT10">
        <v>8</v>
      </c>
      <c r="BU10">
        <v>15</v>
      </c>
      <c r="CE10">
        <v>8</v>
      </c>
      <c r="CF10">
        <v>4.9000000000000002E-2</v>
      </c>
      <c r="CG10">
        <v>0.1575</v>
      </c>
      <c r="CH10">
        <v>736442.11523680016</v>
      </c>
      <c r="CI10">
        <v>1306907.0368000001</v>
      </c>
      <c r="CJ10">
        <v>2367135.3704040004</v>
      </c>
      <c r="CK10">
        <v>27</v>
      </c>
      <c r="CM10">
        <v>8</v>
      </c>
      <c r="CN10">
        <v>1306907.0368000001</v>
      </c>
      <c r="CO10">
        <v>27</v>
      </c>
      <c r="CP10" s="55">
        <v>0.03</v>
      </c>
      <c r="CQ10" s="55">
        <v>0.04</v>
      </c>
      <c r="CS10" s="56">
        <v>16336337.960000001</v>
      </c>
      <c r="CT10" s="57">
        <v>7.0000000000000007E-2</v>
      </c>
      <c r="CU10">
        <v>1143543.6572000002</v>
      </c>
      <c r="CV10" s="56">
        <v>33.997999999999998</v>
      </c>
    </row>
    <row r="11" spans="1:100" x14ac:dyDescent="0.35">
      <c r="A11" t="s">
        <v>242</v>
      </c>
      <c r="B11" t="s">
        <v>483</v>
      </c>
      <c r="C11" t="s">
        <v>484</v>
      </c>
      <c r="D11" t="s">
        <v>840</v>
      </c>
      <c r="E11" t="s">
        <v>582</v>
      </c>
      <c r="F11" t="s">
        <v>622</v>
      </c>
      <c r="G11" t="s">
        <v>260</v>
      </c>
      <c r="H11" t="s">
        <v>65</v>
      </c>
      <c r="I11" t="s">
        <v>111</v>
      </c>
      <c r="J11" t="s">
        <v>501</v>
      </c>
      <c r="K11" t="s">
        <v>473</v>
      </c>
      <c r="L11" t="s">
        <v>528</v>
      </c>
      <c r="M11" t="s">
        <v>841</v>
      </c>
      <c r="N11" t="s">
        <v>842</v>
      </c>
      <c r="O11" t="s">
        <v>817</v>
      </c>
      <c r="Q11" t="s">
        <v>79</v>
      </c>
      <c r="R11" t="s">
        <v>438</v>
      </c>
      <c r="S11" t="s">
        <v>92</v>
      </c>
      <c r="T11" t="s">
        <v>86</v>
      </c>
      <c r="U11" t="s">
        <v>291</v>
      </c>
      <c r="V11" t="s">
        <v>93</v>
      </c>
      <c r="W11">
        <v>610190.22</v>
      </c>
      <c r="X11" t="s">
        <v>843</v>
      </c>
      <c r="Y11" t="s">
        <v>843</v>
      </c>
      <c r="Z11" t="s">
        <v>70</v>
      </c>
      <c r="AB11" t="s">
        <v>439</v>
      </c>
      <c r="AC11" t="s">
        <v>439</v>
      </c>
      <c r="AD11" t="s">
        <v>439</v>
      </c>
      <c r="AF11" t="s">
        <v>439</v>
      </c>
      <c r="AG11" t="s">
        <v>439</v>
      </c>
      <c r="AH11" t="s">
        <v>439</v>
      </c>
      <c r="AJ11" t="s">
        <v>439</v>
      </c>
      <c r="AK11" t="s">
        <v>439</v>
      </c>
      <c r="AL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U11" t="s">
        <v>439</v>
      </c>
      <c r="AV11" t="s">
        <v>439</v>
      </c>
      <c r="AW11" t="s">
        <v>439</v>
      </c>
      <c r="AX11">
        <v>0</v>
      </c>
      <c r="AY11" t="s">
        <v>439</v>
      </c>
      <c r="AZ11" t="s">
        <v>439</v>
      </c>
      <c r="BA11" t="s">
        <v>439</v>
      </c>
      <c r="BB11" t="s">
        <v>370</v>
      </c>
      <c r="BC11">
        <v>610190.22</v>
      </c>
      <c r="BD11">
        <v>610190.22</v>
      </c>
      <c r="BE11" t="s">
        <v>370</v>
      </c>
      <c r="BF11" t="s">
        <v>474</v>
      </c>
      <c r="BG11" t="s">
        <v>446</v>
      </c>
      <c r="BH11" t="s">
        <v>206</v>
      </c>
      <c r="BI11" t="s">
        <v>449</v>
      </c>
      <c r="BK11" t="s">
        <v>442</v>
      </c>
      <c r="BL11" t="s">
        <v>443</v>
      </c>
      <c r="BM11" t="s">
        <v>444</v>
      </c>
      <c r="BN11" t="s">
        <v>639</v>
      </c>
      <c r="BO11" t="s">
        <v>445</v>
      </c>
      <c r="BP11" t="s">
        <v>446</v>
      </c>
      <c r="BT11">
        <v>8</v>
      </c>
      <c r="BU11">
        <v>15</v>
      </c>
      <c r="CE11">
        <v>15</v>
      </c>
      <c r="CF11">
        <v>4.9000000000000002E-2</v>
      </c>
      <c r="CG11">
        <v>0.1575</v>
      </c>
      <c r="CH11">
        <v>25414.422662999998</v>
      </c>
      <c r="CI11">
        <v>91528.532999999996</v>
      </c>
      <c r="CJ11">
        <v>81689.215702499991</v>
      </c>
      <c r="CK11">
        <v>32.549999999999997</v>
      </c>
      <c r="CM11">
        <v>15</v>
      </c>
      <c r="CN11">
        <v>91528.532999999996</v>
      </c>
      <c r="CO11">
        <v>32.549999999999997</v>
      </c>
      <c r="CP11" s="55">
        <v>0.03</v>
      </c>
      <c r="CQ11" s="55">
        <v>0.04</v>
      </c>
      <c r="CS11" s="56">
        <v>610190.22</v>
      </c>
      <c r="CT11" s="57">
        <v>7.0000000000000007E-2</v>
      </c>
      <c r="CU11">
        <v>42713.315399999999</v>
      </c>
      <c r="CV11" s="56">
        <v>39.552500000000002</v>
      </c>
    </row>
    <row r="12" spans="1:100" x14ac:dyDescent="0.35">
      <c r="A12" t="s">
        <v>242</v>
      </c>
      <c r="B12" t="s">
        <v>483</v>
      </c>
      <c r="C12" t="s">
        <v>484</v>
      </c>
      <c r="D12" t="s">
        <v>844</v>
      </c>
      <c r="E12" t="s">
        <v>588</v>
      </c>
      <c r="F12" t="s">
        <v>622</v>
      </c>
      <c r="G12" t="s">
        <v>260</v>
      </c>
      <c r="H12" t="s">
        <v>65</v>
      </c>
      <c r="I12" t="s">
        <v>257</v>
      </c>
      <c r="J12" t="s">
        <v>485</v>
      </c>
      <c r="K12" t="s">
        <v>447</v>
      </c>
      <c r="L12" t="s">
        <v>528</v>
      </c>
      <c r="M12" t="s">
        <v>845</v>
      </c>
      <c r="N12" t="s">
        <v>846</v>
      </c>
      <c r="O12" t="s">
        <v>817</v>
      </c>
      <c r="Q12" t="s">
        <v>69</v>
      </c>
      <c r="R12" t="s">
        <v>438</v>
      </c>
      <c r="S12" t="s">
        <v>92</v>
      </c>
      <c r="T12" t="s">
        <v>86</v>
      </c>
      <c r="U12" t="s">
        <v>291</v>
      </c>
      <c r="V12" t="s">
        <v>93</v>
      </c>
      <c r="W12">
        <v>2007664.48</v>
      </c>
      <c r="X12" t="s">
        <v>847</v>
      </c>
      <c r="Y12" t="s">
        <v>847</v>
      </c>
      <c r="Z12" t="s">
        <v>70</v>
      </c>
      <c r="AB12" t="s">
        <v>439</v>
      </c>
      <c r="AC12" t="s">
        <v>439</v>
      </c>
      <c r="AD12" t="s">
        <v>439</v>
      </c>
      <c r="AF12" t="s">
        <v>439</v>
      </c>
      <c r="AG12" t="s">
        <v>439</v>
      </c>
      <c r="AH12" t="s">
        <v>439</v>
      </c>
      <c r="AJ12" t="s">
        <v>439</v>
      </c>
      <c r="AK12" t="s">
        <v>439</v>
      </c>
      <c r="AL12" t="s">
        <v>439</v>
      </c>
      <c r="AN12" t="s">
        <v>439</v>
      </c>
      <c r="AO12" t="s">
        <v>439</v>
      </c>
      <c r="AP12" t="s">
        <v>439</v>
      </c>
      <c r="AQ12" t="s">
        <v>439</v>
      </c>
      <c r="AR12" t="s">
        <v>439</v>
      </c>
      <c r="AS12" t="s">
        <v>439</v>
      </c>
      <c r="AU12" t="s">
        <v>439</v>
      </c>
      <c r="AV12" t="s">
        <v>439</v>
      </c>
      <c r="AW12" t="s">
        <v>439</v>
      </c>
      <c r="AX12">
        <v>0</v>
      </c>
      <c r="AY12" t="s">
        <v>439</v>
      </c>
      <c r="AZ12" t="s">
        <v>439</v>
      </c>
      <c r="BA12" t="s">
        <v>439</v>
      </c>
      <c r="BB12" t="s">
        <v>561</v>
      </c>
      <c r="BC12">
        <v>2007664.48</v>
      </c>
      <c r="BE12" t="s">
        <v>561</v>
      </c>
      <c r="BF12" t="s">
        <v>448</v>
      </c>
      <c r="BG12" t="s">
        <v>446</v>
      </c>
      <c r="BH12" t="s">
        <v>206</v>
      </c>
      <c r="BI12" t="s">
        <v>449</v>
      </c>
      <c r="BK12" t="s">
        <v>442</v>
      </c>
      <c r="BL12" t="s">
        <v>443</v>
      </c>
      <c r="BM12" t="s">
        <v>444</v>
      </c>
      <c r="BN12" t="s">
        <v>639</v>
      </c>
      <c r="BO12" t="s">
        <v>445</v>
      </c>
      <c r="BP12" t="s">
        <v>446</v>
      </c>
      <c r="BT12">
        <v>8</v>
      </c>
      <c r="BU12">
        <v>15</v>
      </c>
      <c r="CE12">
        <v>15</v>
      </c>
      <c r="CF12">
        <v>4.9000000000000002E-2</v>
      </c>
      <c r="CG12">
        <v>0.1575</v>
      </c>
      <c r="CH12">
        <v>83619.225592000003</v>
      </c>
      <c r="CI12">
        <v>301149.67199999996</v>
      </c>
      <c r="CJ12">
        <v>268776.08226</v>
      </c>
      <c r="CK12">
        <v>32.549999999999997</v>
      </c>
      <c r="CM12">
        <v>15</v>
      </c>
      <c r="CN12">
        <v>301149.67199999996</v>
      </c>
      <c r="CO12">
        <v>32.549999999999997</v>
      </c>
      <c r="CP12" s="55">
        <v>0.03</v>
      </c>
      <c r="CQ12" s="55">
        <v>0.04</v>
      </c>
      <c r="CS12" s="56">
        <v>2007664.48</v>
      </c>
      <c r="CT12" s="57">
        <v>7.0000000000000007E-2</v>
      </c>
      <c r="CU12">
        <v>140536.51360000001</v>
      </c>
      <c r="CV12" s="56">
        <v>39.552500000000002</v>
      </c>
    </row>
    <row r="13" spans="1:100" x14ac:dyDescent="0.35">
      <c r="A13" t="s">
        <v>242</v>
      </c>
      <c r="B13" t="s">
        <v>483</v>
      </c>
      <c r="C13" t="s">
        <v>484</v>
      </c>
      <c r="D13" t="s">
        <v>848</v>
      </c>
      <c r="E13" t="s">
        <v>658</v>
      </c>
      <c r="F13" t="s">
        <v>712</v>
      </c>
      <c r="G13" t="s">
        <v>482</v>
      </c>
      <c r="H13" t="s">
        <v>65</v>
      </c>
      <c r="I13" t="s">
        <v>287</v>
      </c>
      <c r="J13" t="s">
        <v>490</v>
      </c>
      <c r="K13" t="s">
        <v>467</v>
      </c>
      <c r="L13" t="s">
        <v>281</v>
      </c>
      <c r="M13" t="s">
        <v>659</v>
      </c>
      <c r="N13" t="s">
        <v>849</v>
      </c>
      <c r="O13" t="s">
        <v>849</v>
      </c>
      <c r="P13" t="s">
        <v>527</v>
      </c>
      <c r="Q13" t="s">
        <v>69</v>
      </c>
      <c r="R13" t="s">
        <v>438</v>
      </c>
      <c r="S13" t="s">
        <v>92</v>
      </c>
      <c r="T13" t="s">
        <v>86</v>
      </c>
      <c r="U13" t="s">
        <v>291</v>
      </c>
      <c r="V13" t="s">
        <v>93</v>
      </c>
      <c r="W13">
        <v>801900</v>
      </c>
      <c r="X13" t="s">
        <v>850</v>
      </c>
      <c r="Y13" t="s">
        <v>850</v>
      </c>
      <c r="Z13" t="s">
        <v>70</v>
      </c>
      <c r="AB13" t="s">
        <v>439</v>
      </c>
      <c r="AC13" t="s">
        <v>439</v>
      </c>
      <c r="AD13" t="s">
        <v>439</v>
      </c>
      <c r="AF13" t="s">
        <v>439</v>
      </c>
      <c r="AG13" t="s">
        <v>439</v>
      </c>
      <c r="AH13" t="s">
        <v>439</v>
      </c>
      <c r="AJ13" t="s">
        <v>439</v>
      </c>
      <c r="AK13" t="s">
        <v>439</v>
      </c>
      <c r="AL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U13" t="s">
        <v>439</v>
      </c>
      <c r="AV13" t="s">
        <v>439</v>
      </c>
      <c r="AW13" t="s">
        <v>439</v>
      </c>
      <c r="AX13">
        <v>0</v>
      </c>
      <c r="AY13" t="s">
        <v>439</v>
      </c>
      <c r="AZ13" t="s">
        <v>439</v>
      </c>
      <c r="BA13" t="s">
        <v>439</v>
      </c>
      <c r="BB13" t="s">
        <v>522</v>
      </c>
      <c r="BC13">
        <v>801900</v>
      </c>
      <c r="BE13" t="s">
        <v>522</v>
      </c>
      <c r="BF13" t="s">
        <v>523</v>
      </c>
      <c r="BG13" t="s">
        <v>446</v>
      </c>
      <c r="BH13" t="s">
        <v>203</v>
      </c>
      <c r="BI13" t="s">
        <v>449</v>
      </c>
      <c r="BK13" t="s">
        <v>442</v>
      </c>
      <c r="BL13" t="s">
        <v>443</v>
      </c>
      <c r="BM13" t="s">
        <v>444</v>
      </c>
      <c r="BN13" t="s">
        <v>639</v>
      </c>
      <c r="BO13" t="s">
        <v>445</v>
      </c>
      <c r="BP13" t="s">
        <v>446</v>
      </c>
      <c r="BT13">
        <v>8</v>
      </c>
      <c r="BU13">
        <v>15</v>
      </c>
      <c r="CE13">
        <v>15</v>
      </c>
      <c r="CF13">
        <v>4.9000000000000002E-2</v>
      </c>
      <c r="CG13">
        <v>0.1575</v>
      </c>
      <c r="CH13">
        <v>33399.134999999995</v>
      </c>
      <c r="CI13">
        <v>120285</v>
      </c>
      <c r="CJ13">
        <v>107354.3625</v>
      </c>
      <c r="CK13">
        <v>32.549999999999997</v>
      </c>
      <c r="CM13">
        <v>15</v>
      </c>
      <c r="CN13">
        <v>120285</v>
      </c>
      <c r="CO13">
        <v>32.549999999999997</v>
      </c>
      <c r="CP13" s="55">
        <v>0.03</v>
      </c>
      <c r="CQ13" s="55">
        <v>0.04</v>
      </c>
      <c r="CS13" s="56">
        <v>801900</v>
      </c>
      <c r="CT13" s="57">
        <v>7.0000000000000007E-2</v>
      </c>
      <c r="CU13">
        <v>56133.000000000007</v>
      </c>
      <c r="CV13" s="56">
        <v>39.552500000000002</v>
      </c>
    </row>
    <row r="14" spans="1:100" x14ac:dyDescent="0.35">
      <c r="A14" t="s">
        <v>242</v>
      </c>
      <c r="B14" t="s">
        <v>483</v>
      </c>
      <c r="C14" t="s">
        <v>484</v>
      </c>
      <c r="D14" t="s">
        <v>851</v>
      </c>
      <c r="E14" t="s">
        <v>658</v>
      </c>
      <c r="F14" t="s">
        <v>712</v>
      </c>
      <c r="G14" t="s">
        <v>482</v>
      </c>
      <c r="H14" t="s">
        <v>65</v>
      </c>
      <c r="I14" t="s">
        <v>287</v>
      </c>
      <c r="J14" t="s">
        <v>490</v>
      </c>
      <c r="K14" t="s">
        <v>467</v>
      </c>
      <c r="L14" t="s">
        <v>281</v>
      </c>
      <c r="M14" t="s">
        <v>638</v>
      </c>
      <c r="N14" t="s">
        <v>849</v>
      </c>
      <c r="O14" t="s">
        <v>849</v>
      </c>
      <c r="P14" t="s">
        <v>286</v>
      </c>
      <c r="Q14" t="s">
        <v>69</v>
      </c>
      <c r="R14" t="s">
        <v>438</v>
      </c>
      <c r="S14" t="s">
        <v>92</v>
      </c>
      <c r="T14" t="s">
        <v>86</v>
      </c>
      <c r="U14" t="s">
        <v>291</v>
      </c>
      <c r="V14" t="s">
        <v>93</v>
      </c>
      <c r="W14">
        <v>2308500</v>
      </c>
      <c r="X14" t="s">
        <v>852</v>
      </c>
      <c r="Y14" t="s">
        <v>852</v>
      </c>
      <c r="Z14" t="s">
        <v>70</v>
      </c>
      <c r="AB14" t="s">
        <v>439</v>
      </c>
      <c r="AC14" t="s">
        <v>439</v>
      </c>
      <c r="AD14" t="s">
        <v>439</v>
      </c>
      <c r="AF14" t="s">
        <v>439</v>
      </c>
      <c r="AG14" t="s">
        <v>439</v>
      </c>
      <c r="AH14" t="s">
        <v>439</v>
      </c>
      <c r="AJ14" t="s">
        <v>439</v>
      </c>
      <c r="AK14" t="s">
        <v>439</v>
      </c>
      <c r="AL14" t="s">
        <v>439</v>
      </c>
      <c r="AN14" t="s">
        <v>439</v>
      </c>
      <c r="AO14" t="s">
        <v>439</v>
      </c>
      <c r="AP14" t="s">
        <v>439</v>
      </c>
      <c r="AQ14" t="s">
        <v>439</v>
      </c>
      <c r="AR14" t="s">
        <v>439</v>
      </c>
      <c r="AS14" t="s">
        <v>439</v>
      </c>
      <c r="AU14" t="s">
        <v>439</v>
      </c>
      <c r="AV14" t="s">
        <v>439</v>
      </c>
      <c r="AW14" t="s">
        <v>439</v>
      </c>
      <c r="AX14">
        <v>0</v>
      </c>
      <c r="AY14" t="s">
        <v>439</v>
      </c>
      <c r="AZ14" t="s">
        <v>439</v>
      </c>
      <c r="BA14" t="s">
        <v>439</v>
      </c>
      <c r="BB14" t="s">
        <v>522</v>
      </c>
      <c r="BC14">
        <v>2308500</v>
      </c>
      <c r="BE14" t="s">
        <v>522</v>
      </c>
      <c r="BF14" t="s">
        <v>523</v>
      </c>
      <c r="BG14" t="s">
        <v>446</v>
      </c>
      <c r="BH14" t="s">
        <v>203</v>
      </c>
      <c r="BI14" t="s">
        <v>449</v>
      </c>
      <c r="BK14" t="s">
        <v>442</v>
      </c>
      <c r="BL14" t="s">
        <v>443</v>
      </c>
      <c r="BM14" t="s">
        <v>444</v>
      </c>
      <c r="BN14" t="s">
        <v>639</v>
      </c>
      <c r="BO14" t="s">
        <v>445</v>
      </c>
      <c r="BP14" t="s">
        <v>446</v>
      </c>
      <c r="BT14">
        <v>8</v>
      </c>
      <c r="BU14">
        <v>15</v>
      </c>
      <c r="CE14">
        <v>15</v>
      </c>
      <c r="CF14">
        <v>4.9000000000000002E-2</v>
      </c>
      <c r="CG14">
        <v>0.1575</v>
      </c>
      <c r="CH14">
        <v>96149.024999999994</v>
      </c>
      <c r="CI14">
        <v>346275</v>
      </c>
      <c r="CJ14">
        <v>309050.4375</v>
      </c>
      <c r="CK14">
        <v>32.549999999999997</v>
      </c>
      <c r="CM14">
        <v>15</v>
      </c>
      <c r="CN14">
        <v>346275</v>
      </c>
      <c r="CO14">
        <v>32.549999999999997</v>
      </c>
      <c r="CP14" s="55">
        <v>0.03</v>
      </c>
      <c r="CQ14" s="55">
        <v>0.04</v>
      </c>
      <c r="CS14" s="56">
        <v>2308500</v>
      </c>
      <c r="CT14" s="57">
        <v>7.0000000000000007E-2</v>
      </c>
      <c r="CU14">
        <v>161595.00000000003</v>
      </c>
      <c r="CV14" s="56">
        <v>39.552500000000002</v>
      </c>
    </row>
    <row r="15" spans="1:100" x14ac:dyDescent="0.35">
      <c r="A15" t="s">
        <v>242</v>
      </c>
      <c r="B15" t="s">
        <v>483</v>
      </c>
      <c r="C15" t="s">
        <v>484</v>
      </c>
      <c r="D15" t="s">
        <v>853</v>
      </c>
      <c r="E15" t="s">
        <v>854</v>
      </c>
      <c r="F15" t="s">
        <v>855</v>
      </c>
      <c r="G15" t="s">
        <v>482</v>
      </c>
      <c r="H15" t="s">
        <v>65</v>
      </c>
      <c r="I15" t="s">
        <v>287</v>
      </c>
      <c r="J15" t="s">
        <v>490</v>
      </c>
      <c r="K15" t="s">
        <v>467</v>
      </c>
      <c r="L15" t="s">
        <v>281</v>
      </c>
      <c r="M15" t="s">
        <v>659</v>
      </c>
      <c r="N15" t="s">
        <v>856</v>
      </c>
      <c r="O15" t="s">
        <v>856</v>
      </c>
      <c r="P15" t="s">
        <v>527</v>
      </c>
      <c r="Q15" t="s">
        <v>69</v>
      </c>
      <c r="R15" t="s">
        <v>438</v>
      </c>
      <c r="S15" t="s">
        <v>92</v>
      </c>
      <c r="T15" t="s">
        <v>86</v>
      </c>
      <c r="U15" t="s">
        <v>291</v>
      </c>
      <c r="V15" t="s">
        <v>93</v>
      </c>
      <c r="W15">
        <v>801900</v>
      </c>
      <c r="X15" t="s">
        <v>850</v>
      </c>
      <c r="Y15" t="s">
        <v>850</v>
      </c>
      <c r="Z15" t="s">
        <v>70</v>
      </c>
      <c r="AB15" t="s">
        <v>439</v>
      </c>
      <c r="AC15" t="s">
        <v>439</v>
      </c>
      <c r="AD15" t="s">
        <v>439</v>
      </c>
      <c r="AF15" t="s">
        <v>439</v>
      </c>
      <c r="AG15" t="s">
        <v>439</v>
      </c>
      <c r="AH15" t="s">
        <v>439</v>
      </c>
      <c r="AJ15" t="s">
        <v>439</v>
      </c>
      <c r="AK15" t="s">
        <v>439</v>
      </c>
      <c r="AL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U15" t="s">
        <v>439</v>
      </c>
      <c r="AV15" t="s">
        <v>439</v>
      </c>
      <c r="AW15" t="s">
        <v>439</v>
      </c>
      <c r="AX15">
        <v>0</v>
      </c>
      <c r="AY15" t="s">
        <v>439</v>
      </c>
      <c r="AZ15" t="s">
        <v>439</v>
      </c>
      <c r="BA15" t="s">
        <v>439</v>
      </c>
      <c r="BB15" t="s">
        <v>522</v>
      </c>
      <c r="BC15">
        <v>801900</v>
      </c>
      <c r="BE15" t="s">
        <v>522</v>
      </c>
      <c r="BF15" t="s">
        <v>523</v>
      </c>
      <c r="BG15" t="s">
        <v>446</v>
      </c>
      <c r="BH15" t="s">
        <v>203</v>
      </c>
      <c r="BI15" t="s">
        <v>449</v>
      </c>
      <c r="BK15" t="s">
        <v>442</v>
      </c>
      <c r="BL15" t="s">
        <v>443</v>
      </c>
      <c r="BM15" t="s">
        <v>444</v>
      </c>
      <c r="BN15" t="s">
        <v>639</v>
      </c>
      <c r="BO15" t="s">
        <v>445</v>
      </c>
      <c r="BP15" t="s">
        <v>446</v>
      </c>
      <c r="BT15">
        <v>8</v>
      </c>
      <c r="BU15">
        <v>15</v>
      </c>
      <c r="CE15">
        <v>15</v>
      </c>
      <c r="CF15">
        <v>4.9000000000000002E-2</v>
      </c>
      <c r="CG15">
        <v>0.1575</v>
      </c>
      <c r="CH15">
        <v>33399.134999999995</v>
      </c>
      <c r="CI15">
        <v>120285</v>
      </c>
      <c r="CJ15">
        <v>107354.3625</v>
      </c>
      <c r="CK15">
        <v>32.549999999999997</v>
      </c>
      <c r="CM15">
        <v>15</v>
      </c>
      <c r="CN15">
        <v>120285</v>
      </c>
      <c r="CO15">
        <v>32.549999999999997</v>
      </c>
      <c r="CP15" s="55">
        <v>0.03</v>
      </c>
      <c r="CQ15" s="55">
        <v>0.04</v>
      </c>
      <c r="CS15" s="56">
        <v>801900</v>
      </c>
      <c r="CT15" s="57">
        <v>7.0000000000000007E-2</v>
      </c>
      <c r="CU15">
        <v>56133.000000000007</v>
      </c>
      <c r="CV15" s="56">
        <v>39.552500000000002</v>
      </c>
    </row>
    <row r="16" spans="1:100" x14ac:dyDescent="0.35">
      <c r="A16" t="s">
        <v>242</v>
      </c>
      <c r="B16" t="s">
        <v>483</v>
      </c>
      <c r="C16" t="s">
        <v>484</v>
      </c>
      <c r="D16" t="s">
        <v>857</v>
      </c>
      <c r="E16" t="s">
        <v>854</v>
      </c>
      <c r="F16" t="s">
        <v>855</v>
      </c>
      <c r="G16" t="s">
        <v>482</v>
      </c>
      <c r="H16" t="s">
        <v>65</v>
      </c>
      <c r="I16" t="s">
        <v>287</v>
      </c>
      <c r="J16" t="s">
        <v>490</v>
      </c>
      <c r="K16" t="s">
        <v>467</v>
      </c>
      <c r="L16" t="s">
        <v>281</v>
      </c>
      <c r="M16" t="s">
        <v>638</v>
      </c>
      <c r="N16" t="s">
        <v>856</v>
      </c>
      <c r="O16" t="s">
        <v>856</v>
      </c>
      <c r="P16" t="s">
        <v>286</v>
      </c>
      <c r="Q16" t="s">
        <v>69</v>
      </c>
      <c r="R16" t="s">
        <v>438</v>
      </c>
      <c r="S16" t="s">
        <v>92</v>
      </c>
      <c r="T16" t="s">
        <v>86</v>
      </c>
      <c r="U16" t="s">
        <v>291</v>
      </c>
      <c r="V16" t="s">
        <v>93</v>
      </c>
      <c r="W16">
        <v>2308500</v>
      </c>
      <c r="X16" t="s">
        <v>852</v>
      </c>
      <c r="Y16" t="s">
        <v>852</v>
      </c>
      <c r="Z16" t="s">
        <v>70</v>
      </c>
      <c r="AB16" t="s">
        <v>439</v>
      </c>
      <c r="AC16" t="s">
        <v>439</v>
      </c>
      <c r="AD16" t="s">
        <v>439</v>
      </c>
      <c r="AF16" t="s">
        <v>439</v>
      </c>
      <c r="AG16" t="s">
        <v>439</v>
      </c>
      <c r="AH16" t="s">
        <v>439</v>
      </c>
      <c r="AJ16" t="s">
        <v>439</v>
      </c>
      <c r="AK16" t="s">
        <v>439</v>
      </c>
      <c r="AL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U16" t="s">
        <v>439</v>
      </c>
      <c r="AV16" t="s">
        <v>439</v>
      </c>
      <c r="AW16" t="s">
        <v>439</v>
      </c>
      <c r="AX16">
        <v>0</v>
      </c>
      <c r="AY16" t="s">
        <v>439</v>
      </c>
      <c r="AZ16" t="s">
        <v>439</v>
      </c>
      <c r="BA16" t="s">
        <v>439</v>
      </c>
      <c r="BB16" t="s">
        <v>522</v>
      </c>
      <c r="BC16">
        <v>2308500</v>
      </c>
      <c r="BE16" t="s">
        <v>522</v>
      </c>
      <c r="BF16" t="s">
        <v>523</v>
      </c>
      <c r="BG16" t="s">
        <v>446</v>
      </c>
      <c r="BH16" t="s">
        <v>203</v>
      </c>
      <c r="BI16" t="s">
        <v>449</v>
      </c>
      <c r="BK16" t="s">
        <v>442</v>
      </c>
      <c r="BL16" t="s">
        <v>443</v>
      </c>
      <c r="BM16" t="s">
        <v>444</v>
      </c>
      <c r="BN16" t="s">
        <v>639</v>
      </c>
      <c r="BO16" t="s">
        <v>445</v>
      </c>
      <c r="BP16" t="s">
        <v>446</v>
      </c>
      <c r="BT16">
        <v>8</v>
      </c>
      <c r="BU16">
        <v>15</v>
      </c>
      <c r="CE16">
        <v>15</v>
      </c>
      <c r="CF16">
        <v>4.9000000000000002E-2</v>
      </c>
      <c r="CG16">
        <v>0.1575</v>
      </c>
      <c r="CH16">
        <v>96149.024999999994</v>
      </c>
      <c r="CI16">
        <v>346275</v>
      </c>
      <c r="CJ16">
        <v>309050.4375</v>
      </c>
      <c r="CK16">
        <v>32.549999999999997</v>
      </c>
      <c r="CM16">
        <v>15</v>
      </c>
      <c r="CN16">
        <v>346275</v>
      </c>
      <c r="CO16">
        <v>32.549999999999997</v>
      </c>
      <c r="CP16" s="55">
        <v>0.03</v>
      </c>
      <c r="CQ16" s="55">
        <v>0.04</v>
      </c>
      <c r="CS16" s="56">
        <v>2308500</v>
      </c>
      <c r="CT16" s="57">
        <v>7.0000000000000007E-2</v>
      </c>
      <c r="CU16">
        <v>161595.00000000003</v>
      </c>
      <c r="CV16" s="56">
        <v>39.552500000000002</v>
      </c>
    </row>
    <row r="17" spans="1:100" x14ac:dyDescent="0.35">
      <c r="A17" t="s">
        <v>242</v>
      </c>
      <c r="B17" t="s">
        <v>483</v>
      </c>
      <c r="C17" t="s">
        <v>484</v>
      </c>
      <c r="D17" t="s">
        <v>858</v>
      </c>
      <c r="E17" t="s">
        <v>859</v>
      </c>
      <c r="F17" t="s">
        <v>698</v>
      </c>
      <c r="G17" t="s">
        <v>482</v>
      </c>
      <c r="H17" t="s">
        <v>65</v>
      </c>
      <c r="I17" t="s">
        <v>544</v>
      </c>
      <c r="J17" t="s">
        <v>545</v>
      </c>
      <c r="K17" t="s">
        <v>546</v>
      </c>
      <c r="L17" t="s">
        <v>547</v>
      </c>
      <c r="M17" t="s">
        <v>556</v>
      </c>
      <c r="N17" t="s">
        <v>860</v>
      </c>
      <c r="O17" t="s">
        <v>860</v>
      </c>
      <c r="P17" t="s">
        <v>527</v>
      </c>
      <c r="Q17" t="s">
        <v>69</v>
      </c>
      <c r="R17" t="s">
        <v>438</v>
      </c>
      <c r="S17" t="s">
        <v>92</v>
      </c>
      <c r="T17" t="s">
        <v>86</v>
      </c>
      <c r="U17" t="s">
        <v>291</v>
      </c>
      <c r="V17" t="s">
        <v>93</v>
      </c>
      <c r="W17">
        <v>594000</v>
      </c>
      <c r="X17" t="s">
        <v>861</v>
      </c>
      <c r="Y17" t="s">
        <v>861</v>
      </c>
      <c r="Z17" t="s">
        <v>70</v>
      </c>
      <c r="AB17" t="s">
        <v>439</v>
      </c>
      <c r="AC17" t="s">
        <v>439</v>
      </c>
      <c r="AD17" t="s">
        <v>439</v>
      </c>
      <c r="AF17" t="s">
        <v>439</v>
      </c>
      <c r="AG17" t="s">
        <v>439</v>
      </c>
      <c r="AH17" t="s">
        <v>439</v>
      </c>
      <c r="AJ17" t="s">
        <v>439</v>
      </c>
      <c r="AK17" t="s">
        <v>439</v>
      </c>
      <c r="AL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U17" t="s">
        <v>439</v>
      </c>
      <c r="AV17" t="s">
        <v>439</v>
      </c>
      <c r="AW17" t="s">
        <v>439</v>
      </c>
      <c r="AX17">
        <v>0</v>
      </c>
      <c r="AY17" t="s">
        <v>439</v>
      </c>
      <c r="AZ17" t="s">
        <v>439</v>
      </c>
      <c r="BA17" t="s">
        <v>439</v>
      </c>
      <c r="BB17" t="s">
        <v>94</v>
      </c>
      <c r="BC17">
        <v>594000</v>
      </c>
      <c r="BE17" t="s">
        <v>94</v>
      </c>
      <c r="BF17" t="s">
        <v>453</v>
      </c>
      <c r="BG17" t="s">
        <v>446</v>
      </c>
      <c r="BH17" t="s">
        <v>505</v>
      </c>
      <c r="BI17" t="s">
        <v>441</v>
      </c>
      <c r="BK17" t="s">
        <v>442</v>
      </c>
      <c r="BL17" t="s">
        <v>443</v>
      </c>
      <c r="BM17" t="s">
        <v>444</v>
      </c>
      <c r="BN17" t="s">
        <v>639</v>
      </c>
      <c r="BO17" t="s">
        <v>445</v>
      </c>
      <c r="BP17" t="s">
        <v>446</v>
      </c>
      <c r="BS17" t="s">
        <v>446</v>
      </c>
      <c r="BT17">
        <v>8</v>
      </c>
      <c r="BU17">
        <v>15</v>
      </c>
      <c r="CE17">
        <v>8</v>
      </c>
      <c r="CF17">
        <v>4.9000000000000002E-2</v>
      </c>
      <c r="CG17">
        <v>0.1575</v>
      </c>
      <c r="CH17">
        <v>26777.52</v>
      </c>
      <c r="CI17">
        <v>47520</v>
      </c>
      <c r="CJ17">
        <v>86070.6</v>
      </c>
      <c r="CK17">
        <v>27</v>
      </c>
      <c r="CM17">
        <v>8</v>
      </c>
      <c r="CN17">
        <v>47520</v>
      </c>
      <c r="CO17">
        <v>27</v>
      </c>
      <c r="CP17" s="55">
        <v>0.03</v>
      </c>
      <c r="CQ17" s="55">
        <v>0.04</v>
      </c>
      <c r="CS17" s="56">
        <v>594000</v>
      </c>
      <c r="CT17" s="57">
        <v>7.0000000000000007E-2</v>
      </c>
      <c r="CU17">
        <v>41580.000000000007</v>
      </c>
      <c r="CV17" s="56">
        <v>33.997999999999998</v>
      </c>
    </row>
    <row r="18" spans="1:100" x14ac:dyDescent="0.35">
      <c r="A18" t="s">
        <v>242</v>
      </c>
      <c r="B18" t="s">
        <v>483</v>
      </c>
      <c r="C18" t="s">
        <v>484</v>
      </c>
      <c r="D18" t="s">
        <v>862</v>
      </c>
      <c r="E18" t="s">
        <v>859</v>
      </c>
      <c r="F18" t="s">
        <v>698</v>
      </c>
      <c r="G18" t="s">
        <v>482</v>
      </c>
      <c r="H18" t="s">
        <v>65</v>
      </c>
      <c r="I18" t="s">
        <v>544</v>
      </c>
      <c r="J18" t="s">
        <v>545</v>
      </c>
      <c r="K18" t="s">
        <v>546</v>
      </c>
      <c r="L18" t="s">
        <v>547</v>
      </c>
      <c r="M18" t="s">
        <v>555</v>
      </c>
      <c r="N18" t="s">
        <v>860</v>
      </c>
      <c r="O18" t="s">
        <v>860</v>
      </c>
      <c r="P18" t="s">
        <v>286</v>
      </c>
      <c r="Q18" t="s">
        <v>69</v>
      </c>
      <c r="R18" t="s">
        <v>438</v>
      </c>
      <c r="S18" t="s">
        <v>92</v>
      </c>
      <c r="T18" t="s">
        <v>86</v>
      </c>
      <c r="U18" t="s">
        <v>291</v>
      </c>
      <c r="V18" t="s">
        <v>93</v>
      </c>
      <c r="W18">
        <v>1710000</v>
      </c>
      <c r="X18" t="s">
        <v>863</v>
      </c>
      <c r="Y18" t="s">
        <v>863</v>
      </c>
      <c r="Z18" t="s">
        <v>70</v>
      </c>
      <c r="AB18" t="s">
        <v>439</v>
      </c>
      <c r="AC18" t="s">
        <v>439</v>
      </c>
      <c r="AD18" t="s">
        <v>439</v>
      </c>
      <c r="AF18" t="s">
        <v>439</v>
      </c>
      <c r="AG18" t="s">
        <v>439</v>
      </c>
      <c r="AH18" t="s">
        <v>439</v>
      </c>
      <c r="AJ18" t="s">
        <v>439</v>
      </c>
      <c r="AK18" t="s">
        <v>439</v>
      </c>
      <c r="AL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U18" t="s">
        <v>439</v>
      </c>
      <c r="AV18" t="s">
        <v>439</v>
      </c>
      <c r="AW18" t="s">
        <v>439</v>
      </c>
      <c r="AX18">
        <v>0</v>
      </c>
      <c r="AY18" t="s">
        <v>439</v>
      </c>
      <c r="AZ18" t="s">
        <v>439</v>
      </c>
      <c r="BA18" t="s">
        <v>439</v>
      </c>
      <c r="BB18" t="s">
        <v>94</v>
      </c>
      <c r="BC18">
        <v>1710000</v>
      </c>
      <c r="BE18" t="s">
        <v>94</v>
      </c>
      <c r="BF18" t="s">
        <v>453</v>
      </c>
      <c r="BG18" t="s">
        <v>446</v>
      </c>
      <c r="BH18" t="s">
        <v>505</v>
      </c>
      <c r="BI18" t="s">
        <v>441</v>
      </c>
      <c r="BK18" t="s">
        <v>442</v>
      </c>
      <c r="BL18" t="s">
        <v>443</v>
      </c>
      <c r="BM18" t="s">
        <v>444</v>
      </c>
      <c r="BN18" t="s">
        <v>639</v>
      </c>
      <c r="BO18" t="s">
        <v>445</v>
      </c>
      <c r="BP18" t="s">
        <v>446</v>
      </c>
      <c r="BS18" t="s">
        <v>446</v>
      </c>
      <c r="BT18">
        <v>8</v>
      </c>
      <c r="BU18">
        <v>15</v>
      </c>
      <c r="CE18">
        <v>8</v>
      </c>
      <c r="CF18">
        <v>4.9000000000000002E-2</v>
      </c>
      <c r="CG18">
        <v>0.1575</v>
      </c>
      <c r="CH18">
        <v>77086.8</v>
      </c>
      <c r="CI18">
        <v>136800</v>
      </c>
      <c r="CJ18">
        <v>247779</v>
      </c>
      <c r="CK18">
        <v>27</v>
      </c>
      <c r="CM18">
        <v>8</v>
      </c>
      <c r="CN18">
        <v>136800</v>
      </c>
      <c r="CO18">
        <v>27</v>
      </c>
      <c r="CP18" s="55">
        <v>0.03</v>
      </c>
      <c r="CQ18" s="55">
        <v>0.04</v>
      </c>
      <c r="CS18" s="56">
        <v>1710000</v>
      </c>
      <c r="CT18" s="57">
        <v>7.0000000000000007E-2</v>
      </c>
      <c r="CU18">
        <v>119700.00000000001</v>
      </c>
      <c r="CV18" s="56">
        <v>33.997999999999998</v>
      </c>
    </row>
    <row r="19" spans="1:100" x14ac:dyDescent="0.35">
      <c r="A19" t="s">
        <v>242</v>
      </c>
      <c r="B19" t="s">
        <v>483</v>
      </c>
      <c r="C19" t="s">
        <v>484</v>
      </c>
      <c r="D19" t="s">
        <v>864</v>
      </c>
      <c r="E19" t="s">
        <v>617</v>
      </c>
      <c r="F19" t="s">
        <v>622</v>
      </c>
      <c r="G19" t="s">
        <v>260</v>
      </c>
      <c r="H19" t="s">
        <v>65</v>
      </c>
      <c r="I19" t="s">
        <v>257</v>
      </c>
      <c r="J19" t="s">
        <v>485</v>
      </c>
      <c r="K19" t="s">
        <v>447</v>
      </c>
      <c r="L19" t="s">
        <v>528</v>
      </c>
      <c r="M19" t="s">
        <v>865</v>
      </c>
      <c r="N19" t="s">
        <v>866</v>
      </c>
      <c r="O19" t="s">
        <v>867</v>
      </c>
      <c r="Q19" t="s">
        <v>69</v>
      </c>
      <c r="R19" t="s">
        <v>438</v>
      </c>
      <c r="S19" t="s">
        <v>92</v>
      </c>
      <c r="T19" t="s">
        <v>86</v>
      </c>
      <c r="U19" t="s">
        <v>291</v>
      </c>
      <c r="V19" t="s">
        <v>93</v>
      </c>
      <c r="W19">
        <v>718276.95</v>
      </c>
      <c r="X19" t="s">
        <v>868</v>
      </c>
      <c r="Y19" t="s">
        <v>868</v>
      </c>
      <c r="Z19" t="s">
        <v>70</v>
      </c>
      <c r="AB19" t="s">
        <v>439</v>
      </c>
      <c r="AC19" t="s">
        <v>439</v>
      </c>
      <c r="AD19" t="s">
        <v>439</v>
      </c>
      <c r="AF19" t="s">
        <v>439</v>
      </c>
      <c r="AG19" t="s">
        <v>439</v>
      </c>
      <c r="AH19" t="s">
        <v>439</v>
      </c>
      <c r="AJ19" t="s">
        <v>439</v>
      </c>
      <c r="AK19" t="s">
        <v>439</v>
      </c>
      <c r="AL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U19" t="s">
        <v>439</v>
      </c>
      <c r="AV19" t="s">
        <v>439</v>
      </c>
      <c r="AW19" t="s">
        <v>439</v>
      </c>
      <c r="AX19">
        <v>0</v>
      </c>
      <c r="AY19" t="s">
        <v>439</v>
      </c>
      <c r="AZ19" t="s">
        <v>439</v>
      </c>
      <c r="BA19" t="s">
        <v>439</v>
      </c>
      <c r="BB19" t="s">
        <v>561</v>
      </c>
      <c r="BC19">
        <v>718276.95</v>
      </c>
      <c r="BE19" t="s">
        <v>561</v>
      </c>
      <c r="BF19" t="s">
        <v>448</v>
      </c>
      <c r="BG19" t="s">
        <v>446</v>
      </c>
      <c r="BH19" t="s">
        <v>206</v>
      </c>
      <c r="BI19" t="s">
        <v>449</v>
      </c>
      <c r="BK19" t="s">
        <v>442</v>
      </c>
      <c r="BL19" t="s">
        <v>443</v>
      </c>
      <c r="BM19" t="s">
        <v>444</v>
      </c>
      <c r="BN19" t="s">
        <v>639</v>
      </c>
      <c r="BO19" t="s">
        <v>445</v>
      </c>
      <c r="BP19" t="s">
        <v>446</v>
      </c>
      <c r="BT19">
        <v>8</v>
      </c>
      <c r="BU19">
        <v>15</v>
      </c>
      <c r="CE19">
        <v>15</v>
      </c>
      <c r="CF19">
        <v>4.9000000000000002E-2</v>
      </c>
      <c r="CG19">
        <v>0.1575</v>
      </c>
      <c r="CH19">
        <v>29916.234967499997</v>
      </c>
      <c r="CI19">
        <v>107741.5425</v>
      </c>
      <c r="CJ19">
        <v>96159.326681249993</v>
      </c>
      <c r="CK19">
        <v>32.549999999999997</v>
      </c>
      <c r="CM19">
        <v>15</v>
      </c>
      <c r="CN19">
        <v>107741.5425</v>
      </c>
      <c r="CO19">
        <v>32.549999999999997</v>
      </c>
      <c r="CP19" s="55">
        <v>0.03</v>
      </c>
      <c r="CQ19" s="55">
        <v>0.04</v>
      </c>
      <c r="CS19" s="56">
        <v>718276.95</v>
      </c>
      <c r="CT19" s="57">
        <v>7.0000000000000007E-2</v>
      </c>
      <c r="CU19">
        <v>50279.386500000001</v>
      </c>
      <c r="CV19" s="56">
        <v>39.552500000000002</v>
      </c>
    </row>
    <row r="20" spans="1:100" x14ac:dyDescent="0.35">
      <c r="A20" t="s">
        <v>242</v>
      </c>
      <c r="B20" t="s">
        <v>483</v>
      </c>
      <c r="C20" t="s">
        <v>484</v>
      </c>
      <c r="D20" t="s">
        <v>869</v>
      </c>
      <c r="E20" t="s">
        <v>870</v>
      </c>
      <c r="F20" t="s">
        <v>622</v>
      </c>
      <c r="G20" t="s">
        <v>260</v>
      </c>
      <c r="H20" t="s">
        <v>65</v>
      </c>
      <c r="I20" t="s">
        <v>871</v>
      </c>
      <c r="J20" t="s">
        <v>872</v>
      </c>
      <c r="K20" t="s">
        <v>873</v>
      </c>
      <c r="L20" t="s">
        <v>595</v>
      </c>
      <c r="M20" t="s">
        <v>874</v>
      </c>
      <c r="N20" t="s">
        <v>866</v>
      </c>
      <c r="O20" t="s">
        <v>875</v>
      </c>
      <c r="Q20" t="s">
        <v>79</v>
      </c>
      <c r="R20" t="s">
        <v>438</v>
      </c>
      <c r="S20" t="s">
        <v>92</v>
      </c>
      <c r="T20" t="s">
        <v>86</v>
      </c>
      <c r="U20" t="s">
        <v>291</v>
      </c>
      <c r="V20" t="s">
        <v>93</v>
      </c>
      <c r="W20">
        <v>1206718.48</v>
      </c>
      <c r="X20" t="s">
        <v>876</v>
      </c>
      <c r="Y20" t="s">
        <v>876</v>
      </c>
      <c r="Z20" t="s">
        <v>70</v>
      </c>
      <c r="AB20" t="s">
        <v>439</v>
      </c>
      <c r="AC20" t="s">
        <v>439</v>
      </c>
      <c r="AD20" t="s">
        <v>439</v>
      </c>
      <c r="AF20" t="s">
        <v>439</v>
      </c>
      <c r="AG20" t="s">
        <v>439</v>
      </c>
      <c r="AH20" t="s">
        <v>439</v>
      </c>
      <c r="AJ20" t="s">
        <v>439</v>
      </c>
      <c r="AK20" t="s">
        <v>439</v>
      </c>
      <c r="AL20" t="s">
        <v>439</v>
      </c>
      <c r="AN20" t="s">
        <v>439</v>
      </c>
      <c r="AO20" t="s">
        <v>439</v>
      </c>
      <c r="AP20" t="s">
        <v>439</v>
      </c>
      <c r="AQ20" t="s">
        <v>439</v>
      </c>
      <c r="AR20" t="s">
        <v>439</v>
      </c>
      <c r="AS20" t="s">
        <v>439</v>
      </c>
      <c r="AU20" t="s">
        <v>439</v>
      </c>
      <c r="AV20" t="s">
        <v>439</v>
      </c>
      <c r="AW20" t="s">
        <v>439</v>
      </c>
      <c r="AX20">
        <v>0</v>
      </c>
      <c r="AY20" t="s">
        <v>439</v>
      </c>
      <c r="AZ20" t="s">
        <v>439</v>
      </c>
      <c r="BA20" t="s">
        <v>439</v>
      </c>
      <c r="BB20" t="s">
        <v>877</v>
      </c>
      <c r="BC20">
        <v>1206718.48</v>
      </c>
      <c r="BE20" t="s">
        <v>877</v>
      </c>
      <c r="BF20" t="s">
        <v>878</v>
      </c>
      <c r="BG20" t="s">
        <v>446</v>
      </c>
      <c r="BH20" t="s">
        <v>196</v>
      </c>
      <c r="BI20" t="s">
        <v>449</v>
      </c>
      <c r="BK20" t="s">
        <v>442</v>
      </c>
      <c r="BL20" t="s">
        <v>443</v>
      </c>
      <c r="BM20" t="s">
        <v>444</v>
      </c>
      <c r="BN20" t="s">
        <v>639</v>
      </c>
      <c r="BO20" t="s">
        <v>445</v>
      </c>
      <c r="BP20" t="s">
        <v>446</v>
      </c>
      <c r="BT20">
        <v>8</v>
      </c>
      <c r="BU20">
        <v>15</v>
      </c>
      <c r="CE20">
        <v>15</v>
      </c>
      <c r="CF20">
        <v>4.9000000000000002E-2</v>
      </c>
      <c r="CG20">
        <v>0.1575</v>
      </c>
      <c r="CH20">
        <v>50259.824692000002</v>
      </c>
      <c r="CI20">
        <v>181007.772</v>
      </c>
      <c r="CJ20">
        <v>161549.43651</v>
      </c>
      <c r="CK20">
        <v>32.549999999999997</v>
      </c>
      <c r="CM20">
        <v>15</v>
      </c>
      <c r="CN20">
        <v>181007.772</v>
      </c>
      <c r="CO20">
        <v>32.549999999999997</v>
      </c>
      <c r="CP20" s="55">
        <v>0.03</v>
      </c>
      <c r="CQ20" s="55">
        <v>0.04</v>
      </c>
      <c r="CS20" s="56">
        <v>1206718.48</v>
      </c>
      <c r="CT20" s="57">
        <v>7.0000000000000007E-2</v>
      </c>
      <c r="CU20">
        <v>84470.293600000005</v>
      </c>
      <c r="CV20" s="56">
        <v>39.552500000000002</v>
      </c>
    </row>
    <row r="21" spans="1:100" x14ac:dyDescent="0.35">
      <c r="A21" t="s">
        <v>242</v>
      </c>
      <c r="B21" t="s">
        <v>483</v>
      </c>
      <c r="C21" t="s">
        <v>484</v>
      </c>
      <c r="D21" t="s">
        <v>879</v>
      </c>
      <c r="E21" t="s">
        <v>618</v>
      </c>
      <c r="F21" t="s">
        <v>622</v>
      </c>
      <c r="G21" t="s">
        <v>260</v>
      </c>
      <c r="H21" t="s">
        <v>65</v>
      </c>
      <c r="I21" t="s">
        <v>619</v>
      </c>
      <c r="J21" t="s">
        <v>620</v>
      </c>
      <c r="K21" t="s">
        <v>621</v>
      </c>
      <c r="L21" t="s">
        <v>263</v>
      </c>
      <c r="M21" t="s">
        <v>880</v>
      </c>
      <c r="N21" t="s">
        <v>881</v>
      </c>
      <c r="O21" t="s">
        <v>882</v>
      </c>
      <c r="Q21" t="s">
        <v>79</v>
      </c>
      <c r="R21" t="s">
        <v>438</v>
      </c>
      <c r="S21" t="s">
        <v>92</v>
      </c>
      <c r="T21" t="s">
        <v>86</v>
      </c>
      <c r="U21" t="s">
        <v>291</v>
      </c>
      <c r="V21" t="s">
        <v>93</v>
      </c>
      <c r="W21">
        <v>2431431.12</v>
      </c>
      <c r="X21" t="s">
        <v>883</v>
      </c>
      <c r="Y21" t="s">
        <v>883</v>
      </c>
      <c r="Z21" t="s">
        <v>70</v>
      </c>
      <c r="AB21" t="s">
        <v>439</v>
      </c>
      <c r="AC21" t="s">
        <v>439</v>
      </c>
      <c r="AD21" t="s">
        <v>439</v>
      </c>
      <c r="AF21" t="s">
        <v>439</v>
      </c>
      <c r="AG21" t="s">
        <v>439</v>
      </c>
      <c r="AH21" t="s">
        <v>439</v>
      </c>
      <c r="AJ21" t="s">
        <v>439</v>
      </c>
      <c r="AK21" t="s">
        <v>439</v>
      </c>
      <c r="AL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U21" t="s">
        <v>439</v>
      </c>
      <c r="AV21" t="s">
        <v>439</v>
      </c>
      <c r="AW21" t="s">
        <v>439</v>
      </c>
      <c r="AX21">
        <v>0</v>
      </c>
      <c r="AY21" t="s">
        <v>439</v>
      </c>
      <c r="AZ21" t="s">
        <v>439</v>
      </c>
      <c r="BA21" t="s">
        <v>439</v>
      </c>
      <c r="BB21" t="s">
        <v>515</v>
      </c>
      <c r="BC21">
        <v>2431431.12</v>
      </c>
      <c r="BE21" t="s">
        <v>515</v>
      </c>
      <c r="BF21" t="s">
        <v>516</v>
      </c>
      <c r="BG21" t="s">
        <v>446</v>
      </c>
      <c r="BH21" t="s">
        <v>196</v>
      </c>
      <c r="BI21" t="s">
        <v>449</v>
      </c>
      <c r="BK21" t="s">
        <v>442</v>
      </c>
      <c r="BL21" t="s">
        <v>443</v>
      </c>
      <c r="BM21" t="s">
        <v>444</v>
      </c>
      <c r="BN21" t="s">
        <v>639</v>
      </c>
      <c r="BO21" t="s">
        <v>445</v>
      </c>
      <c r="BP21" t="s">
        <v>446</v>
      </c>
      <c r="BT21">
        <v>8</v>
      </c>
      <c r="BU21">
        <v>15</v>
      </c>
      <c r="CE21">
        <v>15</v>
      </c>
      <c r="CF21">
        <v>4.9000000000000002E-2</v>
      </c>
      <c r="CG21">
        <v>0.1575</v>
      </c>
      <c r="CH21">
        <v>101269.10614800001</v>
      </c>
      <c r="CI21">
        <v>364714.66800000001</v>
      </c>
      <c r="CJ21">
        <v>325507.84119000001</v>
      </c>
      <c r="CK21">
        <v>32.549999999999997</v>
      </c>
      <c r="CM21">
        <v>15</v>
      </c>
      <c r="CN21">
        <v>364714.66800000001</v>
      </c>
      <c r="CO21">
        <v>32.549999999999997</v>
      </c>
      <c r="CP21" s="55">
        <v>0.03</v>
      </c>
      <c r="CQ21" s="55">
        <v>0.04</v>
      </c>
      <c r="CS21" s="56">
        <v>2431431.12</v>
      </c>
      <c r="CT21" s="57">
        <v>7.0000000000000007E-2</v>
      </c>
      <c r="CU21">
        <v>170200.17840000003</v>
      </c>
      <c r="CV21" s="56">
        <v>39.552500000000002</v>
      </c>
    </row>
    <row r="22" spans="1:100" x14ac:dyDescent="0.35">
      <c r="A22" t="s">
        <v>242</v>
      </c>
      <c r="B22" t="s">
        <v>483</v>
      </c>
      <c r="C22" t="s">
        <v>484</v>
      </c>
      <c r="D22" t="s">
        <v>884</v>
      </c>
      <c r="E22" t="s">
        <v>885</v>
      </c>
      <c r="F22" t="s">
        <v>886</v>
      </c>
      <c r="G22" t="s">
        <v>482</v>
      </c>
      <c r="H22" t="s">
        <v>65</v>
      </c>
      <c r="I22" t="s">
        <v>887</v>
      </c>
      <c r="J22" t="s">
        <v>888</v>
      </c>
      <c r="K22" t="s">
        <v>889</v>
      </c>
      <c r="L22" t="s">
        <v>504</v>
      </c>
      <c r="M22" t="s">
        <v>890</v>
      </c>
      <c r="N22" t="s">
        <v>891</v>
      </c>
      <c r="O22" t="s">
        <v>891</v>
      </c>
      <c r="P22" t="s">
        <v>527</v>
      </c>
      <c r="Q22" t="s">
        <v>79</v>
      </c>
      <c r="R22" t="s">
        <v>438</v>
      </c>
      <c r="S22" t="s">
        <v>92</v>
      </c>
      <c r="T22" t="s">
        <v>86</v>
      </c>
      <c r="U22" t="s">
        <v>291</v>
      </c>
      <c r="V22" t="s">
        <v>93</v>
      </c>
      <c r="W22">
        <v>1755000</v>
      </c>
      <c r="X22" t="s">
        <v>892</v>
      </c>
      <c r="Y22" t="s">
        <v>892</v>
      </c>
      <c r="Z22" t="s">
        <v>70</v>
      </c>
      <c r="AB22" t="s">
        <v>439</v>
      </c>
      <c r="AC22" t="s">
        <v>439</v>
      </c>
      <c r="AD22" t="s">
        <v>439</v>
      </c>
      <c r="AF22" t="s">
        <v>439</v>
      </c>
      <c r="AG22" t="s">
        <v>439</v>
      </c>
      <c r="AH22" t="s">
        <v>439</v>
      </c>
      <c r="AJ22" t="s">
        <v>439</v>
      </c>
      <c r="AK22" t="s">
        <v>439</v>
      </c>
      <c r="AL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U22" t="s">
        <v>439</v>
      </c>
      <c r="AV22" t="s">
        <v>439</v>
      </c>
      <c r="AW22" t="s">
        <v>439</v>
      </c>
      <c r="AX22">
        <v>0</v>
      </c>
      <c r="AY22" t="s">
        <v>439</v>
      </c>
      <c r="AZ22" t="s">
        <v>439</v>
      </c>
      <c r="BA22" t="s">
        <v>439</v>
      </c>
      <c r="BB22" t="s">
        <v>893</v>
      </c>
      <c r="BC22">
        <v>1755000</v>
      </c>
      <c r="BE22" t="s">
        <v>893</v>
      </c>
      <c r="BF22" t="s">
        <v>894</v>
      </c>
      <c r="BG22" t="s">
        <v>446</v>
      </c>
      <c r="BH22" t="s">
        <v>505</v>
      </c>
      <c r="BI22" t="s">
        <v>441</v>
      </c>
      <c r="BK22" t="s">
        <v>442</v>
      </c>
      <c r="BL22" t="s">
        <v>443</v>
      </c>
      <c r="BM22" t="s">
        <v>444</v>
      </c>
      <c r="BN22" t="s">
        <v>639</v>
      </c>
      <c r="BO22" t="s">
        <v>445</v>
      </c>
      <c r="BP22" t="s">
        <v>446</v>
      </c>
      <c r="BS22" t="s">
        <v>446</v>
      </c>
      <c r="BT22">
        <v>8</v>
      </c>
      <c r="BU22">
        <v>15</v>
      </c>
      <c r="CE22">
        <v>8</v>
      </c>
      <c r="CF22">
        <v>4.9000000000000002E-2</v>
      </c>
      <c r="CG22">
        <v>0.1575</v>
      </c>
      <c r="CH22">
        <v>79115.400000000009</v>
      </c>
      <c r="CI22">
        <v>140400</v>
      </c>
      <c r="CJ22">
        <v>254299.5</v>
      </c>
      <c r="CK22">
        <v>27</v>
      </c>
      <c r="CM22">
        <v>8</v>
      </c>
      <c r="CN22">
        <v>140400</v>
      </c>
      <c r="CO22">
        <v>27</v>
      </c>
      <c r="CP22" s="55">
        <v>0.03</v>
      </c>
      <c r="CQ22" s="55">
        <v>0.04</v>
      </c>
      <c r="CS22" s="56">
        <v>1755000</v>
      </c>
      <c r="CT22" s="57">
        <v>7.0000000000000007E-2</v>
      </c>
      <c r="CU22">
        <v>122850.00000000001</v>
      </c>
      <c r="CV22" s="56">
        <v>33.997999999999998</v>
      </c>
    </row>
    <row r="23" spans="1:100" x14ac:dyDescent="0.35">
      <c r="A23" t="s">
        <v>242</v>
      </c>
      <c r="B23" t="s">
        <v>483</v>
      </c>
      <c r="C23" t="s">
        <v>484</v>
      </c>
      <c r="D23" t="s">
        <v>895</v>
      </c>
      <c r="E23" t="s">
        <v>885</v>
      </c>
      <c r="F23" t="s">
        <v>665</v>
      </c>
      <c r="G23" t="s">
        <v>260</v>
      </c>
      <c r="H23" t="s">
        <v>65</v>
      </c>
      <c r="I23" t="s">
        <v>887</v>
      </c>
      <c r="J23" t="s">
        <v>888</v>
      </c>
      <c r="K23" t="s">
        <v>889</v>
      </c>
      <c r="L23" t="s">
        <v>504</v>
      </c>
      <c r="M23" t="s">
        <v>896</v>
      </c>
      <c r="N23" t="s">
        <v>860</v>
      </c>
      <c r="O23" t="s">
        <v>897</v>
      </c>
      <c r="Q23" t="s">
        <v>79</v>
      </c>
      <c r="R23" t="s">
        <v>438</v>
      </c>
      <c r="S23" t="s">
        <v>92</v>
      </c>
      <c r="T23" t="s">
        <v>86</v>
      </c>
      <c r="U23" t="s">
        <v>291</v>
      </c>
      <c r="V23" t="s">
        <v>93</v>
      </c>
      <c r="W23">
        <v>2699635.04</v>
      </c>
      <c r="X23" t="s">
        <v>898</v>
      </c>
      <c r="Y23" t="s">
        <v>898</v>
      </c>
      <c r="Z23" t="s">
        <v>70</v>
      </c>
      <c r="AB23" t="s">
        <v>439</v>
      </c>
      <c r="AC23" t="s">
        <v>439</v>
      </c>
      <c r="AD23" t="s">
        <v>439</v>
      </c>
      <c r="AF23" t="s">
        <v>439</v>
      </c>
      <c r="AG23" t="s">
        <v>439</v>
      </c>
      <c r="AH23" t="s">
        <v>439</v>
      </c>
      <c r="AJ23" t="s">
        <v>439</v>
      </c>
      <c r="AK23" t="s">
        <v>439</v>
      </c>
      <c r="AL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U23" t="s">
        <v>439</v>
      </c>
      <c r="AV23" t="s">
        <v>439</v>
      </c>
      <c r="AW23" t="s">
        <v>439</v>
      </c>
      <c r="AX23">
        <v>0</v>
      </c>
      <c r="AY23" t="s">
        <v>439</v>
      </c>
      <c r="AZ23" t="s">
        <v>439</v>
      </c>
      <c r="BA23" t="s">
        <v>439</v>
      </c>
      <c r="BB23" t="s">
        <v>893</v>
      </c>
      <c r="BC23">
        <v>2699635.04</v>
      </c>
      <c r="BE23" t="s">
        <v>893</v>
      </c>
      <c r="BF23" t="s">
        <v>894</v>
      </c>
      <c r="BG23" t="s">
        <v>446</v>
      </c>
      <c r="BH23" t="s">
        <v>505</v>
      </c>
      <c r="BI23" t="s">
        <v>441</v>
      </c>
      <c r="BK23" t="s">
        <v>442</v>
      </c>
      <c r="BL23" t="s">
        <v>443</v>
      </c>
      <c r="BM23" t="s">
        <v>444</v>
      </c>
      <c r="BN23" t="s">
        <v>639</v>
      </c>
      <c r="BO23" t="s">
        <v>445</v>
      </c>
      <c r="BP23" t="s">
        <v>446</v>
      </c>
      <c r="BS23" t="s">
        <v>446</v>
      </c>
      <c r="BT23">
        <v>8</v>
      </c>
      <c r="BU23">
        <v>15</v>
      </c>
      <c r="CE23">
        <v>8</v>
      </c>
      <c r="CF23">
        <v>4.9000000000000002E-2</v>
      </c>
      <c r="CG23">
        <v>0.1575</v>
      </c>
      <c r="CH23">
        <v>121699.54760320002</v>
      </c>
      <c r="CI23">
        <v>215970.80319999999</v>
      </c>
      <c r="CJ23">
        <v>391177.11729600001</v>
      </c>
      <c r="CK23">
        <v>27</v>
      </c>
      <c r="CM23">
        <v>8</v>
      </c>
      <c r="CN23">
        <v>215970.80319999999</v>
      </c>
      <c r="CO23">
        <v>27</v>
      </c>
      <c r="CP23" s="55">
        <v>0.03</v>
      </c>
      <c r="CQ23" s="55">
        <v>0.04</v>
      </c>
      <c r="CS23" s="56">
        <v>2699635.04</v>
      </c>
      <c r="CT23" s="57">
        <v>7.0000000000000007E-2</v>
      </c>
      <c r="CU23">
        <v>188974.45280000003</v>
      </c>
      <c r="CV23" s="56">
        <v>33.997999999999998</v>
      </c>
    </row>
    <row r="24" spans="1:100" x14ac:dyDescent="0.35">
      <c r="A24" t="s">
        <v>242</v>
      </c>
      <c r="B24" t="s">
        <v>483</v>
      </c>
      <c r="C24" t="s">
        <v>484</v>
      </c>
      <c r="D24" t="s">
        <v>899</v>
      </c>
      <c r="E24" t="s">
        <v>662</v>
      </c>
      <c r="F24" t="s">
        <v>714</v>
      </c>
      <c r="G24" t="s">
        <v>482</v>
      </c>
      <c r="H24" t="s">
        <v>65</v>
      </c>
      <c r="I24" t="s">
        <v>544</v>
      </c>
      <c r="J24" t="s">
        <v>545</v>
      </c>
      <c r="K24" t="s">
        <v>546</v>
      </c>
      <c r="L24" t="s">
        <v>547</v>
      </c>
      <c r="M24" t="s">
        <v>556</v>
      </c>
      <c r="N24" t="s">
        <v>900</v>
      </c>
      <c r="O24" t="s">
        <v>900</v>
      </c>
      <c r="P24" t="s">
        <v>527</v>
      </c>
      <c r="Q24" t="s">
        <v>69</v>
      </c>
      <c r="R24" t="s">
        <v>438</v>
      </c>
      <c r="S24" t="s">
        <v>92</v>
      </c>
      <c r="T24" t="s">
        <v>86</v>
      </c>
      <c r="U24" t="s">
        <v>291</v>
      </c>
      <c r="V24" t="s">
        <v>93</v>
      </c>
      <c r="W24">
        <v>594000</v>
      </c>
      <c r="X24" t="s">
        <v>861</v>
      </c>
      <c r="Y24" t="s">
        <v>861</v>
      </c>
      <c r="Z24" t="s">
        <v>70</v>
      </c>
      <c r="AB24" t="s">
        <v>439</v>
      </c>
      <c r="AC24" t="s">
        <v>439</v>
      </c>
      <c r="AD24" t="s">
        <v>439</v>
      </c>
      <c r="AF24" t="s">
        <v>439</v>
      </c>
      <c r="AG24" t="s">
        <v>439</v>
      </c>
      <c r="AH24" t="s">
        <v>439</v>
      </c>
      <c r="AJ24" t="s">
        <v>439</v>
      </c>
      <c r="AK24" t="s">
        <v>439</v>
      </c>
      <c r="AL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U24" t="s">
        <v>439</v>
      </c>
      <c r="AV24" t="s">
        <v>439</v>
      </c>
      <c r="AW24" t="s">
        <v>439</v>
      </c>
      <c r="AX24">
        <v>0</v>
      </c>
      <c r="AY24" t="s">
        <v>439</v>
      </c>
      <c r="AZ24" t="s">
        <v>439</v>
      </c>
      <c r="BA24" t="s">
        <v>439</v>
      </c>
      <c r="BB24" t="s">
        <v>94</v>
      </c>
      <c r="BC24">
        <v>594000</v>
      </c>
      <c r="BG24" t="s">
        <v>446</v>
      </c>
      <c r="BH24" t="s">
        <v>505</v>
      </c>
      <c r="BI24" t="s">
        <v>441</v>
      </c>
      <c r="BK24" t="s">
        <v>442</v>
      </c>
      <c r="BL24" t="s">
        <v>443</v>
      </c>
      <c r="BM24" t="s">
        <v>444</v>
      </c>
      <c r="BN24" t="s">
        <v>639</v>
      </c>
      <c r="BO24" t="s">
        <v>445</v>
      </c>
      <c r="BP24" t="s">
        <v>446</v>
      </c>
      <c r="BS24" t="s">
        <v>446</v>
      </c>
      <c r="BT24">
        <v>8</v>
      </c>
      <c r="BU24">
        <v>15</v>
      </c>
      <c r="CE24">
        <v>8</v>
      </c>
      <c r="CF24">
        <v>4.9000000000000002E-2</v>
      </c>
      <c r="CG24">
        <v>0.1575</v>
      </c>
      <c r="CH24">
        <v>26777.52</v>
      </c>
      <c r="CI24">
        <v>47520</v>
      </c>
      <c r="CJ24">
        <v>86070.6</v>
      </c>
      <c r="CK24">
        <v>27</v>
      </c>
      <c r="CM24">
        <v>8</v>
      </c>
      <c r="CN24">
        <v>47520</v>
      </c>
      <c r="CO24">
        <v>27</v>
      </c>
      <c r="CP24" s="55">
        <v>0.03</v>
      </c>
      <c r="CQ24" s="55">
        <v>0.04</v>
      </c>
      <c r="CS24" s="56">
        <v>594000</v>
      </c>
      <c r="CT24" s="57">
        <v>7.0000000000000007E-2</v>
      </c>
      <c r="CU24">
        <v>41580.000000000007</v>
      </c>
      <c r="CV24" s="56">
        <v>33.997999999999998</v>
      </c>
    </row>
    <row r="25" spans="1:100" x14ac:dyDescent="0.35">
      <c r="A25" t="s">
        <v>242</v>
      </c>
      <c r="B25" t="s">
        <v>483</v>
      </c>
      <c r="C25" t="s">
        <v>484</v>
      </c>
      <c r="D25" t="s">
        <v>901</v>
      </c>
      <c r="E25" t="s">
        <v>662</v>
      </c>
      <c r="F25" t="s">
        <v>714</v>
      </c>
      <c r="G25" t="s">
        <v>482</v>
      </c>
      <c r="H25" t="s">
        <v>65</v>
      </c>
      <c r="I25" t="s">
        <v>544</v>
      </c>
      <c r="J25" t="s">
        <v>545</v>
      </c>
      <c r="K25" t="s">
        <v>546</v>
      </c>
      <c r="L25" t="s">
        <v>547</v>
      </c>
      <c r="M25" t="s">
        <v>555</v>
      </c>
      <c r="N25" t="s">
        <v>900</v>
      </c>
      <c r="O25" t="s">
        <v>900</v>
      </c>
      <c r="P25" t="s">
        <v>286</v>
      </c>
      <c r="Q25" t="s">
        <v>69</v>
      </c>
      <c r="R25" t="s">
        <v>438</v>
      </c>
      <c r="S25" t="s">
        <v>92</v>
      </c>
      <c r="T25" t="s">
        <v>86</v>
      </c>
      <c r="U25" t="s">
        <v>291</v>
      </c>
      <c r="V25" t="s">
        <v>93</v>
      </c>
      <c r="W25">
        <v>1710000</v>
      </c>
      <c r="X25" t="s">
        <v>863</v>
      </c>
      <c r="Y25" t="s">
        <v>863</v>
      </c>
      <c r="Z25" t="s">
        <v>70</v>
      </c>
      <c r="AB25" t="s">
        <v>439</v>
      </c>
      <c r="AC25" t="s">
        <v>439</v>
      </c>
      <c r="AD25" t="s">
        <v>439</v>
      </c>
      <c r="AF25" t="s">
        <v>439</v>
      </c>
      <c r="AG25" t="s">
        <v>439</v>
      </c>
      <c r="AH25" t="s">
        <v>439</v>
      </c>
      <c r="AJ25" t="s">
        <v>439</v>
      </c>
      <c r="AK25" t="s">
        <v>439</v>
      </c>
      <c r="AL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U25" t="s">
        <v>439</v>
      </c>
      <c r="AV25" t="s">
        <v>439</v>
      </c>
      <c r="AW25" t="s">
        <v>439</v>
      </c>
      <c r="AX25">
        <v>0</v>
      </c>
      <c r="AY25" t="s">
        <v>439</v>
      </c>
      <c r="AZ25" t="s">
        <v>439</v>
      </c>
      <c r="BA25" t="s">
        <v>439</v>
      </c>
      <c r="BB25" t="s">
        <v>94</v>
      </c>
      <c r="BC25">
        <v>1710000</v>
      </c>
      <c r="BG25" t="s">
        <v>446</v>
      </c>
      <c r="BH25" t="s">
        <v>505</v>
      </c>
      <c r="BI25" t="s">
        <v>441</v>
      </c>
      <c r="BK25" t="s">
        <v>442</v>
      </c>
      <c r="BL25" t="s">
        <v>443</v>
      </c>
      <c r="BM25" t="s">
        <v>444</v>
      </c>
      <c r="BN25" t="s">
        <v>639</v>
      </c>
      <c r="BO25" t="s">
        <v>445</v>
      </c>
      <c r="BP25" t="s">
        <v>446</v>
      </c>
      <c r="BS25" t="s">
        <v>446</v>
      </c>
      <c r="BT25">
        <v>8</v>
      </c>
      <c r="BU25">
        <v>15</v>
      </c>
      <c r="CE25">
        <v>8</v>
      </c>
      <c r="CF25">
        <v>4.9000000000000002E-2</v>
      </c>
      <c r="CG25">
        <v>0.1575</v>
      </c>
      <c r="CH25">
        <v>77086.8</v>
      </c>
      <c r="CI25">
        <v>136800</v>
      </c>
      <c r="CJ25">
        <v>247779</v>
      </c>
      <c r="CK25">
        <v>27</v>
      </c>
      <c r="CM25">
        <v>8</v>
      </c>
      <c r="CN25">
        <v>136800</v>
      </c>
      <c r="CO25">
        <v>27</v>
      </c>
      <c r="CP25" s="55">
        <v>0.03</v>
      </c>
      <c r="CQ25" s="55">
        <v>0.04</v>
      </c>
      <c r="CS25" s="56">
        <v>1710000</v>
      </c>
      <c r="CT25" s="57">
        <v>7.0000000000000007E-2</v>
      </c>
      <c r="CU25">
        <v>119700.00000000001</v>
      </c>
      <c r="CV25" s="56">
        <v>33.997999999999998</v>
      </c>
    </row>
    <row r="26" spans="1:100" x14ac:dyDescent="0.35">
      <c r="A26" t="s">
        <v>242</v>
      </c>
      <c r="B26" t="s">
        <v>483</v>
      </c>
      <c r="C26" t="s">
        <v>484</v>
      </c>
      <c r="D26" t="s">
        <v>902</v>
      </c>
      <c r="E26" t="s">
        <v>903</v>
      </c>
      <c r="F26" t="s">
        <v>622</v>
      </c>
      <c r="G26" t="s">
        <v>260</v>
      </c>
      <c r="H26" t="s">
        <v>65</v>
      </c>
      <c r="I26" t="s">
        <v>887</v>
      </c>
      <c r="J26" t="s">
        <v>888</v>
      </c>
      <c r="K26" t="s">
        <v>889</v>
      </c>
      <c r="L26" t="s">
        <v>504</v>
      </c>
      <c r="M26" t="s">
        <v>896</v>
      </c>
      <c r="N26" t="s">
        <v>904</v>
      </c>
      <c r="O26" t="s">
        <v>905</v>
      </c>
      <c r="Q26" t="s">
        <v>79</v>
      </c>
      <c r="R26" t="s">
        <v>438</v>
      </c>
      <c r="S26" t="s">
        <v>92</v>
      </c>
      <c r="T26" t="s">
        <v>86</v>
      </c>
      <c r="U26" t="s">
        <v>291</v>
      </c>
      <c r="V26" t="s">
        <v>93</v>
      </c>
      <c r="W26">
        <v>1192935.19</v>
      </c>
      <c r="X26" t="s">
        <v>906</v>
      </c>
      <c r="Y26" t="s">
        <v>906</v>
      </c>
      <c r="Z26" t="s">
        <v>70</v>
      </c>
      <c r="AB26" t="s">
        <v>439</v>
      </c>
      <c r="AC26" t="s">
        <v>439</v>
      </c>
      <c r="AD26" t="s">
        <v>439</v>
      </c>
      <c r="AF26" t="s">
        <v>439</v>
      </c>
      <c r="AG26" t="s">
        <v>439</v>
      </c>
      <c r="AH26" t="s">
        <v>439</v>
      </c>
      <c r="AJ26" t="s">
        <v>439</v>
      </c>
      <c r="AK26" t="s">
        <v>439</v>
      </c>
      <c r="AL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U26" t="s">
        <v>439</v>
      </c>
      <c r="AV26" t="s">
        <v>439</v>
      </c>
      <c r="AW26" t="s">
        <v>439</v>
      </c>
      <c r="AX26">
        <v>0</v>
      </c>
      <c r="AY26" t="s">
        <v>439</v>
      </c>
      <c r="AZ26" t="s">
        <v>439</v>
      </c>
      <c r="BA26" t="s">
        <v>439</v>
      </c>
      <c r="BB26" t="s">
        <v>893</v>
      </c>
      <c r="BC26">
        <v>1192935.19</v>
      </c>
      <c r="BE26" t="s">
        <v>893</v>
      </c>
      <c r="BF26" t="s">
        <v>894</v>
      </c>
      <c r="BG26" t="s">
        <v>440</v>
      </c>
      <c r="BK26" t="s">
        <v>442</v>
      </c>
      <c r="BL26" t="s">
        <v>443</v>
      </c>
      <c r="BM26" t="s">
        <v>444</v>
      </c>
      <c r="BN26" t="s">
        <v>639</v>
      </c>
      <c r="BO26" t="s">
        <v>445</v>
      </c>
      <c r="BP26" t="s">
        <v>446</v>
      </c>
      <c r="BT26">
        <v>8</v>
      </c>
      <c r="BU26">
        <v>15</v>
      </c>
      <c r="CE26">
        <v>15</v>
      </c>
      <c r="CH26">
        <v>0</v>
      </c>
      <c r="CI26">
        <v>178940.27849999999</v>
      </c>
      <c r="CJ26">
        <v>0</v>
      </c>
      <c r="CK26">
        <v>15</v>
      </c>
      <c r="CM26">
        <v>15</v>
      </c>
      <c r="CN26">
        <v>178940.27849999999</v>
      </c>
      <c r="CO26">
        <v>15</v>
      </c>
      <c r="CP26" s="55">
        <v>0.03</v>
      </c>
      <c r="CQ26" s="55">
        <v>0.04</v>
      </c>
      <c r="CS26" s="56">
        <v>1192935.19</v>
      </c>
      <c r="CT26" s="57">
        <v>7.0000000000000007E-2</v>
      </c>
      <c r="CU26">
        <v>83505.463300000003</v>
      </c>
      <c r="CV26" s="56">
        <v>22</v>
      </c>
    </row>
    <row r="27" spans="1:100" x14ac:dyDescent="0.35">
      <c r="A27" t="s">
        <v>242</v>
      </c>
      <c r="B27" t="s">
        <v>483</v>
      </c>
      <c r="C27" t="s">
        <v>484</v>
      </c>
      <c r="D27" t="s">
        <v>907</v>
      </c>
      <c r="E27" t="s">
        <v>632</v>
      </c>
      <c r="F27" t="s">
        <v>622</v>
      </c>
      <c r="G27" t="s">
        <v>260</v>
      </c>
      <c r="H27" t="s">
        <v>65</v>
      </c>
      <c r="I27" t="s">
        <v>257</v>
      </c>
      <c r="J27" t="s">
        <v>485</v>
      </c>
      <c r="K27" t="s">
        <v>447</v>
      </c>
      <c r="L27" t="s">
        <v>528</v>
      </c>
      <c r="M27" t="s">
        <v>908</v>
      </c>
      <c r="N27" t="s">
        <v>909</v>
      </c>
      <c r="O27" t="s">
        <v>813</v>
      </c>
      <c r="Q27" t="s">
        <v>69</v>
      </c>
      <c r="R27" t="s">
        <v>438</v>
      </c>
      <c r="S27" t="s">
        <v>92</v>
      </c>
      <c r="T27" t="s">
        <v>86</v>
      </c>
      <c r="U27" t="s">
        <v>291</v>
      </c>
      <c r="V27" t="s">
        <v>93</v>
      </c>
      <c r="W27">
        <v>6210184.3099999996</v>
      </c>
      <c r="X27" t="s">
        <v>910</v>
      </c>
      <c r="Y27" t="s">
        <v>910</v>
      </c>
      <c r="Z27" t="s">
        <v>70</v>
      </c>
      <c r="AB27" t="s">
        <v>439</v>
      </c>
      <c r="AC27" t="s">
        <v>439</v>
      </c>
      <c r="AD27" t="s">
        <v>439</v>
      </c>
      <c r="AF27" t="s">
        <v>439</v>
      </c>
      <c r="AG27" t="s">
        <v>439</v>
      </c>
      <c r="AH27" t="s">
        <v>439</v>
      </c>
      <c r="AJ27" t="s">
        <v>439</v>
      </c>
      <c r="AK27" t="s">
        <v>439</v>
      </c>
      <c r="AL27" t="s">
        <v>439</v>
      </c>
      <c r="AN27" t="s">
        <v>439</v>
      </c>
      <c r="AO27" t="s">
        <v>439</v>
      </c>
      <c r="AP27" t="s">
        <v>439</v>
      </c>
      <c r="AQ27" t="s">
        <v>439</v>
      </c>
      <c r="AR27" t="s">
        <v>439</v>
      </c>
      <c r="AS27" t="s">
        <v>439</v>
      </c>
      <c r="AU27" t="s">
        <v>439</v>
      </c>
      <c r="AV27" t="s">
        <v>439</v>
      </c>
      <c r="AW27" t="s">
        <v>439</v>
      </c>
      <c r="AX27">
        <v>0</v>
      </c>
      <c r="AY27" t="s">
        <v>439</v>
      </c>
      <c r="AZ27" t="s">
        <v>439</v>
      </c>
      <c r="BA27" t="s">
        <v>439</v>
      </c>
      <c r="BB27" t="s">
        <v>561</v>
      </c>
      <c r="BC27">
        <v>6210184.3099999996</v>
      </c>
      <c r="BE27" t="s">
        <v>561</v>
      </c>
      <c r="BF27" t="s">
        <v>448</v>
      </c>
      <c r="BG27" t="s">
        <v>446</v>
      </c>
      <c r="BH27" t="s">
        <v>206</v>
      </c>
      <c r="BI27" t="s">
        <v>449</v>
      </c>
      <c r="BK27" t="s">
        <v>442</v>
      </c>
      <c r="BL27" t="s">
        <v>443</v>
      </c>
      <c r="BM27" t="s">
        <v>444</v>
      </c>
      <c r="BN27" t="s">
        <v>639</v>
      </c>
      <c r="BO27" t="s">
        <v>445</v>
      </c>
      <c r="BP27" t="s">
        <v>446</v>
      </c>
      <c r="BT27">
        <v>8</v>
      </c>
      <c r="BU27">
        <v>15</v>
      </c>
      <c r="CE27">
        <v>15</v>
      </c>
      <c r="CF27">
        <v>4.9000000000000002E-2</v>
      </c>
      <c r="CG27">
        <v>0.1575</v>
      </c>
      <c r="CH27">
        <v>258654.1765115</v>
      </c>
      <c r="CI27">
        <v>931527.64649999992</v>
      </c>
      <c r="CJ27">
        <v>831388.42450124992</v>
      </c>
      <c r="CK27">
        <v>32.549999999999997</v>
      </c>
      <c r="CM27">
        <v>15</v>
      </c>
      <c r="CN27">
        <v>931527.64649999992</v>
      </c>
      <c r="CO27">
        <v>32.549999999999997</v>
      </c>
      <c r="CP27" s="55">
        <v>0.03</v>
      </c>
      <c r="CQ27" s="55">
        <v>0.04</v>
      </c>
      <c r="CS27" s="56">
        <v>6210184.3099999996</v>
      </c>
      <c r="CT27" s="57">
        <v>7.0000000000000007E-2</v>
      </c>
      <c r="CU27">
        <v>434712.90169999999</v>
      </c>
      <c r="CV27" s="56">
        <v>39.552500000000002</v>
      </c>
    </row>
    <row r="28" spans="1:100" x14ac:dyDescent="0.35">
      <c r="A28" t="s">
        <v>242</v>
      </c>
      <c r="B28" t="s">
        <v>483</v>
      </c>
      <c r="C28" t="s">
        <v>484</v>
      </c>
      <c r="D28" t="s">
        <v>911</v>
      </c>
      <c r="E28" t="s">
        <v>663</v>
      </c>
      <c r="F28" t="s">
        <v>622</v>
      </c>
      <c r="G28" t="s">
        <v>260</v>
      </c>
      <c r="H28" t="s">
        <v>65</v>
      </c>
      <c r="I28" t="s">
        <v>592</v>
      </c>
      <c r="J28" t="s">
        <v>593</v>
      </c>
      <c r="K28" t="s">
        <v>594</v>
      </c>
      <c r="L28" t="s">
        <v>595</v>
      </c>
      <c r="M28" t="s">
        <v>664</v>
      </c>
      <c r="N28" t="s">
        <v>912</v>
      </c>
      <c r="O28" t="s">
        <v>817</v>
      </c>
      <c r="Q28" t="s">
        <v>79</v>
      </c>
      <c r="R28" t="s">
        <v>438</v>
      </c>
      <c r="S28" t="s">
        <v>92</v>
      </c>
      <c r="T28" t="s">
        <v>86</v>
      </c>
      <c r="U28" t="s">
        <v>291</v>
      </c>
      <c r="V28" t="s">
        <v>93</v>
      </c>
      <c r="W28">
        <v>5546437.7000000002</v>
      </c>
      <c r="X28" t="s">
        <v>913</v>
      </c>
      <c r="Y28" t="s">
        <v>913</v>
      </c>
      <c r="Z28" t="s">
        <v>70</v>
      </c>
      <c r="AB28" t="s">
        <v>439</v>
      </c>
      <c r="AC28" t="s">
        <v>439</v>
      </c>
      <c r="AD28" t="s">
        <v>439</v>
      </c>
      <c r="AF28" t="s">
        <v>439</v>
      </c>
      <c r="AG28" t="s">
        <v>439</v>
      </c>
      <c r="AH28" t="s">
        <v>439</v>
      </c>
      <c r="AJ28" t="s">
        <v>439</v>
      </c>
      <c r="AK28" t="s">
        <v>439</v>
      </c>
      <c r="AL28" t="s">
        <v>439</v>
      </c>
      <c r="AN28" t="s">
        <v>439</v>
      </c>
      <c r="AO28" t="s">
        <v>439</v>
      </c>
      <c r="AP28" t="s">
        <v>439</v>
      </c>
      <c r="AQ28" t="s">
        <v>439</v>
      </c>
      <c r="AR28" t="s">
        <v>439</v>
      </c>
      <c r="AS28" t="s">
        <v>439</v>
      </c>
      <c r="AU28" t="s">
        <v>439</v>
      </c>
      <c r="AV28" t="s">
        <v>439</v>
      </c>
      <c r="AW28" t="s">
        <v>439</v>
      </c>
      <c r="AX28">
        <v>0</v>
      </c>
      <c r="AY28" t="s">
        <v>439</v>
      </c>
      <c r="AZ28" t="s">
        <v>439</v>
      </c>
      <c r="BA28" t="s">
        <v>439</v>
      </c>
      <c r="BB28" t="s">
        <v>259</v>
      </c>
      <c r="BC28">
        <v>5546437.7000000002</v>
      </c>
      <c r="BG28" t="s">
        <v>446</v>
      </c>
      <c r="BH28" t="s">
        <v>196</v>
      </c>
      <c r="BI28" t="s">
        <v>449</v>
      </c>
      <c r="BK28" t="s">
        <v>442</v>
      </c>
      <c r="BL28" t="s">
        <v>443</v>
      </c>
      <c r="BM28" t="s">
        <v>444</v>
      </c>
      <c r="BN28" t="s">
        <v>639</v>
      </c>
      <c r="BO28" t="s">
        <v>445</v>
      </c>
      <c r="BP28" t="s">
        <v>446</v>
      </c>
      <c r="BT28">
        <v>8</v>
      </c>
      <c r="BU28">
        <v>15</v>
      </c>
      <c r="CE28">
        <v>15</v>
      </c>
      <c r="CF28">
        <v>4.9000000000000002E-2</v>
      </c>
      <c r="CG28">
        <v>0.1575</v>
      </c>
      <c r="CH28">
        <v>231009.13020499999</v>
      </c>
      <c r="CI28">
        <v>831965.65500000003</v>
      </c>
      <c r="CJ28">
        <v>742529.34708750003</v>
      </c>
      <c r="CK28">
        <v>32.549999999999997</v>
      </c>
      <c r="CM28">
        <v>15</v>
      </c>
      <c r="CN28">
        <v>831965.65500000003</v>
      </c>
      <c r="CO28">
        <v>32.549999999999997</v>
      </c>
      <c r="CP28" s="55">
        <v>0.03</v>
      </c>
      <c r="CQ28" s="55">
        <v>0.04</v>
      </c>
      <c r="CS28" s="56">
        <v>5546437.7000000002</v>
      </c>
      <c r="CT28" s="57">
        <v>7.0000000000000007E-2</v>
      </c>
      <c r="CU28">
        <v>388250.63900000002</v>
      </c>
      <c r="CV28" s="56">
        <v>39.552500000000002</v>
      </c>
    </row>
    <row r="29" spans="1:100" x14ac:dyDescent="0.35">
      <c r="A29" t="s">
        <v>242</v>
      </c>
      <c r="B29" t="s">
        <v>483</v>
      </c>
      <c r="C29" t="s">
        <v>484</v>
      </c>
      <c r="D29" t="s">
        <v>914</v>
      </c>
      <c r="E29" t="s">
        <v>915</v>
      </c>
      <c r="F29" t="s">
        <v>916</v>
      </c>
      <c r="G29" t="s">
        <v>482</v>
      </c>
      <c r="H29" t="s">
        <v>65</v>
      </c>
      <c r="I29" t="s">
        <v>917</v>
      </c>
      <c r="J29" t="s">
        <v>918</v>
      </c>
      <c r="K29" t="s">
        <v>919</v>
      </c>
      <c r="L29" t="s">
        <v>528</v>
      </c>
      <c r="M29" t="s">
        <v>660</v>
      </c>
      <c r="N29" t="s">
        <v>920</v>
      </c>
      <c r="O29" t="s">
        <v>920</v>
      </c>
      <c r="P29" t="s">
        <v>286</v>
      </c>
      <c r="Q29" t="s">
        <v>79</v>
      </c>
      <c r="R29" t="s">
        <v>438</v>
      </c>
      <c r="S29" t="s">
        <v>92</v>
      </c>
      <c r="T29" t="s">
        <v>86</v>
      </c>
      <c r="U29" t="s">
        <v>291</v>
      </c>
      <c r="V29" t="s">
        <v>93</v>
      </c>
      <c r="W29">
        <v>2565000</v>
      </c>
      <c r="X29" t="s">
        <v>921</v>
      </c>
      <c r="Y29" t="s">
        <v>921</v>
      </c>
      <c r="Z29" t="s">
        <v>70</v>
      </c>
      <c r="AB29" t="s">
        <v>439</v>
      </c>
      <c r="AC29" t="s">
        <v>439</v>
      </c>
      <c r="AD29" t="s">
        <v>439</v>
      </c>
      <c r="AF29" t="s">
        <v>439</v>
      </c>
      <c r="AG29" t="s">
        <v>439</v>
      </c>
      <c r="AH29" t="s">
        <v>439</v>
      </c>
      <c r="AJ29" t="s">
        <v>439</v>
      </c>
      <c r="AK29" t="s">
        <v>439</v>
      </c>
      <c r="AL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U29" t="s">
        <v>439</v>
      </c>
      <c r="AV29" t="s">
        <v>439</v>
      </c>
      <c r="AW29" t="s">
        <v>439</v>
      </c>
      <c r="AX29">
        <v>0</v>
      </c>
      <c r="AY29" t="s">
        <v>439</v>
      </c>
      <c r="AZ29" t="s">
        <v>439</v>
      </c>
      <c r="BA29" t="s">
        <v>439</v>
      </c>
      <c r="BC29">
        <v>2565000</v>
      </c>
      <c r="BG29" t="s">
        <v>446</v>
      </c>
      <c r="BH29" t="s">
        <v>206</v>
      </c>
      <c r="BI29" t="s">
        <v>449</v>
      </c>
      <c r="BK29" t="s">
        <v>442</v>
      </c>
      <c r="BL29" t="s">
        <v>443</v>
      </c>
      <c r="BM29" t="s">
        <v>444</v>
      </c>
      <c r="BN29" t="s">
        <v>639</v>
      </c>
      <c r="BO29" t="s">
        <v>445</v>
      </c>
      <c r="BP29" t="s">
        <v>446</v>
      </c>
      <c r="BT29">
        <v>8</v>
      </c>
      <c r="BU29">
        <v>15</v>
      </c>
      <c r="CE29">
        <v>15</v>
      </c>
      <c r="CF29">
        <v>4.9000000000000002E-2</v>
      </c>
      <c r="CG29">
        <v>0.1575</v>
      </c>
      <c r="CH29">
        <v>106832.25</v>
      </c>
      <c r="CI29">
        <v>384750</v>
      </c>
      <c r="CJ29">
        <v>343389.375</v>
      </c>
      <c r="CK29">
        <v>32.549999999999997</v>
      </c>
      <c r="CM29">
        <v>15</v>
      </c>
      <c r="CN29">
        <v>384750</v>
      </c>
      <c r="CO29">
        <v>32.549999999999997</v>
      </c>
      <c r="CP29" s="55">
        <v>0.03</v>
      </c>
      <c r="CQ29" s="55">
        <v>0.04</v>
      </c>
      <c r="CS29" s="56">
        <v>2565000</v>
      </c>
      <c r="CT29" s="57">
        <v>7.0000000000000007E-2</v>
      </c>
      <c r="CU29">
        <v>179550.00000000003</v>
      </c>
      <c r="CV29" s="56">
        <v>39.552500000000002</v>
      </c>
    </row>
    <row r="30" spans="1:100" x14ac:dyDescent="0.35">
      <c r="A30" t="s">
        <v>242</v>
      </c>
      <c r="B30" t="s">
        <v>483</v>
      </c>
      <c r="C30" t="s">
        <v>484</v>
      </c>
      <c r="D30" t="s">
        <v>922</v>
      </c>
      <c r="E30" t="s">
        <v>915</v>
      </c>
      <c r="F30" t="s">
        <v>675</v>
      </c>
      <c r="G30" t="s">
        <v>482</v>
      </c>
      <c r="H30" t="s">
        <v>65</v>
      </c>
      <c r="I30" t="s">
        <v>917</v>
      </c>
      <c r="J30" t="s">
        <v>918</v>
      </c>
      <c r="K30" t="s">
        <v>919</v>
      </c>
      <c r="L30" t="s">
        <v>528</v>
      </c>
      <c r="M30" t="s">
        <v>661</v>
      </c>
      <c r="N30" t="s">
        <v>923</v>
      </c>
      <c r="O30" t="s">
        <v>923</v>
      </c>
      <c r="P30" t="s">
        <v>527</v>
      </c>
      <c r="Q30" t="s">
        <v>79</v>
      </c>
      <c r="R30" t="s">
        <v>438</v>
      </c>
      <c r="S30" t="s">
        <v>92</v>
      </c>
      <c r="T30" t="s">
        <v>86</v>
      </c>
      <c r="U30" t="s">
        <v>291</v>
      </c>
      <c r="V30" t="s">
        <v>93</v>
      </c>
      <c r="W30">
        <v>891000</v>
      </c>
      <c r="X30" t="s">
        <v>924</v>
      </c>
      <c r="Y30" t="s">
        <v>924</v>
      </c>
      <c r="Z30" t="s">
        <v>70</v>
      </c>
      <c r="AB30" t="s">
        <v>439</v>
      </c>
      <c r="AC30" t="s">
        <v>439</v>
      </c>
      <c r="AD30" t="s">
        <v>439</v>
      </c>
      <c r="AF30" t="s">
        <v>439</v>
      </c>
      <c r="AG30" t="s">
        <v>439</v>
      </c>
      <c r="AH30" t="s">
        <v>439</v>
      </c>
      <c r="AJ30" t="s">
        <v>439</v>
      </c>
      <c r="AK30" t="s">
        <v>439</v>
      </c>
      <c r="AL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U30" t="s">
        <v>439</v>
      </c>
      <c r="AV30" t="s">
        <v>439</v>
      </c>
      <c r="AW30" t="s">
        <v>439</v>
      </c>
      <c r="AX30">
        <v>0</v>
      </c>
      <c r="AY30" t="s">
        <v>439</v>
      </c>
      <c r="AZ30" t="s">
        <v>439</v>
      </c>
      <c r="BA30" t="s">
        <v>439</v>
      </c>
      <c r="BC30">
        <v>891000</v>
      </c>
      <c r="BG30" t="s">
        <v>446</v>
      </c>
      <c r="BH30" t="s">
        <v>206</v>
      </c>
      <c r="BI30" t="s">
        <v>449</v>
      </c>
      <c r="BK30" t="s">
        <v>442</v>
      </c>
      <c r="BL30" t="s">
        <v>443</v>
      </c>
      <c r="BM30" t="s">
        <v>444</v>
      </c>
      <c r="BN30" t="s">
        <v>639</v>
      </c>
      <c r="BO30" t="s">
        <v>445</v>
      </c>
      <c r="BP30" t="s">
        <v>446</v>
      </c>
      <c r="BT30">
        <v>8</v>
      </c>
      <c r="BU30">
        <v>15</v>
      </c>
      <c r="CE30">
        <v>15</v>
      </c>
      <c r="CF30">
        <v>4.9000000000000002E-2</v>
      </c>
      <c r="CG30">
        <v>0.1575</v>
      </c>
      <c r="CH30">
        <v>37110.15</v>
      </c>
      <c r="CI30">
        <v>133650</v>
      </c>
      <c r="CJ30">
        <v>119282.625</v>
      </c>
      <c r="CK30">
        <v>32.549999999999997</v>
      </c>
      <c r="CM30">
        <v>15</v>
      </c>
      <c r="CN30">
        <v>133650</v>
      </c>
      <c r="CO30">
        <v>32.549999999999997</v>
      </c>
      <c r="CP30" s="55">
        <v>0.03</v>
      </c>
      <c r="CQ30" s="55">
        <v>0.04</v>
      </c>
      <c r="CS30" s="56">
        <v>891000</v>
      </c>
      <c r="CT30" s="57">
        <v>7.0000000000000007E-2</v>
      </c>
      <c r="CU30">
        <v>62370.000000000007</v>
      </c>
      <c r="CV30" s="56">
        <v>39.552500000000002</v>
      </c>
    </row>
    <row r="31" spans="1:100" x14ac:dyDescent="0.35">
      <c r="A31" t="s">
        <v>242</v>
      </c>
      <c r="B31" t="s">
        <v>483</v>
      </c>
      <c r="C31" t="s">
        <v>484</v>
      </c>
      <c r="D31" t="s">
        <v>925</v>
      </c>
      <c r="E31" t="s">
        <v>915</v>
      </c>
      <c r="F31" t="s">
        <v>675</v>
      </c>
      <c r="G31" t="s">
        <v>482</v>
      </c>
      <c r="H31" t="s">
        <v>65</v>
      </c>
      <c r="I31" t="s">
        <v>917</v>
      </c>
      <c r="J31" t="s">
        <v>918</v>
      </c>
      <c r="K31" t="s">
        <v>919</v>
      </c>
      <c r="L31" t="s">
        <v>528</v>
      </c>
      <c r="M31" t="s">
        <v>660</v>
      </c>
      <c r="N31" t="s">
        <v>923</v>
      </c>
      <c r="O31" t="s">
        <v>923</v>
      </c>
      <c r="P31" t="s">
        <v>286</v>
      </c>
      <c r="Q31" t="s">
        <v>79</v>
      </c>
      <c r="R31" t="s">
        <v>438</v>
      </c>
      <c r="S31" t="s">
        <v>92</v>
      </c>
      <c r="T31" t="s">
        <v>86</v>
      </c>
      <c r="U31" t="s">
        <v>291</v>
      </c>
      <c r="V31" t="s">
        <v>93</v>
      </c>
      <c r="W31">
        <v>2565000</v>
      </c>
      <c r="X31" t="s">
        <v>921</v>
      </c>
      <c r="Y31" t="s">
        <v>921</v>
      </c>
      <c r="Z31" t="s">
        <v>70</v>
      </c>
      <c r="AB31" t="s">
        <v>439</v>
      </c>
      <c r="AC31" t="s">
        <v>439</v>
      </c>
      <c r="AD31" t="s">
        <v>439</v>
      </c>
      <c r="AF31" t="s">
        <v>439</v>
      </c>
      <c r="AG31" t="s">
        <v>439</v>
      </c>
      <c r="AH31" t="s">
        <v>439</v>
      </c>
      <c r="AJ31" t="s">
        <v>439</v>
      </c>
      <c r="AK31" t="s">
        <v>439</v>
      </c>
      <c r="AL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U31" t="s">
        <v>439</v>
      </c>
      <c r="AV31" t="s">
        <v>439</v>
      </c>
      <c r="AW31" t="s">
        <v>439</v>
      </c>
      <c r="AX31">
        <v>0</v>
      </c>
      <c r="AY31" t="s">
        <v>439</v>
      </c>
      <c r="AZ31" t="s">
        <v>439</v>
      </c>
      <c r="BA31" t="s">
        <v>439</v>
      </c>
      <c r="BC31">
        <v>2565000</v>
      </c>
      <c r="BG31" t="s">
        <v>446</v>
      </c>
      <c r="BH31" t="s">
        <v>206</v>
      </c>
      <c r="BI31" t="s">
        <v>449</v>
      </c>
      <c r="BK31" t="s">
        <v>442</v>
      </c>
      <c r="BL31" t="s">
        <v>443</v>
      </c>
      <c r="BM31" t="s">
        <v>444</v>
      </c>
      <c r="BN31" t="s">
        <v>639</v>
      </c>
      <c r="BO31" t="s">
        <v>445</v>
      </c>
      <c r="BP31" t="s">
        <v>446</v>
      </c>
      <c r="BT31">
        <v>8</v>
      </c>
      <c r="BU31">
        <v>15</v>
      </c>
      <c r="CE31">
        <v>15</v>
      </c>
      <c r="CF31">
        <v>4.9000000000000002E-2</v>
      </c>
      <c r="CG31">
        <v>0.1575</v>
      </c>
      <c r="CH31">
        <v>106832.25</v>
      </c>
      <c r="CI31">
        <v>384750</v>
      </c>
      <c r="CJ31">
        <v>343389.375</v>
      </c>
      <c r="CK31">
        <v>32.549999999999997</v>
      </c>
      <c r="CM31">
        <v>15</v>
      </c>
      <c r="CN31">
        <v>384750</v>
      </c>
      <c r="CO31">
        <v>32.549999999999997</v>
      </c>
      <c r="CP31" s="55">
        <v>0.03</v>
      </c>
      <c r="CQ31" s="55">
        <v>0.04</v>
      </c>
      <c r="CS31" s="56">
        <v>2565000</v>
      </c>
      <c r="CT31" s="57">
        <v>7.0000000000000007E-2</v>
      </c>
      <c r="CU31">
        <v>179550.00000000003</v>
      </c>
      <c r="CV31" s="56">
        <v>39.552500000000002</v>
      </c>
    </row>
    <row r="32" spans="1:100" x14ac:dyDescent="0.35">
      <c r="A32" t="s">
        <v>242</v>
      </c>
      <c r="B32" t="s">
        <v>483</v>
      </c>
      <c r="C32" t="s">
        <v>484</v>
      </c>
      <c r="D32" t="s">
        <v>926</v>
      </c>
      <c r="E32" t="s">
        <v>915</v>
      </c>
      <c r="F32" t="s">
        <v>916</v>
      </c>
      <c r="G32" t="s">
        <v>482</v>
      </c>
      <c r="H32" t="s">
        <v>65</v>
      </c>
      <c r="I32" t="s">
        <v>917</v>
      </c>
      <c r="J32" t="s">
        <v>918</v>
      </c>
      <c r="K32" t="s">
        <v>919</v>
      </c>
      <c r="L32" t="s">
        <v>528</v>
      </c>
      <c r="M32" t="s">
        <v>661</v>
      </c>
      <c r="N32" t="s">
        <v>920</v>
      </c>
      <c r="O32" t="s">
        <v>920</v>
      </c>
      <c r="P32" t="s">
        <v>527</v>
      </c>
      <c r="Q32" t="s">
        <v>79</v>
      </c>
      <c r="R32" t="s">
        <v>438</v>
      </c>
      <c r="S32" t="s">
        <v>92</v>
      </c>
      <c r="T32" t="s">
        <v>86</v>
      </c>
      <c r="U32" t="s">
        <v>291</v>
      </c>
      <c r="V32" t="s">
        <v>93</v>
      </c>
      <c r="W32">
        <v>891000</v>
      </c>
      <c r="X32" t="s">
        <v>924</v>
      </c>
      <c r="Y32" t="s">
        <v>924</v>
      </c>
      <c r="Z32" t="s">
        <v>70</v>
      </c>
      <c r="AB32" t="s">
        <v>439</v>
      </c>
      <c r="AC32" t="s">
        <v>439</v>
      </c>
      <c r="AD32" t="s">
        <v>439</v>
      </c>
      <c r="AF32" t="s">
        <v>439</v>
      </c>
      <c r="AG32" t="s">
        <v>439</v>
      </c>
      <c r="AH32" t="s">
        <v>439</v>
      </c>
      <c r="AJ32" t="s">
        <v>439</v>
      </c>
      <c r="AK32" t="s">
        <v>439</v>
      </c>
      <c r="AL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U32" t="s">
        <v>439</v>
      </c>
      <c r="AV32" t="s">
        <v>439</v>
      </c>
      <c r="AW32" t="s">
        <v>439</v>
      </c>
      <c r="AX32">
        <v>0</v>
      </c>
      <c r="AY32" t="s">
        <v>439</v>
      </c>
      <c r="AZ32" t="s">
        <v>439</v>
      </c>
      <c r="BA32" t="s">
        <v>439</v>
      </c>
      <c r="BC32">
        <v>891000</v>
      </c>
      <c r="BG32" t="s">
        <v>446</v>
      </c>
      <c r="BH32" t="s">
        <v>206</v>
      </c>
      <c r="BI32" t="s">
        <v>449</v>
      </c>
      <c r="BK32" t="s">
        <v>442</v>
      </c>
      <c r="BL32" t="s">
        <v>443</v>
      </c>
      <c r="BM32" t="s">
        <v>444</v>
      </c>
      <c r="BN32" t="s">
        <v>639</v>
      </c>
      <c r="BO32" t="s">
        <v>445</v>
      </c>
      <c r="BP32" t="s">
        <v>446</v>
      </c>
      <c r="BT32">
        <v>8</v>
      </c>
      <c r="BU32">
        <v>15</v>
      </c>
      <c r="CE32">
        <v>15</v>
      </c>
      <c r="CF32">
        <v>4.9000000000000002E-2</v>
      </c>
      <c r="CG32">
        <v>0.1575</v>
      </c>
      <c r="CH32">
        <v>37110.15</v>
      </c>
      <c r="CI32">
        <v>133650</v>
      </c>
      <c r="CJ32">
        <v>119282.625</v>
      </c>
      <c r="CK32">
        <v>32.549999999999997</v>
      </c>
      <c r="CM32">
        <v>15</v>
      </c>
      <c r="CN32">
        <v>133650</v>
      </c>
      <c r="CO32">
        <v>32.549999999999997</v>
      </c>
      <c r="CP32" s="55">
        <v>0.03</v>
      </c>
      <c r="CQ32" s="55">
        <v>0.04</v>
      </c>
      <c r="CS32" s="56">
        <v>891000</v>
      </c>
      <c r="CT32" s="57">
        <v>7.0000000000000007E-2</v>
      </c>
      <c r="CU32">
        <v>62370.000000000007</v>
      </c>
      <c r="CV32" s="56">
        <v>39.552500000000002</v>
      </c>
    </row>
    <row r="33" spans="1:100" x14ac:dyDescent="0.35">
      <c r="A33" t="s">
        <v>242</v>
      </c>
      <c r="B33" t="s">
        <v>483</v>
      </c>
      <c r="C33" t="s">
        <v>484</v>
      </c>
      <c r="D33" t="s">
        <v>927</v>
      </c>
      <c r="E33" t="s">
        <v>633</v>
      </c>
      <c r="F33" t="s">
        <v>622</v>
      </c>
      <c r="G33" t="s">
        <v>260</v>
      </c>
      <c r="H33" t="s">
        <v>65</v>
      </c>
      <c r="I33" t="s">
        <v>634</v>
      </c>
      <c r="J33" t="s">
        <v>635</v>
      </c>
      <c r="K33" t="s">
        <v>636</v>
      </c>
      <c r="L33" t="s">
        <v>528</v>
      </c>
      <c r="M33" t="s">
        <v>928</v>
      </c>
      <c r="N33" t="s">
        <v>929</v>
      </c>
      <c r="O33" t="s">
        <v>817</v>
      </c>
      <c r="Q33" t="s">
        <v>79</v>
      </c>
      <c r="R33" t="s">
        <v>438</v>
      </c>
      <c r="S33" t="s">
        <v>92</v>
      </c>
      <c r="T33" t="s">
        <v>86</v>
      </c>
      <c r="U33" t="s">
        <v>291</v>
      </c>
      <c r="V33" t="s">
        <v>93</v>
      </c>
      <c r="W33">
        <v>9005104.1400000006</v>
      </c>
      <c r="X33" t="s">
        <v>930</v>
      </c>
      <c r="Y33" t="s">
        <v>930</v>
      </c>
      <c r="Z33" t="s">
        <v>70</v>
      </c>
      <c r="AB33" t="s">
        <v>439</v>
      </c>
      <c r="AC33" t="s">
        <v>439</v>
      </c>
      <c r="AD33" t="s">
        <v>439</v>
      </c>
      <c r="AF33" t="s">
        <v>439</v>
      </c>
      <c r="AG33" t="s">
        <v>439</v>
      </c>
      <c r="AH33" t="s">
        <v>439</v>
      </c>
      <c r="AJ33" t="s">
        <v>439</v>
      </c>
      <c r="AK33" t="s">
        <v>439</v>
      </c>
      <c r="AL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U33" t="s">
        <v>439</v>
      </c>
      <c r="AV33" t="s">
        <v>439</v>
      </c>
      <c r="AW33" t="s">
        <v>439</v>
      </c>
      <c r="AX33">
        <v>0</v>
      </c>
      <c r="AY33" t="s">
        <v>439</v>
      </c>
      <c r="AZ33" t="s">
        <v>439</v>
      </c>
      <c r="BA33" t="s">
        <v>439</v>
      </c>
      <c r="BB33" t="s">
        <v>100</v>
      </c>
      <c r="BC33">
        <v>9005104.1400000006</v>
      </c>
      <c r="BE33" t="s">
        <v>100</v>
      </c>
      <c r="BF33" t="s">
        <v>452</v>
      </c>
      <c r="BG33" t="s">
        <v>446</v>
      </c>
      <c r="BH33" t="s">
        <v>206</v>
      </c>
      <c r="BI33" t="s">
        <v>449</v>
      </c>
      <c r="BK33" t="s">
        <v>442</v>
      </c>
      <c r="BL33" t="s">
        <v>443</v>
      </c>
      <c r="BM33" t="s">
        <v>444</v>
      </c>
      <c r="BN33" t="s">
        <v>639</v>
      </c>
      <c r="BO33" t="s">
        <v>445</v>
      </c>
      <c r="BP33" t="s">
        <v>446</v>
      </c>
      <c r="BT33">
        <v>8</v>
      </c>
      <c r="BU33">
        <v>15</v>
      </c>
      <c r="CE33">
        <v>15</v>
      </c>
      <c r="CF33">
        <v>4.9000000000000002E-2</v>
      </c>
      <c r="CG33">
        <v>0.1575</v>
      </c>
      <c r="CH33">
        <v>375062.58743100002</v>
      </c>
      <c r="CI33">
        <v>1350765.621</v>
      </c>
      <c r="CJ33">
        <v>1205558.3167425001</v>
      </c>
      <c r="CK33">
        <v>32.549999999999997</v>
      </c>
      <c r="CM33">
        <v>15</v>
      </c>
      <c r="CN33">
        <v>1350765.621</v>
      </c>
      <c r="CO33">
        <v>32.549999999999997</v>
      </c>
      <c r="CP33" s="55">
        <v>0.03</v>
      </c>
      <c r="CQ33" s="55">
        <v>0.04</v>
      </c>
      <c r="CS33" s="56">
        <v>9005104.1400000006</v>
      </c>
      <c r="CT33" s="57">
        <v>7.0000000000000007E-2</v>
      </c>
      <c r="CU33">
        <v>630357.28980000014</v>
      </c>
      <c r="CV33" s="56">
        <v>39.552500000000002</v>
      </c>
    </row>
    <row r="34" spans="1:100" x14ac:dyDescent="0.35">
      <c r="A34" t="s">
        <v>242</v>
      </c>
      <c r="B34" t="s">
        <v>483</v>
      </c>
      <c r="C34" t="s">
        <v>484</v>
      </c>
      <c r="D34" t="s">
        <v>931</v>
      </c>
      <c r="E34" t="s">
        <v>932</v>
      </c>
      <c r="F34" t="s">
        <v>622</v>
      </c>
      <c r="G34" t="s">
        <v>260</v>
      </c>
      <c r="H34" t="s">
        <v>65</v>
      </c>
      <c r="I34" t="s">
        <v>98</v>
      </c>
      <c r="J34" t="s">
        <v>488</v>
      </c>
      <c r="K34" t="s">
        <v>461</v>
      </c>
      <c r="L34" t="s">
        <v>528</v>
      </c>
      <c r="M34" t="s">
        <v>933</v>
      </c>
      <c r="N34" t="s">
        <v>934</v>
      </c>
      <c r="O34" t="s">
        <v>813</v>
      </c>
      <c r="Q34" t="s">
        <v>79</v>
      </c>
      <c r="R34" t="s">
        <v>438</v>
      </c>
      <c r="S34" t="s">
        <v>92</v>
      </c>
      <c r="T34" t="s">
        <v>86</v>
      </c>
      <c r="U34" t="s">
        <v>291</v>
      </c>
      <c r="V34" t="s">
        <v>93</v>
      </c>
      <c r="W34">
        <v>241926.19</v>
      </c>
      <c r="X34" t="s">
        <v>935</v>
      </c>
      <c r="Y34" t="s">
        <v>935</v>
      </c>
      <c r="Z34" t="s">
        <v>70</v>
      </c>
      <c r="AB34" t="s">
        <v>439</v>
      </c>
      <c r="AC34" t="s">
        <v>439</v>
      </c>
      <c r="AD34" t="s">
        <v>439</v>
      </c>
      <c r="AF34" t="s">
        <v>439</v>
      </c>
      <c r="AG34" t="s">
        <v>439</v>
      </c>
      <c r="AH34" t="s">
        <v>439</v>
      </c>
      <c r="AJ34" t="s">
        <v>439</v>
      </c>
      <c r="AK34" t="s">
        <v>439</v>
      </c>
      <c r="AL34" t="s">
        <v>439</v>
      </c>
      <c r="AN34" t="s">
        <v>439</v>
      </c>
      <c r="AO34" t="s">
        <v>439</v>
      </c>
      <c r="AP34" t="s">
        <v>439</v>
      </c>
      <c r="AQ34" t="s">
        <v>439</v>
      </c>
      <c r="AR34" t="s">
        <v>439</v>
      </c>
      <c r="AS34" t="s">
        <v>439</v>
      </c>
      <c r="AU34" t="s">
        <v>439</v>
      </c>
      <c r="AV34" t="s">
        <v>439</v>
      </c>
      <c r="AW34" t="s">
        <v>439</v>
      </c>
      <c r="AX34">
        <v>0</v>
      </c>
      <c r="AY34" t="s">
        <v>439</v>
      </c>
      <c r="AZ34" t="s">
        <v>439</v>
      </c>
      <c r="BA34" t="s">
        <v>439</v>
      </c>
      <c r="BB34" t="s">
        <v>259</v>
      </c>
      <c r="BC34">
        <v>241926.19</v>
      </c>
      <c r="BE34" t="s">
        <v>259</v>
      </c>
      <c r="BF34" t="s">
        <v>462</v>
      </c>
      <c r="BG34" t="s">
        <v>440</v>
      </c>
      <c r="BK34" t="s">
        <v>442</v>
      </c>
      <c r="BL34" t="s">
        <v>443</v>
      </c>
      <c r="BM34" t="s">
        <v>444</v>
      </c>
      <c r="BN34" t="s">
        <v>639</v>
      </c>
      <c r="BO34" t="s">
        <v>445</v>
      </c>
      <c r="BP34" t="s">
        <v>446</v>
      </c>
      <c r="BT34">
        <v>8</v>
      </c>
      <c r="BU34">
        <v>15</v>
      </c>
      <c r="CE34">
        <v>15</v>
      </c>
      <c r="CH34">
        <v>0</v>
      </c>
      <c r="CI34">
        <v>36288.928500000002</v>
      </c>
      <c r="CJ34">
        <v>0</v>
      </c>
      <c r="CK34">
        <v>15</v>
      </c>
      <c r="CM34">
        <v>15</v>
      </c>
      <c r="CN34">
        <v>36288.928500000002</v>
      </c>
      <c r="CO34">
        <v>15</v>
      </c>
      <c r="CP34" s="55">
        <v>0.03</v>
      </c>
      <c r="CQ34" s="55">
        <v>0.04</v>
      </c>
      <c r="CS34" s="56">
        <v>241926.19</v>
      </c>
      <c r="CT34" s="57">
        <v>7.0000000000000007E-2</v>
      </c>
      <c r="CU34">
        <v>16934.833300000002</v>
      </c>
      <c r="CV34" s="56">
        <v>22</v>
      </c>
    </row>
    <row r="35" spans="1:100" x14ac:dyDescent="0.35">
      <c r="A35" t="s">
        <v>242</v>
      </c>
      <c r="B35" t="s">
        <v>483</v>
      </c>
      <c r="C35" t="s">
        <v>484</v>
      </c>
      <c r="D35" t="s">
        <v>936</v>
      </c>
      <c r="E35" t="s">
        <v>637</v>
      </c>
      <c r="F35" t="s">
        <v>937</v>
      </c>
      <c r="G35" t="s">
        <v>260</v>
      </c>
      <c r="H35" t="s">
        <v>65</v>
      </c>
      <c r="I35" t="s">
        <v>104</v>
      </c>
      <c r="J35" t="s">
        <v>497</v>
      </c>
      <c r="K35" t="s">
        <v>466</v>
      </c>
      <c r="L35" t="s">
        <v>281</v>
      </c>
      <c r="M35" t="s">
        <v>938</v>
      </c>
      <c r="N35" t="s">
        <v>939</v>
      </c>
      <c r="O35" t="s">
        <v>817</v>
      </c>
      <c r="Q35" t="s">
        <v>79</v>
      </c>
      <c r="R35" t="s">
        <v>438</v>
      </c>
      <c r="S35" t="s">
        <v>92</v>
      </c>
      <c r="T35" t="s">
        <v>86</v>
      </c>
      <c r="U35" t="s">
        <v>291</v>
      </c>
      <c r="V35" t="s">
        <v>93</v>
      </c>
      <c r="W35">
        <v>1677857.16</v>
      </c>
      <c r="X35" t="s">
        <v>940</v>
      </c>
      <c r="Y35" t="s">
        <v>940</v>
      </c>
      <c r="Z35" t="s">
        <v>70</v>
      </c>
      <c r="AB35" t="s">
        <v>439</v>
      </c>
      <c r="AC35" t="s">
        <v>439</v>
      </c>
      <c r="AD35" t="s">
        <v>439</v>
      </c>
      <c r="AF35" t="s">
        <v>439</v>
      </c>
      <c r="AG35" t="s">
        <v>439</v>
      </c>
      <c r="AH35" t="s">
        <v>439</v>
      </c>
      <c r="AJ35" t="s">
        <v>439</v>
      </c>
      <c r="AK35" t="s">
        <v>439</v>
      </c>
      <c r="AL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U35" t="s">
        <v>439</v>
      </c>
      <c r="AV35" t="s">
        <v>439</v>
      </c>
      <c r="AW35" t="s">
        <v>439</v>
      </c>
      <c r="AX35">
        <v>0</v>
      </c>
      <c r="AY35" t="s">
        <v>439</v>
      </c>
      <c r="AZ35" t="s">
        <v>439</v>
      </c>
      <c r="BA35" t="s">
        <v>439</v>
      </c>
      <c r="BB35" t="s">
        <v>108</v>
      </c>
      <c r="BC35">
        <v>1677857.16</v>
      </c>
      <c r="BE35" t="s">
        <v>108</v>
      </c>
      <c r="BF35" t="s">
        <v>465</v>
      </c>
      <c r="BG35" t="s">
        <v>446</v>
      </c>
      <c r="BH35" t="s">
        <v>203</v>
      </c>
      <c r="BI35" t="s">
        <v>449</v>
      </c>
      <c r="BK35" t="s">
        <v>442</v>
      </c>
      <c r="BL35" t="s">
        <v>443</v>
      </c>
      <c r="BM35" t="s">
        <v>444</v>
      </c>
      <c r="BN35" t="s">
        <v>639</v>
      </c>
      <c r="BO35" t="s">
        <v>445</v>
      </c>
      <c r="BP35" t="s">
        <v>446</v>
      </c>
      <c r="BT35">
        <v>8</v>
      </c>
      <c r="BU35">
        <v>15</v>
      </c>
      <c r="CE35">
        <v>15</v>
      </c>
      <c r="CF35">
        <v>4.9000000000000002E-2</v>
      </c>
      <c r="CG35">
        <v>0.1575</v>
      </c>
      <c r="CH35">
        <v>69882.750713999994</v>
      </c>
      <c r="CI35">
        <v>251678.57399999996</v>
      </c>
      <c r="CJ35">
        <v>224623.12729500001</v>
      </c>
      <c r="CK35">
        <v>32.549999999999997</v>
      </c>
      <c r="CM35">
        <v>15</v>
      </c>
      <c r="CN35">
        <v>251678.57399999996</v>
      </c>
      <c r="CO35">
        <v>32.549999999999997</v>
      </c>
      <c r="CP35" s="55">
        <v>0.03</v>
      </c>
      <c r="CQ35" s="55">
        <v>0.04</v>
      </c>
      <c r="CS35" s="56">
        <v>1677857.16</v>
      </c>
      <c r="CT35" s="57">
        <v>7.0000000000000007E-2</v>
      </c>
      <c r="CU35">
        <v>117450.0012</v>
      </c>
      <c r="CV35" s="56">
        <v>39.552500000000002</v>
      </c>
    </row>
    <row r="36" spans="1:100" x14ac:dyDescent="0.35">
      <c r="A36" t="s">
        <v>242</v>
      </c>
      <c r="B36" t="s">
        <v>483</v>
      </c>
      <c r="C36" t="s">
        <v>484</v>
      </c>
      <c r="D36" t="s">
        <v>941</v>
      </c>
      <c r="E36" t="s">
        <v>666</v>
      </c>
      <c r="F36" t="s">
        <v>668</v>
      </c>
      <c r="G36" t="s">
        <v>260</v>
      </c>
      <c r="H36" t="s">
        <v>65</v>
      </c>
      <c r="I36" t="s">
        <v>544</v>
      </c>
      <c r="J36" t="s">
        <v>545</v>
      </c>
      <c r="K36" t="s">
        <v>546</v>
      </c>
      <c r="L36" t="s">
        <v>547</v>
      </c>
      <c r="M36" t="s">
        <v>667</v>
      </c>
      <c r="N36" t="s">
        <v>942</v>
      </c>
      <c r="O36" t="s">
        <v>943</v>
      </c>
      <c r="Q36" t="s">
        <v>69</v>
      </c>
      <c r="R36" t="s">
        <v>438</v>
      </c>
      <c r="S36" t="s">
        <v>92</v>
      </c>
      <c r="T36" t="s">
        <v>86</v>
      </c>
      <c r="U36" t="s">
        <v>291</v>
      </c>
      <c r="V36" t="s">
        <v>93</v>
      </c>
      <c r="W36">
        <v>1952420.44</v>
      </c>
      <c r="X36" t="s">
        <v>944</v>
      </c>
      <c r="Y36" t="s">
        <v>944</v>
      </c>
      <c r="Z36" t="s">
        <v>70</v>
      </c>
      <c r="AB36" t="s">
        <v>439</v>
      </c>
      <c r="AC36" t="s">
        <v>439</v>
      </c>
      <c r="AD36" t="s">
        <v>439</v>
      </c>
      <c r="AF36" t="s">
        <v>439</v>
      </c>
      <c r="AG36" t="s">
        <v>439</v>
      </c>
      <c r="AH36" t="s">
        <v>439</v>
      </c>
      <c r="AJ36" t="s">
        <v>439</v>
      </c>
      <c r="AK36" t="s">
        <v>439</v>
      </c>
      <c r="AL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U36" t="s">
        <v>439</v>
      </c>
      <c r="AV36" t="s">
        <v>439</v>
      </c>
      <c r="AW36" t="s">
        <v>439</v>
      </c>
      <c r="AX36">
        <v>0</v>
      </c>
      <c r="AY36" t="s">
        <v>439</v>
      </c>
      <c r="AZ36" t="s">
        <v>439</v>
      </c>
      <c r="BA36" t="s">
        <v>439</v>
      </c>
      <c r="BB36" t="s">
        <v>94</v>
      </c>
      <c r="BC36">
        <v>1952420.44</v>
      </c>
      <c r="BE36" t="s">
        <v>94</v>
      </c>
      <c r="BF36" t="s">
        <v>453</v>
      </c>
      <c r="BG36" t="s">
        <v>446</v>
      </c>
      <c r="BH36" t="s">
        <v>505</v>
      </c>
      <c r="BI36" t="s">
        <v>441</v>
      </c>
      <c r="BK36" t="s">
        <v>442</v>
      </c>
      <c r="BL36" t="s">
        <v>443</v>
      </c>
      <c r="BM36" t="s">
        <v>444</v>
      </c>
      <c r="BN36" t="s">
        <v>639</v>
      </c>
      <c r="BO36" t="s">
        <v>445</v>
      </c>
      <c r="BP36" t="s">
        <v>446</v>
      </c>
      <c r="BS36" t="s">
        <v>446</v>
      </c>
      <c r="BT36">
        <v>8</v>
      </c>
      <c r="BU36">
        <v>15</v>
      </c>
      <c r="CE36">
        <v>8</v>
      </c>
      <c r="CF36">
        <v>4.9000000000000002E-2</v>
      </c>
      <c r="CG36">
        <v>0.1575</v>
      </c>
      <c r="CH36">
        <v>88015.113435199994</v>
      </c>
      <c r="CI36">
        <v>156193.63519999999</v>
      </c>
      <c r="CJ36">
        <v>282905.72175600001</v>
      </c>
      <c r="CK36">
        <v>27</v>
      </c>
      <c r="CM36">
        <v>8</v>
      </c>
      <c r="CN36">
        <v>156193.63519999999</v>
      </c>
      <c r="CO36">
        <v>27</v>
      </c>
      <c r="CP36" s="55">
        <v>0.03</v>
      </c>
      <c r="CQ36" s="55">
        <v>0.04</v>
      </c>
      <c r="CS36" s="56">
        <v>1952420.44</v>
      </c>
      <c r="CT36" s="57">
        <v>7.0000000000000007E-2</v>
      </c>
      <c r="CU36">
        <v>136669.4308</v>
      </c>
      <c r="CV36" s="56">
        <v>33.997999999999998</v>
      </c>
    </row>
    <row r="37" spans="1:100" x14ac:dyDescent="0.35">
      <c r="A37" t="s">
        <v>242</v>
      </c>
      <c r="B37" t="s">
        <v>483</v>
      </c>
      <c r="C37" t="s">
        <v>484</v>
      </c>
      <c r="D37" t="s">
        <v>945</v>
      </c>
      <c r="E37" t="s">
        <v>669</v>
      </c>
      <c r="F37" t="s">
        <v>622</v>
      </c>
      <c r="G37" t="s">
        <v>260</v>
      </c>
      <c r="H37" t="s">
        <v>65</v>
      </c>
      <c r="I37" t="s">
        <v>524</v>
      </c>
      <c r="J37" t="s">
        <v>525</v>
      </c>
      <c r="K37" t="s">
        <v>526</v>
      </c>
      <c r="L37" t="s">
        <v>281</v>
      </c>
      <c r="M37" t="s">
        <v>670</v>
      </c>
      <c r="N37" t="s">
        <v>912</v>
      </c>
      <c r="O37" t="s">
        <v>817</v>
      </c>
      <c r="Q37" t="s">
        <v>79</v>
      </c>
      <c r="R37" t="s">
        <v>438</v>
      </c>
      <c r="S37" t="s">
        <v>92</v>
      </c>
      <c r="T37" t="s">
        <v>86</v>
      </c>
      <c r="U37" t="s">
        <v>291</v>
      </c>
      <c r="V37" t="s">
        <v>93</v>
      </c>
      <c r="W37">
        <v>9577518.6799999997</v>
      </c>
      <c r="X37" t="s">
        <v>946</v>
      </c>
      <c r="Y37" t="s">
        <v>946</v>
      </c>
      <c r="Z37" t="s">
        <v>70</v>
      </c>
      <c r="AB37" t="s">
        <v>439</v>
      </c>
      <c r="AC37" t="s">
        <v>439</v>
      </c>
      <c r="AD37" t="s">
        <v>439</v>
      </c>
      <c r="AF37" t="s">
        <v>439</v>
      </c>
      <c r="AG37" t="s">
        <v>439</v>
      </c>
      <c r="AH37" t="s">
        <v>439</v>
      </c>
      <c r="AJ37" t="s">
        <v>439</v>
      </c>
      <c r="AK37" t="s">
        <v>439</v>
      </c>
      <c r="AL37" t="s">
        <v>439</v>
      </c>
      <c r="AN37" t="s">
        <v>439</v>
      </c>
      <c r="AO37" t="s">
        <v>439</v>
      </c>
      <c r="AP37" t="s">
        <v>439</v>
      </c>
      <c r="AQ37" t="s">
        <v>439</v>
      </c>
      <c r="AR37" t="s">
        <v>439</v>
      </c>
      <c r="AS37" t="s">
        <v>439</v>
      </c>
      <c r="AU37" t="s">
        <v>439</v>
      </c>
      <c r="AV37" t="s">
        <v>439</v>
      </c>
      <c r="AW37" t="s">
        <v>439</v>
      </c>
      <c r="AX37">
        <v>0</v>
      </c>
      <c r="AY37" t="s">
        <v>439</v>
      </c>
      <c r="AZ37" t="s">
        <v>439</v>
      </c>
      <c r="BA37" t="s">
        <v>439</v>
      </c>
      <c r="BB37" t="s">
        <v>259</v>
      </c>
      <c r="BC37">
        <v>9577518.6799999997</v>
      </c>
      <c r="BE37" t="s">
        <v>259</v>
      </c>
      <c r="BF37" t="s">
        <v>462</v>
      </c>
      <c r="BG37" t="s">
        <v>446</v>
      </c>
      <c r="BH37" t="s">
        <v>203</v>
      </c>
      <c r="BI37" t="s">
        <v>449</v>
      </c>
      <c r="BK37" t="s">
        <v>442</v>
      </c>
      <c r="BL37" t="s">
        <v>443</v>
      </c>
      <c r="BM37" t="s">
        <v>444</v>
      </c>
      <c r="BN37" t="s">
        <v>639</v>
      </c>
      <c r="BO37" t="s">
        <v>445</v>
      </c>
      <c r="BP37" t="s">
        <v>446</v>
      </c>
      <c r="BT37">
        <v>8</v>
      </c>
      <c r="BU37">
        <v>15</v>
      </c>
      <c r="CE37">
        <v>15</v>
      </c>
      <c r="CF37">
        <v>4.9000000000000002E-2</v>
      </c>
      <c r="CG37">
        <v>0.1575</v>
      </c>
      <c r="CH37">
        <v>398903.65302200004</v>
      </c>
      <c r="CI37">
        <v>1436627.8019999999</v>
      </c>
      <c r="CJ37">
        <v>1282190.3132849999</v>
      </c>
      <c r="CK37">
        <v>32.549999999999997</v>
      </c>
      <c r="CM37">
        <v>15</v>
      </c>
      <c r="CN37">
        <v>1436627.8019999999</v>
      </c>
      <c r="CO37">
        <v>32.549999999999997</v>
      </c>
      <c r="CP37" s="55">
        <v>0.03</v>
      </c>
      <c r="CQ37" s="55">
        <v>0.04</v>
      </c>
      <c r="CS37" s="56">
        <v>9577518.6799999997</v>
      </c>
      <c r="CT37" s="57">
        <v>7.0000000000000007E-2</v>
      </c>
      <c r="CU37">
        <v>670426.30760000006</v>
      </c>
      <c r="CV37" s="56">
        <v>39.552500000000002</v>
      </c>
    </row>
    <row r="38" spans="1:100" x14ac:dyDescent="0.35">
      <c r="A38" t="s">
        <v>242</v>
      </c>
      <c r="B38" t="s">
        <v>483</v>
      </c>
      <c r="C38" t="s">
        <v>484</v>
      </c>
      <c r="D38" t="s">
        <v>947</v>
      </c>
      <c r="E38" t="s">
        <v>671</v>
      </c>
      <c r="F38" t="s">
        <v>622</v>
      </c>
      <c r="G38" t="s">
        <v>260</v>
      </c>
      <c r="H38" t="s">
        <v>65</v>
      </c>
      <c r="I38" t="s">
        <v>524</v>
      </c>
      <c r="J38" t="s">
        <v>525</v>
      </c>
      <c r="K38" t="s">
        <v>526</v>
      </c>
      <c r="L38" t="s">
        <v>281</v>
      </c>
      <c r="M38" t="s">
        <v>672</v>
      </c>
      <c r="N38" t="s">
        <v>912</v>
      </c>
      <c r="O38" t="s">
        <v>817</v>
      </c>
      <c r="Q38" t="s">
        <v>79</v>
      </c>
      <c r="R38" t="s">
        <v>438</v>
      </c>
      <c r="S38" t="s">
        <v>92</v>
      </c>
      <c r="T38" t="s">
        <v>86</v>
      </c>
      <c r="U38" t="s">
        <v>291</v>
      </c>
      <c r="V38" t="s">
        <v>93</v>
      </c>
      <c r="W38">
        <v>894756.92</v>
      </c>
      <c r="X38" t="s">
        <v>948</v>
      </c>
      <c r="Y38" t="s">
        <v>948</v>
      </c>
      <c r="Z38" t="s">
        <v>70</v>
      </c>
      <c r="AB38" t="s">
        <v>439</v>
      </c>
      <c r="AC38" t="s">
        <v>439</v>
      </c>
      <c r="AD38" t="s">
        <v>439</v>
      </c>
      <c r="AF38" t="s">
        <v>439</v>
      </c>
      <c r="AG38" t="s">
        <v>439</v>
      </c>
      <c r="AH38" t="s">
        <v>439</v>
      </c>
      <c r="AJ38" t="s">
        <v>439</v>
      </c>
      <c r="AK38" t="s">
        <v>439</v>
      </c>
      <c r="AL38" t="s">
        <v>439</v>
      </c>
      <c r="AN38" t="s">
        <v>439</v>
      </c>
      <c r="AO38" t="s">
        <v>439</v>
      </c>
      <c r="AP38" t="s">
        <v>439</v>
      </c>
      <c r="AQ38" t="s">
        <v>439</v>
      </c>
      <c r="AR38" t="s">
        <v>439</v>
      </c>
      <c r="AS38" t="s">
        <v>439</v>
      </c>
      <c r="AU38" t="s">
        <v>439</v>
      </c>
      <c r="AV38" t="s">
        <v>439</v>
      </c>
      <c r="AW38" t="s">
        <v>439</v>
      </c>
      <c r="AX38">
        <v>0</v>
      </c>
      <c r="AY38" t="s">
        <v>439</v>
      </c>
      <c r="AZ38" t="s">
        <v>439</v>
      </c>
      <c r="BA38" t="s">
        <v>439</v>
      </c>
      <c r="BB38" t="s">
        <v>259</v>
      </c>
      <c r="BC38">
        <v>894756.92</v>
      </c>
      <c r="BE38" t="s">
        <v>259</v>
      </c>
      <c r="BF38" t="s">
        <v>462</v>
      </c>
      <c r="BG38" t="s">
        <v>446</v>
      </c>
      <c r="BH38" t="s">
        <v>203</v>
      </c>
      <c r="BI38" t="s">
        <v>449</v>
      </c>
      <c r="BK38" t="s">
        <v>442</v>
      </c>
      <c r="BL38" t="s">
        <v>443</v>
      </c>
      <c r="BM38" t="s">
        <v>444</v>
      </c>
      <c r="BN38" t="s">
        <v>639</v>
      </c>
      <c r="BO38" t="s">
        <v>445</v>
      </c>
      <c r="BP38" t="s">
        <v>446</v>
      </c>
      <c r="BT38">
        <v>8</v>
      </c>
      <c r="BU38">
        <v>15</v>
      </c>
      <c r="CE38">
        <v>15</v>
      </c>
      <c r="CF38">
        <v>4.9000000000000002E-2</v>
      </c>
      <c r="CG38">
        <v>0.1575</v>
      </c>
      <c r="CH38">
        <v>37266.625718000003</v>
      </c>
      <c r="CI38">
        <v>134213.538</v>
      </c>
      <c r="CJ38">
        <v>119785.58266500001</v>
      </c>
      <c r="CK38">
        <v>32.549999999999997</v>
      </c>
      <c r="CM38">
        <v>15</v>
      </c>
      <c r="CN38">
        <v>134213.538</v>
      </c>
      <c r="CO38">
        <v>32.549999999999997</v>
      </c>
      <c r="CP38" s="55">
        <v>0.03</v>
      </c>
      <c r="CQ38" s="55">
        <v>0.04</v>
      </c>
      <c r="CS38" s="56">
        <v>894756.92</v>
      </c>
      <c r="CT38" s="57">
        <v>7.0000000000000007E-2</v>
      </c>
      <c r="CU38">
        <v>62632.984400000008</v>
      </c>
      <c r="CV38" s="56">
        <v>39.552500000000002</v>
      </c>
    </row>
    <row r="39" spans="1:100" x14ac:dyDescent="0.35">
      <c r="A39" t="s">
        <v>242</v>
      </c>
      <c r="B39" t="s">
        <v>483</v>
      </c>
      <c r="C39" t="s">
        <v>484</v>
      </c>
      <c r="D39" t="s">
        <v>949</v>
      </c>
      <c r="E39" t="s">
        <v>673</v>
      </c>
      <c r="F39" t="s">
        <v>675</v>
      </c>
      <c r="G39" t="s">
        <v>260</v>
      </c>
      <c r="H39" t="s">
        <v>65</v>
      </c>
      <c r="I39" t="s">
        <v>579</v>
      </c>
      <c r="J39" t="s">
        <v>580</v>
      </c>
      <c r="K39" t="s">
        <v>581</v>
      </c>
      <c r="L39" t="s">
        <v>504</v>
      </c>
      <c r="M39" t="s">
        <v>674</v>
      </c>
      <c r="N39" t="s">
        <v>942</v>
      </c>
      <c r="O39" t="s">
        <v>923</v>
      </c>
      <c r="Q39" t="s">
        <v>79</v>
      </c>
      <c r="R39" t="s">
        <v>438</v>
      </c>
      <c r="S39" t="s">
        <v>92</v>
      </c>
      <c r="T39" t="s">
        <v>86</v>
      </c>
      <c r="U39" t="s">
        <v>291</v>
      </c>
      <c r="V39" t="s">
        <v>93</v>
      </c>
      <c r="W39">
        <v>1353203.44</v>
      </c>
      <c r="X39" t="s">
        <v>950</v>
      </c>
      <c r="Y39" t="s">
        <v>950</v>
      </c>
      <c r="Z39" t="s">
        <v>70</v>
      </c>
      <c r="AB39" t="s">
        <v>439</v>
      </c>
      <c r="AC39" t="s">
        <v>439</v>
      </c>
      <c r="AD39" t="s">
        <v>439</v>
      </c>
      <c r="AF39" t="s">
        <v>439</v>
      </c>
      <c r="AG39" t="s">
        <v>439</v>
      </c>
      <c r="AH39" t="s">
        <v>439</v>
      </c>
      <c r="AJ39" t="s">
        <v>439</v>
      </c>
      <c r="AK39" t="s">
        <v>439</v>
      </c>
      <c r="AL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U39" t="s">
        <v>439</v>
      </c>
      <c r="AV39" t="s">
        <v>439</v>
      </c>
      <c r="AW39" t="s">
        <v>439</v>
      </c>
      <c r="AX39">
        <v>0</v>
      </c>
      <c r="AY39" t="s">
        <v>439</v>
      </c>
      <c r="AZ39" t="s">
        <v>439</v>
      </c>
      <c r="BA39" t="s">
        <v>439</v>
      </c>
      <c r="BB39" t="s">
        <v>108</v>
      </c>
      <c r="BC39">
        <v>1353203.44</v>
      </c>
      <c r="BE39" t="s">
        <v>108</v>
      </c>
      <c r="BF39" t="s">
        <v>465</v>
      </c>
      <c r="BG39" t="s">
        <v>446</v>
      </c>
      <c r="BH39" t="s">
        <v>505</v>
      </c>
      <c r="BI39" t="s">
        <v>441</v>
      </c>
      <c r="BK39" t="s">
        <v>442</v>
      </c>
      <c r="BL39" t="s">
        <v>443</v>
      </c>
      <c r="BM39" t="s">
        <v>444</v>
      </c>
      <c r="BN39" t="s">
        <v>639</v>
      </c>
      <c r="BO39" t="s">
        <v>445</v>
      </c>
      <c r="BP39" t="s">
        <v>446</v>
      </c>
      <c r="BS39" t="s">
        <v>446</v>
      </c>
      <c r="BT39">
        <v>8</v>
      </c>
      <c r="BU39">
        <v>15</v>
      </c>
      <c r="CE39">
        <v>8</v>
      </c>
      <c r="CF39">
        <v>4.9000000000000002E-2</v>
      </c>
      <c r="CG39">
        <v>0.1575</v>
      </c>
      <c r="CH39">
        <v>61002.411075199998</v>
      </c>
      <c r="CI39">
        <v>108256.2752</v>
      </c>
      <c r="CJ39">
        <v>196079.17845600002</v>
      </c>
      <c r="CK39">
        <v>27</v>
      </c>
      <c r="CM39">
        <v>8</v>
      </c>
      <c r="CN39">
        <v>108256.2752</v>
      </c>
      <c r="CO39">
        <v>27</v>
      </c>
      <c r="CP39" s="55">
        <v>0.03</v>
      </c>
      <c r="CQ39" s="55">
        <v>0.04</v>
      </c>
      <c r="CS39" s="56">
        <v>1353203.44</v>
      </c>
      <c r="CT39" s="57">
        <v>7.0000000000000007E-2</v>
      </c>
      <c r="CU39">
        <v>94724.2408</v>
      </c>
      <c r="CV39" s="56">
        <v>33.997999999999998</v>
      </c>
    </row>
    <row r="40" spans="1:100" x14ac:dyDescent="0.35">
      <c r="A40" t="s">
        <v>242</v>
      </c>
      <c r="B40" t="s">
        <v>483</v>
      </c>
      <c r="C40" t="s">
        <v>484</v>
      </c>
      <c r="D40" t="s">
        <v>951</v>
      </c>
      <c r="E40" t="s">
        <v>676</v>
      </c>
      <c r="F40" t="s">
        <v>622</v>
      </c>
      <c r="G40" t="s">
        <v>260</v>
      </c>
      <c r="H40" t="s">
        <v>65</v>
      </c>
      <c r="I40" t="s">
        <v>257</v>
      </c>
      <c r="J40" t="s">
        <v>485</v>
      </c>
      <c r="K40" t="s">
        <v>447</v>
      </c>
      <c r="L40" t="s">
        <v>528</v>
      </c>
      <c r="M40" t="s">
        <v>952</v>
      </c>
      <c r="N40" t="s">
        <v>953</v>
      </c>
      <c r="O40" t="s">
        <v>813</v>
      </c>
      <c r="Q40" t="s">
        <v>69</v>
      </c>
      <c r="R40" t="s">
        <v>438</v>
      </c>
      <c r="S40" t="s">
        <v>92</v>
      </c>
      <c r="T40" t="s">
        <v>86</v>
      </c>
      <c r="U40" t="s">
        <v>291</v>
      </c>
      <c r="V40" t="s">
        <v>93</v>
      </c>
      <c r="W40">
        <v>2414312.9700000002</v>
      </c>
      <c r="X40" t="s">
        <v>954</v>
      </c>
      <c r="Y40" t="s">
        <v>954</v>
      </c>
      <c r="Z40" t="s">
        <v>70</v>
      </c>
      <c r="AB40" t="s">
        <v>439</v>
      </c>
      <c r="AC40" t="s">
        <v>439</v>
      </c>
      <c r="AD40" t="s">
        <v>439</v>
      </c>
      <c r="AF40" t="s">
        <v>439</v>
      </c>
      <c r="AG40" t="s">
        <v>439</v>
      </c>
      <c r="AH40" t="s">
        <v>439</v>
      </c>
      <c r="AJ40" t="s">
        <v>439</v>
      </c>
      <c r="AK40" t="s">
        <v>439</v>
      </c>
      <c r="AL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U40" t="s">
        <v>439</v>
      </c>
      <c r="AV40" t="s">
        <v>439</v>
      </c>
      <c r="AW40" t="s">
        <v>439</v>
      </c>
      <c r="AX40">
        <v>0</v>
      </c>
      <c r="AY40" t="s">
        <v>439</v>
      </c>
      <c r="AZ40" t="s">
        <v>439</v>
      </c>
      <c r="BA40" t="s">
        <v>439</v>
      </c>
      <c r="BB40" t="s">
        <v>561</v>
      </c>
      <c r="BC40">
        <v>2414312.9700000002</v>
      </c>
      <c r="BE40" t="s">
        <v>561</v>
      </c>
      <c r="BF40" t="s">
        <v>448</v>
      </c>
      <c r="BG40" t="s">
        <v>446</v>
      </c>
      <c r="BH40" t="s">
        <v>206</v>
      </c>
      <c r="BI40" t="s">
        <v>449</v>
      </c>
      <c r="BK40" t="s">
        <v>442</v>
      </c>
      <c r="BL40" t="s">
        <v>443</v>
      </c>
      <c r="BM40" t="s">
        <v>444</v>
      </c>
      <c r="BN40" t="s">
        <v>639</v>
      </c>
      <c r="BO40" t="s">
        <v>445</v>
      </c>
      <c r="BP40" t="s">
        <v>446</v>
      </c>
      <c r="BT40">
        <v>8</v>
      </c>
      <c r="BU40">
        <v>15</v>
      </c>
      <c r="CE40">
        <v>15</v>
      </c>
      <c r="CF40">
        <v>4.9000000000000002E-2</v>
      </c>
      <c r="CG40">
        <v>0.1575</v>
      </c>
      <c r="CH40">
        <v>100556.13520050001</v>
      </c>
      <c r="CI40">
        <v>362146.94550000003</v>
      </c>
      <c r="CJ40">
        <v>323216.14885875001</v>
      </c>
      <c r="CK40">
        <v>32.549999999999997</v>
      </c>
      <c r="CM40">
        <v>15</v>
      </c>
      <c r="CN40">
        <v>362146.94550000003</v>
      </c>
      <c r="CO40">
        <v>32.549999999999997</v>
      </c>
      <c r="CP40" s="55">
        <v>0.03</v>
      </c>
      <c r="CQ40" s="55">
        <v>0.04</v>
      </c>
      <c r="CS40" s="56">
        <v>2414312.9700000002</v>
      </c>
      <c r="CT40" s="57">
        <v>7.0000000000000007E-2</v>
      </c>
      <c r="CU40">
        <v>169001.90790000002</v>
      </c>
      <c r="CV40" s="56">
        <v>39.552500000000002</v>
      </c>
    </row>
    <row r="41" spans="1:100" x14ac:dyDescent="0.35">
      <c r="A41" t="s">
        <v>242</v>
      </c>
      <c r="B41" t="s">
        <v>483</v>
      </c>
      <c r="C41" t="s">
        <v>484</v>
      </c>
      <c r="D41" t="s">
        <v>955</v>
      </c>
      <c r="E41" t="s">
        <v>677</v>
      </c>
      <c r="F41" t="s">
        <v>622</v>
      </c>
      <c r="G41" t="s">
        <v>260</v>
      </c>
      <c r="H41" t="s">
        <v>65</v>
      </c>
      <c r="I41" t="s">
        <v>287</v>
      </c>
      <c r="J41" t="s">
        <v>490</v>
      </c>
      <c r="K41" t="s">
        <v>467</v>
      </c>
      <c r="L41" t="s">
        <v>281</v>
      </c>
      <c r="M41" t="s">
        <v>956</v>
      </c>
      <c r="N41" t="s">
        <v>942</v>
      </c>
      <c r="O41" t="s">
        <v>813</v>
      </c>
      <c r="Q41" t="s">
        <v>69</v>
      </c>
      <c r="R41" t="s">
        <v>438</v>
      </c>
      <c r="S41" t="s">
        <v>92</v>
      </c>
      <c r="T41" t="s">
        <v>86</v>
      </c>
      <c r="U41" t="s">
        <v>291</v>
      </c>
      <c r="V41" t="s">
        <v>93</v>
      </c>
      <c r="W41">
        <v>3962972.34</v>
      </c>
      <c r="X41" t="s">
        <v>957</v>
      </c>
      <c r="Y41" t="s">
        <v>957</v>
      </c>
      <c r="Z41" t="s">
        <v>70</v>
      </c>
      <c r="AB41" t="s">
        <v>439</v>
      </c>
      <c r="AC41" t="s">
        <v>439</v>
      </c>
      <c r="AD41" t="s">
        <v>439</v>
      </c>
      <c r="AF41" t="s">
        <v>439</v>
      </c>
      <c r="AG41" t="s">
        <v>439</v>
      </c>
      <c r="AH41" t="s">
        <v>439</v>
      </c>
      <c r="AJ41" t="s">
        <v>439</v>
      </c>
      <c r="AK41" t="s">
        <v>439</v>
      </c>
      <c r="AL41" t="s">
        <v>439</v>
      </c>
      <c r="AN41" t="s">
        <v>439</v>
      </c>
      <c r="AO41" t="s">
        <v>439</v>
      </c>
      <c r="AP41" t="s">
        <v>439</v>
      </c>
      <c r="AQ41" t="s">
        <v>439</v>
      </c>
      <c r="AR41" t="s">
        <v>439</v>
      </c>
      <c r="AS41" t="s">
        <v>439</v>
      </c>
      <c r="AU41" t="s">
        <v>439</v>
      </c>
      <c r="AV41" t="s">
        <v>439</v>
      </c>
      <c r="AW41" t="s">
        <v>439</v>
      </c>
      <c r="AX41">
        <v>0</v>
      </c>
      <c r="AY41" t="s">
        <v>439</v>
      </c>
      <c r="AZ41" t="s">
        <v>439</v>
      </c>
      <c r="BA41" t="s">
        <v>439</v>
      </c>
      <c r="BB41" t="s">
        <v>522</v>
      </c>
      <c r="BC41">
        <v>3962972.34</v>
      </c>
      <c r="BE41" t="s">
        <v>522</v>
      </c>
      <c r="BF41" t="s">
        <v>523</v>
      </c>
      <c r="BG41" t="s">
        <v>446</v>
      </c>
      <c r="BH41" t="s">
        <v>203</v>
      </c>
      <c r="BI41" t="s">
        <v>449</v>
      </c>
      <c r="BK41" t="s">
        <v>442</v>
      </c>
      <c r="BL41" t="s">
        <v>443</v>
      </c>
      <c r="BM41" t="s">
        <v>444</v>
      </c>
      <c r="BN41" t="s">
        <v>639</v>
      </c>
      <c r="BO41" t="s">
        <v>445</v>
      </c>
      <c r="BP41" t="s">
        <v>446</v>
      </c>
      <c r="BT41">
        <v>8</v>
      </c>
      <c r="BU41">
        <v>15</v>
      </c>
      <c r="CE41">
        <v>15</v>
      </c>
      <c r="CF41">
        <v>4.9000000000000002E-2</v>
      </c>
      <c r="CG41">
        <v>0.1575</v>
      </c>
      <c r="CH41">
        <v>165057.79796099997</v>
      </c>
      <c r="CI41">
        <v>594445.85099999991</v>
      </c>
      <c r="CJ41">
        <v>530542.92201750004</v>
      </c>
      <c r="CK41">
        <v>32.549999999999997</v>
      </c>
      <c r="CM41">
        <v>15</v>
      </c>
      <c r="CN41">
        <v>594445.85099999991</v>
      </c>
      <c r="CO41">
        <v>32.549999999999997</v>
      </c>
      <c r="CP41" s="55">
        <v>0.03</v>
      </c>
      <c r="CQ41" s="55">
        <v>0.04</v>
      </c>
      <c r="CS41" s="56">
        <v>3962972.34</v>
      </c>
      <c r="CT41" s="57">
        <v>7.0000000000000007E-2</v>
      </c>
      <c r="CU41">
        <v>277408.0638</v>
      </c>
      <c r="CV41" s="56">
        <v>39.552500000000002</v>
      </c>
    </row>
    <row r="42" spans="1:100" x14ac:dyDescent="0.35">
      <c r="A42" t="s">
        <v>242</v>
      </c>
      <c r="B42" t="s">
        <v>483</v>
      </c>
      <c r="C42" t="s">
        <v>484</v>
      </c>
      <c r="D42" t="s">
        <v>958</v>
      </c>
      <c r="E42" t="s">
        <v>678</v>
      </c>
      <c r="F42" t="s">
        <v>622</v>
      </c>
      <c r="G42" t="s">
        <v>260</v>
      </c>
      <c r="H42" t="s">
        <v>65</v>
      </c>
      <c r="I42" t="s">
        <v>287</v>
      </c>
      <c r="J42" t="s">
        <v>490</v>
      </c>
      <c r="K42" t="s">
        <v>467</v>
      </c>
      <c r="L42" t="s">
        <v>281</v>
      </c>
      <c r="M42" t="s">
        <v>468</v>
      </c>
      <c r="N42" t="s">
        <v>942</v>
      </c>
      <c r="O42" t="s">
        <v>813</v>
      </c>
      <c r="Q42" t="s">
        <v>69</v>
      </c>
      <c r="R42" t="s">
        <v>438</v>
      </c>
      <c r="S42" t="s">
        <v>92</v>
      </c>
      <c r="T42" t="s">
        <v>86</v>
      </c>
      <c r="U42" t="s">
        <v>291</v>
      </c>
      <c r="V42" t="s">
        <v>93</v>
      </c>
      <c r="W42">
        <v>893323.9</v>
      </c>
      <c r="X42" t="s">
        <v>959</v>
      </c>
      <c r="Y42" t="s">
        <v>959</v>
      </c>
      <c r="Z42" t="s">
        <v>70</v>
      </c>
      <c r="AB42" t="s">
        <v>439</v>
      </c>
      <c r="AC42" t="s">
        <v>439</v>
      </c>
      <c r="AD42" t="s">
        <v>439</v>
      </c>
      <c r="AF42" t="s">
        <v>439</v>
      </c>
      <c r="AG42" t="s">
        <v>439</v>
      </c>
      <c r="AH42" t="s">
        <v>439</v>
      </c>
      <c r="AJ42" t="s">
        <v>439</v>
      </c>
      <c r="AK42" t="s">
        <v>439</v>
      </c>
      <c r="AL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U42" t="s">
        <v>439</v>
      </c>
      <c r="AV42" t="s">
        <v>439</v>
      </c>
      <c r="AW42" t="s">
        <v>439</v>
      </c>
      <c r="AX42">
        <v>0</v>
      </c>
      <c r="AY42" t="s">
        <v>439</v>
      </c>
      <c r="AZ42" t="s">
        <v>439</v>
      </c>
      <c r="BA42" t="s">
        <v>439</v>
      </c>
      <c r="BB42" t="s">
        <v>522</v>
      </c>
      <c r="BC42">
        <v>893323.9</v>
      </c>
      <c r="BE42" t="s">
        <v>522</v>
      </c>
      <c r="BF42" t="s">
        <v>523</v>
      </c>
      <c r="BG42" t="s">
        <v>446</v>
      </c>
      <c r="BH42" t="s">
        <v>203</v>
      </c>
      <c r="BI42" t="s">
        <v>449</v>
      </c>
      <c r="BK42" t="s">
        <v>442</v>
      </c>
      <c r="BL42" t="s">
        <v>443</v>
      </c>
      <c r="BM42" t="s">
        <v>444</v>
      </c>
      <c r="BN42" t="s">
        <v>639</v>
      </c>
      <c r="BO42" t="s">
        <v>445</v>
      </c>
      <c r="BP42" t="s">
        <v>446</v>
      </c>
      <c r="BT42">
        <v>8</v>
      </c>
      <c r="BU42">
        <v>15</v>
      </c>
      <c r="CE42">
        <v>15</v>
      </c>
      <c r="CF42">
        <v>4.9000000000000002E-2</v>
      </c>
      <c r="CG42">
        <v>0.1575</v>
      </c>
      <c r="CH42">
        <v>37206.940435000004</v>
      </c>
      <c r="CI42">
        <v>133998.58499999999</v>
      </c>
      <c r="CJ42">
        <v>119593.73711250001</v>
      </c>
      <c r="CK42">
        <v>32.549999999999997</v>
      </c>
      <c r="CM42">
        <v>15</v>
      </c>
      <c r="CN42">
        <v>133998.58499999999</v>
      </c>
      <c r="CO42">
        <v>32.549999999999997</v>
      </c>
      <c r="CP42" s="55">
        <v>0.03</v>
      </c>
      <c r="CQ42" s="55">
        <v>0.04</v>
      </c>
      <c r="CS42" s="56">
        <v>893323.9</v>
      </c>
      <c r="CT42" s="57">
        <v>7.0000000000000007E-2</v>
      </c>
      <c r="CU42">
        <v>62532.67300000001</v>
      </c>
      <c r="CV42" s="56">
        <v>39.552500000000002</v>
      </c>
    </row>
    <row r="43" spans="1:100" x14ac:dyDescent="0.35">
      <c r="A43" t="s">
        <v>242</v>
      </c>
      <c r="B43" t="s">
        <v>483</v>
      </c>
      <c r="C43" t="s">
        <v>484</v>
      </c>
      <c r="D43" t="s">
        <v>960</v>
      </c>
      <c r="E43" t="s">
        <v>679</v>
      </c>
      <c r="F43" t="s">
        <v>622</v>
      </c>
      <c r="G43" t="s">
        <v>260</v>
      </c>
      <c r="H43" t="s">
        <v>65</v>
      </c>
      <c r="I43" t="s">
        <v>287</v>
      </c>
      <c r="J43" t="s">
        <v>490</v>
      </c>
      <c r="K43" t="s">
        <v>467</v>
      </c>
      <c r="L43" t="s">
        <v>281</v>
      </c>
      <c r="M43" t="s">
        <v>961</v>
      </c>
      <c r="N43" t="s">
        <v>942</v>
      </c>
      <c r="O43" t="s">
        <v>813</v>
      </c>
      <c r="Q43" t="s">
        <v>69</v>
      </c>
      <c r="R43" t="s">
        <v>438</v>
      </c>
      <c r="S43" t="s">
        <v>92</v>
      </c>
      <c r="T43" t="s">
        <v>86</v>
      </c>
      <c r="U43" t="s">
        <v>291</v>
      </c>
      <c r="V43" t="s">
        <v>93</v>
      </c>
      <c r="W43">
        <v>4055968.32</v>
      </c>
      <c r="X43" t="s">
        <v>962</v>
      </c>
      <c r="Y43" t="s">
        <v>962</v>
      </c>
      <c r="Z43" t="s">
        <v>70</v>
      </c>
      <c r="AB43" t="s">
        <v>439</v>
      </c>
      <c r="AC43" t="s">
        <v>439</v>
      </c>
      <c r="AD43" t="s">
        <v>439</v>
      </c>
      <c r="AF43" t="s">
        <v>439</v>
      </c>
      <c r="AG43" t="s">
        <v>439</v>
      </c>
      <c r="AH43" t="s">
        <v>439</v>
      </c>
      <c r="AJ43" t="s">
        <v>439</v>
      </c>
      <c r="AK43" t="s">
        <v>439</v>
      </c>
      <c r="AL43" t="s">
        <v>439</v>
      </c>
      <c r="AN43" t="s">
        <v>439</v>
      </c>
      <c r="AO43" t="s">
        <v>439</v>
      </c>
      <c r="AP43" t="s">
        <v>439</v>
      </c>
      <c r="AQ43" t="s">
        <v>439</v>
      </c>
      <c r="AR43" t="s">
        <v>439</v>
      </c>
      <c r="AS43" t="s">
        <v>439</v>
      </c>
      <c r="AU43" t="s">
        <v>439</v>
      </c>
      <c r="AV43" t="s">
        <v>439</v>
      </c>
      <c r="AW43" t="s">
        <v>439</v>
      </c>
      <c r="AX43">
        <v>0</v>
      </c>
      <c r="AY43" t="s">
        <v>439</v>
      </c>
      <c r="AZ43" t="s">
        <v>439</v>
      </c>
      <c r="BA43" t="s">
        <v>439</v>
      </c>
      <c r="BB43" t="s">
        <v>522</v>
      </c>
      <c r="BC43">
        <v>4055968.32</v>
      </c>
      <c r="BE43" t="s">
        <v>522</v>
      </c>
      <c r="BF43" t="s">
        <v>523</v>
      </c>
      <c r="BG43" t="s">
        <v>446</v>
      </c>
      <c r="BH43" t="s">
        <v>203</v>
      </c>
      <c r="BI43" t="s">
        <v>449</v>
      </c>
      <c r="BK43" t="s">
        <v>442</v>
      </c>
      <c r="BL43" t="s">
        <v>443</v>
      </c>
      <c r="BM43" t="s">
        <v>444</v>
      </c>
      <c r="BN43" t="s">
        <v>639</v>
      </c>
      <c r="BO43" t="s">
        <v>445</v>
      </c>
      <c r="BP43" t="s">
        <v>446</v>
      </c>
      <c r="BT43">
        <v>8</v>
      </c>
      <c r="BU43">
        <v>15</v>
      </c>
      <c r="CE43">
        <v>15</v>
      </c>
      <c r="CF43">
        <v>4.9000000000000002E-2</v>
      </c>
      <c r="CG43">
        <v>0.1575</v>
      </c>
      <c r="CH43">
        <v>168931.08052799999</v>
      </c>
      <c r="CI43">
        <v>608395.24799999991</v>
      </c>
      <c r="CJ43">
        <v>542992.75884000002</v>
      </c>
      <c r="CK43">
        <v>32.549999999999997</v>
      </c>
      <c r="CM43">
        <v>15</v>
      </c>
      <c r="CN43">
        <v>608395.24799999991</v>
      </c>
      <c r="CO43">
        <v>32.549999999999997</v>
      </c>
      <c r="CP43" s="55">
        <v>0.03</v>
      </c>
      <c r="CQ43" s="55">
        <v>0.04</v>
      </c>
      <c r="CS43" s="56">
        <v>4055968.32</v>
      </c>
      <c r="CT43" s="57">
        <v>7.0000000000000007E-2</v>
      </c>
      <c r="CU43">
        <v>283917.78240000003</v>
      </c>
      <c r="CV43" s="56">
        <v>39.552500000000002</v>
      </c>
    </row>
    <row r="44" spans="1:100" x14ac:dyDescent="0.35">
      <c r="A44" t="s">
        <v>242</v>
      </c>
      <c r="B44" t="s">
        <v>483</v>
      </c>
      <c r="C44" t="s">
        <v>484</v>
      </c>
      <c r="D44" t="s">
        <v>963</v>
      </c>
      <c r="E44" t="s">
        <v>680</v>
      </c>
      <c r="F44" t="s">
        <v>685</v>
      </c>
      <c r="G44" t="s">
        <v>260</v>
      </c>
      <c r="H44" t="s">
        <v>65</v>
      </c>
      <c r="I44" t="s">
        <v>257</v>
      </c>
      <c r="J44" t="s">
        <v>485</v>
      </c>
      <c r="K44" t="s">
        <v>447</v>
      </c>
      <c r="L44" t="s">
        <v>528</v>
      </c>
      <c r="M44" t="s">
        <v>964</v>
      </c>
      <c r="N44" t="s">
        <v>942</v>
      </c>
      <c r="O44" t="s">
        <v>904</v>
      </c>
      <c r="Q44" t="s">
        <v>69</v>
      </c>
      <c r="R44" t="s">
        <v>438</v>
      </c>
      <c r="S44" t="s">
        <v>92</v>
      </c>
      <c r="T44" t="s">
        <v>86</v>
      </c>
      <c r="U44" t="s">
        <v>291</v>
      </c>
      <c r="V44" t="s">
        <v>93</v>
      </c>
      <c r="W44">
        <v>1699231.78</v>
      </c>
      <c r="X44" t="s">
        <v>965</v>
      </c>
      <c r="Y44" t="s">
        <v>965</v>
      </c>
      <c r="Z44" t="s">
        <v>70</v>
      </c>
      <c r="AB44" t="s">
        <v>439</v>
      </c>
      <c r="AC44" t="s">
        <v>439</v>
      </c>
      <c r="AD44" t="s">
        <v>439</v>
      </c>
      <c r="AF44" t="s">
        <v>439</v>
      </c>
      <c r="AG44" t="s">
        <v>439</v>
      </c>
      <c r="AH44" t="s">
        <v>439</v>
      </c>
      <c r="AJ44" t="s">
        <v>439</v>
      </c>
      <c r="AK44" t="s">
        <v>439</v>
      </c>
      <c r="AL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U44" t="s">
        <v>439</v>
      </c>
      <c r="AV44" t="s">
        <v>439</v>
      </c>
      <c r="AW44" t="s">
        <v>439</v>
      </c>
      <c r="AX44">
        <v>0</v>
      </c>
      <c r="AY44" t="s">
        <v>439</v>
      </c>
      <c r="AZ44" t="s">
        <v>439</v>
      </c>
      <c r="BA44" t="s">
        <v>439</v>
      </c>
      <c r="BB44" t="s">
        <v>561</v>
      </c>
      <c r="BC44">
        <v>1699231.78</v>
      </c>
      <c r="BE44" t="s">
        <v>561</v>
      </c>
      <c r="BF44" t="s">
        <v>448</v>
      </c>
      <c r="BG44" t="s">
        <v>446</v>
      </c>
      <c r="BH44" t="s">
        <v>206</v>
      </c>
      <c r="BI44" t="s">
        <v>449</v>
      </c>
      <c r="BK44" t="s">
        <v>442</v>
      </c>
      <c r="BL44" t="s">
        <v>443</v>
      </c>
      <c r="BM44" t="s">
        <v>444</v>
      </c>
      <c r="BN44" t="s">
        <v>639</v>
      </c>
      <c r="BO44" t="s">
        <v>445</v>
      </c>
      <c r="BP44" t="s">
        <v>446</v>
      </c>
      <c r="BT44">
        <v>8</v>
      </c>
      <c r="BU44">
        <v>15</v>
      </c>
      <c r="CE44">
        <v>15</v>
      </c>
      <c r="CF44">
        <v>4.9000000000000002E-2</v>
      </c>
      <c r="CG44">
        <v>0.1575</v>
      </c>
      <c r="CH44">
        <v>70773.003637000002</v>
      </c>
      <c r="CI44">
        <v>254884.76699999999</v>
      </c>
      <c r="CJ44">
        <v>227484.65454749999</v>
      </c>
      <c r="CK44">
        <v>32.549999999999997</v>
      </c>
      <c r="CM44">
        <v>15</v>
      </c>
      <c r="CN44">
        <v>254884.76699999999</v>
      </c>
      <c r="CO44">
        <v>32.549999999999997</v>
      </c>
      <c r="CP44" s="55">
        <v>0.03</v>
      </c>
      <c r="CQ44" s="55">
        <v>0.04</v>
      </c>
      <c r="CS44" s="56">
        <v>1699231.78</v>
      </c>
      <c r="CT44" s="57">
        <v>7.0000000000000007E-2</v>
      </c>
      <c r="CU44">
        <v>118946.22460000002</v>
      </c>
      <c r="CV44" s="56">
        <v>39.552500000000002</v>
      </c>
    </row>
    <row r="45" spans="1:100" x14ac:dyDescent="0.35">
      <c r="A45" t="s">
        <v>242</v>
      </c>
      <c r="B45" t="s">
        <v>483</v>
      </c>
      <c r="C45" t="s">
        <v>484</v>
      </c>
      <c r="D45" t="s">
        <v>966</v>
      </c>
      <c r="E45" t="s">
        <v>684</v>
      </c>
      <c r="F45" t="s">
        <v>685</v>
      </c>
      <c r="G45" t="s">
        <v>260</v>
      </c>
      <c r="H45" t="s">
        <v>65</v>
      </c>
      <c r="I45" t="s">
        <v>115</v>
      </c>
      <c r="J45" t="s">
        <v>487</v>
      </c>
      <c r="K45" t="s">
        <v>451</v>
      </c>
      <c r="L45" t="s">
        <v>281</v>
      </c>
      <c r="M45" t="s">
        <v>967</v>
      </c>
      <c r="N45" t="s">
        <v>968</v>
      </c>
      <c r="O45" t="s">
        <v>904</v>
      </c>
      <c r="Q45" t="s">
        <v>69</v>
      </c>
      <c r="R45" t="s">
        <v>438</v>
      </c>
      <c r="S45" t="s">
        <v>92</v>
      </c>
      <c r="T45" t="s">
        <v>86</v>
      </c>
      <c r="U45" t="s">
        <v>291</v>
      </c>
      <c r="V45" t="s">
        <v>93</v>
      </c>
      <c r="W45">
        <v>4381827.87</v>
      </c>
      <c r="X45" t="s">
        <v>969</v>
      </c>
      <c r="Y45" t="s">
        <v>969</v>
      </c>
      <c r="Z45" t="s">
        <v>70</v>
      </c>
      <c r="AB45" t="s">
        <v>439</v>
      </c>
      <c r="AC45" t="s">
        <v>439</v>
      </c>
      <c r="AD45" t="s">
        <v>439</v>
      </c>
      <c r="AF45" t="s">
        <v>439</v>
      </c>
      <c r="AG45" t="s">
        <v>439</v>
      </c>
      <c r="AH45" t="s">
        <v>439</v>
      </c>
      <c r="AJ45" t="s">
        <v>439</v>
      </c>
      <c r="AK45" t="s">
        <v>439</v>
      </c>
      <c r="AL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U45" t="s">
        <v>439</v>
      </c>
      <c r="AV45" t="s">
        <v>439</v>
      </c>
      <c r="AW45" t="s">
        <v>439</v>
      </c>
      <c r="AX45">
        <v>0</v>
      </c>
      <c r="AY45" t="s">
        <v>439</v>
      </c>
      <c r="AZ45" t="s">
        <v>439</v>
      </c>
      <c r="BA45" t="s">
        <v>439</v>
      </c>
      <c r="BB45" t="s">
        <v>100</v>
      </c>
      <c r="BC45">
        <v>4381827.87</v>
      </c>
      <c r="BD45">
        <v>4381827.87</v>
      </c>
      <c r="BE45" t="s">
        <v>100</v>
      </c>
      <c r="BF45" t="s">
        <v>452</v>
      </c>
      <c r="BG45" t="s">
        <v>446</v>
      </c>
      <c r="BH45" t="s">
        <v>203</v>
      </c>
      <c r="BI45" t="s">
        <v>449</v>
      </c>
      <c r="BK45" t="s">
        <v>442</v>
      </c>
      <c r="BL45" t="s">
        <v>443</v>
      </c>
      <c r="BM45" t="s">
        <v>444</v>
      </c>
      <c r="BN45" t="s">
        <v>639</v>
      </c>
      <c r="BO45" t="s">
        <v>445</v>
      </c>
      <c r="BP45" t="s">
        <v>446</v>
      </c>
      <c r="BT45">
        <v>8</v>
      </c>
      <c r="BU45">
        <v>15</v>
      </c>
      <c r="CE45">
        <v>15</v>
      </c>
      <c r="CF45">
        <v>4.9000000000000002E-2</v>
      </c>
      <c r="CG45">
        <v>0.1575</v>
      </c>
      <c r="CH45">
        <v>182503.13078550002</v>
      </c>
      <c r="CI45">
        <v>657274.18050000002</v>
      </c>
      <c r="CJ45">
        <v>586617.20609624998</v>
      </c>
      <c r="CK45">
        <v>32.549999999999997</v>
      </c>
      <c r="CM45">
        <v>15</v>
      </c>
      <c r="CN45">
        <v>657274.18050000002</v>
      </c>
      <c r="CO45">
        <v>32.549999999999997</v>
      </c>
      <c r="CP45" s="55">
        <v>0.03</v>
      </c>
      <c r="CQ45" s="55">
        <v>0.04</v>
      </c>
      <c r="CS45" s="56">
        <v>4381827.87</v>
      </c>
      <c r="CT45" s="57">
        <v>7.0000000000000007E-2</v>
      </c>
      <c r="CU45">
        <v>306727.95090000005</v>
      </c>
      <c r="CV45" s="56">
        <v>39.552500000000002</v>
      </c>
    </row>
    <row r="46" spans="1:100" x14ac:dyDescent="0.35">
      <c r="A46" t="s">
        <v>242</v>
      </c>
      <c r="B46" t="s">
        <v>483</v>
      </c>
      <c r="C46" t="s">
        <v>484</v>
      </c>
      <c r="D46" t="s">
        <v>970</v>
      </c>
      <c r="E46" t="s">
        <v>686</v>
      </c>
      <c r="F46" t="s">
        <v>622</v>
      </c>
      <c r="G46" t="s">
        <v>260</v>
      </c>
      <c r="H46" t="s">
        <v>65</v>
      </c>
      <c r="I46" t="s">
        <v>568</v>
      </c>
      <c r="J46" t="s">
        <v>569</v>
      </c>
      <c r="K46" t="s">
        <v>570</v>
      </c>
      <c r="L46" t="s">
        <v>528</v>
      </c>
      <c r="M46" t="s">
        <v>971</v>
      </c>
      <c r="N46" t="s">
        <v>972</v>
      </c>
      <c r="O46" t="s">
        <v>813</v>
      </c>
      <c r="Q46" t="s">
        <v>79</v>
      </c>
      <c r="R46" t="s">
        <v>438</v>
      </c>
      <c r="S46" t="s">
        <v>92</v>
      </c>
      <c r="T46" t="s">
        <v>86</v>
      </c>
      <c r="U46" t="s">
        <v>291</v>
      </c>
      <c r="V46" t="s">
        <v>93</v>
      </c>
      <c r="W46">
        <v>4712962.41</v>
      </c>
      <c r="X46" t="s">
        <v>973</v>
      </c>
      <c r="Y46" t="s">
        <v>973</v>
      </c>
      <c r="Z46" t="s">
        <v>70</v>
      </c>
      <c r="AB46" t="s">
        <v>439</v>
      </c>
      <c r="AC46" t="s">
        <v>439</v>
      </c>
      <c r="AD46" t="s">
        <v>439</v>
      </c>
      <c r="AF46" t="s">
        <v>439</v>
      </c>
      <c r="AG46" t="s">
        <v>439</v>
      </c>
      <c r="AH46" t="s">
        <v>439</v>
      </c>
      <c r="AJ46" t="s">
        <v>439</v>
      </c>
      <c r="AK46" t="s">
        <v>439</v>
      </c>
      <c r="AL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U46" t="s">
        <v>439</v>
      </c>
      <c r="AV46" t="s">
        <v>439</v>
      </c>
      <c r="AW46" t="s">
        <v>439</v>
      </c>
      <c r="AX46">
        <v>0</v>
      </c>
      <c r="AY46" t="s">
        <v>439</v>
      </c>
      <c r="AZ46" t="s">
        <v>439</v>
      </c>
      <c r="BA46" t="s">
        <v>439</v>
      </c>
      <c r="BB46" t="s">
        <v>259</v>
      </c>
      <c r="BC46">
        <v>4712962.41</v>
      </c>
      <c r="BE46" t="s">
        <v>259</v>
      </c>
      <c r="BF46" t="s">
        <v>462</v>
      </c>
      <c r="BG46" t="s">
        <v>446</v>
      </c>
      <c r="BH46" t="s">
        <v>196</v>
      </c>
      <c r="BI46" t="s">
        <v>449</v>
      </c>
      <c r="BK46" t="s">
        <v>442</v>
      </c>
      <c r="BL46" t="s">
        <v>443</v>
      </c>
      <c r="BM46" t="s">
        <v>444</v>
      </c>
      <c r="BN46" t="s">
        <v>639</v>
      </c>
      <c r="BO46" t="s">
        <v>445</v>
      </c>
      <c r="BP46" t="s">
        <v>446</v>
      </c>
      <c r="BT46">
        <v>8</v>
      </c>
      <c r="BU46">
        <v>15</v>
      </c>
      <c r="CE46">
        <v>15</v>
      </c>
      <c r="CF46">
        <v>4.9000000000000002E-2</v>
      </c>
      <c r="CG46">
        <v>0.1575</v>
      </c>
      <c r="CH46">
        <v>196294.88437650001</v>
      </c>
      <c r="CI46">
        <v>706944.3615</v>
      </c>
      <c r="CJ46">
        <v>630947.84263874998</v>
      </c>
      <c r="CK46">
        <v>32.549999999999997</v>
      </c>
      <c r="CM46">
        <v>15</v>
      </c>
      <c r="CN46">
        <v>706944.3615</v>
      </c>
      <c r="CO46">
        <v>32.549999999999997</v>
      </c>
      <c r="CP46" s="55">
        <v>0.03</v>
      </c>
      <c r="CQ46" s="55">
        <v>0.04</v>
      </c>
      <c r="CS46" s="56">
        <v>4712962.41</v>
      </c>
      <c r="CT46" s="57">
        <v>7.0000000000000007E-2</v>
      </c>
      <c r="CU46">
        <v>329907.36870000005</v>
      </c>
      <c r="CV46" s="56">
        <v>39.552500000000002</v>
      </c>
    </row>
    <row r="47" spans="1:100" x14ac:dyDescent="0.35">
      <c r="A47" t="s">
        <v>242</v>
      </c>
      <c r="B47" t="s">
        <v>483</v>
      </c>
      <c r="C47" t="s">
        <v>484</v>
      </c>
      <c r="D47" t="s">
        <v>974</v>
      </c>
      <c r="E47" t="s">
        <v>687</v>
      </c>
      <c r="F47" t="s">
        <v>855</v>
      </c>
      <c r="G47" t="s">
        <v>260</v>
      </c>
      <c r="H47" t="s">
        <v>65</v>
      </c>
      <c r="I47" t="s">
        <v>110</v>
      </c>
      <c r="J47" t="s">
        <v>486</v>
      </c>
      <c r="K47" t="s">
        <v>450</v>
      </c>
      <c r="L47" t="s">
        <v>281</v>
      </c>
      <c r="M47" t="s">
        <v>610</v>
      </c>
      <c r="N47" t="s">
        <v>975</v>
      </c>
      <c r="O47" t="s">
        <v>943</v>
      </c>
      <c r="Q47" t="s">
        <v>79</v>
      </c>
      <c r="R47" t="s">
        <v>438</v>
      </c>
      <c r="S47" t="s">
        <v>92</v>
      </c>
      <c r="T47" t="s">
        <v>86</v>
      </c>
      <c r="U47" t="s">
        <v>291</v>
      </c>
      <c r="V47" t="s">
        <v>93</v>
      </c>
      <c r="W47">
        <v>7779983.4400000004</v>
      </c>
      <c r="X47" t="s">
        <v>976</v>
      </c>
      <c r="Y47" t="s">
        <v>976</v>
      </c>
      <c r="Z47" t="s">
        <v>70</v>
      </c>
      <c r="AB47" t="s">
        <v>439</v>
      </c>
      <c r="AC47" t="s">
        <v>439</v>
      </c>
      <c r="AD47" t="s">
        <v>439</v>
      </c>
      <c r="AF47" t="s">
        <v>439</v>
      </c>
      <c r="AG47" t="s">
        <v>439</v>
      </c>
      <c r="AH47" t="s">
        <v>439</v>
      </c>
      <c r="AJ47" t="s">
        <v>439</v>
      </c>
      <c r="AK47" t="s">
        <v>439</v>
      </c>
      <c r="AL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U47" t="s">
        <v>439</v>
      </c>
      <c r="AV47" t="s">
        <v>439</v>
      </c>
      <c r="AW47" t="s">
        <v>439</v>
      </c>
      <c r="AX47">
        <v>0</v>
      </c>
      <c r="AY47" t="s">
        <v>439</v>
      </c>
      <c r="AZ47" t="s">
        <v>439</v>
      </c>
      <c r="BA47" t="s">
        <v>439</v>
      </c>
      <c r="BC47">
        <v>7779983.4400000004</v>
      </c>
      <c r="BG47" t="s">
        <v>446</v>
      </c>
      <c r="BH47" t="s">
        <v>203</v>
      </c>
      <c r="BI47" t="s">
        <v>449</v>
      </c>
      <c r="BK47" t="s">
        <v>442</v>
      </c>
      <c r="BL47" t="s">
        <v>443</v>
      </c>
      <c r="BM47" t="s">
        <v>444</v>
      </c>
      <c r="BN47" t="s">
        <v>639</v>
      </c>
      <c r="BO47" t="s">
        <v>445</v>
      </c>
      <c r="BP47" t="s">
        <v>446</v>
      </c>
      <c r="BT47">
        <v>8</v>
      </c>
      <c r="BU47">
        <v>15</v>
      </c>
      <c r="CE47">
        <v>15</v>
      </c>
      <c r="CF47">
        <v>4.9000000000000002E-2</v>
      </c>
      <c r="CG47">
        <v>0.1575</v>
      </c>
      <c r="CH47">
        <v>324036.310276</v>
      </c>
      <c r="CI47">
        <v>1166997.5160000001</v>
      </c>
      <c r="CJ47">
        <v>1041545.28303</v>
      </c>
      <c r="CK47">
        <v>32.549999999999997</v>
      </c>
      <c r="CM47">
        <v>15</v>
      </c>
      <c r="CN47">
        <v>1166997.5160000001</v>
      </c>
      <c r="CO47">
        <v>32.549999999999997</v>
      </c>
      <c r="CP47" s="55">
        <v>0.03</v>
      </c>
      <c r="CQ47" s="55">
        <v>0.04</v>
      </c>
      <c r="CS47" s="56">
        <v>7779983.4400000004</v>
      </c>
      <c r="CT47" s="57">
        <v>7.0000000000000007E-2</v>
      </c>
      <c r="CU47">
        <v>544598.84080000012</v>
      </c>
      <c r="CV47" s="56">
        <v>39.552500000000002</v>
      </c>
    </row>
    <row r="48" spans="1:100" x14ac:dyDescent="0.35">
      <c r="A48" t="s">
        <v>242</v>
      </c>
      <c r="B48" t="s">
        <v>483</v>
      </c>
      <c r="C48" t="s">
        <v>484</v>
      </c>
      <c r="D48" t="s">
        <v>977</v>
      </c>
      <c r="E48" t="s">
        <v>978</v>
      </c>
      <c r="F48" t="s">
        <v>979</v>
      </c>
      <c r="G48" t="s">
        <v>482</v>
      </c>
      <c r="H48" t="s">
        <v>65</v>
      </c>
      <c r="I48" t="s">
        <v>544</v>
      </c>
      <c r="J48" t="s">
        <v>545</v>
      </c>
      <c r="K48" t="s">
        <v>546</v>
      </c>
      <c r="L48" t="s">
        <v>547</v>
      </c>
      <c r="M48" t="s">
        <v>980</v>
      </c>
      <c r="N48" t="s">
        <v>981</v>
      </c>
      <c r="O48" t="s">
        <v>981</v>
      </c>
      <c r="P48" t="s">
        <v>527</v>
      </c>
      <c r="Q48" t="s">
        <v>69</v>
      </c>
      <c r="R48" t="s">
        <v>438</v>
      </c>
      <c r="S48" t="s">
        <v>92</v>
      </c>
      <c r="T48" t="s">
        <v>86</v>
      </c>
      <c r="U48" t="s">
        <v>291</v>
      </c>
      <c r="V48" t="s">
        <v>93</v>
      </c>
      <c r="W48">
        <v>757350</v>
      </c>
      <c r="X48" t="s">
        <v>982</v>
      </c>
      <c r="Y48" t="s">
        <v>982</v>
      </c>
      <c r="Z48" t="s">
        <v>70</v>
      </c>
      <c r="AB48" t="s">
        <v>439</v>
      </c>
      <c r="AC48" t="s">
        <v>439</v>
      </c>
      <c r="AD48" t="s">
        <v>439</v>
      </c>
      <c r="AF48" t="s">
        <v>439</v>
      </c>
      <c r="AG48" t="s">
        <v>439</v>
      </c>
      <c r="AH48" t="s">
        <v>439</v>
      </c>
      <c r="AJ48" t="s">
        <v>439</v>
      </c>
      <c r="AK48" t="s">
        <v>439</v>
      </c>
      <c r="AL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U48" t="s">
        <v>439</v>
      </c>
      <c r="AV48" t="s">
        <v>439</v>
      </c>
      <c r="AW48" t="s">
        <v>439</v>
      </c>
      <c r="AX48">
        <v>0</v>
      </c>
      <c r="AY48" t="s">
        <v>439</v>
      </c>
      <c r="AZ48" t="s">
        <v>439</v>
      </c>
      <c r="BA48" t="s">
        <v>439</v>
      </c>
      <c r="BB48" t="s">
        <v>94</v>
      </c>
      <c r="BC48">
        <v>757350</v>
      </c>
      <c r="BE48" t="s">
        <v>94</v>
      </c>
      <c r="BF48" t="s">
        <v>453</v>
      </c>
      <c r="BG48" t="s">
        <v>446</v>
      </c>
      <c r="BH48" t="s">
        <v>505</v>
      </c>
      <c r="BI48" t="s">
        <v>441</v>
      </c>
      <c r="BK48" t="s">
        <v>442</v>
      </c>
      <c r="BL48" t="s">
        <v>443</v>
      </c>
      <c r="BM48" t="s">
        <v>444</v>
      </c>
      <c r="BN48" t="s">
        <v>639</v>
      </c>
      <c r="BO48" t="s">
        <v>445</v>
      </c>
      <c r="BP48" t="s">
        <v>446</v>
      </c>
      <c r="BS48" t="s">
        <v>446</v>
      </c>
      <c r="BT48">
        <v>8</v>
      </c>
      <c r="BU48">
        <v>15</v>
      </c>
      <c r="CE48">
        <v>8</v>
      </c>
      <c r="CF48">
        <v>4.9000000000000002E-2</v>
      </c>
      <c r="CG48">
        <v>0.1575</v>
      </c>
      <c r="CH48">
        <v>34141.338000000003</v>
      </c>
      <c r="CI48">
        <v>60588</v>
      </c>
      <c r="CJ48">
        <v>109740.015</v>
      </c>
      <c r="CK48">
        <v>27</v>
      </c>
      <c r="CM48">
        <v>8</v>
      </c>
      <c r="CN48">
        <v>60588</v>
      </c>
      <c r="CO48">
        <v>27</v>
      </c>
      <c r="CP48" s="55">
        <v>0.03</v>
      </c>
      <c r="CQ48" s="55">
        <v>0.04</v>
      </c>
      <c r="CS48" s="56">
        <v>757350</v>
      </c>
      <c r="CT48" s="57">
        <v>7.0000000000000007E-2</v>
      </c>
      <c r="CU48">
        <v>53014.500000000007</v>
      </c>
      <c r="CV48" s="56">
        <v>33.997999999999998</v>
      </c>
    </row>
    <row r="49" spans="1:100" x14ac:dyDescent="0.35">
      <c r="A49" t="s">
        <v>242</v>
      </c>
      <c r="B49" t="s">
        <v>483</v>
      </c>
      <c r="C49" t="s">
        <v>484</v>
      </c>
      <c r="D49" t="s">
        <v>983</v>
      </c>
      <c r="E49" t="s">
        <v>978</v>
      </c>
      <c r="F49" t="s">
        <v>979</v>
      </c>
      <c r="G49" t="s">
        <v>482</v>
      </c>
      <c r="H49" t="s">
        <v>65</v>
      </c>
      <c r="I49" t="s">
        <v>544</v>
      </c>
      <c r="J49" t="s">
        <v>545</v>
      </c>
      <c r="K49" t="s">
        <v>546</v>
      </c>
      <c r="L49" t="s">
        <v>547</v>
      </c>
      <c r="M49" t="s">
        <v>984</v>
      </c>
      <c r="N49" t="s">
        <v>981</v>
      </c>
      <c r="O49" t="s">
        <v>981</v>
      </c>
      <c r="P49" t="s">
        <v>286</v>
      </c>
      <c r="Q49" t="s">
        <v>69</v>
      </c>
      <c r="R49" t="s">
        <v>438</v>
      </c>
      <c r="S49" t="s">
        <v>92</v>
      </c>
      <c r="T49" t="s">
        <v>86</v>
      </c>
      <c r="U49" t="s">
        <v>291</v>
      </c>
      <c r="V49" t="s">
        <v>93</v>
      </c>
      <c r="W49">
        <v>2180250</v>
      </c>
      <c r="X49" t="s">
        <v>985</v>
      </c>
      <c r="Y49" t="s">
        <v>985</v>
      </c>
      <c r="Z49" t="s">
        <v>70</v>
      </c>
      <c r="AB49" t="s">
        <v>439</v>
      </c>
      <c r="AC49" t="s">
        <v>439</v>
      </c>
      <c r="AD49" t="s">
        <v>439</v>
      </c>
      <c r="AF49" t="s">
        <v>439</v>
      </c>
      <c r="AG49" t="s">
        <v>439</v>
      </c>
      <c r="AH49" t="s">
        <v>439</v>
      </c>
      <c r="AJ49" t="s">
        <v>439</v>
      </c>
      <c r="AK49" t="s">
        <v>439</v>
      </c>
      <c r="AL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U49" t="s">
        <v>439</v>
      </c>
      <c r="AV49" t="s">
        <v>439</v>
      </c>
      <c r="AW49" t="s">
        <v>439</v>
      </c>
      <c r="AX49">
        <v>0</v>
      </c>
      <c r="AY49" t="s">
        <v>439</v>
      </c>
      <c r="AZ49" t="s">
        <v>439</v>
      </c>
      <c r="BA49" t="s">
        <v>439</v>
      </c>
      <c r="BB49" t="s">
        <v>94</v>
      </c>
      <c r="BC49">
        <v>2180250</v>
      </c>
      <c r="BE49" t="s">
        <v>94</v>
      </c>
      <c r="BF49" t="s">
        <v>453</v>
      </c>
      <c r="BG49" t="s">
        <v>446</v>
      </c>
      <c r="BH49" t="s">
        <v>505</v>
      </c>
      <c r="BI49" t="s">
        <v>441</v>
      </c>
      <c r="BK49" t="s">
        <v>442</v>
      </c>
      <c r="BL49" t="s">
        <v>443</v>
      </c>
      <c r="BM49" t="s">
        <v>444</v>
      </c>
      <c r="BN49" t="s">
        <v>639</v>
      </c>
      <c r="BO49" t="s">
        <v>445</v>
      </c>
      <c r="BP49" t="s">
        <v>446</v>
      </c>
      <c r="BS49" t="s">
        <v>446</v>
      </c>
      <c r="BT49">
        <v>8</v>
      </c>
      <c r="BU49">
        <v>15</v>
      </c>
      <c r="CE49">
        <v>8</v>
      </c>
      <c r="CF49">
        <v>4.9000000000000002E-2</v>
      </c>
      <c r="CG49">
        <v>0.1575</v>
      </c>
      <c r="CH49">
        <v>98285.67</v>
      </c>
      <c r="CI49">
        <v>174420</v>
      </c>
      <c r="CJ49">
        <v>315918.22500000003</v>
      </c>
      <c r="CK49">
        <v>27</v>
      </c>
      <c r="CM49">
        <v>8</v>
      </c>
      <c r="CN49">
        <v>174420</v>
      </c>
      <c r="CO49">
        <v>27</v>
      </c>
      <c r="CP49" s="55">
        <v>0.03</v>
      </c>
      <c r="CQ49" s="55">
        <v>0.04</v>
      </c>
      <c r="CS49" s="56">
        <v>2180250</v>
      </c>
      <c r="CT49" s="57">
        <v>7.0000000000000007E-2</v>
      </c>
      <c r="CU49">
        <v>152617.5</v>
      </c>
      <c r="CV49" s="56">
        <v>33.997999999999998</v>
      </c>
    </row>
    <row r="50" spans="1:100" x14ac:dyDescent="0.35">
      <c r="A50" t="s">
        <v>242</v>
      </c>
      <c r="B50" t="s">
        <v>483</v>
      </c>
      <c r="C50" t="s">
        <v>484</v>
      </c>
      <c r="D50" t="s">
        <v>986</v>
      </c>
      <c r="E50" t="s">
        <v>688</v>
      </c>
      <c r="F50" t="s">
        <v>622</v>
      </c>
      <c r="G50" t="s">
        <v>260</v>
      </c>
      <c r="H50" t="s">
        <v>65</v>
      </c>
      <c r="I50" t="s">
        <v>576</v>
      </c>
      <c r="J50" t="s">
        <v>577</v>
      </c>
      <c r="K50" t="s">
        <v>578</v>
      </c>
      <c r="L50" t="s">
        <v>281</v>
      </c>
      <c r="M50" t="s">
        <v>689</v>
      </c>
      <c r="N50" t="s">
        <v>987</v>
      </c>
      <c r="O50" t="s">
        <v>804</v>
      </c>
      <c r="Q50" t="s">
        <v>79</v>
      </c>
      <c r="R50" t="s">
        <v>438</v>
      </c>
      <c r="S50" t="s">
        <v>92</v>
      </c>
      <c r="T50" t="s">
        <v>86</v>
      </c>
      <c r="U50" t="s">
        <v>291</v>
      </c>
      <c r="V50" t="s">
        <v>93</v>
      </c>
      <c r="W50">
        <v>1651074.28</v>
      </c>
      <c r="X50" t="s">
        <v>988</v>
      </c>
      <c r="Y50" t="s">
        <v>988</v>
      </c>
      <c r="Z50" t="s">
        <v>70</v>
      </c>
      <c r="AB50" t="s">
        <v>439</v>
      </c>
      <c r="AC50" t="s">
        <v>439</v>
      </c>
      <c r="AD50" t="s">
        <v>439</v>
      </c>
      <c r="AF50" t="s">
        <v>439</v>
      </c>
      <c r="AG50" t="s">
        <v>439</v>
      </c>
      <c r="AH50" t="s">
        <v>439</v>
      </c>
      <c r="AJ50" t="s">
        <v>439</v>
      </c>
      <c r="AK50" t="s">
        <v>439</v>
      </c>
      <c r="AL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U50" t="s">
        <v>439</v>
      </c>
      <c r="AV50" t="s">
        <v>439</v>
      </c>
      <c r="AW50" t="s">
        <v>439</v>
      </c>
      <c r="AX50">
        <v>0</v>
      </c>
      <c r="AY50" t="s">
        <v>439</v>
      </c>
      <c r="AZ50" t="s">
        <v>439</v>
      </c>
      <c r="BA50" t="s">
        <v>439</v>
      </c>
      <c r="BC50">
        <v>1651074.28</v>
      </c>
      <c r="BG50" t="s">
        <v>446</v>
      </c>
      <c r="BH50" t="s">
        <v>203</v>
      </c>
      <c r="BI50" t="s">
        <v>449</v>
      </c>
      <c r="BK50" t="s">
        <v>442</v>
      </c>
      <c r="BL50" t="s">
        <v>443</v>
      </c>
      <c r="BM50" t="s">
        <v>444</v>
      </c>
      <c r="BN50" t="s">
        <v>639</v>
      </c>
      <c r="BO50" t="s">
        <v>445</v>
      </c>
      <c r="BP50" t="s">
        <v>446</v>
      </c>
      <c r="BT50">
        <v>8</v>
      </c>
      <c r="BU50">
        <v>15</v>
      </c>
      <c r="CE50">
        <v>15</v>
      </c>
      <c r="CF50">
        <v>4.9000000000000002E-2</v>
      </c>
      <c r="CG50">
        <v>0.1575</v>
      </c>
      <c r="CH50">
        <v>68767.243761999998</v>
      </c>
      <c r="CI50">
        <v>247661.14199999999</v>
      </c>
      <c r="CJ50">
        <v>221037.569235</v>
      </c>
      <c r="CK50">
        <v>32.549999999999997</v>
      </c>
      <c r="CM50">
        <v>15</v>
      </c>
      <c r="CN50">
        <v>247661.14199999999</v>
      </c>
      <c r="CO50">
        <v>32.549999999999997</v>
      </c>
      <c r="CP50" s="55">
        <v>0.03</v>
      </c>
      <c r="CQ50" s="55">
        <v>0.04</v>
      </c>
      <c r="CS50" s="56">
        <v>1651074.28</v>
      </c>
      <c r="CT50" s="57">
        <v>7.0000000000000007E-2</v>
      </c>
      <c r="CU50">
        <v>115575.19960000001</v>
      </c>
      <c r="CV50" s="56">
        <v>39.552500000000002</v>
      </c>
    </row>
    <row r="51" spans="1:100" x14ac:dyDescent="0.35">
      <c r="A51" t="s">
        <v>242</v>
      </c>
      <c r="B51" t="s">
        <v>483</v>
      </c>
      <c r="C51" t="s">
        <v>484</v>
      </c>
      <c r="D51" t="s">
        <v>989</v>
      </c>
      <c r="E51" t="s">
        <v>690</v>
      </c>
      <c r="F51" t="s">
        <v>622</v>
      </c>
      <c r="G51" t="s">
        <v>260</v>
      </c>
      <c r="H51" t="s">
        <v>65</v>
      </c>
      <c r="I51" t="s">
        <v>98</v>
      </c>
      <c r="J51" t="s">
        <v>488</v>
      </c>
      <c r="K51" t="s">
        <v>461</v>
      </c>
      <c r="L51" t="s">
        <v>528</v>
      </c>
      <c r="M51" t="s">
        <v>691</v>
      </c>
      <c r="N51" t="s">
        <v>990</v>
      </c>
      <c r="O51" t="s">
        <v>817</v>
      </c>
      <c r="Q51" t="s">
        <v>79</v>
      </c>
      <c r="R51" t="s">
        <v>438</v>
      </c>
      <c r="S51" t="s">
        <v>92</v>
      </c>
      <c r="T51" t="s">
        <v>86</v>
      </c>
      <c r="U51" t="s">
        <v>291</v>
      </c>
      <c r="V51" t="s">
        <v>93</v>
      </c>
      <c r="W51">
        <v>7514153.1299999999</v>
      </c>
      <c r="X51" t="s">
        <v>991</v>
      </c>
      <c r="Y51" t="s">
        <v>991</v>
      </c>
      <c r="Z51" t="s">
        <v>70</v>
      </c>
      <c r="AB51" t="s">
        <v>439</v>
      </c>
      <c r="AC51" t="s">
        <v>439</v>
      </c>
      <c r="AD51" t="s">
        <v>439</v>
      </c>
      <c r="AF51" t="s">
        <v>439</v>
      </c>
      <c r="AG51" t="s">
        <v>439</v>
      </c>
      <c r="AH51" t="s">
        <v>439</v>
      </c>
      <c r="AJ51" t="s">
        <v>439</v>
      </c>
      <c r="AK51" t="s">
        <v>439</v>
      </c>
      <c r="AL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U51" t="s">
        <v>439</v>
      </c>
      <c r="AV51" t="s">
        <v>439</v>
      </c>
      <c r="AW51" t="s">
        <v>439</v>
      </c>
      <c r="AX51">
        <v>0</v>
      </c>
      <c r="AY51" t="s">
        <v>439</v>
      </c>
      <c r="AZ51" t="s">
        <v>439</v>
      </c>
      <c r="BA51" t="s">
        <v>439</v>
      </c>
      <c r="BB51" t="s">
        <v>259</v>
      </c>
      <c r="BC51">
        <v>7514153.1299999999</v>
      </c>
      <c r="BE51" t="s">
        <v>259</v>
      </c>
      <c r="BF51" t="s">
        <v>462</v>
      </c>
      <c r="BG51" t="s">
        <v>446</v>
      </c>
      <c r="BH51" t="s">
        <v>206</v>
      </c>
      <c r="BI51" t="s">
        <v>449</v>
      </c>
      <c r="BK51" t="s">
        <v>442</v>
      </c>
      <c r="BL51" t="s">
        <v>443</v>
      </c>
      <c r="BM51" t="s">
        <v>444</v>
      </c>
      <c r="BN51" t="s">
        <v>639</v>
      </c>
      <c r="BO51" t="s">
        <v>445</v>
      </c>
      <c r="BP51" t="s">
        <v>446</v>
      </c>
      <c r="BT51">
        <v>8</v>
      </c>
      <c r="BU51">
        <v>15</v>
      </c>
      <c r="CE51">
        <v>15</v>
      </c>
      <c r="CF51">
        <v>4.9000000000000002E-2</v>
      </c>
      <c r="CG51">
        <v>0.1575</v>
      </c>
      <c r="CH51">
        <v>312964.47786449996</v>
      </c>
      <c r="CI51">
        <v>1127122.9694999999</v>
      </c>
      <c r="CJ51">
        <v>1005957.25027875</v>
      </c>
      <c r="CK51">
        <v>32.549999999999997</v>
      </c>
      <c r="CM51">
        <v>15</v>
      </c>
      <c r="CN51">
        <v>1127122.9694999999</v>
      </c>
      <c r="CO51">
        <v>32.549999999999997</v>
      </c>
      <c r="CP51" s="55">
        <v>0.03</v>
      </c>
      <c r="CQ51" s="55">
        <v>0.04</v>
      </c>
      <c r="CS51" s="56">
        <v>7514153.1299999999</v>
      </c>
      <c r="CT51" s="57">
        <v>7.0000000000000007E-2</v>
      </c>
      <c r="CU51">
        <v>525990.71909999999</v>
      </c>
      <c r="CV51" s="56">
        <v>39.552500000000002</v>
      </c>
    </row>
    <row r="52" spans="1:100" x14ac:dyDescent="0.35">
      <c r="A52" t="s">
        <v>242</v>
      </c>
      <c r="B52" t="s">
        <v>483</v>
      </c>
      <c r="C52" t="s">
        <v>484</v>
      </c>
      <c r="D52" t="s">
        <v>992</v>
      </c>
      <c r="E52" t="s">
        <v>692</v>
      </c>
      <c r="F52" t="s">
        <v>622</v>
      </c>
      <c r="G52" t="s">
        <v>260</v>
      </c>
      <c r="H52" t="s">
        <v>65</v>
      </c>
      <c r="I52" t="s">
        <v>548</v>
      </c>
      <c r="J52" t="s">
        <v>549</v>
      </c>
      <c r="K52" t="s">
        <v>550</v>
      </c>
      <c r="L52" t="s">
        <v>528</v>
      </c>
      <c r="M52" t="s">
        <v>693</v>
      </c>
      <c r="N52" t="s">
        <v>968</v>
      </c>
      <c r="O52" t="s">
        <v>817</v>
      </c>
      <c r="Q52" t="s">
        <v>79</v>
      </c>
      <c r="R52" t="s">
        <v>438</v>
      </c>
      <c r="S52" t="s">
        <v>92</v>
      </c>
      <c r="T52" t="s">
        <v>86</v>
      </c>
      <c r="U52" t="s">
        <v>291</v>
      </c>
      <c r="V52" t="s">
        <v>93</v>
      </c>
      <c r="W52">
        <v>7991501.8200000003</v>
      </c>
      <c r="X52" t="s">
        <v>993</v>
      </c>
      <c r="Y52" t="s">
        <v>993</v>
      </c>
      <c r="Z52" t="s">
        <v>70</v>
      </c>
      <c r="AB52" t="s">
        <v>439</v>
      </c>
      <c r="AC52" t="s">
        <v>439</v>
      </c>
      <c r="AD52" t="s">
        <v>439</v>
      </c>
      <c r="AF52" t="s">
        <v>439</v>
      </c>
      <c r="AG52" t="s">
        <v>439</v>
      </c>
      <c r="AH52" t="s">
        <v>439</v>
      </c>
      <c r="AJ52" t="s">
        <v>439</v>
      </c>
      <c r="AK52" t="s">
        <v>439</v>
      </c>
      <c r="AL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U52" t="s">
        <v>439</v>
      </c>
      <c r="AV52" t="s">
        <v>439</v>
      </c>
      <c r="AW52" t="s">
        <v>439</v>
      </c>
      <c r="AX52">
        <v>0</v>
      </c>
      <c r="AY52" t="s">
        <v>439</v>
      </c>
      <c r="AZ52" t="s">
        <v>439</v>
      </c>
      <c r="BA52" t="s">
        <v>439</v>
      </c>
      <c r="BB52" t="s">
        <v>255</v>
      </c>
      <c r="BC52">
        <v>7991501.8200000003</v>
      </c>
      <c r="BE52" t="s">
        <v>255</v>
      </c>
      <c r="BF52" t="s">
        <v>478</v>
      </c>
      <c r="BG52" t="s">
        <v>446</v>
      </c>
      <c r="BH52" t="s">
        <v>196</v>
      </c>
      <c r="BI52" t="s">
        <v>449</v>
      </c>
      <c r="BK52" t="s">
        <v>442</v>
      </c>
      <c r="BL52" t="s">
        <v>443</v>
      </c>
      <c r="BM52" t="s">
        <v>444</v>
      </c>
      <c r="BN52" t="s">
        <v>639</v>
      </c>
      <c r="BO52" t="s">
        <v>445</v>
      </c>
      <c r="BP52" t="s">
        <v>446</v>
      </c>
      <c r="BT52">
        <v>8</v>
      </c>
      <c r="BU52">
        <v>15</v>
      </c>
      <c r="CE52">
        <v>15</v>
      </c>
      <c r="CF52">
        <v>4.9000000000000002E-2</v>
      </c>
      <c r="CG52">
        <v>0.1575</v>
      </c>
      <c r="CH52">
        <v>332846.05080299999</v>
      </c>
      <c r="CI52">
        <v>1198725.273</v>
      </c>
      <c r="CJ52">
        <v>1069862.3061525</v>
      </c>
      <c r="CK52">
        <v>32.549999999999997</v>
      </c>
      <c r="CM52">
        <v>15</v>
      </c>
      <c r="CN52">
        <v>1198725.273</v>
      </c>
      <c r="CO52">
        <v>32.549999999999997</v>
      </c>
      <c r="CP52" s="55">
        <v>0.03</v>
      </c>
      <c r="CQ52" s="55">
        <v>0.04</v>
      </c>
      <c r="CS52" s="56">
        <v>7991501.8200000003</v>
      </c>
      <c r="CT52" s="57">
        <v>7.0000000000000007E-2</v>
      </c>
      <c r="CU52">
        <v>559405.12740000011</v>
      </c>
      <c r="CV52" s="56">
        <v>39.552500000000002</v>
      </c>
    </row>
    <row r="53" spans="1:100" x14ac:dyDescent="0.35">
      <c r="A53" t="s">
        <v>242</v>
      </c>
      <c r="B53" t="s">
        <v>483</v>
      </c>
      <c r="C53" t="s">
        <v>484</v>
      </c>
      <c r="D53" t="s">
        <v>994</v>
      </c>
      <c r="E53" t="s">
        <v>694</v>
      </c>
      <c r="F53" t="s">
        <v>622</v>
      </c>
      <c r="G53" t="s">
        <v>260</v>
      </c>
      <c r="H53" t="s">
        <v>65</v>
      </c>
      <c r="I53" t="s">
        <v>544</v>
      </c>
      <c r="J53" t="s">
        <v>545</v>
      </c>
      <c r="K53" t="s">
        <v>546</v>
      </c>
      <c r="L53" t="s">
        <v>547</v>
      </c>
      <c r="M53" t="s">
        <v>695</v>
      </c>
      <c r="N53" t="s">
        <v>995</v>
      </c>
      <c r="O53" t="s">
        <v>996</v>
      </c>
      <c r="Q53" t="s">
        <v>69</v>
      </c>
      <c r="R53" t="s">
        <v>438</v>
      </c>
      <c r="S53" t="s">
        <v>92</v>
      </c>
      <c r="T53" t="s">
        <v>86</v>
      </c>
      <c r="U53" t="s">
        <v>291</v>
      </c>
      <c r="V53" t="s">
        <v>93</v>
      </c>
      <c r="W53">
        <v>8088113.9100000001</v>
      </c>
      <c r="X53" t="s">
        <v>997</v>
      </c>
      <c r="Y53" t="s">
        <v>997</v>
      </c>
      <c r="Z53" t="s">
        <v>70</v>
      </c>
      <c r="AB53" t="s">
        <v>439</v>
      </c>
      <c r="AC53" t="s">
        <v>439</v>
      </c>
      <c r="AD53" t="s">
        <v>439</v>
      </c>
      <c r="AF53" t="s">
        <v>439</v>
      </c>
      <c r="AG53" t="s">
        <v>439</v>
      </c>
      <c r="AH53" t="s">
        <v>439</v>
      </c>
      <c r="AJ53" t="s">
        <v>439</v>
      </c>
      <c r="AK53" t="s">
        <v>439</v>
      </c>
      <c r="AL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U53" t="s">
        <v>439</v>
      </c>
      <c r="AV53" t="s">
        <v>439</v>
      </c>
      <c r="AW53" t="s">
        <v>439</v>
      </c>
      <c r="AX53">
        <v>0</v>
      </c>
      <c r="AY53" t="s">
        <v>439</v>
      </c>
      <c r="AZ53" t="s">
        <v>439</v>
      </c>
      <c r="BA53" t="s">
        <v>439</v>
      </c>
      <c r="BB53" t="s">
        <v>94</v>
      </c>
      <c r="BC53">
        <v>8088113.9100000001</v>
      </c>
      <c r="BG53" t="s">
        <v>446</v>
      </c>
      <c r="BH53" t="s">
        <v>505</v>
      </c>
      <c r="BI53" t="s">
        <v>441</v>
      </c>
      <c r="BK53" t="s">
        <v>442</v>
      </c>
      <c r="BL53" t="s">
        <v>443</v>
      </c>
      <c r="BM53" t="s">
        <v>444</v>
      </c>
      <c r="BN53" t="s">
        <v>639</v>
      </c>
      <c r="BO53" t="s">
        <v>445</v>
      </c>
      <c r="BP53" t="s">
        <v>446</v>
      </c>
      <c r="BS53" t="s">
        <v>446</v>
      </c>
      <c r="BT53">
        <v>8</v>
      </c>
      <c r="BU53">
        <v>15</v>
      </c>
      <c r="CE53">
        <v>8</v>
      </c>
      <c r="CF53">
        <v>4.9000000000000002E-2</v>
      </c>
      <c r="CG53">
        <v>0.1575</v>
      </c>
      <c r="CH53">
        <v>364612.17506280006</v>
      </c>
      <c r="CI53">
        <v>647049.1128</v>
      </c>
      <c r="CJ53">
        <v>1171967.7055589999</v>
      </c>
      <c r="CK53">
        <v>27</v>
      </c>
      <c r="CM53">
        <v>8</v>
      </c>
      <c r="CN53">
        <v>647049.1128</v>
      </c>
      <c r="CO53">
        <v>27</v>
      </c>
      <c r="CP53" s="55">
        <v>0.03</v>
      </c>
      <c r="CQ53" s="55">
        <v>0.04</v>
      </c>
      <c r="CS53" s="56">
        <v>8088113.9100000001</v>
      </c>
      <c r="CT53" s="57">
        <v>7.0000000000000007E-2</v>
      </c>
      <c r="CU53">
        <v>566167.97370000009</v>
      </c>
      <c r="CV53" s="56">
        <v>33.997999999999998</v>
      </c>
    </row>
    <row r="54" spans="1:100" x14ac:dyDescent="0.35">
      <c r="A54" t="s">
        <v>242</v>
      </c>
      <c r="B54" t="s">
        <v>483</v>
      </c>
      <c r="C54" t="s">
        <v>484</v>
      </c>
      <c r="D54" t="s">
        <v>998</v>
      </c>
      <c r="E54" t="s">
        <v>999</v>
      </c>
      <c r="F54" t="s">
        <v>622</v>
      </c>
      <c r="G54" t="s">
        <v>260</v>
      </c>
      <c r="H54" t="s">
        <v>65</v>
      </c>
      <c r="I54" t="s">
        <v>544</v>
      </c>
      <c r="J54" t="s">
        <v>545</v>
      </c>
      <c r="K54" t="s">
        <v>546</v>
      </c>
      <c r="L54" t="s">
        <v>547</v>
      </c>
      <c r="M54" t="s">
        <v>457</v>
      </c>
      <c r="N54" t="s">
        <v>849</v>
      </c>
      <c r="O54" t="s">
        <v>867</v>
      </c>
      <c r="Q54" t="s">
        <v>69</v>
      </c>
      <c r="R54" t="s">
        <v>438</v>
      </c>
      <c r="S54" t="s">
        <v>92</v>
      </c>
      <c r="T54" t="s">
        <v>86</v>
      </c>
      <c r="U54" t="s">
        <v>291</v>
      </c>
      <c r="V54" t="s">
        <v>93</v>
      </c>
      <c r="W54">
        <v>4701458.79</v>
      </c>
      <c r="X54" t="s">
        <v>1000</v>
      </c>
      <c r="Y54" t="s">
        <v>1000</v>
      </c>
      <c r="Z54" t="s">
        <v>70</v>
      </c>
      <c r="AB54" t="s">
        <v>439</v>
      </c>
      <c r="AC54" t="s">
        <v>439</v>
      </c>
      <c r="AD54" t="s">
        <v>439</v>
      </c>
      <c r="AF54" t="s">
        <v>439</v>
      </c>
      <c r="AG54" t="s">
        <v>439</v>
      </c>
      <c r="AH54" t="s">
        <v>439</v>
      </c>
      <c r="AJ54" t="s">
        <v>439</v>
      </c>
      <c r="AK54" t="s">
        <v>439</v>
      </c>
      <c r="AL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U54" t="s">
        <v>439</v>
      </c>
      <c r="AV54" t="s">
        <v>439</v>
      </c>
      <c r="AW54" t="s">
        <v>439</v>
      </c>
      <c r="AX54">
        <v>0</v>
      </c>
      <c r="AY54" t="s">
        <v>439</v>
      </c>
      <c r="AZ54" t="s">
        <v>439</v>
      </c>
      <c r="BA54" t="s">
        <v>439</v>
      </c>
      <c r="BB54" t="s">
        <v>94</v>
      </c>
      <c r="BC54">
        <v>4701458.79</v>
      </c>
      <c r="BE54" t="s">
        <v>94</v>
      </c>
      <c r="BF54" t="s">
        <v>453</v>
      </c>
      <c r="BG54" t="s">
        <v>446</v>
      </c>
      <c r="BH54" t="s">
        <v>505</v>
      </c>
      <c r="BI54" t="s">
        <v>441</v>
      </c>
      <c r="BK54" t="s">
        <v>442</v>
      </c>
      <c r="BL54" t="s">
        <v>443</v>
      </c>
      <c r="BM54" t="s">
        <v>444</v>
      </c>
      <c r="BN54" t="s">
        <v>639</v>
      </c>
      <c r="BO54" t="s">
        <v>445</v>
      </c>
      <c r="BP54" t="s">
        <v>446</v>
      </c>
      <c r="BS54" t="s">
        <v>446</v>
      </c>
      <c r="BT54">
        <v>8</v>
      </c>
      <c r="BU54">
        <v>15</v>
      </c>
      <c r="CE54">
        <v>8</v>
      </c>
      <c r="CF54">
        <v>4.9000000000000002E-2</v>
      </c>
      <c r="CG54">
        <v>0.1575</v>
      </c>
      <c r="CH54">
        <v>211941.76225320002</v>
      </c>
      <c r="CI54">
        <v>376116.70319999999</v>
      </c>
      <c r="CJ54">
        <v>681241.37867100013</v>
      </c>
      <c r="CK54">
        <v>27</v>
      </c>
      <c r="CM54">
        <v>8</v>
      </c>
      <c r="CN54">
        <v>376116.70319999999</v>
      </c>
      <c r="CO54">
        <v>27</v>
      </c>
      <c r="CP54" s="55">
        <v>0.03</v>
      </c>
      <c r="CQ54" s="55">
        <v>0.04</v>
      </c>
      <c r="CS54" s="56">
        <v>4701458.79</v>
      </c>
      <c r="CT54" s="57">
        <v>7.0000000000000007E-2</v>
      </c>
      <c r="CU54">
        <v>329102.1153</v>
      </c>
      <c r="CV54" s="56">
        <v>33.997999999999998</v>
      </c>
    </row>
    <row r="55" spans="1:100" x14ac:dyDescent="0.35">
      <c r="A55" t="s">
        <v>242</v>
      </c>
      <c r="B55" t="s">
        <v>483</v>
      </c>
      <c r="C55" t="s">
        <v>484</v>
      </c>
      <c r="D55" t="s">
        <v>1001</v>
      </c>
      <c r="E55" t="s">
        <v>696</v>
      </c>
      <c r="F55" t="s">
        <v>698</v>
      </c>
      <c r="G55" t="s">
        <v>260</v>
      </c>
      <c r="H55" t="s">
        <v>65</v>
      </c>
      <c r="I55" t="s">
        <v>544</v>
      </c>
      <c r="J55" t="s">
        <v>545</v>
      </c>
      <c r="K55" t="s">
        <v>546</v>
      </c>
      <c r="L55" t="s">
        <v>547</v>
      </c>
      <c r="M55" t="s">
        <v>697</v>
      </c>
      <c r="N55" t="s">
        <v>1002</v>
      </c>
      <c r="O55" t="s">
        <v>860</v>
      </c>
      <c r="Q55" t="s">
        <v>69</v>
      </c>
      <c r="R55" t="s">
        <v>438</v>
      </c>
      <c r="S55" t="s">
        <v>92</v>
      </c>
      <c r="T55" t="s">
        <v>86</v>
      </c>
      <c r="U55" t="s">
        <v>291</v>
      </c>
      <c r="V55" t="s">
        <v>93</v>
      </c>
      <c r="W55">
        <v>1745729.16</v>
      </c>
      <c r="X55" t="s">
        <v>1003</v>
      </c>
      <c r="Y55" t="s">
        <v>1003</v>
      </c>
      <c r="Z55" t="s">
        <v>70</v>
      </c>
      <c r="AB55" t="s">
        <v>439</v>
      </c>
      <c r="AC55" t="s">
        <v>439</v>
      </c>
      <c r="AD55" t="s">
        <v>439</v>
      </c>
      <c r="AF55" t="s">
        <v>439</v>
      </c>
      <c r="AG55" t="s">
        <v>439</v>
      </c>
      <c r="AH55" t="s">
        <v>439</v>
      </c>
      <c r="AJ55" t="s">
        <v>439</v>
      </c>
      <c r="AK55" t="s">
        <v>439</v>
      </c>
      <c r="AL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U55" t="s">
        <v>439</v>
      </c>
      <c r="AV55" t="s">
        <v>439</v>
      </c>
      <c r="AW55" t="s">
        <v>439</v>
      </c>
      <c r="AX55">
        <v>0</v>
      </c>
      <c r="AY55" t="s">
        <v>439</v>
      </c>
      <c r="AZ55" t="s">
        <v>439</v>
      </c>
      <c r="BA55" t="s">
        <v>439</v>
      </c>
      <c r="BB55" t="s">
        <v>94</v>
      </c>
      <c r="BC55">
        <v>1745729.16</v>
      </c>
      <c r="BE55" t="s">
        <v>94</v>
      </c>
      <c r="BF55" t="s">
        <v>453</v>
      </c>
      <c r="BG55" t="s">
        <v>446</v>
      </c>
      <c r="BH55" t="s">
        <v>505</v>
      </c>
      <c r="BI55" t="s">
        <v>441</v>
      </c>
      <c r="BK55" t="s">
        <v>442</v>
      </c>
      <c r="BL55" t="s">
        <v>443</v>
      </c>
      <c r="BM55" t="s">
        <v>444</v>
      </c>
      <c r="BN55" t="s">
        <v>639</v>
      </c>
      <c r="BO55" t="s">
        <v>445</v>
      </c>
      <c r="BP55" t="s">
        <v>446</v>
      </c>
      <c r="BS55" t="s">
        <v>446</v>
      </c>
      <c r="BT55">
        <v>8</v>
      </c>
      <c r="BU55">
        <v>15</v>
      </c>
      <c r="CE55">
        <v>8</v>
      </c>
      <c r="CF55">
        <v>4.9000000000000002E-2</v>
      </c>
      <c r="CG55">
        <v>0.1575</v>
      </c>
      <c r="CH55">
        <v>78697.470532799998</v>
      </c>
      <c r="CI55">
        <v>139658.3328</v>
      </c>
      <c r="CJ55">
        <v>252956.15528399998</v>
      </c>
      <c r="CK55">
        <v>27</v>
      </c>
      <c r="CM55">
        <v>8</v>
      </c>
      <c r="CN55">
        <v>139658.3328</v>
      </c>
      <c r="CO55">
        <v>27</v>
      </c>
      <c r="CP55" s="55">
        <v>0.03</v>
      </c>
      <c r="CQ55" s="55">
        <v>0.04</v>
      </c>
      <c r="CS55" s="56">
        <v>1745729.16</v>
      </c>
      <c r="CT55" s="57">
        <v>7.0000000000000007E-2</v>
      </c>
      <c r="CU55">
        <v>122201.04120000001</v>
      </c>
      <c r="CV55" s="56">
        <v>33.997999999999998</v>
      </c>
    </row>
    <row r="56" spans="1:100" x14ac:dyDescent="0.35">
      <c r="A56" t="s">
        <v>242</v>
      </c>
      <c r="B56" t="s">
        <v>483</v>
      </c>
      <c r="C56" t="s">
        <v>484</v>
      </c>
      <c r="D56" t="s">
        <v>1004</v>
      </c>
      <c r="E56" t="s">
        <v>699</v>
      </c>
      <c r="F56" t="s">
        <v>979</v>
      </c>
      <c r="G56" t="s">
        <v>260</v>
      </c>
      <c r="H56" t="s">
        <v>65</v>
      </c>
      <c r="I56" t="s">
        <v>700</v>
      </c>
      <c r="J56" t="s">
        <v>701</v>
      </c>
      <c r="K56" t="s">
        <v>702</v>
      </c>
      <c r="L56" t="s">
        <v>595</v>
      </c>
      <c r="M56" t="s">
        <v>458</v>
      </c>
      <c r="N56" t="s">
        <v>1005</v>
      </c>
      <c r="O56" t="s">
        <v>923</v>
      </c>
      <c r="Q56" t="s">
        <v>79</v>
      </c>
      <c r="R56" t="s">
        <v>438</v>
      </c>
      <c r="S56" t="s">
        <v>92</v>
      </c>
      <c r="T56" t="s">
        <v>86</v>
      </c>
      <c r="U56" t="s">
        <v>291</v>
      </c>
      <c r="V56" t="s">
        <v>93</v>
      </c>
      <c r="W56">
        <v>92012.77</v>
      </c>
      <c r="X56" t="s">
        <v>1006</v>
      </c>
      <c r="Y56" t="s">
        <v>1006</v>
      </c>
      <c r="Z56" t="s">
        <v>70</v>
      </c>
      <c r="AB56" t="s">
        <v>439</v>
      </c>
      <c r="AC56" t="s">
        <v>439</v>
      </c>
      <c r="AD56" t="s">
        <v>439</v>
      </c>
      <c r="AF56" t="s">
        <v>439</v>
      </c>
      <c r="AG56" t="s">
        <v>439</v>
      </c>
      <c r="AH56" t="s">
        <v>439</v>
      </c>
      <c r="AJ56" t="s">
        <v>439</v>
      </c>
      <c r="AK56" t="s">
        <v>439</v>
      </c>
      <c r="AL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U56" t="s">
        <v>439</v>
      </c>
      <c r="AV56" t="s">
        <v>439</v>
      </c>
      <c r="AW56" t="s">
        <v>439</v>
      </c>
      <c r="AX56">
        <v>0</v>
      </c>
      <c r="AY56" t="s">
        <v>439</v>
      </c>
      <c r="AZ56" t="s">
        <v>439</v>
      </c>
      <c r="BA56" t="s">
        <v>439</v>
      </c>
      <c r="BB56" t="s">
        <v>108</v>
      </c>
      <c r="BC56">
        <v>92012.77</v>
      </c>
      <c r="BE56" t="s">
        <v>108</v>
      </c>
      <c r="BF56" t="s">
        <v>465</v>
      </c>
      <c r="BG56" t="s">
        <v>446</v>
      </c>
      <c r="BH56" t="s">
        <v>196</v>
      </c>
      <c r="BI56" t="s">
        <v>449</v>
      </c>
      <c r="BK56" t="s">
        <v>442</v>
      </c>
      <c r="BL56" t="s">
        <v>443</v>
      </c>
      <c r="BM56" t="s">
        <v>444</v>
      </c>
      <c r="BN56" t="s">
        <v>639</v>
      </c>
      <c r="BO56" t="s">
        <v>445</v>
      </c>
      <c r="BP56" t="s">
        <v>446</v>
      </c>
      <c r="BT56">
        <v>8</v>
      </c>
      <c r="BU56">
        <v>15</v>
      </c>
      <c r="CE56">
        <v>15</v>
      </c>
      <c r="CF56">
        <v>4.9000000000000002E-2</v>
      </c>
      <c r="CG56">
        <v>0.1575</v>
      </c>
      <c r="CH56">
        <v>3832.3318705000006</v>
      </c>
      <c r="CI56">
        <v>13801.915500000001</v>
      </c>
      <c r="CJ56">
        <v>12318.20958375</v>
      </c>
      <c r="CK56">
        <v>32.549999999999997</v>
      </c>
      <c r="CM56">
        <v>15</v>
      </c>
      <c r="CN56">
        <v>13801.915500000001</v>
      </c>
      <c r="CO56">
        <v>32.549999999999997</v>
      </c>
      <c r="CP56" s="55">
        <v>0.03</v>
      </c>
      <c r="CQ56" s="55">
        <v>0.04</v>
      </c>
      <c r="CS56" s="56">
        <v>92012.77</v>
      </c>
      <c r="CT56" s="57">
        <v>7.0000000000000007E-2</v>
      </c>
      <c r="CU56">
        <v>6440.8939000000009</v>
      </c>
      <c r="CV56" s="56">
        <v>39.552500000000002</v>
      </c>
    </row>
    <row r="57" spans="1:100" x14ac:dyDescent="0.35">
      <c r="A57" t="s">
        <v>242</v>
      </c>
      <c r="B57" t="s">
        <v>483</v>
      </c>
      <c r="C57" t="s">
        <v>484</v>
      </c>
      <c r="D57" t="s">
        <v>1007</v>
      </c>
      <c r="E57" t="s">
        <v>703</v>
      </c>
      <c r="F57" t="s">
        <v>622</v>
      </c>
      <c r="G57" t="s">
        <v>260</v>
      </c>
      <c r="H57" t="s">
        <v>65</v>
      </c>
      <c r="I57" t="s">
        <v>257</v>
      </c>
      <c r="J57" t="s">
        <v>485</v>
      </c>
      <c r="K57" t="s">
        <v>447</v>
      </c>
      <c r="L57" t="s">
        <v>281</v>
      </c>
      <c r="M57" t="s">
        <v>1008</v>
      </c>
      <c r="N57" t="s">
        <v>1009</v>
      </c>
      <c r="O57" t="s">
        <v>813</v>
      </c>
      <c r="Q57" t="s">
        <v>69</v>
      </c>
      <c r="R57" t="s">
        <v>438</v>
      </c>
      <c r="S57" t="s">
        <v>92</v>
      </c>
      <c r="T57" t="s">
        <v>86</v>
      </c>
      <c r="U57" t="s">
        <v>291</v>
      </c>
      <c r="V57" t="s">
        <v>93</v>
      </c>
      <c r="W57">
        <v>4109964.98</v>
      </c>
      <c r="X57" t="s">
        <v>1010</v>
      </c>
      <c r="Y57" t="s">
        <v>1010</v>
      </c>
      <c r="Z57" t="s">
        <v>70</v>
      </c>
      <c r="AB57" t="s">
        <v>439</v>
      </c>
      <c r="AC57" t="s">
        <v>439</v>
      </c>
      <c r="AD57" t="s">
        <v>439</v>
      </c>
      <c r="AF57" t="s">
        <v>439</v>
      </c>
      <c r="AG57" t="s">
        <v>439</v>
      </c>
      <c r="AH57" t="s">
        <v>439</v>
      </c>
      <c r="AJ57" t="s">
        <v>439</v>
      </c>
      <c r="AK57" t="s">
        <v>439</v>
      </c>
      <c r="AL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U57" t="s">
        <v>439</v>
      </c>
      <c r="AV57" t="s">
        <v>439</v>
      </c>
      <c r="AW57" t="s">
        <v>439</v>
      </c>
      <c r="AX57">
        <v>0</v>
      </c>
      <c r="AY57" t="s">
        <v>439</v>
      </c>
      <c r="AZ57" t="s">
        <v>439</v>
      </c>
      <c r="BA57" t="s">
        <v>439</v>
      </c>
      <c r="BB57" t="s">
        <v>561</v>
      </c>
      <c r="BC57">
        <v>4109964.98</v>
      </c>
      <c r="BE57" t="s">
        <v>561</v>
      </c>
      <c r="BF57" t="s">
        <v>448</v>
      </c>
      <c r="BG57" t="s">
        <v>446</v>
      </c>
      <c r="BH57" t="s">
        <v>203</v>
      </c>
      <c r="BI57" t="s">
        <v>449</v>
      </c>
      <c r="BK57" t="s">
        <v>442</v>
      </c>
      <c r="BL57" t="s">
        <v>443</v>
      </c>
      <c r="BM57" t="s">
        <v>444</v>
      </c>
      <c r="BN57" t="s">
        <v>639</v>
      </c>
      <c r="BO57" t="s">
        <v>445</v>
      </c>
      <c r="BP57" t="s">
        <v>446</v>
      </c>
      <c r="BT57">
        <v>8</v>
      </c>
      <c r="BU57">
        <v>15</v>
      </c>
      <c r="CE57">
        <v>15</v>
      </c>
      <c r="CF57">
        <v>4.9000000000000002E-2</v>
      </c>
      <c r="CG57">
        <v>0.1575</v>
      </c>
      <c r="CH57">
        <v>171180.041417</v>
      </c>
      <c r="CI57">
        <v>616494.74699999997</v>
      </c>
      <c r="CJ57">
        <v>550221.56169750006</v>
      </c>
      <c r="CK57">
        <v>32.549999999999997</v>
      </c>
      <c r="CM57">
        <v>15</v>
      </c>
      <c r="CN57">
        <v>616494.74699999997</v>
      </c>
      <c r="CO57">
        <v>32.549999999999997</v>
      </c>
      <c r="CP57" s="55">
        <v>0.03</v>
      </c>
      <c r="CQ57" s="55">
        <v>0.04</v>
      </c>
      <c r="CS57" s="56">
        <v>4109964.98</v>
      </c>
      <c r="CT57" s="57">
        <v>7.0000000000000007E-2</v>
      </c>
      <c r="CU57">
        <v>287697.54860000004</v>
      </c>
      <c r="CV57" s="56">
        <v>39.552500000000002</v>
      </c>
    </row>
    <row r="58" spans="1:100" x14ac:dyDescent="0.35">
      <c r="A58" t="s">
        <v>242</v>
      </c>
      <c r="B58" t="s">
        <v>483</v>
      </c>
      <c r="C58" t="s">
        <v>484</v>
      </c>
      <c r="D58" t="s">
        <v>1011</v>
      </c>
      <c r="E58" t="s">
        <v>704</v>
      </c>
      <c r="F58" t="s">
        <v>622</v>
      </c>
      <c r="G58" t="s">
        <v>260</v>
      </c>
      <c r="H58" t="s">
        <v>65</v>
      </c>
      <c r="I58" t="s">
        <v>506</v>
      </c>
      <c r="J58" t="s">
        <v>507</v>
      </c>
      <c r="K58" t="s">
        <v>508</v>
      </c>
      <c r="L58" t="s">
        <v>595</v>
      </c>
      <c r="M58" t="s">
        <v>603</v>
      </c>
      <c r="N58" t="s">
        <v>1009</v>
      </c>
      <c r="O58" t="s">
        <v>1012</v>
      </c>
      <c r="Q58" t="s">
        <v>79</v>
      </c>
      <c r="R58" t="s">
        <v>438</v>
      </c>
      <c r="S58" t="s">
        <v>92</v>
      </c>
      <c r="T58" t="s">
        <v>86</v>
      </c>
      <c r="U58" t="s">
        <v>291</v>
      </c>
      <c r="V58" t="s">
        <v>93</v>
      </c>
      <c r="W58">
        <v>798524.61</v>
      </c>
      <c r="X58" t="s">
        <v>1013</v>
      </c>
      <c r="Y58" t="s">
        <v>1013</v>
      </c>
      <c r="Z58" t="s">
        <v>70</v>
      </c>
      <c r="AB58" t="s">
        <v>439</v>
      </c>
      <c r="AC58" t="s">
        <v>439</v>
      </c>
      <c r="AD58" t="s">
        <v>439</v>
      </c>
      <c r="AF58" t="s">
        <v>439</v>
      </c>
      <c r="AG58" t="s">
        <v>439</v>
      </c>
      <c r="AH58" t="s">
        <v>439</v>
      </c>
      <c r="AJ58" t="s">
        <v>439</v>
      </c>
      <c r="AK58" t="s">
        <v>439</v>
      </c>
      <c r="AL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439</v>
      </c>
      <c r="AS58" t="s">
        <v>439</v>
      </c>
      <c r="AU58" t="s">
        <v>439</v>
      </c>
      <c r="AV58" t="s">
        <v>439</v>
      </c>
      <c r="AW58" t="s">
        <v>439</v>
      </c>
      <c r="AX58">
        <v>0</v>
      </c>
      <c r="AY58" t="s">
        <v>439</v>
      </c>
      <c r="AZ58" t="s">
        <v>439</v>
      </c>
      <c r="BA58" t="s">
        <v>439</v>
      </c>
      <c r="BB58" t="s">
        <v>509</v>
      </c>
      <c r="BC58">
        <v>798524.61</v>
      </c>
      <c r="BE58" t="s">
        <v>509</v>
      </c>
      <c r="BF58" t="s">
        <v>510</v>
      </c>
      <c r="BG58" t="s">
        <v>446</v>
      </c>
      <c r="BH58" t="s">
        <v>196</v>
      </c>
      <c r="BI58" t="s">
        <v>449</v>
      </c>
      <c r="BK58" t="s">
        <v>442</v>
      </c>
      <c r="BL58" t="s">
        <v>443</v>
      </c>
      <c r="BM58" t="s">
        <v>444</v>
      </c>
      <c r="BN58" t="s">
        <v>639</v>
      </c>
      <c r="BO58" t="s">
        <v>445</v>
      </c>
      <c r="BP58" t="s">
        <v>446</v>
      </c>
      <c r="BT58">
        <v>8</v>
      </c>
      <c r="BU58">
        <v>15</v>
      </c>
      <c r="CE58">
        <v>15</v>
      </c>
      <c r="CF58">
        <v>4.9000000000000002E-2</v>
      </c>
      <c r="CG58">
        <v>0.1575</v>
      </c>
      <c r="CH58">
        <v>33258.550006499994</v>
      </c>
      <c r="CI58">
        <v>119778.69149999999</v>
      </c>
      <c r="CJ58">
        <v>106902.48216374998</v>
      </c>
      <c r="CK58">
        <v>32.549999999999997</v>
      </c>
      <c r="CM58">
        <v>15</v>
      </c>
      <c r="CN58">
        <v>119778.69149999999</v>
      </c>
      <c r="CO58">
        <v>32.549999999999997</v>
      </c>
      <c r="CP58" s="55">
        <v>0.03</v>
      </c>
      <c r="CQ58" s="55">
        <v>0.04</v>
      </c>
      <c r="CS58" s="56">
        <v>798524.61</v>
      </c>
      <c r="CT58" s="57">
        <v>7.0000000000000007E-2</v>
      </c>
      <c r="CU58">
        <v>55896.722700000006</v>
      </c>
      <c r="CV58" s="56">
        <v>39.552500000000002</v>
      </c>
    </row>
    <row r="59" spans="1:100" x14ac:dyDescent="0.35">
      <c r="A59" t="s">
        <v>242</v>
      </c>
      <c r="B59" t="s">
        <v>483</v>
      </c>
      <c r="C59" t="s">
        <v>484</v>
      </c>
      <c r="D59" t="s">
        <v>1014</v>
      </c>
      <c r="E59" t="s">
        <v>705</v>
      </c>
      <c r="F59" t="s">
        <v>622</v>
      </c>
      <c r="G59" t="s">
        <v>260</v>
      </c>
      <c r="H59" t="s">
        <v>65</v>
      </c>
      <c r="I59" t="s">
        <v>706</v>
      </c>
      <c r="J59" t="s">
        <v>707</v>
      </c>
      <c r="K59" t="s">
        <v>708</v>
      </c>
      <c r="L59" t="s">
        <v>595</v>
      </c>
      <c r="M59" t="s">
        <v>609</v>
      </c>
      <c r="N59" t="s">
        <v>995</v>
      </c>
      <c r="O59" t="s">
        <v>813</v>
      </c>
      <c r="Q59" t="s">
        <v>79</v>
      </c>
      <c r="R59" t="s">
        <v>438</v>
      </c>
      <c r="S59" t="s">
        <v>92</v>
      </c>
      <c r="T59" t="s">
        <v>86</v>
      </c>
      <c r="U59" t="s">
        <v>291</v>
      </c>
      <c r="V59" t="s">
        <v>93</v>
      </c>
      <c r="W59">
        <v>2028302.04</v>
      </c>
      <c r="X59" t="s">
        <v>1015</v>
      </c>
      <c r="Y59" t="s">
        <v>1015</v>
      </c>
      <c r="Z59" t="s">
        <v>70</v>
      </c>
      <c r="AB59" t="s">
        <v>439</v>
      </c>
      <c r="AC59" t="s">
        <v>439</v>
      </c>
      <c r="AD59" t="s">
        <v>439</v>
      </c>
      <c r="AF59" t="s">
        <v>439</v>
      </c>
      <c r="AG59" t="s">
        <v>439</v>
      </c>
      <c r="AH59" t="s">
        <v>439</v>
      </c>
      <c r="AJ59" t="s">
        <v>439</v>
      </c>
      <c r="AK59" t="s">
        <v>439</v>
      </c>
      <c r="AL59" t="s">
        <v>439</v>
      </c>
      <c r="AN59" t="s">
        <v>439</v>
      </c>
      <c r="AO59" t="s">
        <v>439</v>
      </c>
      <c r="AP59" t="s">
        <v>439</v>
      </c>
      <c r="AQ59" t="s">
        <v>439</v>
      </c>
      <c r="AR59" t="s">
        <v>439</v>
      </c>
      <c r="AS59" t="s">
        <v>439</v>
      </c>
      <c r="AU59" t="s">
        <v>439</v>
      </c>
      <c r="AV59" t="s">
        <v>439</v>
      </c>
      <c r="AW59" t="s">
        <v>439</v>
      </c>
      <c r="AX59">
        <v>0</v>
      </c>
      <c r="AY59" t="s">
        <v>439</v>
      </c>
      <c r="AZ59" t="s">
        <v>439</v>
      </c>
      <c r="BA59" t="s">
        <v>439</v>
      </c>
      <c r="BB59" t="s">
        <v>709</v>
      </c>
      <c r="BC59">
        <v>2028302.04</v>
      </c>
      <c r="BE59" t="s">
        <v>709</v>
      </c>
      <c r="BF59" t="s">
        <v>710</v>
      </c>
      <c r="BG59" t="s">
        <v>446</v>
      </c>
      <c r="BH59" t="s">
        <v>196</v>
      </c>
      <c r="BI59" t="s">
        <v>449</v>
      </c>
      <c r="BK59" t="s">
        <v>442</v>
      </c>
      <c r="BL59" t="s">
        <v>443</v>
      </c>
      <c r="BM59" t="s">
        <v>444</v>
      </c>
      <c r="BN59" t="s">
        <v>639</v>
      </c>
      <c r="BO59" t="s">
        <v>445</v>
      </c>
      <c r="BP59" t="s">
        <v>446</v>
      </c>
      <c r="BT59">
        <v>8</v>
      </c>
      <c r="BU59">
        <v>15</v>
      </c>
      <c r="CE59">
        <v>15</v>
      </c>
      <c r="CF59">
        <v>4.9000000000000002E-2</v>
      </c>
      <c r="CG59">
        <v>0.1575</v>
      </c>
      <c r="CH59">
        <v>84478.779966000002</v>
      </c>
      <c r="CI59">
        <v>304245.30599999998</v>
      </c>
      <c r="CJ59">
        <v>271538.93560500001</v>
      </c>
      <c r="CK59">
        <v>32.549999999999997</v>
      </c>
      <c r="CM59">
        <v>15</v>
      </c>
      <c r="CN59">
        <v>304245.30599999998</v>
      </c>
      <c r="CO59">
        <v>32.549999999999997</v>
      </c>
      <c r="CP59" s="55">
        <v>0.03</v>
      </c>
      <c r="CQ59" s="55">
        <v>0.04</v>
      </c>
      <c r="CS59" s="56">
        <v>2028302.04</v>
      </c>
      <c r="CT59" s="57">
        <v>7.0000000000000007E-2</v>
      </c>
      <c r="CU59">
        <v>141981.14280000003</v>
      </c>
      <c r="CV59" s="56">
        <v>39.552500000000002</v>
      </c>
    </row>
    <row r="60" spans="1:100" x14ac:dyDescent="0.35">
      <c r="A60" t="s">
        <v>242</v>
      </c>
      <c r="B60" t="s">
        <v>483</v>
      </c>
      <c r="C60" t="s">
        <v>484</v>
      </c>
      <c r="D60" t="s">
        <v>1016</v>
      </c>
      <c r="E60" t="s">
        <v>711</v>
      </c>
      <c r="F60" t="s">
        <v>824</v>
      </c>
      <c r="G60" t="s">
        <v>260</v>
      </c>
      <c r="H60" t="s">
        <v>65</v>
      </c>
      <c r="I60" t="s">
        <v>104</v>
      </c>
      <c r="J60" t="s">
        <v>497</v>
      </c>
      <c r="K60" t="s">
        <v>466</v>
      </c>
      <c r="L60" t="s">
        <v>281</v>
      </c>
      <c r="M60" t="s">
        <v>1017</v>
      </c>
      <c r="N60" t="s">
        <v>1018</v>
      </c>
      <c r="O60" t="s">
        <v>934</v>
      </c>
      <c r="Q60" t="s">
        <v>79</v>
      </c>
      <c r="R60" t="s">
        <v>438</v>
      </c>
      <c r="S60" t="s">
        <v>92</v>
      </c>
      <c r="T60" t="s">
        <v>86</v>
      </c>
      <c r="U60" t="s">
        <v>291</v>
      </c>
      <c r="V60" t="s">
        <v>93</v>
      </c>
      <c r="W60">
        <v>1419697.04</v>
      </c>
      <c r="X60" t="s">
        <v>1019</v>
      </c>
      <c r="Y60" t="s">
        <v>1019</v>
      </c>
      <c r="Z60" t="s">
        <v>70</v>
      </c>
      <c r="AB60" t="s">
        <v>439</v>
      </c>
      <c r="AC60" t="s">
        <v>439</v>
      </c>
      <c r="AD60" t="s">
        <v>439</v>
      </c>
      <c r="AF60" t="s">
        <v>439</v>
      </c>
      <c r="AG60" t="s">
        <v>439</v>
      </c>
      <c r="AH60" t="s">
        <v>439</v>
      </c>
      <c r="AJ60" t="s">
        <v>439</v>
      </c>
      <c r="AK60" t="s">
        <v>439</v>
      </c>
      <c r="AL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U60" t="s">
        <v>439</v>
      </c>
      <c r="AV60" t="s">
        <v>439</v>
      </c>
      <c r="AW60" t="s">
        <v>439</v>
      </c>
      <c r="AX60">
        <v>0</v>
      </c>
      <c r="AY60" t="s">
        <v>439</v>
      </c>
      <c r="AZ60" t="s">
        <v>439</v>
      </c>
      <c r="BA60" t="s">
        <v>439</v>
      </c>
      <c r="BB60" t="s">
        <v>108</v>
      </c>
      <c r="BC60">
        <v>1419697.04</v>
      </c>
      <c r="BE60" t="s">
        <v>108</v>
      </c>
      <c r="BF60" t="s">
        <v>465</v>
      </c>
      <c r="BG60" t="s">
        <v>446</v>
      </c>
      <c r="BH60" t="s">
        <v>203</v>
      </c>
      <c r="BI60" t="s">
        <v>449</v>
      </c>
      <c r="BK60" t="s">
        <v>442</v>
      </c>
      <c r="BL60" t="s">
        <v>443</v>
      </c>
      <c r="BM60" t="s">
        <v>444</v>
      </c>
      <c r="BN60" t="s">
        <v>639</v>
      </c>
      <c r="BO60" t="s">
        <v>445</v>
      </c>
      <c r="BP60" t="s">
        <v>446</v>
      </c>
      <c r="BT60">
        <v>8</v>
      </c>
      <c r="BU60">
        <v>15</v>
      </c>
      <c r="CE60">
        <v>15</v>
      </c>
      <c r="CF60">
        <v>4.9000000000000002E-2</v>
      </c>
      <c r="CG60">
        <v>0.1575</v>
      </c>
      <c r="CH60">
        <v>59130.381715999996</v>
      </c>
      <c r="CI60">
        <v>212954.55600000001</v>
      </c>
      <c r="CJ60">
        <v>190061.94123</v>
      </c>
      <c r="CK60">
        <v>32.549999999999997</v>
      </c>
      <c r="CM60">
        <v>15</v>
      </c>
      <c r="CN60">
        <v>212954.55600000001</v>
      </c>
      <c r="CO60">
        <v>32.549999999999997</v>
      </c>
      <c r="CP60" s="55">
        <v>0.03</v>
      </c>
      <c r="CQ60" s="55">
        <v>0.04</v>
      </c>
      <c r="CS60" s="56">
        <v>1419697.04</v>
      </c>
      <c r="CT60" s="57">
        <v>7.0000000000000007E-2</v>
      </c>
      <c r="CU60">
        <v>99378.79280000001</v>
      </c>
      <c r="CV60" s="56">
        <v>39.552500000000002</v>
      </c>
    </row>
    <row r="61" spans="1:100" x14ac:dyDescent="0.35">
      <c r="A61" t="s">
        <v>242</v>
      </c>
      <c r="B61" t="s">
        <v>483</v>
      </c>
      <c r="C61" t="s">
        <v>484</v>
      </c>
      <c r="D61" t="s">
        <v>1020</v>
      </c>
      <c r="E61" t="s">
        <v>1021</v>
      </c>
      <c r="F61" t="s">
        <v>1022</v>
      </c>
      <c r="G61" t="s">
        <v>482</v>
      </c>
      <c r="H61" t="s">
        <v>65</v>
      </c>
      <c r="I61" t="s">
        <v>287</v>
      </c>
      <c r="J61" t="s">
        <v>490</v>
      </c>
      <c r="K61" t="s">
        <v>467</v>
      </c>
      <c r="L61" t="s">
        <v>528</v>
      </c>
      <c r="M61" t="s">
        <v>659</v>
      </c>
      <c r="N61" t="s">
        <v>1023</v>
      </c>
      <c r="O61" t="s">
        <v>1023</v>
      </c>
      <c r="P61" t="s">
        <v>527</v>
      </c>
      <c r="Q61" t="s">
        <v>69</v>
      </c>
      <c r="R61" t="s">
        <v>438</v>
      </c>
      <c r="S61" t="s">
        <v>92</v>
      </c>
      <c r="T61" t="s">
        <v>86</v>
      </c>
      <c r="U61" t="s">
        <v>291</v>
      </c>
      <c r="V61" t="s">
        <v>93</v>
      </c>
      <c r="W61">
        <v>801900</v>
      </c>
      <c r="X61" t="s">
        <v>850</v>
      </c>
      <c r="Y61" t="s">
        <v>850</v>
      </c>
      <c r="Z61" t="s">
        <v>70</v>
      </c>
      <c r="AB61" t="s">
        <v>439</v>
      </c>
      <c r="AC61" t="s">
        <v>439</v>
      </c>
      <c r="AD61" t="s">
        <v>439</v>
      </c>
      <c r="AF61" t="s">
        <v>439</v>
      </c>
      <c r="AG61" t="s">
        <v>439</v>
      </c>
      <c r="AH61" t="s">
        <v>439</v>
      </c>
      <c r="AJ61" t="s">
        <v>439</v>
      </c>
      <c r="AK61" t="s">
        <v>439</v>
      </c>
      <c r="AL61" t="s">
        <v>439</v>
      </c>
      <c r="AN61" t="s">
        <v>439</v>
      </c>
      <c r="AO61" t="s">
        <v>439</v>
      </c>
      <c r="AP61" t="s">
        <v>439</v>
      </c>
      <c r="AQ61" t="s">
        <v>439</v>
      </c>
      <c r="AR61" t="s">
        <v>439</v>
      </c>
      <c r="AS61" t="s">
        <v>439</v>
      </c>
      <c r="AU61" t="s">
        <v>439</v>
      </c>
      <c r="AV61" t="s">
        <v>439</v>
      </c>
      <c r="AW61" t="s">
        <v>439</v>
      </c>
      <c r="AX61">
        <v>0</v>
      </c>
      <c r="AY61" t="s">
        <v>439</v>
      </c>
      <c r="AZ61" t="s">
        <v>439</v>
      </c>
      <c r="BA61" t="s">
        <v>439</v>
      </c>
      <c r="BB61" t="s">
        <v>522</v>
      </c>
      <c r="BC61">
        <v>801900</v>
      </c>
      <c r="BE61" t="s">
        <v>522</v>
      </c>
      <c r="BF61" t="s">
        <v>523</v>
      </c>
      <c r="BG61" t="s">
        <v>446</v>
      </c>
      <c r="BH61" t="s">
        <v>206</v>
      </c>
      <c r="BI61" t="s">
        <v>449</v>
      </c>
      <c r="BK61" t="s">
        <v>442</v>
      </c>
      <c r="BL61" t="s">
        <v>443</v>
      </c>
      <c r="BM61" t="s">
        <v>444</v>
      </c>
      <c r="BN61" t="s">
        <v>639</v>
      </c>
      <c r="BO61" t="s">
        <v>445</v>
      </c>
      <c r="BP61" t="s">
        <v>446</v>
      </c>
      <c r="BT61">
        <v>8</v>
      </c>
      <c r="BU61">
        <v>15</v>
      </c>
      <c r="CE61">
        <v>15</v>
      </c>
      <c r="CF61">
        <v>4.9000000000000002E-2</v>
      </c>
      <c r="CG61">
        <v>0.1575</v>
      </c>
      <c r="CH61">
        <v>33399.134999999995</v>
      </c>
      <c r="CI61">
        <v>120285</v>
      </c>
      <c r="CJ61">
        <v>107354.3625</v>
      </c>
      <c r="CK61">
        <v>32.549999999999997</v>
      </c>
      <c r="CM61">
        <v>15</v>
      </c>
      <c r="CN61">
        <v>120285</v>
      </c>
      <c r="CO61">
        <v>32.549999999999997</v>
      </c>
      <c r="CP61" s="55">
        <v>0.03</v>
      </c>
      <c r="CQ61" s="55">
        <v>0.04</v>
      </c>
      <c r="CS61" s="56">
        <v>801900</v>
      </c>
      <c r="CT61" s="57">
        <v>7.0000000000000007E-2</v>
      </c>
      <c r="CU61">
        <v>56133.000000000007</v>
      </c>
      <c r="CV61" s="56">
        <v>39.552500000000002</v>
      </c>
    </row>
    <row r="62" spans="1:100" x14ac:dyDescent="0.35">
      <c r="A62" t="s">
        <v>242</v>
      </c>
      <c r="B62" t="s">
        <v>483</v>
      </c>
      <c r="C62" t="s">
        <v>484</v>
      </c>
      <c r="D62" t="s">
        <v>1024</v>
      </c>
      <c r="E62" t="s">
        <v>1021</v>
      </c>
      <c r="F62" t="s">
        <v>1022</v>
      </c>
      <c r="G62" t="s">
        <v>482</v>
      </c>
      <c r="H62" t="s">
        <v>65</v>
      </c>
      <c r="I62" t="s">
        <v>287</v>
      </c>
      <c r="J62" t="s">
        <v>490</v>
      </c>
      <c r="K62" t="s">
        <v>467</v>
      </c>
      <c r="L62" t="s">
        <v>528</v>
      </c>
      <c r="M62" t="s">
        <v>638</v>
      </c>
      <c r="N62" t="s">
        <v>1023</v>
      </c>
      <c r="O62" t="s">
        <v>1023</v>
      </c>
      <c r="P62" t="s">
        <v>286</v>
      </c>
      <c r="Q62" t="s">
        <v>69</v>
      </c>
      <c r="R62" t="s">
        <v>438</v>
      </c>
      <c r="S62" t="s">
        <v>92</v>
      </c>
      <c r="T62" t="s">
        <v>86</v>
      </c>
      <c r="U62" t="s">
        <v>291</v>
      </c>
      <c r="V62" t="s">
        <v>93</v>
      </c>
      <c r="W62">
        <v>2308500</v>
      </c>
      <c r="X62" t="s">
        <v>852</v>
      </c>
      <c r="Y62" t="s">
        <v>852</v>
      </c>
      <c r="Z62" t="s">
        <v>70</v>
      </c>
      <c r="AB62" t="s">
        <v>439</v>
      </c>
      <c r="AC62" t="s">
        <v>439</v>
      </c>
      <c r="AD62" t="s">
        <v>439</v>
      </c>
      <c r="AF62" t="s">
        <v>439</v>
      </c>
      <c r="AG62" t="s">
        <v>439</v>
      </c>
      <c r="AH62" t="s">
        <v>439</v>
      </c>
      <c r="AJ62" t="s">
        <v>439</v>
      </c>
      <c r="AK62" t="s">
        <v>439</v>
      </c>
      <c r="AL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U62" t="s">
        <v>439</v>
      </c>
      <c r="AV62" t="s">
        <v>439</v>
      </c>
      <c r="AW62" t="s">
        <v>439</v>
      </c>
      <c r="AX62">
        <v>0</v>
      </c>
      <c r="AY62" t="s">
        <v>439</v>
      </c>
      <c r="AZ62" t="s">
        <v>439</v>
      </c>
      <c r="BA62" t="s">
        <v>439</v>
      </c>
      <c r="BB62" t="s">
        <v>522</v>
      </c>
      <c r="BC62">
        <v>2308500</v>
      </c>
      <c r="BE62" t="s">
        <v>522</v>
      </c>
      <c r="BF62" t="s">
        <v>523</v>
      </c>
      <c r="BG62" t="s">
        <v>446</v>
      </c>
      <c r="BH62" t="s">
        <v>206</v>
      </c>
      <c r="BI62" t="s">
        <v>449</v>
      </c>
      <c r="BK62" t="s">
        <v>442</v>
      </c>
      <c r="BL62" t="s">
        <v>443</v>
      </c>
      <c r="BM62" t="s">
        <v>444</v>
      </c>
      <c r="BN62" t="s">
        <v>639</v>
      </c>
      <c r="BO62" t="s">
        <v>445</v>
      </c>
      <c r="BP62" t="s">
        <v>446</v>
      </c>
      <c r="BT62">
        <v>8</v>
      </c>
      <c r="BU62">
        <v>15</v>
      </c>
      <c r="CE62">
        <v>15</v>
      </c>
      <c r="CF62">
        <v>4.9000000000000002E-2</v>
      </c>
      <c r="CG62">
        <v>0.1575</v>
      </c>
      <c r="CH62">
        <v>96149.024999999994</v>
      </c>
      <c r="CI62">
        <v>346275</v>
      </c>
      <c r="CJ62">
        <v>309050.4375</v>
      </c>
      <c r="CK62">
        <v>32.549999999999997</v>
      </c>
      <c r="CM62">
        <v>15</v>
      </c>
      <c r="CN62">
        <v>346275</v>
      </c>
      <c r="CO62">
        <v>32.549999999999997</v>
      </c>
      <c r="CP62" s="55">
        <v>0.03</v>
      </c>
      <c r="CQ62" s="55">
        <v>0.04</v>
      </c>
      <c r="CS62" s="56">
        <v>2308500</v>
      </c>
      <c r="CT62" s="57">
        <v>7.0000000000000007E-2</v>
      </c>
      <c r="CU62">
        <v>161595.00000000003</v>
      </c>
      <c r="CV62" s="56">
        <v>39.552500000000002</v>
      </c>
    </row>
    <row r="63" spans="1:100" x14ac:dyDescent="0.35">
      <c r="A63" t="s">
        <v>242</v>
      </c>
      <c r="B63" t="s">
        <v>483</v>
      </c>
      <c r="C63" t="s">
        <v>484</v>
      </c>
      <c r="D63" t="s">
        <v>1025</v>
      </c>
      <c r="E63" t="s">
        <v>1026</v>
      </c>
      <c r="F63" t="s">
        <v>622</v>
      </c>
      <c r="G63" t="s">
        <v>260</v>
      </c>
      <c r="H63" t="s">
        <v>65</v>
      </c>
      <c r="I63" t="s">
        <v>284</v>
      </c>
      <c r="J63" t="s">
        <v>492</v>
      </c>
      <c r="K63" t="s">
        <v>459</v>
      </c>
      <c r="L63" t="s">
        <v>528</v>
      </c>
      <c r="M63" t="s">
        <v>456</v>
      </c>
      <c r="N63" t="s">
        <v>1027</v>
      </c>
      <c r="O63" t="s">
        <v>817</v>
      </c>
      <c r="Q63" t="s">
        <v>79</v>
      </c>
      <c r="R63" t="s">
        <v>438</v>
      </c>
      <c r="S63" t="s">
        <v>92</v>
      </c>
      <c r="T63" t="s">
        <v>86</v>
      </c>
      <c r="U63" t="s">
        <v>291</v>
      </c>
      <c r="V63" t="s">
        <v>93</v>
      </c>
      <c r="W63">
        <v>5000000</v>
      </c>
      <c r="X63" t="s">
        <v>1028</v>
      </c>
      <c r="Y63" t="s">
        <v>1028</v>
      </c>
      <c r="Z63" t="s">
        <v>70</v>
      </c>
      <c r="AB63" t="s">
        <v>439</v>
      </c>
      <c r="AC63" t="s">
        <v>439</v>
      </c>
      <c r="AD63" t="s">
        <v>439</v>
      </c>
      <c r="AF63" t="s">
        <v>439</v>
      </c>
      <c r="AG63" t="s">
        <v>439</v>
      </c>
      <c r="AH63" t="s">
        <v>439</v>
      </c>
      <c r="AJ63" t="s">
        <v>439</v>
      </c>
      <c r="AK63" t="s">
        <v>439</v>
      </c>
      <c r="AL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U63" t="s">
        <v>439</v>
      </c>
      <c r="AV63" t="s">
        <v>439</v>
      </c>
      <c r="AW63" t="s">
        <v>439</v>
      </c>
      <c r="AX63">
        <v>0</v>
      </c>
      <c r="AY63" t="s">
        <v>439</v>
      </c>
      <c r="AZ63" t="s">
        <v>439</v>
      </c>
      <c r="BA63" t="s">
        <v>439</v>
      </c>
      <c r="BB63" t="s">
        <v>243</v>
      </c>
      <c r="BC63">
        <v>5000000</v>
      </c>
      <c r="BD63">
        <v>5000000</v>
      </c>
      <c r="BE63" t="s">
        <v>243</v>
      </c>
      <c r="BF63" t="s">
        <v>460</v>
      </c>
      <c r="BG63" t="s">
        <v>446</v>
      </c>
      <c r="BH63" t="s">
        <v>206</v>
      </c>
      <c r="BI63" t="s">
        <v>449</v>
      </c>
      <c r="BK63" t="s">
        <v>442</v>
      </c>
      <c r="BL63" t="s">
        <v>443</v>
      </c>
      <c r="BM63" t="s">
        <v>444</v>
      </c>
      <c r="BN63" t="s">
        <v>639</v>
      </c>
      <c r="BO63" t="s">
        <v>445</v>
      </c>
      <c r="BP63" t="s">
        <v>446</v>
      </c>
      <c r="BT63">
        <v>8</v>
      </c>
      <c r="BU63">
        <v>15</v>
      </c>
      <c r="CE63">
        <v>15</v>
      </c>
      <c r="CF63">
        <v>4.9000000000000002E-2</v>
      </c>
      <c r="CG63">
        <v>0.1575</v>
      </c>
      <c r="CH63">
        <v>208250</v>
      </c>
      <c r="CI63">
        <v>750000</v>
      </c>
      <c r="CJ63">
        <v>669375</v>
      </c>
      <c r="CK63">
        <v>32.549999999999997</v>
      </c>
      <c r="CM63">
        <v>15</v>
      </c>
      <c r="CN63">
        <v>750000</v>
      </c>
      <c r="CO63">
        <v>32.549999999999997</v>
      </c>
      <c r="CP63" s="55">
        <v>0.03</v>
      </c>
      <c r="CQ63" s="55">
        <v>0.04</v>
      </c>
      <c r="CS63" s="56">
        <v>5000000</v>
      </c>
      <c r="CT63" s="57">
        <v>7.0000000000000007E-2</v>
      </c>
      <c r="CU63">
        <v>350000.00000000006</v>
      </c>
      <c r="CV63" s="56">
        <v>39.552500000000002</v>
      </c>
    </row>
    <row r="64" spans="1:100" x14ac:dyDescent="0.35">
      <c r="A64" t="s">
        <v>242</v>
      </c>
      <c r="B64" t="s">
        <v>483</v>
      </c>
      <c r="C64" t="s">
        <v>484</v>
      </c>
      <c r="D64" t="s">
        <v>1029</v>
      </c>
      <c r="E64" t="s">
        <v>1030</v>
      </c>
      <c r="F64" t="s">
        <v>824</v>
      </c>
      <c r="G64" t="s">
        <v>482</v>
      </c>
      <c r="H64" t="s">
        <v>65</v>
      </c>
      <c r="I64" t="s">
        <v>98</v>
      </c>
      <c r="J64" t="s">
        <v>488</v>
      </c>
      <c r="K64" t="s">
        <v>461</v>
      </c>
      <c r="L64" t="s">
        <v>528</v>
      </c>
      <c r="M64" t="s">
        <v>1031</v>
      </c>
      <c r="N64" t="s">
        <v>934</v>
      </c>
      <c r="O64" t="s">
        <v>934</v>
      </c>
      <c r="P64" t="s">
        <v>286</v>
      </c>
      <c r="Q64" t="s">
        <v>79</v>
      </c>
      <c r="R64" t="s">
        <v>438</v>
      </c>
      <c r="S64" t="s">
        <v>92</v>
      </c>
      <c r="T64" t="s">
        <v>86</v>
      </c>
      <c r="U64" t="s">
        <v>291</v>
      </c>
      <c r="V64" t="s">
        <v>93</v>
      </c>
      <c r="W64">
        <v>3625356</v>
      </c>
      <c r="X64" t="s">
        <v>1032</v>
      </c>
      <c r="Y64" t="s">
        <v>1032</v>
      </c>
      <c r="Z64" t="s">
        <v>70</v>
      </c>
      <c r="AB64" t="s">
        <v>439</v>
      </c>
      <c r="AC64" t="s">
        <v>439</v>
      </c>
      <c r="AD64" t="s">
        <v>439</v>
      </c>
      <c r="AF64" t="s">
        <v>439</v>
      </c>
      <c r="AG64" t="s">
        <v>439</v>
      </c>
      <c r="AH64" t="s">
        <v>439</v>
      </c>
      <c r="AJ64" t="s">
        <v>439</v>
      </c>
      <c r="AK64" t="s">
        <v>439</v>
      </c>
      <c r="AL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439</v>
      </c>
      <c r="AS64" t="s">
        <v>439</v>
      </c>
      <c r="AU64" t="s">
        <v>439</v>
      </c>
      <c r="AV64" t="s">
        <v>439</v>
      </c>
      <c r="AW64" t="s">
        <v>439</v>
      </c>
      <c r="AX64">
        <v>0</v>
      </c>
      <c r="AY64" t="s">
        <v>439</v>
      </c>
      <c r="AZ64" t="s">
        <v>439</v>
      </c>
      <c r="BA64" t="s">
        <v>439</v>
      </c>
      <c r="BB64" t="s">
        <v>259</v>
      </c>
      <c r="BC64">
        <v>3625356</v>
      </c>
      <c r="BE64" t="s">
        <v>259</v>
      </c>
      <c r="BF64" t="s">
        <v>462</v>
      </c>
      <c r="BG64" t="s">
        <v>446</v>
      </c>
      <c r="BH64" t="s">
        <v>206</v>
      </c>
      <c r="BI64" t="s">
        <v>449</v>
      </c>
      <c r="BK64" t="s">
        <v>442</v>
      </c>
      <c r="BL64" t="s">
        <v>443</v>
      </c>
      <c r="BM64" t="s">
        <v>444</v>
      </c>
      <c r="BN64" t="s">
        <v>639</v>
      </c>
      <c r="BO64" t="s">
        <v>445</v>
      </c>
      <c r="BP64" t="s">
        <v>446</v>
      </c>
      <c r="BT64">
        <v>8</v>
      </c>
      <c r="BU64">
        <v>15</v>
      </c>
      <c r="CE64">
        <v>15</v>
      </c>
      <c r="CF64">
        <v>4.9000000000000002E-2</v>
      </c>
      <c r="CG64">
        <v>0.1575</v>
      </c>
      <c r="CH64">
        <v>150996.07740000001</v>
      </c>
      <c r="CI64">
        <v>543803.4</v>
      </c>
      <c r="CJ64">
        <v>485344.53449999995</v>
      </c>
      <c r="CK64">
        <v>32.549999999999997</v>
      </c>
      <c r="CM64">
        <v>15</v>
      </c>
      <c r="CN64">
        <v>543803.4</v>
      </c>
      <c r="CO64">
        <v>32.549999999999997</v>
      </c>
      <c r="CP64" s="55">
        <v>0.03</v>
      </c>
      <c r="CQ64" s="55">
        <v>0.04</v>
      </c>
      <c r="CS64" s="56">
        <v>3625356</v>
      </c>
      <c r="CT64" s="57">
        <v>7.0000000000000007E-2</v>
      </c>
      <c r="CU64">
        <v>253774.92</v>
      </c>
      <c r="CV64" s="56">
        <v>39.552500000000002</v>
      </c>
    </row>
    <row r="65" spans="1:100" x14ac:dyDescent="0.35">
      <c r="A65" t="s">
        <v>242</v>
      </c>
      <c r="B65" t="s">
        <v>483</v>
      </c>
      <c r="C65" t="s">
        <v>484</v>
      </c>
      <c r="D65" t="s">
        <v>1033</v>
      </c>
      <c r="E65" t="s">
        <v>1030</v>
      </c>
      <c r="F65" t="s">
        <v>824</v>
      </c>
      <c r="G65" t="s">
        <v>482</v>
      </c>
      <c r="H65" t="s">
        <v>65</v>
      </c>
      <c r="I65" t="s">
        <v>98</v>
      </c>
      <c r="J65" t="s">
        <v>488</v>
      </c>
      <c r="K65" t="s">
        <v>461</v>
      </c>
      <c r="L65" t="s">
        <v>528</v>
      </c>
      <c r="M65" t="s">
        <v>1034</v>
      </c>
      <c r="N65" t="s">
        <v>934</v>
      </c>
      <c r="O65" t="s">
        <v>934</v>
      </c>
      <c r="P65" t="s">
        <v>527</v>
      </c>
      <c r="Q65" t="s">
        <v>79</v>
      </c>
      <c r="R65" t="s">
        <v>438</v>
      </c>
      <c r="S65" t="s">
        <v>92</v>
      </c>
      <c r="T65" t="s">
        <v>86</v>
      </c>
      <c r="U65" t="s">
        <v>291</v>
      </c>
      <c r="V65" t="s">
        <v>93</v>
      </c>
      <c r="W65">
        <v>1259410</v>
      </c>
      <c r="X65" t="s">
        <v>1035</v>
      </c>
      <c r="Y65" t="s">
        <v>1035</v>
      </c>
      <c r="Z65" t="s">
        <v>70</v>
      </c>
      <c r="AB65" t="s">
        <v>439</v>
      </c>
      <c r="AC65" t="s">
        <v>439</v>
      </c>
      <c r="AD65" t="s">
        <v>439</v>
      </c>
      <c r="AF65" t="s">
        <v>439</v>
      </c>
      <c r="AG65" t="s">
        <v>439</v>
      </c>
      <c r="AH65" t="s">
        <v>439</v>
      </c>
      <c r="AJ65" t="s">
        <v>439</v>
      </c>
      <c r="AK65" t="s">
        <v>439</v>
      </c>
      <c r="AL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U65" t="s">
        <v>439</v>
      </c>
      <c r="AV65" t="s">
        <v>439</v>
      </c>
      <c r="AW65" t="s">
        <v>439</v>
      </c>
      <c r="AX65">
        <v>0</v>
      </c>
      <c r="AY65" t="s">
        <v>439</v>
      </c>
      <c r="AZ65" t="s">
        <v>439</v>
      </c>
      <c r="BA65" t="s">
        <v>439</v>
      </c>
      <c r="BB65" t="s">
        <v>259</v>
      </c>
      <c r="BC65">
        <v>1259410</v>
      </c>
      <c r="BE65" t="s">
        <v>259</v>
      </c>
      <c r="BF65" t="s">
        <v>462</v>
      </c>
      <c r="BG65" t="s">
        <v>446</v>
      </c>
      <c r="BH65" t="s">
        <v>206</v>
      </c>
      <c r="BI65" t="s">
        <v>449</v>
      </c>
      <c r="BK65" t="s">
        <v>442</v>
      </c>
      <c r="BL65" t="s">
        <v>443</v>
      </c>
      <c r="BM65" t="s">
        <v>444</v>
      </c>
      <c r="BN65" t="s">
        <v>639</v>
      </c>
      <c r="BO65" t="s">
        <v>445</v>
      </c>
      <c r="BP65" t="s">
        <v>446</v>
      </c>
      <c r="BT65">
        <v>8</v>
      </c>
      <c r="BU65">
        <v>15</v>
      </c>
      <c r="CE65">
        <v>15</v>
      </c>
      <c r="CF65">
        <v>4.9000000000000002E-2</v>
      </c>
      <c r="CG65">
        <v>0.1575</v>
      </c>
      <c r="CH65">
        <v>52454.426500000001</v>
      </c>
      <c r="CI65">
        <v>188911.5</v>
      </c>
      <c r="CJ65">
        <v>168603.51375000001</v>
      </c>
      <c r="CK65">
        <v>32.549999999999997</v>
      </c>
      <c r="CM65">
        <v>15</v>
      </c>
      <c r="CN65">
        <v>188911.5</v>
      </c>
      <c r="CO65">
        <v>32.549999999999997</v>
      </c>
      <c r="CP65" s="55">
        <v>0.03</v>
      </c>
      <c r="CQ65" s="55">
        <v>0.04</v>
      </c>
      <c r="CS65" s="56">
        <v>1259410</v>
      </c>
      <c r="CT65" s="57">
        <v>7.0000000000000007E-2</v>
      </c>
      <c r="CU65">
        <v>88158.700000000012</v>
      </c>
      <c r="CV65" s="56">
        <v>39.552500000000002</v>
      </c>
    </row>
    <row r="66" spans="1:100" x14ac:dyDescent="0.35">
      <c r="A66" t="s">
        <v>242</v>
      </c>
      <c r="B66" t="s">
        <v>483</v>
      </c>
      <c r="C66" t="s">
        <v>484</v>
      </c>
      <c r="D66" t="s">
        <v>1036</v>
      </c>
      <c r="E66" t="s">
        <v>1037</v>
      </c>
      <c r="F66" t="s">
        <v>675</v>
      </c>
      <c r="G66" t="s">
        <v>260</v>
      </c>
      <c r="H66" t="s">
        <v>65</v>
      </c>
      <c r="I66" t="s">
        <v>917</v>
      </c>
      <c r="J66" t="s">
        <v>918</v>
      </c>
      <c r="K66" t="s">
        <v>919</v>
      </c>
      <c r="L66" t="s">
        <v>528</v>
      </c>
      <c r="M66" t="s">
        <v>1038</v>
      </c>
      <c r="N66" t="s">
        <v>1027</v>
      </c>
      <c r="O66" t="s">
        <v>817</v>
      </c>
      <c r="Q66" t="s">
        <v>79</v>
      </c>
      <c r="R66" t="s">
        <v>438</v>
      </c>
      <c r="S66" t="s">
        <v>92</v>
      </c>
      <c r="T66" t="s">
        <v>86</v>
      </c>
      <c r="U66" t="s">
        <v>291</v>
      </c>
      <c r="V66" t="s">
        <v>93</v>
      </c>
      <c r="W66">
        <v>12365642.550000001</v>
      </c>
      <c r="X66" t="s">
        <v>1039</v>
      </c>
      <c r="Y66" t="s">
        <v>1039</v>
      </c>
      <c r="Z66" t="s">
        <v>70</v>
      </c>
      <c r="AB66" t="s">
        <v>439</v>
      </c>
      <c r="AC66" t="s">
        <v>439</v>
      </c>
      <c r="AD66" t="s">
        <v>439</v>
      </c>
      <c r="AF66" t="s">
        <v>439</v>
      </c>
      <c r="AG66" t="s">
        <v>439</v>
      </c>
      <c r="AH66" t="s">
        <v>439</v>
      </c>
      <c r="AJ66" t="s">
        <v>439</v>
      </c>
      <c r="AK66" t="s">
        <v>439</v>
      </c>
      <c r="AL66" t="s">
        <v>439</v>
      </c>
      <c r="AN66" t="s">
        <v>439</v>
      </c>
      <c r="AO66" t="s">
        <v>439</v>
      </c>
      <c r="AP66" t="s">
        <v>439</v>
      </c>
      <c r="AQ66" t="s">
        <v>439</v>
      </c>
      <c r="AR66" t="s">
        <v>439</v>
      </c>
      <c r="AS66" t="s">
        <v>439</v>
      </c>
      <c r="AU66" t="s">
        <v>439</v>
      </c>
      <c r="AV66" t="s">
        <v>439</v>
      </c>
      <c r="AW66" t="s">
        <v>439</v>
      </c>
      <c r="AX66">
        <v>0</v>
      </c>
      <c r="AY66" t="s">
        <v>439</v>
      </c>
      <c r="AZ66" t="s">
        <v>439</v>
      </c>
      <c r="BA66" t="s">
        <v>439</v>
      </c>
      <c r="BC66">
        <v>12365642.550000001</v>
      </c>
      <c r="BG66" t="s">
        <v>446</v>
      </c>
      <c r="BH66" t="s">
        <v>206</v>
      </c>
      <c r="BI66" t="s">
        <v>449</v>
      </c>
      <c r="BK66" t="s">
        <v>442</v>
      </c>
      <c r="BL66" t="s">
        <v>443</v>
      </c>
      <c r="BM66" t="s">
        <v>444</v>
      </c>
      <c r="BN66" t="s">
        <v>639</v>
      </c>
      <c r="BO66" t="s">
        <v>445</v>
      </c>
      <c r="BP66" t="s">
        <v>446</v>
      </c>
      <c r="BT66">
        <v>8</v>
      </c>
      <c r="BU66">
        <v>15</v>
      </c>
      <c r="CE66">
        <v>15</v>
      </c>
      <c r="CF66">
        <v>4.9000000000000002E-2</v>
      </c>
      <c r="CG66">
        <v>0.1575</v>
      </c>
      <c r="CH66">
        <v>515029.01220750005</v>
      </c>
      <c r="CI66">
        <v>1854846.3825000001</v>
      </c>
      <c r="CJ66">
        <v>1655450.3963812501</v>
      </c>
      <c r="CK66">
        <v>32.549999999999997</v>
      </c>
      <c r="CM66">
        <v>15</v>
      </c>
      <c r="CN66">
        <v>1854846.3825000001</v>
      </c>
      <c r="CO66">
        <v>32.549999999999997</v>
      </c>
      <c r="CP66" s="55">
        <v>0.03</v>
      </c>
      <c r="CQ66" s="55">
        <v>0.04</v>
      </c>
      <c r="CS66" s="56">
        <v>12365642.550000001</v>
      </c>
      <c r="CT66" s="57">
        <v>7.0000000000000007E-2</v>
      </c>
      <c r="CU66">
        <v>865594.97850000008</v>
      </c>
      <c r="CV66" s="56">
        <v>39.552500000000002</v>
      </c>
    </row>
    <row r="67" spans="1:100" x14ac:dyDescent="0.35">
      <c r="A67" t="s">
        <v>242</v>
      </c>
      <c r="B67" t="s">
        <v>483</v>
      </c>
      <c r="C67" t="s">
        <v>484</v>
      </c>
      <c r="D67" t="s">
        <v>1040</v>
      </c>
      <c r="E67" t="s">
        <v>1041</v>
      </c>
      <c r="F67" t="s">
        <v>622</v>
      </c>
      <c r="G67" t="s">
        <v>260</v>
      </c>
      <c r="H67" t="s">
        <v>65</v>
      </c>
      <c r="I67" t="s">
        <v>681</v>
      </c>
      <c r="J67" t="s">
        <v>682</v>
      </c>
      <c r="K67" t="s">
        <v>683</v>
      </c>
      <c r="L67" t="s">
        <v>595</v>
      </c>
      <c r="M67" t="s">
        <v>454</v>
      </c>
      <c r="N67" t="s">
        <v>1027</v>
      </c>
      <c r="O67" t="s">
        <v>817</v>
      </c>
      <c r="Q67" t="s">
        <v>79</v>
      </c>
      <c r="R67" t="s">
        <v>438</v>
      </c>
      <c r="S67" t="s">
        <v>92</v>
      </c>
      <c r="T67" t="s">
        <v>86</v>
      </c>
      <c r="U67" t="s">
        <v>291</v>
      </c>
      <c r="V67" t="s">
        <v>93</v>
      </c>
      <c r="W67">
        <v>2489548.4</v>
      </c>
      <c r="X67" t="s">
        <v>1042</v>
      </c>
      <c r="Y67" t="s">
        <v>1042</v>
      </c>
      <c r="Z67" t="s">
        <v>70</v>
      </c>
      <c r="AB67" t="s">
        <v>439</v>
      </c>
      <c r="AC67" t="s">
        <v>439</v>
      </c>
      <c r="AD67" t="s">
        <v>439</v>
      </c>
      <c r="AF67" t="s">
        <v>439</v>
      </c>
      <c r="AG67" t="s">
        <v>439</v>
      </c>
      <c r="AH67" t="s">
        <v>439</v>
      </c>
      <c r="AJ67" t="s">
        <v>439</v>
      </c>
      <c r="AK67" t="s">
        <v>439</v>
      </c>
      <c r="AL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U67" t="s">
        <v>439</v>
      </c>
      <c r="AV67" t="s">
        <v>439</v>
      </c>
      <c r="AW67" t="s">
        <v>439</v>
      </c>
      <c r="AX67">
        <v>0</v>
      </c>
      <c r="AY67" t="s">
        <v>439</v>
      </c>
      <c r="AZ67" t="s">
        <v>439</v>
      </c>
      <c r="BA67" t="s">
        <v>439</v>
      </c>
      <c r="BB67" t="s">
        <v>630</v>
      </c>
      <c r="BC67">
        <v>2489548.4</v>
      </c>
      <c r="BE67" t="s">
        <v>630</v>
      </c>
      <c r="BF67" t="s">
        <v>631</v>
      </c>
      <c r="BG67" t="s">
        <v>446</v>
      </c>
      <c r="BH67" t="s">
        <v>196</v>
      </c>
      <c r="BI67" t="s">
        <v>449</v>
      </c>
      <c r="BK67" t="s">
        <v>442</v>
      </c>
      <c r="BL67" t="s">
        <v>443</v>
      </c>
      <c r="BM67" t="s">
        <v>444</v>
      </c>
      <c r="BN67" t="s">
        <v>639</v>
      </c>
      <c r="BO67" t="s">
        <v>445</v>
      </c>
      <c r="BP67" t="s">
        <v>446</v>
      </c>
      <c r="BT67">
        <v>8</v>
      </c>
      <c r="BU67">
        <v>15</v>
      </c>
      <c r="CE67">
        <v>15</v>
      </c>
      <c r="CF67">
        <v>4.9000000000000002E-2</v>
      </c>
      <c r="CG67">
        <v>0.1575</v>
      </c>
      <c r="CH67">
        <v>103689.69086</v>
      </c>
      <c r="CI67">
        <v>373432.25999999995</v>
      </c>
      <c r="CJ67">
        <v>333288.29204999999</v>
      </c>
      <c r="CK67">
        <v>32.549999999999997</v>
      </c>
      <c r="CM67">
        <v>15</v>
      </c>
      <c r="CN67">
        <v>373432.25999999995</v>
      </c>
      <c r="CO67">
        <v>32.549999999999997</v>
      </c>
      <c r="CP67" s="55">
        <v>0.03</v>
      </c>
      <c r="CQ67" s="55">
        <v>0.04</v>
      </c>
      <c r="CS67" s="56">
        <v>2489548.4</v>
      </c>
      <c r="CT67" s="57">
        <v>7.0000000000000007E-2</v>
      </c>
      <c r="CU67">
        <v>174268.38800000001</v>
      </c>
      <c r="CV67" s="56">
        <v>39.552500000000002</v>
      </c>
    </row>
    <row r="68" spans="1:100" x14ac:dyDescent="0.35">
      <c r="A68" t="s">
        <v>242</v>
      </c>
      <c r="B68" t="s">
        <v>483</v>
      </c>
      <c r="C68" t="s">
        <v>484</v>
      </c>
      <c r="D68" t="s">
        <v>1043</v>
      </c>
      <c r="E68" t="s">
        <v>1044</v>
      </c>
      <c r="F68" t="s">
        <v>820</v>
      </c>
      <c r="G68" t="s">
        <v>482</v>
      </c>
      <c r="H68" t="s">
        <v>65</v>
      </c>
      <c r="I68" t="s">
        <v>532</v>
      </c>
      <c r="J68" t="s">
        <v>533</v>
      </c>
      <c r="K68" t="s">
        <v>534</v>
      </c>
      <c r="L68" t="s">
        <v>528</v>
      </c>
      <c r="M68" t="s">
        <v>1045</v>
      </c>
      <c r="N68" t="s">
        <v>1046</v>
      </c>
      <c r="O68" t="s">
        <v>1046</v>
      </c>
      <c r="P68" t="s">
        <v>527</v>
      </c>
      <c r="Q68" t="s">
        <v>69</v>
      </c>
      <c r="R68" t="s">
        <v>438</v>
      </c>
      <c r="S68" t="s">
        <v>92</v>
      </c>
      <c r="T68" t="s">
        <v>86</v>
      </c>
      <c r="U68" t="s">
        <v>291</v>
      </c>
      <c r="V68" t="s">
        <v>93</v>
      </c>
      <c r="W68">
        <v>1133469</v>
      </c>
      <c r="X68" t="s">
        <v>1047</v>
      </c>
      <c r="Y68" t="s">
        <v>1047</v>
      </c>
      <c r="Z68" t="s">
        <v>70</v>
      </c>
      <c r="AB68" t="s">
        <v>439</v>
      </c>
      <c r="AC68" t="s">
        <v>439</v>
      </c>
      <c r="AD68" t="s">
        <v>439</v>
      </c>
      <c r="AF68" t="s">
        <v>439</v>
      </c>
      <c r="AG68" t="s">
        <v>439</v>
      </c>
      <c r="AH68" t="s">
        <v>439</v>
      </c>
      <c r="AJ68" t="s">
        <v>439</v>
      </c>
      <c r="AK68" t="s">
        <v>439</v>
      </c>
      <c r="AL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U68" t="s">
        <v>439</v>
      </c>
      <c r="AV68" t="s">
        <v>439</v>
      </c>
      <c r="AW68" t="s">
        <v>439</v>
      </c>
      <c r="AX68">
        <v>0</v>
      </c>
      <c r="AY68" t="s">
        <v>439</v>
      </c>
      <c r="AZ68" t="s">
        <v>439</v>
      </c>
      <c r="BA68" t="s">
        <v>439</v>
      </c>
      <c r="BB68" t="s">
        <v>1048</v>
      </c>
      <c r="BC68">
        <v>1133469</v>
      </c>
      <c r="BE68" t="s">
        <v>1048</v>
      </c>
      <c r="BF68" t="s">
        <v>1049</v>
      </c>
      <c r="BG68" t="s">
        <v>440</v>
      </c>
      <c r="BK68" t="s">
        <v>442</v>
      </c>
      <c r="BL68" t="s">
        <v>443</v>
      </c>
      <c r="BM68" t="s">
        <v>444</v>
      </c>
      <c r="BN68" t="s">
        <v>639</v>
      </c>
      <c r="BO68" t="s">
        <v>445</v>
      </c>
      <c r="BP68" t="s">
        <v>446</v>
      </c>
      <c r="BT68">
        <v>8</v>
      </c>
      <c r="BU68">
        <v>15</v>
      </c>
      <c r="CE68">
        <v>15</v>
      </c>
      <c r="CH68">
        <v>0</v>
      </c>
      <c r="CI68">
        <v>170020.35</v>
      </c>
      <c r="CJ68">
        <v>0</v>
      </c>
      <c r="CK68">
        <v>15</v>
      </c>
      <c r="CM68">
        <v>15</v>
      </c>
      <c r="CN68">
        <v>170020.35</v>
      </c>
      <c r="CO68">
        <v>15</v>
      </c>
      <c r="CP68" s="55">
        <v>0.03</v>
      </c>
      <c r="CQ68" s="55">
        <v>0.04</v>
      </c>
      <c r="CS68" s="56">
        <v>1133469</v>
      </c>
      <c r="CT68" s="57">
        <v>7.0000000000000007E-2</v>
      </c>
      <c r="CU68">
        <v>79342.83</v>
      </c>
      <c r="CV68" s="56">
        <v>22</v>
      </c>
    </row>
    <row r="69" spans="1:100" x14ac:dyDescent="0.35">
      <c r="A69" t="s">
        <v>242</v>
      </c>
      <c r="B69" t="s">
        <v>483</v>
      </c>
      <c r="C69" t="s">
        <v>484</v>
      </c>
      <c r="D69" t="s">
        <v>1050</v>
      </c>
      <c r="E69" t="s">
        <v>1044</v>
      </c>
      <c r="F69" t="s">
        <v>820</v>
      </c>
      <c r="G69" t="s">
        <v>482</v>
      </c>
      <c r="H69" t="s">
        <v>65</v>
      </c>
      <c r="I69" t="s">
        <v>532</v>
      </c>
      <c r="J69" t="s">
        <v>533</v>
      </c>
      <c r="K69" t="s">
        <v>534</v>
      </c>
      <c r="L69" t="s">
        <v>528</v>
      </c>
      <c r="M69" t="s">
        <v>1051</v>
      </c>
      <c r="N69" t="s">
        <v>1046</v>
      </c>
      <c r="O69" t="s">
        <v>1046</v>
      </c>
      <c r="P69" t="s">
        <v>286</v>
      </c>
      <c r="Q69" t="s">
        <v>69</v>
      </c>
      <c r="R69" t="s">
        <v>438</v>
      </c>
      <c r="S69" t="s">
        <v>92</v>
      </c>
      <c r="T69" t="s">
        <v>86</v>
      </c>
      <c r="U69" t="s">
        <v>291</v>
      </c>
      <c r="V69" t="s">
        <v>93</v>
      </c>
      <c r="W69">
        <v>3262820.4</v>
      </c>
      <c r="X69" t="s">
        <v>1052</v>
      </c>
      <c r="Y69" t="s">
        <v>1052</v>
      </c>
      <c r="Z69" t="s">
        <v>70</v>
      </c>
      <c r="AB69" t="s">
        <v>439</v>
      </c>
      <c r="AC69" t="s">
        <v>439</v>
      </c>
      <c r="AD69" t="s">
        <v>439</v>
      </c>
      <c r="AF69" t="s">
        <v>439</v>
      </c>
      <c r="AG69" t="s">
        <v>439</v>
      </c>
      <c r="AH69" t="s">
        <v>439</v>
      </c>
      <c r="AJ69" t="s">
        <v>439</v>
      </c>
      <c r="AK69" t="s">
        <v>439</v>
      </c>
      <c r="AL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U69" t="s">
        <v>439</v>
      </c>
      <c r="AV69" t="s">
        <v>439</v>
      </c>
      <c r="AW69" t="s">
        <v>439</v>
      </c>
      <c r="AX69">
        <v>0</v>
      </c>
      <c r="AY69" t="s">
        <v>439</v>
      </c>
      <c r="AZ69" t="s">
        <v>439</v>
      </c>
      <c r="BA69" t="s">
        <v>439</v>
      </c>
      <c r="BB69" t="s">
        <v>1048</v>
      </c>
      <c r="BC69">
        <v>3262820.4</v>
      </c>
      <c r="BE69" t="s">
        <v>1048</v>
      </c>
      <c r="BF69" t="s">
        <v>1049</v>
      </c>
      <c r="BG69" t="s">
        <v>440</v>
      </c>
      <c r="BK69" t="s">
        <v>442</v>
      </c>
      <c r="BL69" t="s">
        <v>443</v>
      </c>
      <c r="BM69" t="s">
        <v>444</v>
      </c>
      <c r="BN69" t="s">
        <v>639</v>
      </c>
      <c r="BO69" t="s">
        <v>445</v>
      </c>
      <c r="BP69" t="s">
        <v>446</v>
      </c>
      <c r="BT69">
        <v>8</v>
      </c>
      <c r="BU69">
        <v>15</v>
      </c>
      <c r="CE69">
        <v>15</v>
      </c>
      <c r="CH69">
        <v>0</v>
      </c>
      <c r="CI69">
        <v>489423.05999999994</v>
      </c>
      <c r="CJ69">
        <v>0</v>
      </c>
      <c r="CK69">
        <v>15</v>
      </c>
      <c r="CM69">
        <v>15</v>
      </c>
      <c r="CN69">
        <v>489423.05999999994</v>
      </c>
      <c r="CO69">
        <v>15</v>
      </c>
      <c r="CP69" s="55">
        <v>0.03</v>
      </c>
      <c r="CQ69" s="55">
        <v>0.04</v>
      </c>
      <c r="CS69" s="56">
        <v>3262820.4</v>
      </c>
      <c r="CT69" s="57">
        <v>7.0000000000000007E-2</v>
      </c>
      <c r="CU69">
        <v>228397.42800000001</v>
      </c>
      <c r="CV69" s="56">
        <v>22</v>
      </c>
    </row>
    <row r="70" spans="1:100" x14ac:dyDescent="0.35">
      <c r="A70" t="s">
        <v>242</v>
      </c>
      <c r="B70" t="s">
        <v>483</v>
      </c>
      <c r="C70" t="s">
        <v>484</v>
      </c>
      <c r="D70" t="s">
        <v>1053</v>
      </c>
      <c r="E70" t="s">
        <v>1054</v>
      </c>
      <c r="F70" t="s">
        <v>622</v>
      </c>
      <c r="G70" t="s">
        <v>260</v>
      </c>
      <c r="H70" t="s">
        <v>65</v>
      </c>
      <c r="I70" t="s">
        <v>568</v>
      </c>
      <c r="J70" t="s">
        <v>569</v>
      </c>
      <c r="K70" t="s">
        <v>570</v>
      </c>
      <c r="L70" t="s">
        <v>595</v>
      </c>
      <c r="M70" t="s">
        <v>455</v>
      </c>
      <c r="N70" t="s">
        <v>1027</v>
      </c>
      <c r="O70" t="s">
        <v>817</v>
      </c>
      <c r="Q70" t="s">
        <v>79</v>
      </c>
      <c r="R70" t="s">
        <v>438</v>
      </c>
      <c r="S70" t="s">
        <v>92</v>
      </c>
      <c r="T70" t="s">
        <v>86</v>
      </c>
      <c r="U70" t="s">
        <v>291</v>
      </c>
      <c r="V70" t="s">
        <v>93</v>
      </c>
      <c r="W70">
        <v>2000000</v>
      </c>
      <c r="X70" t="s">
        <v>1055</v>
      </c>
      <c r="Y70" t="s">
        <v>1055</v>
      </c>
      <c r="Z70" t="s">
        <v>70</v>
      </c>
      <c r="AB70" t="s">
        <v>439</v>
      </c>
      <c r="AC70" t="s">
        <v>439</v>
      </c>
      <c r="AD70" t="s">
        <v>439</v>
      </c>
      <c r="AF70" t="s">
        <v>439</v>
      </c>
      <c r="AG70" t="s">
        <v>439</v>
      </c>
      <c r="AH70" t="s">
        <v>439</v>
      </c>
      <c r="AJ70" t="s">
        <v>439</v>
      </c>
      <c r="AK70" t="s">
        <v>439</v>
      </c>
      <c r="AL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t="s">
        <v>439</v>
      </c>
      <c r="AU70" t="s">
        <v>439</v>
      </c>
      <c r="AV70" t="s">
        <v>439</v>
      </c>
      <c r="AW70" t="s">
        <v>439</v>
      </c>
      <c r="AX70">
        <v>0</v>
      </c>
      <c r="AY70" t="s">
        <v>439</v>
      </c>
      <c r="AZ70" t="s">
        <v>439</v>
      </c>
      <c r="BA70" t="s">
        <v>439</v>
      </c>
      <c r="BB70" t="s">
        <v>259</v>
      </c>
      <c r="BC70">
        <v>2000000</v>
      </c>
      <c r="BD70">
        <v>2000000</v>
      </c>
      <c r="BE70" t="s">
        <v>259</v>
      </c>
      <c r="BF70" t="s">
        <v>462</v>
      </c>
      <c r="BG70" t="s">
        <v>446</v>
      </c>
      <c r="BH70" t="s">
        <v>196</v>
      </c>
      <c r="BI70" t="s">
        <v>449</v>
      </c>
      <c r="BK70" t="s">
        <v>442</v>
      </c>
      <c r="BL70" t="s">
        <v>443</v>
      </c>
      <c r="BM70" t="s">
        <v>444</v>
      </c>
      <c r="BN70" t="s">
        <v>639</v>
      </c>
      <c r="BO70" t="s">
        <v>445</v>
      </c>
      <c r="BP70" t="s">
        <v>446</v>
      </c>
      <c r="BT70">
        <v>8</v>
      </c>
      <c r="BU70">
        <v>15</v>
      </c>
      <c r="CE70">
        <v>15</v>
      </c>
      <c r="CF70">
        <v>4.9000000000000002E-2</v>
      </c>
      <c r="CG70">
        <v>0.1575</v>
      </c>
      <c r="CH70">
        <v>83300</v>
      </c>
      <c r="CI70">
        <v>300000</v>
      </c>
      <c r="CJ70">
        <v>267750</v>
      </c>
      <c r="CK70">
        <v>32.549999999999997</v>
      </c>
      <c r="CM70">
        <v>15</v>
      </c>
      <c r="CN70">
        <v>300000</v>
      </c>
      <c r="CO70">
        <v>32.549999999999997</v>
      </c>
      <c r="CP70" s="55">
        <v>0.03</v>
      </c>
      <c r="CQ70" s="55">
        <v>0.04</v>
      </c>
      <c r="CS70" s="56">
        <v>2000000</v>
      </c>
      <c r="CT70" s="57">
        <v>7.0000000000000007E-2</v>
      </c>
      <c r="CU70">
        <v>140000</v>
      </c>
      <c r="CV70" s="56">
        <v>39.552500000000002</v>
      </c>
    </row>
    <row r="71" spans="1:100" x14ac:dyDescent="0.35">
      <c r="A71" t="s">
        <v>242</v>
      </c>
      <c r="B71" t="s">
        <v>483</v>
      </c>
      <c r="C71" t="s">
        <v>484</v>
      </c>
      <c r="D71" t="s">
        <v>1056</v>
      </c>
      <c r="E71" t="s">
        <v>1057</v>
      </c>
      <c r="F71" t="s">
        <v>622</v>
      </c>
      <c r="G71" t="s">
        <v>260</v>
      </c>
      <c r="H71" t="s">
        <v>65</v>
      </c>
      <c r="I71" t="s">
        <v>284</v>
      </c>
      <c r="J71" t="s">
        <v>492</v>
      </c>
      <c r="K71" t="s">
        <v>459</v>
      </c>
      <c r="L71" t="s">
        <v>528</v>
      </c>
      <c r="M71" t="s">
        <v>471</v>
      </c>
      <c r="N71" t="s">
        <v>860</v>
      </c>
      <c r="O71" t="s">
        <v>817</v>
      </c>
      <c r="Q71" t="s">
        <v>79</v>
      </c>
      <c r="R71" t="s">
        <v>438</v>
      </c>
      <c r="S71" t="s">
        <v>92</v>
      </c>
      <c r="T71" t="s">
        <v>86</v>
      </c>
      <c r="U71" t="s">
        <v>291</v>
      </c>
      <c r="V71" t="s">
        <v>93</v>
      </c>
      <c r="W71">
        <v>4000000</v>
      </c>
      <c r="X71" t="s">
        <v>1058</v>
      </c>
      <c r="Y71" t="s">
        <v>1058</v>
      </c>
      <c r="Z71" t="s">
        <v>70</v>
      </c>
      <c r="AB71" t="s">
        <v>439</v>
      </c>
      <c r="AC71" t="s">
        <v>439</v>
      </c>
      <c r="AD71" t="s">
        <v>439</v>
      </c>
      <c r="AF71" t="s">
        <v>439</v>
      </c>
      <c r="AG71" t="s">
        <v>439</v>
      </c>
      <c r="AH71" t="s">
        <v>439</v>
      </c>
      <c r="AJ71" t="s">
        <v>439</v>
      </c>
      <c r="AK71" t="s">
        <v>439</v>
      </c>
      <c r="AL71" t="s">
        <v>439</v>
      </c>
      <c r="AN71" t="s">
        <v>439</v>
      </c>
      <c r="AO71" t="s">
        <v>439</v>
      </c>
      <c r="AP71" t="s">
        <v>439</v>
      </c>
      <c r="AQ71" t="s">
        <v>439</v>
      </c>
      <c r="AR71" t="s">
        <v>439</v>
      </c>
      <c r="AS71" t="s">
        <v>439</v>
      </c>
      <c r="AU71" t="s">
        <v>439</v>
      </c>
      <c r="AV71" t="s">
        <v>439</v>
      </c>
      <c r="AW71" t="s">
        <v>439</v>
      </c>
      <c r="AX71">
        <v>0</v>
      </c>
      <c r="AY71" t="s">
        <v>439</v>
      </c>
      <c r="AZ71" t="s">
        <v>439</v>
      </c>
      <c r="BA71" t="s">
        <v>439</v>
      </c>
      <c r="BB71" t="s">
        <v>243</v>
      </c>
      <c r="BC71">
        <v>4000000</v>
      </c>
      <c r="BD71">
        <v>4000000</v>
      </c>
      <c r="BE71" t="s">
        <v>243</v>
      </c>
      <c r="BF71" t="s">
        <v>460</v>
      </c>
      <c r="BG71" t="s">
        <v>446</v>
      </c>
      <c r="BH71" t="s">
        <v>206</v>
      </c>
      <c r="BI71" t="s">
        <v>449</v>
      </c>
      <c r="BK71" t="s">
        <v>442</v>
      </c>
      <c r="BL71" t="s">
        <v>443</v>
      </c>
      <c r="BM71" t="s">
        <v>444</v>
      </c>
      <c r="BN71" t="s">
        <v>639</v>
      </c>
      <c r="BO71" t="s">
        <v>445</v>
      </c>
      <c r="BP71" t="s">
        <v>446</v>
      </c>
      <c r="BT71">
        <v>8</v>
      </c>
      <c r="BU71">
        <v>15</v>
      </c>
      <c r="CE71">
        <v>15</v>
      </c>
      <c r="CF71">
        <v>4.9000000000000002E-2</v>
      </c>
      <c r="CG71">
        <v>0.1575</v>
      </c>
      <c r="CH71">
        <v>166600</v>
      </c>
      <c r="CI71">
        <v>600000</v>
      </c>
      <c r="CJ71">
        <v>535500</v>
      </c>
      <c r="CK71">
        <v>32.549999999999997</v>
      </c>
      <c r="CM71">
        <v>15</v>
      </c>
      <c r="CN71">
        <v>600000</v>
      </c>
      <c r="CO71">
        <v>32.549999999999997</v>
      </c>
      <c r="CP71" s="55">
        <v>0.03</v>
      </c>
      <c r="CQ71" s="55">
        <v>0.04</v>
      </c>
      <c r="CS71" s="56">
        <v>4000000</v>
      </c>
      <c r="CT71" s="57">
        <v>7.0000000000000007E-2</v>
      </c>
      <c r="CU71">
        <v>280000</v>
      </c>
      <c r="CV71" s="56">
        <v>39.552500000000002</v>
      </c>
    </row>
    <row r="72" spans="1:100" x14ac:dyDescent="0.35">
      <c r="A72" t="s">
        <v>242</v>
      </c>
      <c r="B72" t="s">
        <v>483</v>
      </c>
      <c r="C72" t="s">
        <v>484</v>
      </c>
      <c r="D72" t="s">
        <v>1059</v>
      </c>
      <c r="E72" t="s">
        <v>1060</v>
      </c>
      <c r="F72" t="s">
        <v>622</v>
      </c>
      <c r="G72" t="s">
        <v>260</v>
      </c>
      <c r="H72" t="s">
        <v>65</v>
      </c>
      <c r="I72" t="s">
        <v>98</v>
      </c>
      <c r="J72" t="s">
        <v>488</v>
      </c>
      <c r="K72" t="s">
        <v>461</v>
      </c>
      <c r="L72" t="s">
        <v>528</v>
      </c>
      <c r="M72" t="s">
        <v>456</v>
      </c>
      <c r="N72" t="s">
        <v>849</v>
      </c>
      <c r="O72" t="s">
        <v>1061</v>
      </c>
      <c r="Q72" t="s">
        <v>79</v>
      </c>
      <c r="R72" t="s">
        <v>438</v>
      </c>
      <c r="S72" t="s">
        <v>92</v>
      </c>
      <c r="T72" t="s">
        <v>86</v>
      </c>
      <c r="U72" t="s">
        <v>291</v>
      </c>
      <c r="V72" t="s">
        <v>93</v>
      </c>
      <c r="W72">
        <v>997649.16</v>
      </c>
      <c r="X72" t="s">
        <v>1062</v>
      </c>
      <c r="Y72" t="s">
        <v>1062</v>
      </c>
      <c r="Z72" t="s">
        <v>70</v>
      </c>
      <c r="AB72" t="s">
        <v>439</v>
      </c>
      <c r="AC72" t="s">
        <v>439</v>
      </c>
      <c r="AD72" t="s">
        <v>439</v>
      </c>
      <c r="AF72" t="s">
        <v>439</v>
      </c>
      <c r="AG72" t="s">
        <v>439</v>
      </c>
      <c r="AH72" t="s">
        <v>439</v>
      </c>
      <c r="AJ72" t="s">
        <v>439</v>
      </c>
      <c r="AK72" t="s">
        <v>439</v>
      </c>
      <c r="AL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U72" t="s">
        <v>439</v>
      </c>
      <c r="AV72" t="s">
        <v>439</v>
      </c>
      <c r="AW72" t="s">
        <v>439</v>
      </c>
      <c r="AX72">
        <v>0</v>
      </c>
      <c r="AY72" t="s">
        <v>439</v>
      </c>
      <c r="AZ72" t="s">
        <v>439</v>
      </c>
      <c r="BA72" t="s">
        <v>439</v>
      </c>
      <c r="BB72" t="s">
        <v>259</v>
      </c>
      <c r="BC72">
        <v>997649.16</v>
      </c>
      <c r="BE72" t="s">
        <v>259</v>
      </c>
      <c r="BF72" t="s">
        <v>462</v>
      </c>
      <c r="BG72" t="s">
        <v>440</v>
      </c>
      <c r="BK72" t="s">
        <v>442</v>
      </c>
      <c r="BL72" t="s">
        <v>443</v>
      </c>
      <c r="BM72" t="s">
        <v>444</v>
      </c>
      <c r="BN72" t="s">
        <v>639</v>
      </c>
      <c r="BO72" t="s">
        <v>445</v>
      </c>
      <c r="BP72" t="s">
        <v>446</v>
      </c>
      <c r="BT72">
        <v>8</v>
      </c>
      <c r="BU72">
        <v>15</v>
      </c>
      <c r="CE72">
        <v>15</v>
      </c>
      <c r="CH72">
        <v>0</v>
      </c>
      <c r="CI72">
        <v>149647.37400000001</v>
      </c>
      <c r="CJ72">
        <v>0</v>
      </c>
      <c r="CK72">
        <v>15</v>
      </c>
      <c r="CM72">
        <v>15</v>
      </c>
      <c r="CN72">
        <v>149647.37400000001</v>
      </c>
      <c r="CO72">
        <v>15</v>
      </c>
      <c r="CP72" s="55">
        <v>0.03</v>
      </c>
      <c r="CQ72" s="55">
        <v>0.04</v>
      </c>
      <c r="CS72" s="56">
        <v>997649.16</v>
      </c>
      <c r="CT72" s="57">
        <v>7.0000000000000007E-2</v>
      </c>
      <c r="CU72">
        <v>69835.441200000016</v>
      </c>
      <c r="CV72" s="56">
        <v>22</v>
      </c>
    </row>
    <row r="73" spans="1:100" x14ac:dyDescent="0.35">
      <c r="A73" t="s">
        <v>242</v>
      </c>
      <c r="B73" t="s">
        <v>483</v>
      </c>
      <c r="C73" t="s">
        <v>484</v>
      </c>
      <c r="D73" t="s">
        <v>1063</v>
      </c>
      <c r="E73" t="s">
        <v>1064</v>
      </c>
      <c r="F73" t="s">
        <v>622</v>
      </c>
      <c r="G73" t="s">
        <v>260</v>
      </c>
      <c r="H73" t="s">
        <v>65</v>
      </c>
      <c r="I73" t="s">
        <v>1065</v>
      </c>
      <c r="J73" t="s">
        <v>1066</v>
      </c>
      <c r="K73" t="s">
        <v>1067</v>
      </c>
      <c r="L73" t="s">
        <v>595</v>
      </c>
      <c r="M73" t="s">
        <v>602</v>
      </c>
      <c r="N73" t="s">
        <v>849</v>
      </c>
      <c r="O73" t="s">
        <v>817</v>
      </c>
      <c r="Q73" t="s">
        <v>69</v>
      </c>
      <c r="R73" t="s">
        <v>438</v>
      </c>
      <c r="S73" t="s">
        <v>92</v>
      </c>
      <c r="T73" t="s">
        <v>86</v>
      </c>
      <c r="U73" t="s">
        <v>291</v>
      </c>
      <c r="V73" t="s">
        <v>93</v>
      </c>
      <c r="W73">
        <v>7445541.0300000003</v>
      </c>
      <c r="X73" t="s">
        <v>1068</v>
      </c>
      <c r="Y73" t="s">
        <v>1068</v>
      </c>
      <c r="Z73" t="s">
        <v>70</v>
      </c>
      <c r="AB73" t="s">
        <v>439</v>
      </c>
      <c r="AC73" t="s">
        <v>439</v>
      </c>
      <c r="AD73" t="s">
        <v>439</v>
      </c>
      <c r="AF73" t="s">
        <v>439</v>
      </c>
      <c r="AG73" t="s">
        <v>439</v>
      </c>
      <c r="AH73" t="s">
        <v>439</v>
      </c>
      <c r="AJ73" t="s">
        <v>439</v>
      </c>
      <c r="AK73" t="s">
        <v>439</v>
      </c>
      <c r="AL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U73" t="s">
        <v>439</v>
      </c>
      <c r="AV73" t="s">
        <v>439</v>
      </c>
      <c r="AW73" t="s">
        <v>439</v>
      </c>
      <c r="AX73">
        <v>0</v>
      </c>
      <c r="AY73" t="s">
        <v>439</v>
      </c>
      <c r="AZ73" t="s">
        <v>439</v>
      </c>
      <c r="BA73" t="s">
        <v>439</v>
      </c>
      <c r="BB73" t="s">
        <v>282</v>
      </c>
      <c r="BC73">
        <v>7445541.0300000003</v>
      </c>
      <c r="BE73" t="s">
        <v>282</v>
      </c>
      <c r="BF73" t="s">
        <v>469</v>
      </c>
      <c r="BG73" t="s">
        <v>440</v>
      </c>
      <c r="BK73" t="s">
        <v>442</v>
      </c>
      <c r="BL73" t="s">
        <v>443</v>
      </c>
      <c r="BM73" t="s">
        <v>444</v>
      </c>
      <c r="BN73" t="s">
        <v>639</v>
      </c>
      <c r="BO73" t="s">
        <v>445</v>
      </c>
      <c r="BP73" t="s">
        <v>446</v>
      </c>
      <c r="BT73">
        <v>8</v>
      </c>
      <c r="BU73">
        <v>15</v>
      </c>
      <c r="CE73">
        <v>15</v>
      </c>
      <c r="CH73">
        <v>0</v>
      </c>
      <c r="CI73">
        <v>1116831.1544999999</v>
      </c>
      <c r="CJ73">
        <v>0</v>
      </c>
      <c r="CK73">
        <v>15</v>
      </c>
      <c r="CM73">
        <v>15</v>
      </c>
      <c r="CN73">
        <v>1116831.1544999999</v>
      </c>
      <c r="CO73">
        <v>15</v>
      </c>
      <c r="CP73" s="55">
        <v>0.03</v>
      </c>
      <c r="CQ73" s="55">
        <v>0.04</v>
      </c>
      <c r="CS73" s="56">
        <v>7445541.0300000003</v>
      </c>
      <c r="CT73" s="57">
        <v>7.0000000000000007E-2</v>
      </c>
      <c r="CU73">
        <v>521187.8721000001</v>
      </c>
      <c r="CV73" s="56">
        <v>22</v>
      </c>
    </row>
    <row r="74" spans="1:100" x14ac:dyDescent="0.35">
      <c r="A74" t="s">
        <v>242</v>
      </c>
      <c r="B74" t="s">
        <v>483</v>
      </c>
      <c r="C74" t="s">
        <v>484</v>
      </c>
      <c r="D74" t="s">
        <v>1069</v>
      </c>
      <c r="E74" t="s">
        <v>1070</v>
      </c>
      <c r="F74" t="s">
        <v>622</v>
      </c>
      <c r="G74" t="s">
        <v>260</v>
      </c>
      <c r="H74" t="s">
        <v>65</v>
      </c>
      <c r="I74" t="s">
        <v>498</v>
      </c>
      <c r="J74" t="s">
        <v>499</v>
      </c>
      <c r="K74" t="s">
        <v>500</v>
      </c>
      <c r="L74" t="s">
        <v>595</v>
      </c>
      <c r="M74" t="s">
        <v>470</v>
      </c>
      <c r="N74" t="s">
        <v>849</v>
      </c>
      <c r="O74" t="s">
        <v>817</v>
      </c>
      <c r="Q74" t="s">
        <v>79</v>
      </c>
      <c r="R74" t="s">
        <v>438</v>
      </c>
      <c r="S74" t="s">
        <v>92</v>
      </c>
      <c r="T74" t="s">
        <v>86</v>
      </c>
      <c r="U74" t="s">
        <v>291</v>
      </c>
      <c r="V74" t="s">
        <v>93</v>
      </c>
      <c r="W74">
        <v>839339.97</v>
      </c>
      <c r="X74" t="s">
        <v>713</v>
      </c>
      <c r="Y74" t="s">
        <v>713</v>
      </c>
      <c r="Z74" t="s">
        <v>70</v>
      </c>
      <c r="AB74" t="s">
        <v>439</v>
      </c>
      <c r="AC74" t="s">
        <v>439</v>
      </c>
      <c r="AD74" t="s">
        <v>439</v>
      </c>
      <c r="AF74" t="s">
        <v>439</v>
      </c>
      <c r="AG74" t="s">
        <v>439</v>
      </c>
      <c r="AH74" t="s">
        <v>439</v>
      </c>
      <c r="AJ74" t="s">
        <v>439</v>
      </c>
      <c r="AK74" t="s">
        <v>439</v>
      </c>
      <c r="AL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U74" t="s">
        <v>439</v>
      </c>
      <c r="AV74" t="s">
        <v>439</v>
      </c>
      <c r="AW74" t="s">
        <v>439</v>
      </c>
      <c r="AX74">
        <v>0</v>
      </c>
      <c r="AY74" t="s">
        <v>439</v>
      </c>
      <c r="AZ74" t="s">
        <v>439</v>
      </c>
      <c r="BA74" t="s">
        <v>439</v>
      </c>
      <c r="BB74" t="s">
        <v>264</v>
      </c>
      <c r="BC74">
        <v>839339.97</v>
      </c>
      <c r="BE74" t="s">
        <v>264</v>
      </c>
      <c r="BF74" t="s">
        <v>463</v>
      </c>
      <c r="BG74" t="s">
        <v>440</v>
      </c>
      <c r="BK74" t="s">
        <v>442</v>
      </c>
      <c r="BL74" t="s">
        <v>443</v>
      </c>
      <c r="BM74" t="s">
        <v>444</v>
      </c>
      <c r="BN74" t="s">
        <v>639</v>
      </c>
      <c r="BO74" t="s">
        <v>445</v>
      </c>
      <c r="BP74" t="s">
        <v>446</v>
      </c>
      <c r="BT74">
        <v>8</v>
      </c>
      <c r="BU74">
        <v>15</v>
      </c>
      <c r="CE74">
        <v>15</v>
      </c>
      <c r="CH74">
        <v>0</v>
      </c>
      <c r="CI74">
        <v>125900.99549999999</v>
      </c>
      <c r="CJ74">
        <v>0</v>
      </c>
      <c r="CK74">
        <v>15</v>
      </c>
      <c r="CM74">
        <v>15</v>
      </c>
      <c r="CN74">
        <v>125900.99549999999</v>
      </c>
      <c r="CO74">
        <v>15</v>
      </c>
      <c r="CP74" s="55">
        <v>0.03</v>
      </c>
      <c r="CQ74" s="55">
        <v>0.04</v>
      </c>
      <c r="CS74" s="56">
        <v>839339.97</v>
      </c>
      <c r="CT74" s="57">
        <v>7.0000000000000007E-2</v>
      </c>
      <c r="CU74">
        <v>58753.797900000005</v>
      </c>
      <c r="CV74" s="56">
        <v>22</v>
      </c>
    </row>
    <row r="75" spans="1:100" x14ac:dyDescent="0.35">
      <c r="A75" t="s">
        <v>242</v>
      </c>
      <c r="B75" t="s">
        <v>483</v>
      </c>
      <c r="C75" t="s">
        <v>484</v>
      </c>
      <c r="D75" t="s">
        <v>1071</v>
      </c>
      <c r="E75" t="s">
        <v>1072</v>
      </c>
      <c r="F75" t="s">
        <v>622</v>
      </c>
      <c r="G75" t="s">
        <v>260</v>
      </c>
      <c r="H75" t="s">
        <v>65</v>
      </c>
      <c r="I75" t="s">
        <v>579</v>
      </c>
      <c r="J75" t="s">
        <v>580</v>
      </c>
      <c r="K75" t="s">
        <v>581</v>
      </c>
      <c r="L75" t="s">
        <v>504</v>
      </c>
      <c r="M75" t="s">
        <v>468</v>
      </c>
      <c r="N75" t="s">
        <v>1023</v>
      </c>
      <c r="O75" t="s">
        <v>1073</v>
      </c>
      <c r="Q75" t="s">
        <v>79</v>
      </c>
      <c r="R75" t="s">
        <v>438</v>
      </c>
      <c r="S75" t="s">
        <v>92</v>
      </c>
      <c r="T75" t="s">
        <v>86</v>
      </c>
      <c r="U75" t="s">
        <v>291</v>
      </c>
      <c r="V75" t="s">
        <v>93</v>
      </c>
      <c r="W75">
        <v>2890408.14</v>
      </c>
      <c r="X75" t="s">
        <v>1074</v>
      </c>
      <c r="Y75" t="s">
        <v>1074</v>
      </c>
      <c r="Z75" t="s">
        <v>70</v>
      </c>
      <c r="AB75" t="s">
        <v>439</v>
      </c>
      <c r="AC75" t="s">
        <v>439</v>
      </c>
      <c r="AD75" t="s">
        <v>439</v>
      </c>
      <c r="AF75" t="s">
        <v>439</v>
      </c>
      <c r="AG75" t="s">
        <v>439</v>
      </c>
      <c r="AH75" t="s">
        <v>439</v>
      </c>
      <c r="AJ75" t="s">
        <v>439</v>
      </c>
      <c r="AK75" t="s">
        <v>439</v>
      </c>
      <c r="AL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U75" t="s">
        <v>439</v>
      </c>
      <c r="AV75" t="s">
        <v>439</v>
      </c>
      <c r="AW75" t="s">
        <v>439</v>
      </c>
      <c r="AX75">
        <v>0</v>
      </c>
      <c r="AY75" t="s">
        <v>439</v>
      </c>
      <c r="AZ75" t="s">
        <v>439</v>
      </c>
      <c r="BA75" t="s">
        <v>439</v>
      </c>
      <c r="BB75" t="s">
        <v>108</v>
      </c>
      <c r="BC75">
        <v>2890408.14</v>
      </c>
      <c r="BE75" t="s">
        <v>108</v>
      </c>
      <c r="BF75" t="s">
        <v>465</v>
      </c>
      <c r="BG75" t="s">
        <v>440</v>
      </c>
      <c r="BK75" t="s">
        <v>442</v>
      </c>
      <c r="BL75" t="s">
        <v>443</v>
      </c>
      <c r="BM75" t="s">
        <v>444</v>
      </c>
      <c r="BN75" t="s">
        <v>639</v>
      </c>
      <c r="BO75" t="s">
        <v>445</v>
      </c>
      <c r="BP75" t="s">
        <v>446</v>
      </c>
      <c r="BT75">
        <v>8</v>
      </c>
      <c r="BU75">
        <v>15</v>
      </c>
      <c r="CE75">
        <v>15</v>
      </c>
      <c r="CH75">
        <v>0</v>
      </c>
      <c r="CI75">
        <v>433561.22100000002</v>
      </c>
      <c r="CJ75">
        <v>0</v>
      </c>
      <c r="CK75">
        <v>15</v>
      </c>
      <c r="CM75">
        <v>15</v>
      </c>
      <c r="CN75">
        <v>433561.22100000002</v>
      </c>
      <c r="CO75">
        <v>15</v>
      </c>
      <c r="CP75" s="55">
        <v>0.03</v>
      </c>
      <c r="CQ75" s="55">
        <v>0.04</v>
      </c>
      <c r="CS75" s="56">
        <v>2890408.14</v>
      </c>
      <c r="CT75" s="57">
        <v>7.0000000000000007E-2</v>
      </c>
      <c r="CU75">
        <v>202328.56980000003</v>
      </c>
      <c r="CV75" s="56">
        <v>22</v>
      </c>
    </row>
    <row r="76" spans="1:100" x14ac:dyDescent="0.35">
      <c r="A76" t="s">
        <v>242</v>
      </c>
      <c r="B76" t="s">
        <v>483</v>
      </c>
      <c r="C76" t="s">
        <v>484</v>
      </c>
      <c r="D76" t="s">
        <v>1075</v>
      </c>
      <c r="E76" t="s">
        <v>1076</v>
      </c>
      <c r="F76" t="s">
        <v>622</v>
      </c>
      <c r="G76" t="s">
        <v>260</v>
      </c>
      <c r="H76" t="s">
        <v>65</v>
      </c>
      <c r="I76" t="s">
        <v>107</v>
      </c>
      <c r="J76" t="s">
        <v>491</v>
      </c>
      <c r="K76" t="s">
        <v>464</v>
      </c>
      <c r="L76" t="s">
        <v>528</v>
      </c>
      <c r="M76" t="s">
        <v>468</v>
      </c>
      <c r="N76" t="s">
        <v>900</v>
      </c>
      <c r="O76" t="s">
        <v>996</v>
      </c>
      <c r="Q76" t="s">
        <v>69</v>
      </c>
      <c r="R76" t="s">
        <v>438</v>
      </c>
      <c r="S76" t="s">
        <v>92</v>
      </c>
      <c r="T76" t="s">
        <v>86</v>
      </c>
      <c r="U76" t="s">
        <v>291</v>
      </c>
      <c r="V76" t="s">
        <v>93</v>
      </c>
      <c r="W76">
        <v>2906163.1</v>
      </c>
      <c r="X76" t="s">
        <v>1077</v>
      </c>
      <c r="Y76" t="s">
        <v>1077</v>
      </c>
      <c r="Z76" t="s">
        <v>70</v>
      </c>
      <c r="AB76" t="s">
        <v>439</v>
      </c>
      <c r="AC76" t="s">
        <v>439</v>
      </c>
      <c r="AD76" t="s">
        <v>439</v>
      </c>
      <c r="AF76" t="s">
        <v>439</v>
      </c>
      <c r="AG76" t="s">
        <v>439</v>
      </c>
      <c r="AH76" t="s">
        <v>439</v>
      </c>
      <c r="AJ76" t="s">
        <v>439</v>
      </c>
      <c r="AK76" t="s">
        <v>439</v>
      </c>
      <c r="AL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U76" t="s">
        <v>439</v>
      </c>
      <c r="AV76" t="s">
        <v>439</v>
      </c>
      <c r="AW76" t="s">
        <v>439</v>
      </c>
      <c r="AX76">
        <v>0</v>
      </c>
      <c r="AY76" t="s">
        <v>439</v>
      </c>
      <c r="AZ76" t="s">
        <v>439</v>
      </c>
      <c r="BA76" t="s">
        <v>439</v>
      </c>
      <c r="BB76" t="s">
        <v>100</v>
      </c>
      <c r="BC76">
        <v>2906163.1</v>
      </c>
      <c r="BE76" t="s">
        <v>100</v>
      </c>
      <c r="BF76" t="s">
        <v>452</v>
      </c>
      <c r="BG76" t="s">
        <v>440</v>
      </c>
      <c r="BK76" t="s">
        <v>442</v>
      </c>
      <c r="BL76" t="s">
        <v>443</v>
      </c>
      <c r="BM76" t="s">
        <v>444</v>
      </c>
      <c r="BN76" t="s">
        <v>639</v>
      </c>
      <c r="BO76" t="s">
        <v>445</v>
      </c>
      <c r="BP76" t="s">
        <v>446</v>
      </c>
      <c r="BT76">
        <v>8</v>
      </c>
      <c r="BU76">
        <v>15</v>
      </c>
      <c r="CE76">
        <v>15</v>
      </c>
      <c r="CH76">
        <v>0</v>
      </c>
      <c r="CI76">
        <v>435924.46500000003</v>
      </c>
      <c r="CJ76">
        <v>0</v>
      </c>
      <c r="CK76">
        <v>15</v>
      </c>
      <c r="CM76">
        <v>15</v>
      </c>
      <c r="CN76">
        <v>435924.46500000003</v>
      </c>
      <c r="CO76">
        <v>15</v>
      </c>
      <c r="CP76" s="55">
        <v>0.03</v>
      </c>
      <c r="CQ76" s="55">
        <v>0.04</v>
      </c>
      <c r="CS76" s="56">
        <v>2906163.1</v>
      </c>
      <c r="CT76" s="57">
        <v>7.0000000000000007E-2</v>
      </c>
      <c r="CU76">
        <v>203431.41700000002</v>
      </c>
      <c r="CV76" s="56">
        <v>22</v>
      </c>
    </row>
    <row r="77" spans="1:100" x14ac:dyDescent="0.35">
      <c r="A77" t="s">
        <v>242</v>
      </c>
      <c r="B77" t="s">
        <v>483</v>
      </c>
      <c r="C77" t="s">
        <v>484</v>
      </c>
      <c r="D77" t="s">
        <v>1078</v>
      </c>
      <c r="E77" t="s">
        <v>1079</v>
      </c>
      <c r="F77" t="s">
        <v>622</v>
      </c>
      <c r="G77" t="s">
        <v>260</v>
      </c>
      <c r="H77" t="s">
        <v>65</v>
      </c>
      <c r="I77" t="s">
        <v>107</v>
      </c>
      <c r="J77" t="s">
        <v>491</v>
      </c>
      <c r="K77" t="s">
        <v>464</v>
      </c>
      <c r="L77" t="s">
        <v>528</v>
      </c>
      <c r="M77" t="s">
        <v>1080</v>
      </c>
      <c r="N77" t="s">
        <v>900</v>
      </c>
      <c r="O77" t="s">
        <v>996</v>
      </c>
      <c r="Q77" t="s">
        <v>69</v>
      </c>
      <c r="R77" t="s">
        <v>438</v>
      </c>
      <c r="S77" t="s">
        <v>92</v>
      </c>
      <c r="T77" t="s">
        <v>86</v>
      </c>
      <c r="U77" t="s">
        <v>291</v>
      </c>
      <c r="V77" t="s">
        <v>93</v>
      </c>
      <c r="W77">
        <v>2327584.0699999998</v>
      </c>
      <c r="X77" t="s">
        <v>1081</v>
      </c>
      <c r="Y77" t="s">
        <v>1081</v>
      </c>
      <c r="Z77" t="s">
        <v>70</v>
      </c>
      <c r="AB77" t="s">
        <v>439</v>
      </c>
      <c r="AC77" t="s">
        <v>439</v>
      </c>
      <c r="AD77" t="s">
        <v>439</v>
      </c>
      <c r="AF77" t="s">
        <v>439</v>
      </c>
      <c r="AG77" t="s">
        <v>439</v>
      </c>
      <c r="AH77" t="s">
        <v>439</v>
      </c>
      <c r="AJ77" t="s">
        <v>439</v>
      </c>
      <c r="AK77" t="s">
        <v>439</v>
      </c>
      <c r="AL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U77" t="s">
        <v>439</v>
      </c>
      <c r="AV77" t="s">
        <v>439</v>
      </c>
      <c r="AW77" t="s">
        <v>439</v>
      </c>
      <c r="AX77">
        <v>0</v>
      </c>
      <c r="AY77" t="s">
        <v>439</v>
      </c>
      <c r="AZ77" t="s">
        <v>439</v>
      </c>
      <c r="BA77" t="s">
        <v>439</v>
      </c>
      <c r="BB77" t="s">
        <v>100</v>
      </c>
      <c r="BC77">
        <v>2327584.0699999998</v>
      </c>
      <c r="BE77" t="s">
        <v>100</v>
      </c>
      <c r="BF77" t="s">
        <v>452</v>
      </c>
      <c r="BG77" t="s">
        <v>440</v>
      </c>
      <c r="BK77" t="s">
        <v>442</v>
      </c>
      <c r="BL77" t="s">
        <v>443</v>
      </c>
      <c r="BM77" t="s">
        <v>444</v>
      </c>
      <c r="BN77" t="s">
        <v>639</v>
      </c>
      <c r="BO77" t="s">
        <v>445</v>
      </c>
      <c r="BP77" t="s">
        <v>446</v>
      </c>
      <c r="BT77">
        <v>8</v>
      </c>
      <c r="BU77">
        <v>15</v>
      </c>
      <c r="CE77">
        <v>15</v>
      </c>
      <c r="CH77">
        <v>0</v>
      </c>
      <c r="CI77">
        <v>349137.61049999995</v>
      </c>
      <c r="CJ77">
        <v>0</v>
      </c>
      <c r="CK77">
        <v>15</v>
      </c>
      <c r="CM77">
        <v>15</v>
      </c>
      <c r="CN77">
        <v>349137.61049999995</v>
      </c>
      <c r="CO77">
        <v>15</v>
      </c>
      <c r="CP77" s="55">
        <v>0.03</v>
      </c>
      <c r="CQ77" s="55">
        <v>0.04</v>
      </c>
      <c r="CS77" s="56">
        <v>2327584.0699999998</v>
      </c>
      <c r="CT77" s="57">
        <v>7.0000000000000007E-2</v>
      </c>
      <c r="CU77">
        <v>162930.8849</v>
      </c>
      <c r="CV77" s="56">
        <v>22</v>
      </c>
    </row>
    <row r="78" spans="1:100" x14ac:dyDescent="0.35">
      <c r="A78" t="s">
        <v>242</v>
      </c>
      <c r="B78" t="s">
        <v>483</v>
      </c>
      <c r="C78" t="s">
        <v>484</v>
      </c>
      <c r="D78" t="s">
        <v>1082</v>
      </c>
      <c r="E78" t="s">
        <v>1083</v>
      </c>
      <c r="F78" t="s">
        <v>1084</v>
      </c>
      <c r="G78" t="s">
        <v>260</v>
      </c>
      <c r="H78" t="s">
        <v>65</v>
      </c>
      <c r="I78" t="s">
        <v>257</v>
      </c>
      <c r="J78" t="s">
        <v>485</v>
      </c>
      <c r="K78" t="s">
        <v>447</v>
      </c>
      <c r="L78" t="s">
        <v>281</v>
      </c>
      <c r="M78" t="s">
        <v>1085</v>
      </c>
      <c r="N78" t="s">
        <v>1023</v>
      </c>
      <c r="O78" t="s">
        <v>1086</v>
      </c>
      <c r="Q78" t="s">
        <v>69</v>
      </c>
      <c r="R78" t="s">
        <v>438</v>
      </c>
      <c r="S78" t="s">
        <v>92</v>
      </c>
      <c r="T78" t="s">
        <v>86</v>
      </c>
      <c r="U78" t="s">
        <v>291</v>
      </c>
      <c r="V78" t="s">
        <v>93</v>
      </c>
      <c r="W78">
        <v>4558905.76</v>
      </c>
      <c r="X78" t="s">
        <v>1087</v>
      </c>
      <c r="Y78" t="s">
        <v>1087</v>
      </c>
      <c r="Z78" t="s">
        <v>70</v>
      </c>
      <c r="AB78" t="s">
        <v>439</v>
      </c>
      <c r="AC78" t="s">
        <v>439</v>
      </c>
      <c r="AD78" t="s">
        <v>439</v>
      </c>
      <c r="AF78" t="s">
        <v>439</v>
      </c>
      <c r="AG78" t="s">
        <v>439</v>
      </c>
      <c r="AH78" t="s">
        <v>439</v>
      </c>
      <c r="AJ78" t="s">
        <v>439</v>
      </c>
      <c r="AK78" t="s">
        <v>439</v>
      </c>
      <c r="AL78" t="s">
        <v>439</v>
      </c>
      <c r="AN78" t="s">
        <v>439</v>
      </c>
      <c r="AO78" t="s">
        <v>439</v>
      </c>
      <c r="AP78" t="s">
        <v>439</v>
      </c>
      <c r="AQ78" t="s">
        <v>439</v>
      </c>
      <c r="AR78" t="s">
        <v>439</v>
      </c>
      <c r="AS78" t="s">
        <v>439</v>
      </c>
      <c r="AU78" t="s">
        <v>439</v>
      </c>
      <c r="AV78" t="s">
        <v>439</v>
      </c>
      <c r="AW78" t="s">
        <v>439</v>
      </c>
      <c r="AX78">
        <v>0</v>
      </c>
      <c r="AY78" t="s">
        <v>439</v>
      </c>
      <c r="AZ78" t="s">
        <v>439</v>
      </c>
      <c r="BA78" t="s">
        <v>439</v>
      </c>
      <c r="BB78" t="s">
        <v>561</v>
      </c>
      <c r="BC78">
        <v>4558905.76</v>
      </c>
      <c r="BE78" t="s">
        <v>561</v>
      </c>
      <c r="BF78" t="s">
        <v>448</v>
      </c>
      <c r="BG78" t="s">
        <v>440</v>
      </c>
      <c r="BK78" t="s">
        <v>442</v>
      </c>
      <c r="BL78" t="s">
        <v>443</v>
      </c>
      <c r="BM78" t="s">
        <v>444</v>
      </c>
      <c r="BN78" t="s">
        <v>639</v>
      </c>
      <c r="BO78" t="s">
        <v>445</v>
      </c>
      <c r="BP78" t="s">
        <v>446</v>
      </c>
      <c r="BT78">
        <v>8</v>
      </c>
      <c r="BU78">
        <v>15</v>
      </c>
      <c r="CE78">
        <v>15</v>
      </c>
      <c r="CH78">
        <v>0</v>
      </c>
      <c r="CI78">
        <v>683835.86399999994</v>
      </c>
      <c r="CJ78">
        <v>0</v>
      </c>
      <c r="CK78">
        <v>15</v>
      </c>
      <c r="CM78">
        <v>15</v>
      </c>
      <c r="CN78">
        <v>683835.86399999994</v>
      </c>
      <c r="CO78">
        <v>15</v>
      </c>
      <c r="CP78" s="55">
        <v>0.03</v>
      </c>
      <c r="CQ78" s="55">
        <v>0.04</v>
      </c>
      <c r="CS78" s="56">
        <v>4558905.76</v>
      </c>
      <c r="CT78" s="57">
        <v>7.0000000000000007E-2</v>
      </c>
      <c r="CU78">
        <v>319123.4032</v>
      </c>
      <c r="CV78" s="56">
        <v>22</v>
      </c>
    </row>
    <row r="79" spans="1:100" x14ac:dyDescent="0.35">
      <c r="A79" t="s">
        <v>242</v>
      </c>
      <c r="B79" t="s">
        <v>483</v>
      </c>
      <c r="C79" t="s">
        <v>484</v>
      </c>
      <c r="D79" t="s">
        <v>1088</v>
      </c>
      <c r="E79" t="s">
        <v>1089</v>
      </c>
      <c r="F79" t="s">
        <v>1090</v>
      </c>
      <c r="G79" t="s">
        <v>260</v>
      </c>
      <c r="H79" t="s">
        <v>65</v>
      </c>
      <c r="I79" t="s">
        <v>104</v>
      </c>
      <c r="J79" t="s">
        <v>497</v>
      </c>
      <c r="K79" t="s">
        <v>466</v>
      </c>
      <c r="L79" t="s">
        <v>281</v>
      </c>
      <c r="M79" t="s">
        <v>1091</v>
      </c>
      <c r="N79" t="s">
        <v>1092</v>
      </c>
      <c r="O79" t="s">
        <v>1093</v>
      </c>
      <c r="Q79" t="s">
        <v>79</v>
      </c>
      <c r="R79" t="s">
        <v>438</v>
      </c>
      <c r="S79" t="s">
        <v>92</v>
      </c>
      <c r="T79" t="s">
        <v>86</v>
      </c>
      <c r="U79" t="s">
        <v>291</v>
      </c>
      <c r="V79" t="s">
        <v>93</v>
      </c>
      <c r="W79">
        <v>22444.51</v>
      </c>
      <c r="X79" t="s">
        <v>1094</v>
      </c>
      <c r="Y79" t="s">
        <v>1094</v>
      </c>
      <c r="Z79" t="s">
        <v>70</v>
      </c>
      <c r="AB79" t="s">
        <v>439</v>
      </c>
      <c r="AC79" t="s">
        <v>439</v>
      </c>
      <c r="AD79" t="s">
        <v>439</v>
      </c>
      <c r="AF79" t="s">
        <v>439</v>
      </c>
      <c r="AG79" t="s">
        <v>439</v>
      </c>
      <c r="AH79" t="s">
        <v>439</v>
      </c>
      <c r="AJ79" t="s">
        <v>439</v>
      </c>
      <c r="AK79" t="s">
        <v>439</v>
      </c>
      <c r="AL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U79" t="s">
        <v>439</v>
      </c>
      <c r="AV79" t="s">
        <v>439</v>
      </c>
      <c r="AW79" t="s">
        <v>439</v>
      </c>
      <c r="AX79">
        <v>0</v>
      </c>
      <c r="AY79" t="s">
        <v>439</v>
      </c>
      <c r="AZ79" t="s">
        <v>439</v>
      </c>
      <c r="BA79" t="s">
        <v>439</v>
      </c>
      <c r="BB79" t="s">
        <v>108</v>
      </c>
      <c r="BC79">
        <v>22444.51</v>
      </c>
      <c r="BE79" t="s">
        <v>108</v>
      </c>
      <c r="BF79" t="s">
        <v>465</v>
      </c>
      <c r="BG79" t="s">
        <v>440</v>
      </c>
      <c r="BK79" t="s">
        <v>442</v>
      </c>
      <c r="BL79" t="s">
        <v>443</v>
      </c>
      <c r="BM79" t="s">
        <v>444</v>
      </c>
      <c r="BN79" t="s">
        <v>639</v>
      </c>
      <c r="BO79" t="s">
        <v>445</v>
      </c>
      <c r="BP79" t="s">
        <v>446</v>
      </c>
      <c r="BT79">
        <v>8</v>
      </c>
      <c r="BU79">
        <v>15</v>
      </c>
      <c r="CE79">
        <v>15</v>
      </c>
      <c r="CH79">
        <v>0</v>
      </c>
      <c r="CI79">
        <v>3366.6764999999996</v>
      </c>
      <c r="CJ79">
        <v>0</v>
      </c>
      <c r="CK79">
        <v>15</v>
      </c>
      <c r="CM79">
        <v>15</v>
      </c>
      <c r="CN79">
        <v>3366.6764999999996</v>
      </c>
      <c r="CO79">
        <v>15</v>
      </c>
      <c r="CP79" s="55">
        <v>0.03</v>
      </c>
      <c r="CQ79" s="55">
        <v>0.04</v>
      </c>
      <c r="CS79" s="56">
        <v>22444.51</v>
      </c>
      <c r="CT79" s="57">
        <v>7.0000000000000007E-2</v>
      </c>
      <c r="CU79">
        <v>1571.1157000000001</v>
      </c>
      <c r="CV79" s="56">
        <v>22</v>
      </c>
    </row>
    <row r="80" spans="1:100" x14ac:dyDescent="0.35">
      <c r="A80" t="s">
        <v>242</v>
      </c>
      <c r="B80" t="s">
        <v>483</v>
      </c>
      <c r="C80" t="s">
        <v>484</v>
      </c>
      <c r="D80" t="s">
        <v>1095</v>
      </c>
      <c r="E80" t="s">
        <v>1096</v>
      </c>
      <c r="F80" t="s">
        <v>685</v>
      </c>
      <c r="G80" t="s">
        <v>482</v>
      </c>
      <c r="H80" t="s">
        <v>65</v>
      </c>
      <c r="I80" t="s">
        <v>568</v>
      </c>
      <c r="J80" t="s">
        <v>569</v>
      </c>
      <c r="K80" t="s">
        <v>570</v>
      </c>
      <c r="L80" t="s">
        <v>595</v>
      </c>
      <c r="M80" t="s">
        <v>1031</v>
      </c>
      <c r="N80" t="s">
        <v>904</v>
      </c>
      <c r="O80" t="s">
        <v>904</v>
      </c>
      <c r="P80" t="s">
        <v>286</v>
      </c>
      <c r="Q80" t="s">
        <v>79</v>
      </c>
      <c r="R80" t="s">
        <v>438</v>
      </c>
      <c r="S80" t="s">
        <v>92</v>
      </c>
      <c r="T80" t="s">
        <v>86</v>
      </c>
      <c r="U80" t="s">
        <v>291</v>
      </c>
      <c r="V80" t="s">
        <v>93</v>
      </c>
      <c r="W80">
        <v>3625356</v>
      </c>
      <c r="X80" t="s">
        <v>1032</v>
      </c>
      <c r="Y80" t="s">
        <v>1032</v>
      </c>
      <c r="Z80" t="s">
        <v>70</v>
      </c>
      <c r="AB80" t="s">
        <v>439</v>
      </c>
      <c r="AC80" t="s">
        <v>439</v>
      </c>
      <c r="AD80" t="s">
        <v>439</v>
      </c>
      <c r="AF80" t="s">
        <v>439</v>
      </c>
      <c r="AG80" t="s">
        <v>439</v>
      </c>
      <c r="AH80" t="s">
        <v>439</v>
      </c>
      <c r="AJ80" t="s">
        <v>439</v>
      </c>
      <c r="AK80" t="s">
        <v>439</v>
      </c>
      <c r="AL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U80" t="s">
        <v>439</v>
      </c>
      <c r="AV80" t="s">
        <v>439</v>
      </c>
      <c r="AW80" t="s">
        <v>439</v>
      </c>
      <c r="AX80">
        <v>0</v>
      </c>
      <c r="AY80" t="s">
        <v>439</v>
      </c>
      <c r="AZ80" t="s">
        <v>439</v>
      </c>
      <c r="BA80" t="s">
        <v>439</v>
      </c>
      <c r="BB80" t="s">
        <v>259</v>
      </c>
      <c r="BC80">
        <v>3625356</v>
      </c>
      <c r="BE80" t="s">
        <v>259</v>
      </c>
      <c r="BF80" t="s">
        <v>462</v>
      </c>
      <c r="BG80" t="s">
        <v>440</v>
      </c>
      <c r="BK80" t="s">
        <v>442</v>
      </c>
      <c r="BL80" t="s">
        <v>443</v>
      </c>
      <c r="BM80" t="s">
        <v>444</v>
      </c>
      <c r="BN80" t="s">
        <v>639</v>
      </c>
      <c r="BO80" t="s">
        <v>445</v>
      </c>
      <c r="BP80" t="s">
        <v>446</v>
      </c>
      <c r="BT80">
        <v>8</v>
      </c>
      <c r="BU80">
        <v>15</v>
      </c>
      <c r="CE80">
        <v>15</v>
      </c>
      <c r="CH80">
        <v>0</v>
      </c>
      <c r="CI80">
        <v>543803.4</v>
      </c>
      <c r="CJ80">
        <v>0</v>
      </c>
      <c r="CK80">
        <v>15</v>
      </c>
      <c r="CM80">
        <v>15</v>
      </c>
      <c r="CN80">
        <v>543803.4</v>
      </c>
      <c r="CO80">
        <v>15</v>
      </c>
      <c r="CP80" s="55">
        <v>0.03</v>
      </c>
      <c r="CQ80" s="55">
        <v>0.04</v>
      </c>
      <c r="CS80" s="56">
        <v>3625356</v>
      </c>
      <c r="CT80" s="57">
        <v>7.0000000000000007E-2</v>
      </c>
      <c r="CU80">
        <v>253774.92</v>
      </c>
      <c r="CV80" s="56">
        <v>22</v>
      </c>
    </row>
    <row r="81" spans="1:100" x14ac:dyDescent="0.35">
      <c r="A81" t="s">
        <v>242</v>
      </c>
      <c r="B81" t="s">
        <v>483</v>
      </c>
      <c r="C81" t="s">
        <v>484</v>
      </c>
      <c r="D81" t="s">
        <v>1097</v>
      </c>
      <c r="E81" t="s">
        <v>1098</v>
      </c>
      <c r="F81" t="s">
        <v>622</v>
      </c>
      <c r="G81" t="s">
        <v>260</v>
      </c>
      <c r="H81" t="s">
        <v>65</v>
      </c>
      <c r="I81" t="s">
        <v>115</v>
      </c>
      <c r="J81" t="s">
        <v>487</v>
      </c>
      <c r="K81" t="s">
        <v>451</v>
      </c>
      <c r="L81" t="s">
        <v>281</v>
      </c>
      <c r="M81" t="s">
        <v>589</v>
      </c>
      <c r="N81" t="s">
        <v>1092</v>
      </c>
      <c r="O81" t="s">
        <v>1099</v>
      </c>
      <c r="Q81" t="s">
        <v>69</v>
      </c>
      <c r="R81" t="s">
        <v>438</v>
      </c>
      <c r="S81" t="s">
        <v>92</v>
      </c>
      <c r="T81" t="s">
        <v>86</v>
      </c>
      <c r="U81" t="s">
        <v>291</v>
      </c>
      <c r="V81" t="s">
        <v>93</v>
      </c>
      <c r="W81">
        <v>2113734.34</v>
      </c>
      <c r="X81" t="s">
        <v>1100</v>
      </c>
      <c r="Y81" t="s">
        <v>1100</v>
      </c>
      <c r="Z81" t="s">
        <v>70</v>
      </c>
      <c r="AB81" t="s">
        <v>439</v>
      </c>
      <c r="AC81" t="s">
        <v>439</v>
      </c>
      <c r="AD81" t="s">
        <v>439</v>
      </c>
      <c r="AF81" t="s">
        <v>439</v>
      </c>
      <c r="AG81" t="s">
        <v>439</v>
      </c>
      <c r="AH81" t="s">
        <v>439</v>
      </c>
      <c r="AJ81" t="s">
        <v>439</v>
      </c>
      <c r="AK81" t="s">
        <v>439</v>
      </c>
      <c r="AL81" t="s">
        <v>439</v>
      </c>
      <c r="AN81" t="s">
        <v>439</v>
      </c>
      <c r="AO81" t="s">
        <v>439</v>
      </c>
      <c r="AP81" t="s">
        <v>439</v>
      </c>
      <c r="AQ81" t="s">
        <v>439</v>
      </c>
      <c r="AR81" t="s">
        <v>439</v>
      </c>
      <c r="AS81" t="s">
        <v>439</v>
      </c>
      <c r="AU81" t="s">
        <v>439</v>
      </c>
      <c r="AV81" t="s">
        <v>439</v>
      </c>
      <c r="AW81" t="s">
        <v>439</v>
      </c>
      <c r="AX81">
        <v>0</v>
      </c>
      <c r="AY81" t="s">
        <v>439</v>
      </c>
      <c r="AZ81" t="s">
        <v>439</v>
      </c>
      <c r="BA81" t="s">
        <v>439</v>
      </c>
      <c r="BB81" t="s">
        <v>100</v>
      </c>
      <c r="BC81">
        <v>2113734.34</v>
      </c>
      <c r="BE81" t="s">
        <v>100</v>
      </c>
      <c r="BF81" t="s">
        <v>452</v>
      </c>
      <c r="BG81" t="s">
        <v>440</v>
      </c>
      <c r="BK81" t="s">
        <v>442</v>
      </c>
      <c r="BL81" t="s">
        <v>443</v>
      </c>
      <c r="BM81" t="s">
        <v>444</v>
      </c>
      <c r="BN81" t="s">
        <v>639</v>
      </c>
      <c r="BO81" t="s">
        <v>445</v>
      </c>
      <c r="BP81" t="s">
        <v>446</v>
      </c>
      <c r="BT81">
        <v>8</v>
      </c>
      <c r="BU81">
        <v>15</v>
      </c>
      <c r="CE81">
        <v>15</v>
      </c>
      <c r="CH81">
        <v>0</v>
      </c>
      <c r="CI81">
        <v>317060.15099999995</v>
      </c>
      <c r="CJ81">
        <v>0</v>
      </c>
      <c r="CK81">
        <v>15</v>
      </c>
      <c r="CM81">
        <v>15</v>
      </c>
      <c r="CN81">
        <v>317060.15099999995</v>
      </c>
      <c r="CO81">
        <v>15</v>
      </c>
      <c r="CP81" s="55">
        <v>0.03</v>
      </c>
      <c r="CQ81" s="55">
        <v>0.04</v>
      </c>
      <c r="CS81" s="56">
        <v>2113734.34</v>
      </c>
      <c r="CT81" s="57">
        <v>7.0000000000000007E-2</v>
      </c>
      <c r="CU81">
        <v>147961.4038</v>
      </c>
      <c r="CV81" s="56">
        <v>22</v>
      </c>
    </row>
    <row r="82" spans="1:100" x14ac:dyDescent="0.35">
      <c r="A82" t="s">
        <v>242</v>
      </c>
      <c r="B82" t="s">
        <v>483</v>
      </c>
      <c r="C82" t="s">
        <v>484</v>
      </c>
      <c r="D82" t="s">
        <v>1101</v>
      </c>
      <c r="E82" t="s">
        <v>1102</v>
      </c>
      <c r="F82" t="s">
        <v>824</v>
      </c>
      <c r="G82" t="s">
        <v>260</v>
      </c>
      <c r="H82" t="s">
        <v>65</v>
      </c>
      <c r="I82" t="s">
        <v>98</v>
      </c>
      <c r="J82" t="s">
        <v>488</v>
      </c>
      <c r="K82" t="s">
        <v>461</v>
      </c>
      <c r="L82" t="s">
        <v>528</v>
      </c>
      <c r="M82" t="s">
        <v>470</v>
      </c>
      <c r="N82" t="s">
        <v>891</v>
      </c>
      <c r="O82" t="s">
        <v>1103</v>
      </c>
      <c r="Q82" t="s">
        <v>79</v>
      </c>
      <c r="R82" t="s">
        <v>438</v>
      </c>
      <c r="S82" t="s">
        <v>92</v>
      </c>
      <c r="T82" t="s">
        <v>86</v>
      </c>
      <c r="U82" t="s">
        <v>291</v>
      </c>
      <c r="V82" t="s">
        <v>93</v>
      </c>
      <c r="W82">
        <v>999321.21</v>
      </c>
      <c r="X82" t="s">
        <v>1104</v>
      </c>
      <c r="Y82" t="s">
        <v>1104</v>
      </c>
      <c r="Z82" t="s">
        <v>70</v>
      </c>
      <c r="AB82" t="s">
        <v>439</v>
      </c>
      <c r="AC82" t="s">
        <v>439</v>
      </c>
      <c r="AD82" t="s">
        <v>439</v>
      </c>
      <c r="AF82" t="s">
        <v>439</v>
      </c>
      <c r="AG82" t="s">
        <v>439</v>
      </c>
      <c r="AH82" t="s">
        <v>439</v>
      </c>
      <c r="AJ82" t="s">
        <v>439</v>
      </c>
      <c r="AK82" t="s">
        <v>439</v>
      </c>
      <c r="AL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U82" t="s">
        <v>439</v>
      </c>
      <c r="AV82" t="s">
        <v>439</v>
      </c>
      <c r="AW82" t="s">
        <v>439</v>
      </c>
      <c r="AX82">
        <v>0</v>
      </c>
      <c r="AY82" t="s">
        <v>439</v>
      </c>
      <c r="AZ82" t="s">
        <v>439</v>
      </c>
      <c r="BA82" t="s">
        <v>439</v>
      </c>
      <c r="BB82" t="s">
        <v>259</v>
      </c>
      <c r="BC82">
        <v>999321.21</v>
      </c>
      <c r="BE82" t="s">
        <v>259</v>
      </c>
      <c r="BF82" t="s">
        <v>462</v>
      </c>
      <c r="BG82" t="s">
        <v>440</v>
      </c>
      <c r="BK82" t="s">
        <v>442</v>
      </c>
      <c r="BL82" t="s">
        <v>443</v>
      </c>
      <c r="BM82" t="s">
        <v>444</v>
      </c>
      <c r="BN82" t="s">
        <v>639</v>
      </c>
      <c r="BO82" t="s">
        <v>445</v>
      </c>
      <c r="BP82" t="s">
        <v>446</v>
      </c>
      <c r="BT82">
        <v>8</v>
      </c>
      <c r="BU82">
        <v>15</v>
      </c>
      <c r="CE82">
        <v>15</v>
      </c>
      <c r="CH82">
        <v>0</v>
      </c>
      <c r="CI82">
        <v>149898.18149999998</v>
      </c>
      <c r="CJ82">
        <v>0</v>
      </c>
      <c r="CK82">
        <v>15</v>
      </c>
      <c r="CM82">
        <v>15</v>
      </c>
      <c r="CN82">
        <v>149898.18149999998</v>
      </c>
      <c r="CO82">
        <v>15</v>
      </c>
      <c r="CP82" s="55">
        <v>0.03</v>
      </c>
      <c r="CQ82" s="55">
        <v>0.04</v>
      </c>
      <c r="CS82" s="56">
        <v>999321.21</v>
      </c>
      <c r="CT82" s="57">
        <v>7.0000000000000007E-2</v>
      </c>
      <c r="CU82">
        <v>69952.484700000001</v>
      </c>
      <c r="CV82" s="56">
        <v>22</v>
      </c>
    </row>
    <row r="83" spans="1:100" x14ac:dyDescent="0.35">
      <c r="A83" t="s">
        <v>242</v>
      </c>
      <c r="B83" t="s">
        <v>483</v>
      </c>
      <c r="C83" t="s">
        <v>484</v>
      </c>
      <c r="D83" t="s">
        <v>1105</v>
      </c>
      <c r="E83" t="s">
        <v>1106</v>
      </c>
      <c r="F83" t="s">
        <v>622</v>
      </c>
      <c r="G83" t="s">
        <v>260</v>
      </c>
      <c r="H83" t="s">
        <v>65</v>
      </c>
      <c r="I83" t="s">
        <v>1107</v>
      </c>
      <c r="J83" t="s">
        <v>1108</v>
      </c>
      <c r="K83" t="s">
        <v>1109</v>
      </c>
      <c r="L83" t="s">
        <v>595</v>
      </c>
      <c r="M83" t="s">
        <v>454</v>
      </c>
      <c r="N83" t="s">
        <v>891</v>
      </c>
      <c r="O83" t="s">
        <v>817</v>
      </c>
      <c r="Q83" t="s">
        <v>79</v>
      </c>
      <c r="R83" t="s">
        <v>438</v>
      </c>
      <c r="S83" t="s">
        <v>92</v>
      </c>
      <c r="T83" t="s">
        <v>86</v>
      </c>
      <c r="U83" t="s">
        <v>291</v>
      </c>
      <c r="V83" t="s">
        <v>93</v>
      </c>
      <c r="W83">
        <v>2499831.17</v>
      </c>
      <c r="X83" t="s">
        <v>1110</v>
      </c>
      <c r="Y83" t="s">
        <v>1110</v>
      </c>
      <c r="Z83" t="s">
        <v>70</v>
      </c>
      <c r="AB83" t="s">
        <v>439</v>
      </c>
      <c r="AC83" t="s">
        <v>439</v>
      </c>
      <c r="AD83" t="s">
        <v>439</v>
      </c>
      <c r="AF83" t="s">
        <v>439</v>
      </c>
      <c r="AG83" t="s">
        <v>439</v>
      </c>
      <c r="AH83" t="s">
        <v>439</v>
      </c>
      <c r="AJ83" t="s">
        <v>439</v>
      </c>
      <c r="AK83" t="s">
        <v>439</v>
      </c>
      <c r="AL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U83" t="s">
        <v>439</v>
      </c>
      <c r="AV83" t="s">
        <v>439</v>
      </c>
      <c r="AW83" t="s">
        <v>439</v>
      </c>
      <c r="AX83">
        <v>0</v>
      </c>
      <c r="AY83" t="s">
        <v>439</v>
      </c>
      <c r="AZ83" t="s">
        <v>439</v>
      </c>
      <c r="BA83" t="s">
        <v>439</v>
      </c>
      <c r="BB83" t="s">
        <v>243</v>
      </c>
      <c r="BC83">
        <v>2499831.17</v>
      </c>
      <c r="BG83" t="s">
        <v>440</v>
      </c>
      <c r="BK83" t="s">
        <v>442</v>
      </c>
      <c r="BL83" t="s">
        <v>443</v>
      </c>
      <c r="BM83" t="s">
        <v>444</v>
      </c>
      <c r="BN83" t="s">
        <v>639</v>
      </c>
      <c r="BO83" t="s">
        <v>445</v>
      </c>
      <c r="BP83" t="s">
        <v>446</v>
      </c>
      <c r="BT83">
        <v>8</v>
      </c>
      <c r="BU83">
        <v>15</v>
      </c>
      <c r="CE83">
        <v>15</v>
      </c>
      <c r="CH83">
        <v>0</v>
      </c>
      <c r="CI83">
        <v>374974.67549999995</v>
      </c>
      <c r="CJ83">
        <v>0</v>
      </c>
      <c r="CK83">
        <v>15</v>
      </c>
      <c r="CM83">
        <v>15</v>
      </c>
      <c r="CN83">
        <v>374974.67549999995</v>
      </c>
      <c r="CO83">
        <v>15</v>
      </c>
      <c r="CP83" s="55">
        <v>0.03</v>
      </c>
      <c r="CQ83" s="55">
        <v>0.04</v>
      </c>
      <c r="CS83" s="56">
        <v>2499831.17</v>
      </c>
      <c r="CT83" s="57">
        <v>7.0000000000000007E-2</v>
      </c>
      <c r="CU83">
        <v>174988.18190000003</v>
      </c>
      <c r="CV83" s="56">
        <v>22</v>
      </c>
    </row>
    <row r="84" spans="1:100" x14ac:dyDescent="0.35">
      <c r="A84" t="s">
        <v>242</v>
      </c>
      <c r="B84" t="s">
        <v>483</v>
      </c>
      <c r="C84" t="s">
        <v>484</v>
      </c>
      <c r="D84" t="s">
        <v>1111</v>
      </c>
      <c r="E84" t="s">
        <v>1112</v>
      </c>
      <c r="F84" t="s">
        <v>622</v>
      </c>
      <c r="G84" t="s">
        <v>260</v>
      </c>
      <c r="H84" t="s">
        <v>65</v>
      </c>
      <c r="I84" t="s">
        <v>104</v>
      </c>
      <c r="J84" t="s">
        <v>497</v>
      </c>
      <c r="K84" t="s">
        <v>466</v>
      </c>
      <c r="L84" t="s">
        <v>281</v>
      </c>
      <c r="M84" t="s">
        <v>1113</v>
      </c>
      <c r="N84" t="s">
        <v>891</v>
      </c>
      <c r="O84" t="s">
        <v>817</v>
      </c>
      <c r="Q84" t="s">
        <v>79</v>
      </c>
      <c r="R84" t="s">
        <v>438</v>
      </c>
      <c r="S84" t="s">
        <v>92</v>
      </c>
      <c r="T84" t="s">
        <v>86</v>
      </c>
      <c r="U84" t="s">
        <v>291</v>
      </c>
      <c r="V84" t="s">
        <v>93</v>
      </c>
      <c r="W84">
        <v>6195990</v>
      </c>
      <c r="X84" t="s">
        <v>1114</v>
      </c>
      <c r="Y84" t="s">
        <v>1114</v>
      </c>
      <c r="Z84" t="s">
        <v>70</v>
      </c>
      <c r="AB84" t="s">
        <v>439</v>
      </c>
      <c r="AC84" t="s">
        <v>439</v>
      </c>
      <c r="AD84" t="s">
        <v>439</v>
      </c>
      <c r="AF84" t="s">
        <v>439</v>
      </c>
      <c r="AG84" t="s">
        <v>439</v>
      </c>
      <c r="AH84" t="s">
        <v>439</v>
      </c>
      <c r="AJ84" t="s">
        <v>439</v>
      </c>
      <c r="AK84" t="s">
        <v>439</v>
      </c>
      <c r="AL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U84" t="s">
        <v>439</v>
      </c>
      <c r="AV84" t="s">
        <v>439</v>
      </c>
      <c r="AW84" t="s">
        <v>439</v>
      </c>
      <c r="AX84">
        <v>0</v>
      </c>
      <c r="AY84" t="s">
        <v>439</v>
      </c>
      <c r="AZ84" t="s">
        <v>439</v>
      </c>
      <c r="BA84" t="s">
        <v>439</v>
      </c>
      <c r="BB84" t="s">
        <v>108</v>
      </c>
      <c r="BC84">
        <v>6195990</v>
      </c>
      <c r="BD84">
        <v>6195990</v>
      </c>
      <c r="BE84" t="s">
        <v>108</v>
      </c>
      <c r="BF84" t="s">
        <v>465</v>
      </c>
      <c r="BG84" t="s">
        <v>440</v>
      </c>
      <c r="BK84" t="s">
        <v>442</v>
      </c>
      <c r="BL84" t="s">
        <v>443</v>
      </c>
      <c r="BM84" t="s">
        <v>444</v>
      </c>
      <c r="BN84" t="s">
        <v>639</v>
      </c>
      <c r="BO84" t="s">
        <v>445</v>
      </c>
      <c r="BP84" t="s">
        <v>446</v>
      </c>
      <c r="BT84">
        <v>8</v>
      </c>
      <c r="BU84">
        <v>15</v>
      </c>
      <c r="CE84">
        <v>15</v>
      </c>
      <c r="CH84">
        <v>0</v>
      </c>
      <c r="CI84">
        <v>929398.5</v>
      </c>
      <c r="CJ84">
        <v>0</v>
      </c>
      <c r="CK84">
        <v>15</v>
      </c>
      <c r="CM84">
        <v>15</v>
      </c>
      <c r="CN84">
        <v>929398.5</v>
      </c>
      <c r="CO84">
        <v>15</v>
      </c>
      <c r="CP84" s="55">
        <v>0.03</v>
      </c>
      <c r="CQ84" s="55">
        <v>0.04</v>
      </c>
      <c r="CS84" s="56">
        <v>6195990</v>
      </c>
      <c r="CT84" s="57">
        <v>7.0000000000000007E-2</v>
      </c>
      <c r="CU84">
        <v>433719.30000000005</v>
      </c>
      <c r="CV84" s="56">
        <v>22</v>
      </c>
    </row>
    <row r="85" spans="1:100" x14ac:dyDescent="0.35">
      <c r="A85" t="s">
        <v>242</v>
      </c>
      <c r="B85" t="s">
        <v>483</v>
      </c>
      <c r="C85" t="s">
        <v>484</v>
      </c>
      <c r="D85" t="s">
        <v>1115</v>
      </c>
      <c r="E85" t="s">
        <v>1116</v>
      </c>
      <c r="F85" t="s">
        <v>668</v>
      </c>
      <c r="G85" t="s">
        <v>260</v>
      </c>
      <c r="H85" t="s">
        <v>65</v>
      </c>
      <c r="I85" t="s">
        <v>1117</v>
      </c>
      <c r="J85" t="s">
        <v>1118</v>
      </c>
      <c r="K85" t="s">
        <v>1119</v>
      </c>
      <c r="L85" t="s">
        <v>595</v>
      </c>
      <c r="M85" t="s">
        <v>1120</v>
      </c>
      <c r="N85" t="s">
        <v>856</v>
      </c>
      <c r="O85" t="s">
        <v>943</v>
      </c>
      <c r="Q85" t="s">
        <v>69</v>
      </c>
      <c r="R85" t="s">
        <v>438</v>
      </c>
      <c r="S85" t="s">
        <v>92</v>
      </c>
      <c r="T85" t="s">
        <v>86</v>
      </c>
      <c r="U85" t="s">
        <v>291</v>
      </c>
      <c r="V85" t="s">
        <v>93</v>
      </c>
      <c r="W85">
        <v>16709.939999999999</v>
      </c>
      <c r="X85" t="s">
        <v>1121</v>
      </c>
      <c r="Y85" t="s">
        <v>1121</v>
      </c>
      <c r="Z85" t="s">
        <v>70</v>
      </c>
      <c r="AB85" t="s">
        <v>439</v>
      </c>
      <c r="AC85" t="s">
        <v>439</v>
      </c>
      <c r="AD85" t="s">
        <v>439</v>
      </c>
      <c r="AF85" t="s">
        <v>439</v>
      </c>
      <c r="AG85" t="s">
        <v>439</v>
      </c>
      <c r="AH85" t="s">
        <v>439</v>
      </c>
      <c r="AJ85" t="s">
        <v>439</v>
      </c>
      <c r="AK85" t="s">
        <v>439</v>
      </c>
      <c r="AL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U85" t="s">
        <v>439</v>
      </c>
      <c r="AV85" t="s">
        <v>439</v>
      </c>
      <c r="AW85" t="s">
        <v>439</v>
      </c>
      <c r="AX85">
        <v>0</v>
      </c>
      <c r="AY85" t="s">
        <v>439</v>
      </c>
      <c r="AZ85" t="s">
        <v>439</v>
      </c>
      <c r="BA85" t="s">
        <v>439</v>
      </c>
      <c r="BB85" t="s">
        <v>94</v>
      </c>
      <c r="BC85">
        <v>16709.939999999999</v>
      </c>
      <c r="BE85" t="s">
        <v>94</v>
      </c>
      <c r="BF85" t="s">
        <v>453</v>
      </c>
      <c r="BG85" t="s">
        <v>440</v>
      </c>
      <c r="BK85" t="s">
        <v>442</v>
      </c>
      <c r="BL85" t="s">
        <v>443</v>
      </c>
      <c r="BM85" t="s">
        <v>444</v>
      </c>
      <c r="BN85" t="s">
        <v>639</v>
      </c>
      <c r="BO85" t="s">
        <v>445</v>
      </c>
      <c r="BP85" t="s">
        <v>446</v>
      </c>
      <c r="BT85">
        <v>8</v>
      </c>
      <c r="BU85">
        <v>15</v>
      </c>
      <c r="CE85">
        <v>15</v>
      </c>
      <c r="CH85">
        <v>0</v>
      </c>
      <c r="CI85">
        <v>2506.4909999999995</v>
      </c>
      <c r="CJ85">
        <v>0</v>
      </c>
      <c r="CK85">
        <v>15</v>
      </c>
      <c r="CM85">
        <v>15</v>
      </c>
      <c r="CN85">
        <v>2506.4909999999995</v>
      </c>
      <c r="CO85">
        <v>15</v>
      </c>
      <c r="CP85" s="55">
        <v>0.03</v>
      </c>
      <c r="CQ85" s="55">
        <v>0.04</v>
      </c>
      <c r="CS85" s="56">
        <v>16709.939999999999</v>
      </c>
      <c r="CT85" s="57">
        <v>7.0000000000000007E-2</v>
      </c>
      <c r="CU85">
        <v>1169.6958</v>
      </c>
      <c r="CV85" s="56">
        <v>22</v>
      </c>
    </row>
    <row r="86" spans="1:100" x14ac:dyDescent="0.35">
      <c r="A86" t="s">
        <v>242</v>
      </c>
      <c r="B86" t="s">
        <v>483</v>
      </c>
      <c r="C86" t="s">
        <v>484</v>
      </c>
      <c r="D86" t="s">
        <v>1122</v>
      </c>
      <c r="E86" t="s">
        <v>1116</v>
      </c>
      <c r="F86" t="s">
        <v>668</v>
      </c>
      <c r="G86" t="s">
        <v>482</v>
      </c>
      <c r="H86" t="s">
        <v>65</v>
      </c>
      <c r="I86" t="s">
        <v>1117</v>
      </c>
      <c r="J86" t="s">
        <v>1118</v>
      </c>
      <c r="K86" t="s">
        <v>1119</v>
      </c>
      <c r="L86" t="s">
        <v>595</v>
      </c>
      <c r="M86" t="s">
        <v>1031</v>
      </c>
      <c r="N86" t="s">
        <v>943</v>
      </c>
      <c r="O86" t="s">
        <v>943</v>
      </c>
      <c r="P86" t="s">
        <v>286</v>
      </c>
      <c r="Q86" t="s">
        <v>69</v>
      </c>
      <c r="R86" t="s">
        <v>438</v>
      </c>
      <c r="S86" t="s">
        <v>92</v>
      </c>
      <c r="T86" t="s">
        <v>86</v>
      </c>
      <c r="U86" t="s">
        <v>291</v>
      </c>
      <c r="V86" t="s">
        <v>93</v>
      </c>
      <c r="W86">
        <v>3625356</v>
      </c>
      <c r="X86" t="s">
        <v>1032</v>
      </c>
      <c r="Y86" t="s">
        <v>1032</v>
      </c>
      <c r="Z86" t="s">
        <v>70</v>
      </c>
      <c r="AB86" t="s">
        <v>439</v>
      </c>
      <c r="AC86" t="s">
        <v>439</v>
      </c>
      <c r="AD86" t="s">
        <v>439</v>
      </c>
      <c r="AF86" t="s">
        <v>439</v>
      </c>
      <c r="AG86" t="s">
        <v>439</v>
      </c>
      <c r="AH86" t="s">
        <v>439</v>
      </c>
      <c r="AJ86" t="s">
        <v>439</v>
      </c>
      <c r="AK86" t="s">
        <v>439</v>
      </c>
      <c r="AL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U86" t="s">
        <v>439</v>
      </c>
      <c r="AV86" t="s">
        <v>439</v>
      </c>
      <c r="AW86" t="s">
        <v>439</v>
      </c>
      <c r="AX86">
        <v>0</v>
      </c>
      <c r="AY86" t="s">
        <v>439</v>
      </c>
      <c r="AZ86" t="s">
        <v>439</v>
      </c>
      <c r="BA86" t="s">
        <v>439</v>
      </c>
      <c r="BB86" t="s">
        <v>94</v>
      </c>
      <c r="BC86">
        <v>3625356</v>
      </c>
      <c r="BE86" t="s">
        <v>94</v>
      </c>
      <c r="BF86" t="s">
        <v>453</v>
      </c>
      <c r="BG86" t="s">
        <v>440</v>
      </c>
      <c r="BK86" t="s">
        <v>442</v>
      </c>
      <c r="BL86" t="s">
        <v>443</v>
      </c>
      <c r="BM86" t="s">
        <v>444</v>
      </c>
      <c r="BN86" t="s">
        <v>639</v>
      </c>
      <c r="BO86" t="s">
        <v>445</v>
      </c>
      <c r="BP86" t="s">
        <v>446</v>
      </c>
      <c r="BT86">
        <v>8</v>
      </c>
      <c r="BU86">
        <v>15</v>
      </c>
      <c r="CE86">
        <v>15</v>
      </c>
      <c r="CH86">
        <v>0</v>
      </c>
      <c r="CI86">
        <v>543803.4</v>
      </c>
      <c r="CJ86">
        <v>0</v>
      </c>
      <c r="CK86">
        <v>15</v>
      </c>
      <c r="CM86">
        <v>15</v>
      </c>
      <c r="CN86">
        <v>543803.4</v>
      </c>
      <c r="CO86">
        <v>15</v>
      </c>
      <c r="CP86" s="55">
        <v>0.03</v>
      </c>
      <c r="CQ86" s="55">
        <v>0.04</v>
      </c>
      <c r="CS86" s="56">
        <v>3625356</v>
      </c>
      <c r="CT86" s="57">
        <v>7.0000000000000007E-2</v>
      </c>
      <c r="CU86">
        <v>253774.92</v>
      </c>
      <c r="CV86" s="56">
        <v>22</v>
      </c>
    </row>
    <row r="87" spans="1:100" x14ac:dyDescent="0.35">
      <c r="A87" t="s">
        <v>242</v>
      </c>
      <c r="B87" t="s">
        <v>483</v>
      </c>
      <c r="C87" t="s">
        <v>484</v>
      </c>
      <c r="D87" t="s">
        <v>1123</v>
      </c>
      <c r="E87" t="s">
        <v>1116</v>
      </c>
      <c r="F87" t="s">
        <v>668</v>
      </c>
      <c r="G87" t="s">
        <v>482</v>
      </c>
      <c r="H87" t="s">
        <v>65</v>
      </c>
      <c r="I87" t="s">
        <v>1117</v>
      </c>
      <c r="J87" t="s">
        <v>1118</v>
      </c>
      <c r="K87" t="s">
        <v>1119</v>
      </c>
      <c r="L87" t="s">
        <v>595</v>
      </c>
      <c r="M87" t="s">
        <v>1034</v>
      </c>
      <c r="N87" t="s">
        <v>943</v>
      </c>
      <c r="O87" t="s">
        <v>943</v>
      </c>
      <c r="P87" t="s">
        <v>527</v>
      </c>
      <c r="Q87" t="s">
        <v>69</v>
      </c>
      <c r="R87" t="s">
        <v>438</v>
      </c>
      <c r="S87" t="s">
        <v>92</v>
      </c>
      <c r="T87" t="s">
        <v>86</v>
      </c>
      <c r="U87" t="s">
        <v>291</v>
      </c>
      <c r="V87" t="s">
        <v>93</v>
      </c>
      <c r="W87">
        <v>1259410</v>
      </c>
      <c r="X87" t="s">
        <v>1035</v>
      </c>
      <c r="Y87" t="s">
        <v>1035</v>
      </c>
      <c r="Z87" t="s">
        <v>70</v>
      </c>
      <c r="AB87" t="s">
        <v>439</v>
      </c>
      <c r="AC87" t="s">
        <v>439</v>
      </c>
      <c r="AD87" t="s">
        <v>439</v>
      </c>
      <c r="AF87" t="s">
        <v>439</v>
      </c>
      <c r="AG87" t="s">
        <v>439</v>
      </c>
      <c r="AH87" t="s">
        <v>439</v>
      </c>
      <c r="AJ87" t="s">
        <v>439</v>
      </c>
      <c r="AK87" t="s">
        <v>439</v>
      </c>
      <c r="AL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U87" t="s">
        <v>439</v>
      </c>
      <c r="AV87" t="s">
        <v>439</v>
      </c>
      <c r="AW87" t="s">
        <v>439</v>
      </c>
      <c r="AX87">
        <v>0</v>
      </c>
      <c r="AY87" t="s">
        <v>439</v>
      </c>
      <c r="AZ87" t="s">
        <v>439</v>
      </c>
      <c r="BA87" t="s">
        <v>439</v>
      </c>
      <c r="BB87" t="s">
        <v>94</v>
      </c>
      <c r="BC87">
        <v>1259410</v>
      </c>
      <c r="BE87" t="s">
        <v>94</v>
      </c>
      <c r="BF87" t="s">
        <v>453</v>
      </c>
      <c r="BG87" t="s">
        <v>440</v>
      </c>
      <c r="BK87" t="s">
        <v>442</v>
      </c>
      <c r="BL87" t="s">
        <v>443</v>
      </c>
      <c r="BM87" t="s">
        <v>444</v>
      </c>
      <c r="BN87" t="s">
        <v>639</v>
      </c>
      <c r="BO87" t="s">
        <v>445</v>
      </c>
      <c r="BP87" t="s">
        <v>446</v>
      </c>
      <c r="BT87">
        <v>8</v>
      </c>
      <c r="BU87">
        <v>15</v>
      </c>
      <c r="CE87">
        <v>15</v>
      </c>
      <c r="CH87">
        <v>0</v>
      </c>
      <c r="CI87">
        <v>188911.5</v>
      </c>
      <c r="CJ87">
        <v>0</v>
      </c>
      <c r="CK87">
        <v>15</v>
      </c>
      <c r="CM87">
        <v>15</v>
      </c>
      <c r="CN87">
        <v>188911.5</v>
      </c>
      <c r="CO87">
        <v>15</v>
      </c>
      <c r="CP87" s="55">
        <v>0.03</v>
      </c>
      <c r="CQ87" s="55">
        <v>0.04</v>
      </c>
      <c r="CS87" s="56">
        <v>1259410</v>
      </c>
      <c r="CT87" s="57">
        <v>7.0000000000000007E-2</v>
      </c>
      <c r="CU87">
        <v>88158.700000000012</v>
      </c>
      <c r="CV87" s="56">
        <v>22</v>
      </c>
    </row>
    <row r="88" spans="1:100" x14ac:dyDescent="0.35">
      <c r="A88" t="s">
        <v>242</v>
      </c>
      <c r="B88" t="s">
        <v>483</v>
      </c>
      <c r="C88" t="s">
        <v>484</v>
      </c>
      <c r="D88" t="s">
        <v>1124</v>
      </c>
      <c r="E88" t="s">
        <v>1125</v>
      </c>
      <c r="F88" t="s">
        <v>622</v>
      </c>
      <c r="G88" t="s">
        <v>260</v>
      </c>
      <c r="H88" t="s">
        <v>65</v>
      </c>
      <c r="I88" t="s">
        <v>1126</v>
      </c>
      <c r="J88" t="s">
        <v>1127</v>
      </c>
      <c r="K88" t="s">
        <v>1128</v>
      </c>
      <c r="L88" t="s">
        <v>281</v>
      </c>
      <c r="M88" t="s">
        <v>1129</v>
      </c>
      <c r="N88" t="s">
        <v>1130</v>
      </c>
      <c r="O88" t="s">
        <v>817</v>
      </c>
      <c r="Q88" t="s">
        <v>79</v>
      </c>
      <c r="R88" t="s">
        <v>438</v>
      </c>
      <c r="S88" t="s">
        <v>92</v>
      </c>
      <c r="T88" t="s">
        <v>86</v>
      </c>
      <c r="U88" t="s">
        <v>291</v>
      </c>
      <c r="V88" t="s">
        <v>93</v>
      </c>
      <c r="W88">
        <v>2300000</v>
      </c>
      <c r="X88" t="s">
        <v>1131</v>
      </c>
      <c r="Y88" t="s">
        <v>1131</v>
      </c>
      <c r="Z88" t="s">
        <v>70</v>
      </c>
      <c r="AB88" t="s">
        <v>439</v>
      </c>
      <c r="AC88" t="s">
        <v>439</v>
      </c>
      <c r="AD88" t="s">
        <v>439</v>
      </c>
      <c r="AF88" t="s">
        <v>439</v>
      </c>
      <c r="AG88" t="s">
        <v>439</v>
      </c>
      <c r="AH88" t="s">
        <v>439</v>
      </c>
      <c r="AJ88" t="s">
        <v>439</v>
      </c>
      <c r="AK88" t="s">
        <v>439</v>
      </c>
      <c r="AL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U88" t="s">
        <v>439</v>
      </c>
      <c r="AV88" t="s">
        <v>439</v>
      </c>
      <c r="AW88" t="s">
        <v>439</v>
      </c>
      <c r="AX88">
        <v>0</v>
      </c>
      <c r="AY88" t="s">
        <v>439</v>
      </c>
      <c r="AZ88" t="s">
        <v>439</v>
      </c>
      <c r="BA88" t="s">
        <v>439</v>
      </c>
      <c r="BB88" t="s">
        <v>94</v>
      </c>
      <c r="BC88">
        <v>2300000</v>
      </c>
      <c r="BD88">
        <v>2300000</v>
      </c>
      <c r="BE88" t="s">
        <v>94</v>
      </c>
      <c r="BF88" t="s">
        <v>453</v>
      </c>
      <c r="BG88" t="s">
        <v>440</v>
      </c>
      <c r="BK88" t="s">
        <v>442</v>
      </c>
      <c r="BL88" t="s">
        <v>443</v>
      </c>
      <c r="BM88" t="s">
        <v>444</v>
      </c>
      <c r="BN88" t="s">
        <v>639</v>
      </c>
      <c r="BO88" t="s">
        <v>445</v>
      </c>
      <c r="BP88" t="s">
        <v>446</v>
      </c>
      <c r="BT88">
        <v>8</v>
      </c>
      <c r="BU88">
        <v>15</v>
      </c>
      <c r="CE88">
        <v>15</v>
      </c>
      <c r="CH88">
        <v>0</v>
      </c>
      <c r="CI88">
        <v>345000</v>
      </c>
      <c r="CJ88">
        <v>0</v>
      </c>
      <c r="CK88">
        <v>15</v>
      </c>
      <c r="CM88">
        <v>15</v>
      </c>
      <c r="CN88">
        <v>345000</v>
      </c>
      <c r="CO88">
        <v>15</v>
      </c>
      <c r="CP88" s="55">
        <v>0.03</v>
      </c>
      <c r="CQ88" s="55">
        <v>0.04</v>
      </c>
      <c r="CS88" s="56">
        <v>2300000</v>
      </c>
      <c r="CT88" s="57">
        <v>7.0000000000000007E-2</v>
      </c>
      <c r="CU88">
        <v>161000.00000000003</v>
      </c>
      <c r="CV88" s="56">
        <v>22</v>
      </c>
    </row>
    <row r="89" spans="1:100" x14ac:dyDescent="0.35">
      <c r="A89" t="s">
        <v>242</v>
      </c>
      <c r="B89" t="s">
        <v>483</v>
      </c>
      <c r="C89" t="s">
        <v>484</v>
      </c>
      <c r="D89" t="s">
        <v>1132</v>
      </c>
      <c r="E89" t="s">
        <v>1133</v>
      </c>
      <c r="F89" t="s">
        <v>622</v>
      </c>
      <c r="G89" t="s">
        <v>260</v>
      </c>
      <c r="H89" t="s">
        <v>65</v>
      </c>
      <c r="I89" t="s">
        <v>544</v>
      </c>
      <c r="J89" t="s">
        <v>545</v>
      </c>
      <c r="K89" t="s">
        <v>546</v>
      </c>
      <c r="L89" t="s">
        <v>547</v>
      </c>
      <c r="M89" t="s">
        <v>1134</v>
      </c>
      <c r="N89" t="s">
        <v>1135</v>
      </c>
      <c r="O89" t="s">
        <v>1136</v>
      </c>
      <c r="Q89" t="s">
        <v>69</v>
      </c>
      <c r="R89" t="s">
        <v>438</v>
      </c>
      <c r="S89" t="s">
        <v>92</v>
      </c>
      <c r="T89" t="s">
        <v>86</v>
      </c>
      <c r="U89" t="s">
        <v>291</v>
      </c>
      <c r="V89" t="s">
        <v>93</v>
      </c>
      <c r="W89">
        <v>9224933.0199999996</v>
      </c>
      <c r="X89" t="s">
        <v>1137</v>
      </c>
      <c r="Y89" t="s">
        <v>1137</v>
      </c>
      <c r="Z89" t="s">
        <v>70</v>
      </c>
      <c r="AB89" t="s">
        <v>439</v>
      </c>
      <c r="AC89" t="s">
        <v>439</v>
      </c>
      <c r="AD89" t="s">
        <v>439</v>
      </c>
      <c r="AF89" t="s">
        <v>439</v>
      </c>
      <c r="AG89" t="s">
        <v>439</v>
      </c>
      <c r="AH89" t="s">
        <v>439</v>
      </c>
      <c r="AJ89" t="s">
        <v>439</v>
      </c>
      <c r="AK89" t="s">
        <v>439</v>
      </c>
      <c r="AL89" t="s">
        <v>439</v>
      </c>
      <c r="AN89" t="s">
        <v>439</v>
      </c>
      <c r="AO89" t="s">
        <v>439</v>
      </c>
      <c r="AP89" t="s">
        <v>439</v>
      </c>
      <c r="AQ89" t="s">
        <v>439</v>
      </c>
      <c r="AR89" t="s">
        <v>439</v>
      </c>
      <c r="AS89" t="s">
        <v>439</v>
      </c>
      <c r="AU89" t="s">
        <v>439</v>
      </c>
      <c r="AV89" t="s">
        <v>439</v>
      </c>
      <c r="AW89" t="s">
        <v>439</v>
      </c>
      <c r="AX89">
        <v>0</v>
      </c>
      <c r="AY89" t="s">
        <v>439</v>
      </c>
      <c r="AZ89" t="s">
        <v>439</v>
      </c>
      <c r="BA89" t="s">
        <v>439</v>
      </c>
      <c r="BB89" t="s">
        <v>94</v>
      </c>
      <c r="BC89">
        <v>9224933.0199999996</v>
      </c>
      <c r="BG89" t="s">
        <v>440</v>
      </c>
      <c r="BK89" t="s">
        <v>442</v>
      </c>
      <c r="BL89" t="s">
        <v>443</v>
      </c>
      <c r="BM89" t="s">
        <v>444</v>
      </c>
      <c r="BN89" t="s">
        <v>639</v>
      </c>
      <c r="BO89" t="s">
        <v>445</v>
      </c>
      <c r="BP89" t="s">
        <v>446</v>
      </c>
      <c r="BT89">
        <v>8</v>
      </c>
      <c r="BU89">
        <v>15</v>
      </c>
      <c r="CE89">
        <v>15</v>
      </c>
      <c r="CH89">
        <v>0</v>
      </c>
      <c r="CI89">
        <v>1383739.953</v>
      </c>
      <c r="CJ89">
        <v>0</v>
      </c>
      <c r="CK89">
        <v>15</v>
      </c>
      <c r="CM89">
        <v>15</v>
      </c>
      <c r="CN89">
        <v>1383739.953</v>
      </c>
      <c r="CO89">
        <v>15</v>
      </c>
      <c r="CP89" s="55">
        <v>0.03</v>
      </c>
      <c r="CQ89" s="55">
        <v>0.04</v>
      </c>
      <c r="CS89" s="56">
        <v>9224933.0199999996</v>
      </c>
      <c r="CT89" s="57">
        <v>7.0000000000000007E-2</v>
      </c>
      <c r="CU89">
        <v>645745.31140000001</v>
      </c>
      <c r="CV89" s="56">
        <v>22</v>
      </c>
    </row>
    <row r="90" spans="1:100" x14ac:dyDescent="0.35">
      <c r="A90" t="s">
        <v>242</v>
      </c>
      <c r="B90" t="s">
        <v>483</v>
      </c>
      <c r="C90" t="s">
        <v>484</v>
      </c>
      <c r="D90" t="s">
        <v>1138</v>
      </c>
      <c r="E90" t="s">
        <v>1139</v>
      </c>
      <c r="F90" t="s">
        <v>1140</v>
      </c>
      <c r="G90" t="s">
        <v>260</v>
      </c>
      <c r="H90" t="s">
        <v>65</v>
      </c>
      <c r="I90" t="s">
        <v>104</v>
      </c>
      <c r="J90" t="s">
        <v>497</v>
      </c>
      <c r="K90" t="s">
        <v>466</v>
      </c>
      <c r="L90" t="s">
        <v>281</v>
      </c>
      <c r="M90" t="s">
        <v>1141</v>
      </c>
      <c r="N90" t="s">
        <v>1093</v>
      </c>
      <c r="O90" t="s">
        <v>1142</v>
      </c>
      <c r="Q90" t="s">
        <v>79</v>
      </c>
      <c r="R90" t="s">
        <v>438</v>
      </c>
      <c r="S90" t="s">
        <v>92</v>
      </c>
      <c r="T90" t="s">
        <v>86</v>
      </c>
      <c r="U90" t="s">
        <v>291</v>
      </c>
      <c r="V90" t="s">
        <v>93</v>
      </c>
      <c r="W90">
        <v>232244.92</v>
      </c>
      <c r="X90" t="s">
        <v>1143</v>
      </c>
      <c r="Y90" t="s">
        <v>1143</v>
      </c>
      <c r="Z90" t="s">
        <v>70</v>
      </c>
      <c r="AB90" t="s">
        <v>439</v>
      </c>
      <c r="AC90" t="s">
        <v>439</v>
      </c>
      <c r="AD90" t="s">
        <v>439</v>
      </c>
      <c r="AF90" t="s">
        <v>439</v>
      </c>
      <c r="AG90" t="s">
        <v>439</v>
      </c>
      <c r="AH90" t="s">
        <v>439</v>
      </c>
      <c r="AJ90" t="s">
        <v>439</v>
      </c>
      <c r="AK90" t="s">
        <v>439</v>
      </c>
      <c r="AL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U90" t="s">
        <v>439</v>
      </c>
      <c r="AV90" t="s">
        <v>439</v>
      </c>
      <c r="AW90" t="s">
        <v>439</v>
      </c>
      <c r="AX90">
        <v>0</v>
      </c>
      <c r="AY90" t="s">
        <v>439</v>
      </c>
      <c r="AZ90" t="s">
        <v>439</v>
      </c>
      <c r="BA90" t="s">
        <v>439</v>
      </c>
      <c r="BB90" t="s">
        <v>108</v>
      </c>
      <c r="BC90">
        <v>232244.92</v>
      </c>
      <c r="BE90" t="s">
        <v>108</v>
      </c>
      <c r="BF90" t="s">
        <v>465</v>
      </c>
      <c r="BG90" t="s">
        <v>440</v>
      </c>
      <c r="BK90" t="s">
        <v>442</v>
      </c>
      <c r="BL90" t="s">
        <v>443</v>
      </c>
      <c r="BM90" t="s">
        <v>444</v>
      </c>
      <c r="BN90" t="s">
        <v>639</v>
      </c>
      <c r="BO90" t="s">
        <v>445</v>
      </c>
      <c r="BP90" t="s">
        <v>446</v>
      </c>
      <c r="BT90">
        <v>8</v>
      </c>
      <c r="BU90">
        <v>15</v>
      </c>
      <c r="CE90">
        <v>15</v>
      </c>
      <c r="CH90">
        <v>0</v>
      </c>
      <c r="CI90">
        <v>34836.737999999998</v>
      </c>
      <c r="CJ90">
        <v>0</v>
      </c>
      <c r="CK90">
        <v>15</v>
      </c>
      <c r="CM90">
        <v>15</v>
      </c>
      <c r="CN90">
        <v>34836.737999999998</v>
      </c>
      <c r="CO90">
        <v>15</v>
      </c>
      <c r="CP90" s="55">
        <v>0.03</v>
      </c>
      <c r="CQ90" s="55">
        <v>0.04</v>
      </c>
      <c r="CS90" s="56">
        <v>232244.92</v>
      </c>
      <c r="CT90" s="57">
        <v>7.0000000000000007E-2</v>
      </c>
      <c r="CU90">
        <v>16257.144400000003</v>
      </c>
      <c r="CV90" s="56">
        <v>22</v>
      </c>
    </row>
    <row r="91" spans="1:100" x14ac:dyDescent="0.35">
      <c r="A91" t="s">
        <v>242</v>
      </c>
      <c r="B91" t="s">
        <v>483</v>
      </c>
      <c r="C91" t="s">
        <v>484</v>
      </c>
      <c r="D91" t="s">
        <v>1144</v>
      </c>
      <c r="E91" t="s">
        <v>1145</v>
      </c>
      <c r="F91" t="s">
        <v>622</v>
      </c>
      <c r="G91" t="s">
        <v>260</v>
      </c>
      <c r="H91" t="s">
        <v>65</v>
      </c>
      <c r="I91" t="s">
        <v>115</v>
      </c>
      <c r="J91" t="s">
        <v>487</v>
      </c>
      <c r="K91" t="s">
        <v>451</v>
      </c>
      <c r="L91" t="s">
        <v>281</v>
      </c>
      <c r="M91" t="s">
        <v>1146</v>
      </c>
      <c r="N91" t="s">
        <v>1135</v>
      </c>
      <c r="O91" t="s">
        <v>1147</v>
      </c>
      <c r="Q91" t="s">
        <v>69</v>
      </c>
      <c r="R91" t="s">
        <v>438</v>
      </c>
      <c r="S91" t="s">
        <v>92</v>
      </c>
      <c r="T91" t="s">
        <v>86</v>
      </c>
      <c r="U91" t="s">
        <v>291</v>
      </c>
      <c r="V91" t="s">
        <v>93</v>
      </c>
      <c r="W91">
        <v>298515.78999999998</v>
      </c>
      <c r="X91" t="s">
        <v>1148</v>
      </c>
      <c r="Y91" t="s">
        <v>1148</v>
      </c>
      <c r="Z91" t="s">
        <v>70</v>
      </c>
      <c r="AB91" t="s">
        <v>439</v>
      </c>
      <c r="AC91" t="s">
        <v>439</v>
      </c>
      <c r="AD91" t="s">
        <v>439</v>
      </c>
      <c r="AF91" t="s">
        <v>439</v>
      </c>
      <c r="AG91" t="s">
        <v>439</v>
      </c>
      <c r="AH91" t="s">
        <v>439</v>
      </c>
      <c r="AJ91" t="s">
        <v>439</v>
      </c>
      <c r="AK91" t="s">
        <v>439</v>
      </c>
      <c r="AL91" t="s">
        <v>439</v>
      </c>
      <c r="AN91" t="s">
        <v>439</v>
      </c>
      <c r="AO91" t="s">
        <v>439</v>
      </c>
      <c r="AP91" t="s">
        <v>439</v>
      </c>
      <c r="AQ91" t="s">
        <v>439</v>
      </c>
      <c r="AR91" t="s">
        <v>439</v>
      </c>
      <c r="AS91" t="s">
        <v>439</v>
      </c>
      <c r="AU91" t="s">
        <v>439</v>
      </c>
      <c r="AV91" t="s">
        <v>439</v>
      </c>
      <c r="AW91" t="s">
        <v>439</v>
      </c>
      <c r="AX91">
        <v>0</v>
      </c>
      <c r="AY91" t="s">
        <v>439</v>
      </c>
      <c r="AZ91" t="s">
        <v>439</v>
      </c>
      <c r="BA91" t="s">
        <v>439</v>
      </c>
      <c r="BB91" t="s">
        <v>100</v>
      </c>
      <c r="BC91">
        <v>298515.78999999998</v>
      </c>
      <c r="BE91" t="s">
        <v>100</v>
      </c>
      <c r="BF91" t="s">
        <v>452</v>
      </c>
      <c r="BG91" t="s">
        <v>440</v>
      </c>
      <c r="BK91" t="s">
        <v>442</v>
      </c>
      <c r="BL91" t="s">
        <v>443</v>
      </c>
      <c r="BM91" t="s">
        <v>444</v>
      </c>
      <c r="BN91" t="s">
        <v>639</v>
      </c>
      <c r="BO91" t="s">
        <v>445</v>
      </c>
      <c r="BP91" t="s">
        <v>446</v>
      </c>
      <c r="BT91">
        <v>8</v>
      </c>
      <c r="BU91">
        <v>15</v>
      </c>
      <c r="CE91">
        <v>15</v>
      </c>
      <c r="CH91">
        <v>0</v>
      </c>
      <c r="CI91">
        <v>44777.368499999997</v>
      </c>
      <c r="CJ91">
        <v>0</v>
      </c>
      <c r="CK91">
        <v>15</v>
      </c>
      <c r="CM91">
        <v>15</v>
      </c>
      <c r="CN91">
        <v>44777.368499999997</v>
      </c>
      <c r="CO91">
        <v>15</v>
      </c>
      <c r="CP91" s="55">
        <v>0.03</v>
      </c>
      <c r="CQ91" s="55">
        <v>0.04</v>
      </c>
      <c r="CS91" s="56">
        <v>298515.78999999998</v>
      </c>
      <c r="CT91" s="57">
        <v>7.0000000000000007E-2</v>
      </c>
      <c r="CU91">
        <v>20896.105299999999</v>
      </c>
      <c r="CV91" s="56">
        <v>22</v>
      </c>
    </row>
    <row r="92" spans="1:100" x14ac:dyDescent="0.35">
      <c r="A92" t="s">
        <v>242</v>
      </c>
      <c r="B92" t="s">
        <v>483</v>
      </c>
      <c r="C92" t="s">
        <v>484</v>
      </c>
      <c r="D92" t="s">
        <v>1149</v>
      </c>
      <c r="E92" t="s">
        <v>1150</v>
      </c>
      <c r="F92" t="s">
        <v>622</v>
      </c>
      <c r="G92" t="s">
        <v>260</v>
      </c>
      <c r="H92" t="s">
        <v>65</v>
      </c>
      <c r="I92" t="s">
        <v>917</v>
      </c>
      <c r="J92" t="s">
        <v>918</v>
      </c>
      <c r="K92" t="s">
        <v>919</v>
      </c>
      <c r="L92" t="s">
        <v>528</v>
      </c>
      <c r="M92" t="s">
        <v>1038</v>
      </c>
      <c r="N92" t="s">
        <v>1046</v>
      </c>
      <c r="O92" t="s">
        <v>813</v>
      </c>
      <c r="Q92" t="s">
        <v>79</v>
      </c>
      <c r="R92" t="s">
        <v>438</v>
      </c>
      <c r="S92" t="s">
        <v>92</v>
      </c>
      <c r="T92" t="s">
        <v>86</v>
      </c>
      <c r="U92" t="s">
        <v>291</v>
      </c>
      <c r="V92" t="s">
        <v>93</v>
      </c>
      <c r="W92">
        <v>343.25</v>
      </c>
      <c r="X92" t="s">
        <v>1151</v>
      </c>
      <c r="Y92" t="s">
        <v>1151</v>
      </c>
      <c r="Z92" t="s">
        <v>70</v>
      </c>
      <c r="AB92" t="s">
        <v>439</v>
      </c>
      <c r="AC92" t="s">
        <v>439</v>
      </c>
      <c r="AD92" t="s">
        <v>439</v>
      </c>
      <c r="AF92" t="s">
        <v>439</v>
      </c>
      <c r="AG92" t="s">
        <v>439</v>
      </c>
      <c r="AH92" t="s">
        <v>439</v>
      </c>
      <c r="AJ92" t="s">
        <v>439</v>
      </c>
      <c r="AK92" t="s">
        <v>439</v>
      </c>
      <c r="AL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U92" t="s">
        <v>439</v>
      </c>
      <c r="AV92" t="s">
        <v>439</v>
      </c>
      <c r="AW92" t="s">
        <v>439</v>
      </c>
      <c r="AX92">
        <v>0</v>
      </c>
      <c r="AY92" t="s">
        <v>439</v>
      </c>
      <c r="AZ92" t="s">
        <v>439</v>
      </c>
      <c r="BA92" t="s">
        <v>439</v>
      </c>
      <c r="BC92">
        <v>343.25</v>
      </c>
      <c r="BG92" t="s">
        <v>440</v>
      </c>
      <c r="BK92" t="s">
        <v>442</v>
      </c>
      <c r="BL92" t="s">
        <v>443</v>
      </c>
      <c r="BM92" t="s">
        <v>444</v>
      </c>
      <c r="BN92" t="s">
        <v>639</v>
      </c>
      <c r="BO92" t="s">
        <v>445</v>
      </c>
      <c r="BP92" t="s">
        <v>446</v>
      </c>
      <c r="BT92">
        <v>8</v>
      </c>
      <c r="BU92">
        <v>15</v>
      </c>
      <c r="CE92">
        <v>15</v>
      </c>
      <c r="CH92">
        <v>0</v>
      </c>
      <c r="CI92">
        <v>51.487499999999997</v>
      </c>
      <c r="CJ92">
        <v>0</v>
      </c>
      <c r="CK92">
        <v>15</v>
      </c>
      <c r="CM92">
        <v>15</v>
      </c>
      <c r="CN92">
        <v>51.487499999999997</v>
      </c>
      <c r="CO92">
        <v>15</v>
      </c>
      <c r="CP92" s="55">
        <v>0.03</v>
      </c>
      <c r="CQ92" s="55">
        <v>0.04</v>
      </c>
      <c r="CS92" s="56">
        <v>343.25</v>
      </c>
      <c r="CT92" s="57">
        <v>7.0000000000000007E-2</v>
      </c>
      <c r="CU92">
        <v>24.027500000000003</v>
      </c>
      <c r="CV92" s="56">
        <v>22</v>
      </c>
    </row>
    <row r="93" spans="1:100" x14ac:dyDescent="0.35">
      <c r="A93" t="s">
        <v>242</v>
      </c>
      <c r="B93" t="s">
        <v>483</v>
      </c>
      <c r="C93" t="s">
        <v>484</v>
      </c>
      <c r="D93" t="s">
        <v>1152</v>
      </c>
      <c r="E93" t="s">
        <v>1153</v>
      </c>
      <c r="F93" t="s">
        <v>1154</v>
      </c>
      <c r="G93" t="s">
        <v>260</v>
      </c>
      <c r="H93" t="s">
        <v>65</v>
      </c>
      <c r="I93" t="s">
        <v>104</v>
      </c>
      <c r="J93" t="s">
        <v>497</v>
      </c>
      <c r="K93" t="s">
        <v>466</v>
      </c>
      <c r="L93" t="s">
        <v>528</v>
      </c>
      <c r="M93" t="s">
        <v>1155</v>
      </c>
      <c r="N93" t="s">
        <v>904</v>
      </c>
      <c r="O93" t="s">
        <v>817</v>
      </c>
      <c r="Q93" t="s">
        <v>79</v>
      </c>
      <c r="R93" t="s">
        <v>438</v>
      </c>
      <c r="S93" t="s">
        <v>92</v>
      </c>
      <c r="T93" t="s">
        <v>86</v>
      </c>
      <c r="U93" t="s">
        <v>291</v>
      </c>
      <c r="V93" t="s">
        <v>93</v>
      </c>
      <c r="W93">
        <v>1585096.5</v>
      </c>
      <c r="X93" t="s">
        <v>1156</v>
      </c>
      <c r="Y93" t="s">
        <v>1156</v>
      </c>
      <c r="Z93" t="s">
        <v>70</v>
      </c>
      <c r="AB93" t="s">
        <v>439</v>
      </c>
      <c r="AC93" t="s">
        <v>439</v>
      </c>
      <c r="AD93" t="s">
        <v>439</v>
      </c>
      <c r="AF93" t="s">
        <v>439</v>
      </c>
      <c r="AG93" t="s">
        <v>439</v>
      </c>
      <c r="AH93" t="s">
        <v>439</v>
      </c>
      <c r="AJ93" t="s">
        <v>439</v>
      </c>
      <c r="AK93" t="s">
        <v>439</v>
      </c>
      <c r="AL93" t="s">
        <v>439</v>
      </c>
      <c r="AN93" t="s">
        <v>439</v>
      </c>
      <c r="AO93" t="s">
        <v>439</v>
      </c>
      <c r="AP93" t="s">
        <v>439</v>
      </c>
      <c r="AQ93" t="s">
        <v>439</v>
      </c>
      <c r="AR93" t="s">
        <v>439</v>
      </c>
      <c r="AS93" t="s">
        <v>439</v>
      </c>
      <c r="AU93" t="s">
        <v>439</v>
      </c>
      <c r="AV93" t="s">
        <v>439</v>
      </c>
      <c r="AW93" t="s">
        <v>439</v>
      </c>
      <c r="AX93">
        <v>0</v>
      </c>
      <c r="AY93" t="s">
        <v>439</v>
      </c>
      <c r="AZ93" t="s">
        <v>439</v>
      </c>
      <c r="BA93" t="s">
        <v>439</v>
      </c>
      <c r="BB93" t="s">
        <v>108</v>
      </c>
      <c r="BC93">
        <v>1585096.5</v>
      </c>
      <c r="BE93" t="s">
        <v>108</v>
      </c>
      <c r="BF93" t="s">
        <v>465</v>
      </c>
      <c r="BG93" t="s">
        <v>440</v>
      </c>
      <c r="BK93" t="s">
        <v>442</v>
      </c>
      <c r="BL93" t="s">
        <v>443</v>
      </c>
      <c r="BM93" t="s">
        <v>444</v>
      </c>
      <c r="BN93" t="s">
        <v>639</v>
      </c>
      <c r="BO93" t="s">
        <v>445</v>
      </c>
      <c r="BP93" t="s">
        <v>446</v>
      </c>
      <c r="BT93">
        <v>8</v>
      </c>
      <c r="BU93">
        <v>15</v>
      </c>
      <c r="CE93">
        <v>15</v>
      </c>
      <c r="CH93">
        <v>0</v>
      </c>
      <c r="CI93">
        <v>237764.47499999998</v>
      </c>
      <c r="CJ93">
        <v>0</v>
      </c>
      <c r="CK93">
        <v>15</v>
      </c>
      <c r="CM93">
        <v>15</v>
      </c>
      <c r="CN93">
        <v>237764.47499999998</v>
      </c>
      <c r="CO93">
        <v>15</v>
      </c>
      <c r="CP93" s="55">
        <v>0.03</v>
      </c>
      <c r="CQ93" s="55">
        <v>0.04</v>
      </c>
      <c r="CS93" s="56">
        <v>1585096.5</v>
      </c>
      <c r="CT93" s="57">
        <v>7.0000000000000007E-2</v>
      </c>
      <c r="CU93">
        <v>110956.755</v>
      </c>
      <c r="CV93" s="56">
        <v>22</v>
      </c>
    </row>
    <row r="94" spans="1:100" x14ac:dyDescent="0.35">
      <c r="A94" t="s">
        <v>242</v>
      </c>
      <c r="B94" t="s">
        <v>483</v>
      </c>
      <c r="C94" t="s">
        <v>484</v>
      </c>
      <c r="D94" t="s">
        <v>1157</v>
      </c>
      <c r="E94" t="s">
        <v>1158</v>
      </c>
      <c r="F94" t="s">
        <v>824</v>
      </c>
      <c r="G94" t="s">
        <v>260</v>
      </c>
      <c r="H94" t="s">
        <v>65</v>
      </c>
      <c r="I94" t="s">
        <v>579</v>
      </c>
      <c r="J94" t="s">
        <v>580</v>
      </c>
      <c r="K94" t="s">
        <v>581</v>
      </c>
      <c r="L94" t="s">
        <v>504</v>
      </c>
      <c r="M94" t="s">
        <v>1159</v>
      </c>
      <c r="N94" t="s">
        <v>1160</v>
      </c>
      <c r="O94" t="s">
        <v>1161</v>
      </c>
      <c r="Q94" t="s">
        <v>79</v>
      </c>
      <c r="R94" t="s">
        <v>438</v>
      </c>
      <c r="S94" t="s">
        <v>92</v>
      </c>
      <c r="T94" t="s">
        <v>86</v>
      </c>
      <c r="U94" t="s">
        <v>291</v>
      </c>
      <c r="V94" t="s">
        <v>93</v>
      </c>
      <c r="W94">
        <v>540391.47</v>
      </c>
      <c r="X94" t="s">
        <v>1162</v>
      </c>
      <c r="Y94" t="s">
        <v>1162</v>
      </c>
      <c r="Z94" t="s">
        <v>70</v>
      </c>
      <c r="AB94" t="s">
        <v>439</v>
      </c>
      <c r="AC94" t="s">
        <v>439</v>
      </c>
      <c r="AD94" t="s">
        <v>439</v>
      </c>
      <c r="AF94" t="s">
        <v>439</v>
      </c>
      <c r="AG94" t="s">
        <v>439</v>
      </c>
      <c r="AH94" t="s">
        <v>439</v>
      </c>
      <c r="AJ94" t="s">
        <v>439</v>
      </c>
      <c r="AK94" t="s">
        <v>439</v>
      </c>
      <c r="AL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U94" t="s">
        <v>439</v>
      </c>
      <c r="AV94" t="s">
        <v>439</v>
      </c>
      <c r="AW94" t="s">
        <v>439</v>
      </c>
      <c r="AX94">
        <v>0</v>
      </c>
      <c r="AY94" t="s">
        <v>439</v>
      </c>
      <c r="AZ94" t="s">
        <v>439</v>
      </c>
      <c r="BA94" t="s">
        <v>439</v>
      </c>
      <c r="BB94" t="s">
        <v>108</v>
      </c>
      <c r="BC94">
        <v>540391.47</v>
      </c>
      <c r="BE94" t="s">
        <v>108</v>
      </c>
      <c r="BF94" t="s">
        <v>465</v>
      </c>
      <c r="BG94" t="s">
        <v>440</v>
      </c>
      <c r="BK94" t="s">
        <v>442</v>
      </c>
      <c r="BL94" t="s">
        <v>443</v>
      </c>
      <c r="BM94" t="s">
        <v>444</v>
      </c>
      <c r="BN94" t="s">
        <v>639</v>
      </c>
      <c r="BO94" t="s">
        <v>445</v>
      </c>
      <c r="BP94" t="s">
        <v>446</v>
      </c>
      <c r="BT94">
        <v>8</v>
      </c>
      <c r="BU94">
        <v>15</v>
      </c>
      <c r="CE94">
        <v>15</v>
      </c>
      <c r="CH94">
        <v>0</v>
      </c>
      <c r="CI94">
        <v>81058.720499999996</v>
      </c>
      <c r="CJ94">
        <v>0</v>
      </c>
      <c r="CK94">
        <v>15</v>
      </c>
      <c r="CM94">
        <v>15</v>
      </c>
      <c r="CN94">
        <v>81058.720499999996</v>
      </c>
      <c r="CO94">
        <v>15</v>
      </c>
      <c r="CP94" s="55">
        <v>0.03</v>
      </c>
      <c r="CQ94" s="55">
        <v>0.04</v>
      </c>
      <c r="CS94" s="56">
        <v>540391.47</v>
      </c>
      <c r="CT94" s="57">
        <v>7.0000000000000007E-2</v>
      </c>
      <c r="CU94">
        <v>37827.402900000001</v>
      </c>
      <c r="CV94" s="56">
        <v>22</v>
      </c>
    </row>
    <row r="95" spans="1:100" x14ac:dyDescent="0.35">
      <c r="A95" t="s">
        <v>242</v>
      </c>
      <c r="B95" t="s">
        <v>483</v>
      </c>
      <c r="C95" t="s">
        <v>484</v>
      </c>
      <c r="D95" t="s">
        <v>1163</v>
      </c>
      <c r="E95" t="s">
        <v>1164</v>
      </c>
      <c r="F95" t="s">
        <v>622</v>
      </c>
      <c r="G95" t="s">
        <v>260</v>
      </c>
      <c r="H95" t="s">
        <v>65</v>
      </c>
      <c r="I95" t="s">
        <v>1165</v>
      </c>
      <c r="J95" t="s">
        <v>1166</v>
      </c>
      <c r="K95" t="s">
        <v>1167</v>
      </c>
      <c r="L95" t="s">
        <v>528</v>
      </c>
      <c r="M95" t="s">
        <v>1168</v>
      </c>
      <c r="N95" t="s">
        <v>1169</v>
      </c>
      <c r="O95" t="s">
        <v>1073</v>
      </c>
      <c r="Q95" t="s">
        <v>79</v>
      </c>
      <c r="R95" t="s">
        <v>438</v>
      </c>
      <c r="S95" t="s">
        <v>92</v>
      </c>
      <c r="T95" t="s">
        <v>86</v>
      </c>
      <c r="U95" t="s">
        <v>291</v>
      </c>
      <c r="V95" t="s">
        <v>93</v>
      </c>
      <c r="W95">
        <v>1065199.8799999999</v>
      </c>
      <c r="X95" t="s">
        <v>1170</v>
      </c>
      <c r="Y95" t="s">
        <v>1170</v>
      </c>
      <c r="Z95" t="s">
        <v>70</v>
      </c>
      <c r="AB95" t="s">
        <v>439</v>
      </c>
      <c r="AC95" t="s">
        <v>439</v>
      </c>
      <c r="AD95" t="s">
        <v>439</v>
      </c>
      <c r="AF95" t="s">
        <v>439</v>
      </c>
      <c r="AG95" t="s">
        <v>439</v>
      </c>
      <c r="AH95" t="s">
        <v>439</v>
      </c>
      <c r="AJ95" t="s">
        <v>439</v>
      </c>
      <c r="AK95" t="s">
        <v>439</v>
      </c>
      <c r="AL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U95" t="s">
        <v>439</v>
      </c>
      <c r="AV95" t="s">
        <v>439</v>
      </c>
      <c r="AW95" t="s">
        <v>439</v>
      </c>
      <c r="AX95">
        <v>0</v>
      </c>
      <c r="AY95" t="s">
        <v>439</v>
      </c>
      <c r="AZ95" t="s">
        <v>439</v>
      </c>
      <c r="BA95" t="s">
        <v>439</v>
      </c>
      <c r="BB95" t="s">
        <v>1171</v>
      </c>
      <c r="BC95">
        <v>1065199.8799999999</v>
      </c>
      <c r="BE95" t="s">
        <v>1171</v>
      </c>
      <c r="BF95" t="s">
        <v>1172</v>
      </c>
      <c r="BG95" t="s">
        <v>440</v>
      </c>
      <c r="BK95" t="s">
        <v>442</v>
      </c>
      <c r="BL95" t="s">
        <v>443</v>
      </c>
      <c r="BM95" t="s">
        <v>444</v>
      </c>
      <c r="BN95" t="s">
        <v>639</v>
      </c>
      <c r="BO95" t="s">
        <v>445</v>
      </c>
      <c r="BP95" t="s">
        <v>446</v>
      </c>
      <c r="BT95">
        <v>8</v>
      </c>
      <c r="BU95">
        <v>15</v>
      </c>
      <c r="CE95">
        <v>15</v>
      </c>
      <c r="CH95">
        <v>0</v>
      </c>
      <c r="CI95">
        <v>159779.98199999999</v>
      </c>
      <c r="CJ95">
        <v>0</v>
      </c>
      <c r="CK95">
        <v>15</v>
      </c>
      <c r="CM95">
        <v>15</v>
      </c>
      <c r="CN95">
        <v>159779.98199999999</v>
      </c>
      <c r="CO95">
        <v>15</v>
      </c>
      <c r="CP95" s="55">
        <v>0.03</v>
      </c>
      <c r="CQ95" s="55">
        <v>0.04</v>
      </c>
      <c r="CS95" s="56">
        <v>1065199.8799999999</v>
      </c>
      <c r="CT95" s="57">
        <v>7.0000000000000007E-2</v>
      </c>
      <c r="CU95">
        <v>74563.991599999994</v>
      </c>
      <c r="CV95" s="56">
        <v>22</v>
      </c>
    </row>
    <row r="96" spans="1:100" x14ac:dyDescent="0.35">
      <c r="A96" t="s">
        <v>242</v>
      </c>
      <c r="B96" t="s">
        <v>483</v>
      </c>
      <c r="C96" t="s">
        <v>484</v>
      </c>
      <c r="D96" t="s">
        <v>1173</v>
      </c>
      <c r="E96" t="s">
        <v>1174</v>
      </c>
      <c r="F96" t="s">
        <v>833</v>
      </c>
      <c r="G96" t="s">
        <v>260</v>
      </c>
      <c r="H96" t="s">
        <v>65</v>
      </c>
      <c r="I96" t="s">
        <v>716</v>
      </c>
      <c r="J96" t="s">
        <v>717</v>
      </c>
      <c r="K96" t="s">
        <v>718</v>
      </c>
      <c r="L96" t="s">
        <v>281</v>
      </c>
      <c r="M96" t="s">
        <v>611</v>
      </c>
      <c r="N96" t="s">
        <v>1175</v>
      </c>
      <c r="O96" t="s">
        <v>804</v>
      </c>
      <c r="Q96" t="s">
        <v>79</v>
      </c>
      <c r="R96" t="s">
        <v>438</v>
      </c>
      <c r="S96" t="s">
        <v>719</v>
      </c>
      <c r="T96" t="s">
        <v>86</v>
      </c>
      <c r="U96" t="s">
        <v>291</v>
      </c>
      <c r="V96" t="s">
        <v>70</v>
      </c>
      <c r="W96">
        <v>8.35</v>
      </c>
      <c r="X96" t="s">
        <v>1176</v>
      </c>
      <c r="Y96" t="s">
        <v>1176</v>
      </c>
      <c r="Z96" t="s">
        <v>70</v>
      </c>
      <c r="AB96" t="s">
        <v>439</v>
      </c>
      <c r="AC96" t="s">
        <v>439</v>
      </c>
      <c r="AD96" t="s">
        <v>439</v>
      </c>
      <c r="AF96" t="s">
        <v>439</v>
      </c>
      <c r="AG96" t="s">
        <v>439</v>
      </c>
      <c r="AH96" t="s">
        <v>439</v>
      </c>
      <c r="AJ96" t="s">
        <v>439</v>
      </c>
      <c r="AK96" t="s">
        <v>439</v>
      </c>
      <c r="AL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U96" t="s">
        <v>439</v>
      </c>
      <c r="AV96" t="s">
        <v>439</v>
      </c>
      <c r="AW96" t="s">
        <v>439</v>
      </c>
      <c r="AX96">
        <v>0</v>
      </c>
      <c r="AY96" t="s">
        <v>439</v>
      </c>
      <c r="AZ96" t="s">
        <v>439</v>
      </c>
      <c r="BA96" t="s">
        <v>439</v>
      </c>
      <c r="BB96" t="s">
        <v>720</v>
      </c>
      <c r="BC96">
        <v>8.35</v>
      </c>
      <c r="BE96" t="s">
        <v>720</v>
      </c>
      <c r="BF96" t="s">
        <v>721</v>
      </c>
      <c r="BG96" t="s">
        <v>446</v>
      </c>
      <c r="BH96" t="s">
        <v>203</v>
      </c>
      <c r="BI96" t="s">
        <v>449</v>
      </c>
      <c r="BK96" t="s">
        <v>442</v>
      </c>
      <c r="BL96" t="s">
        <v>443</v>
      </c>
      <c r="BM96" t="s">
        <v>444</v>
      </c>
      <c r="BN96" t="s">
        <v>639</v>
      </c>
      <c r="BO96" t="s">
        <v>445</v>
      </c>
      <c r="BP96" t="s">
        <v>440</v>
      </c>
      <c r="BT96">
        <v>8</v>
      </c>
      <c r="BU96">
        <v>15</v>
      </c>
      <c r="CE96">
        <v>15</v>
      </c>
      <c r="CH96">
        <v>0</v>
      </c>
      <c r="CI96">
        <v>1.2524999999999999</v>
      </c>
      <c r="CJ96">
        <v>0</v>
      </c>
      <c r="CK96">
        <v>15</v>
      </c>
      <c r="CM96">
        <v>15</v>
      </c>
      <c r="CN96">
        <v>1.2524999999999999</v>
      </c>
      <c r="CO96">
        <v>15</v>
      </c>
      <c r="CP96" s="55">
        <v>0</v>
      </c>
      <c r="CQ96" s="55">
        <v>0</v>
      </c>
      <c r="CS96" s="56">
        <v>8.35</v>
      </c>
      <c r="CT96" s="57">
        <v>0</v>
      </c>
      <c r="CU96">
        <v>0</v>
      </c>
      <c r="CV96" s="56">
        <v>15</v>
      </c>
    </row>
    <row r="97" spans="1:101" x14ac:dyDescent="0.35">
      <c r="A97" t="s">
        <v>242</v>
      </c>
      <c r="B97" t="s">
        <v>483</v>
      </c>
      <c r="C97" t="s">
        <v>484</v>
      </c>
      <c r="D97" t="s">
        <v>1177</v>
      </c>
      <c r="E97" t="s">
        <v>715</v>
      </c>
      <c r="F97" t="s">
        <v>668</v>
      </c>
      <c r="G97" t="s">
        <v>260</v>
      </c>
      <c r="H97" t="s">
        <v>65</v>
      </c>
      <c r="I97" t="s">
        <v>716</v>
      </c>
      <c r="J97" t="s">
        <v>717</v>
      </c>
      <c r="K97" t="s">
        <v>718</v>
      </c>
      <c r="L97" t="s">
        <v>281</v>
      </c>
      <c r="M97" t="s">
        <v>611</v>
      </c>
      <c r="N97" t="s">
        <v>1175</v>
      </c>
      <c r="O97" t="s">
        <v>804</v>
      </c>
      <c r="Q97" t="s">
        <v>79</v>
      </c>
      <c r="R97" t="s">
        <v>438</v>
      </c>
      <c r="S97" t="s">
        <v>719</v>
      </c>
      <c r="T97" t="s">
        <v>86</v>
      </c>
      <c r="U97" t="s">
        <v>291</v>
      </c>
      <c r="V97" t="s">
        <v>70</v>
      </c>
      <c r="W97">
        <v>1722</v>
      </c>
      <c r="X97" t="s">
        <v>1178</v>
      </c>
      <c r="Y97" t="s">
        <v>1178</v>
      </c>
      <c r="Z97" t="s">
        <v>70</v>
      </c>
      <c r="AB97" t="s">
        <v>439</v>
      </c>
      <c r="AC97" t="s">
        <v>439</v>
      </c>
      <c r="AD97" t="s">
        <v>439</v>
      </c>
      <c r="AF97" t="s">
        <v>439</v>
      </c>
      <c r="AG97" t="s">
        <v>439</v>
      </c>
      <c r="AH97" t="s">
        <v>439</v>
      </c>
      <c r="AJ97" t="s">
        <v>439</v>
      </c>
      <c r="AK97" t="s">
        <v>439</v>
      </c>
      <c r="AL97" t="s">
        <v>439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U97" t="s">
        <v>439</v>
      </c>
      <c r="AV97" t="s">
        <v>439</v>
      </c>
      <c r="AW97" t="s">
        <v>439</v>
      </c>
      <c r="AX97">
        <v>0</v>
      </c>
      <c r="AY97" t="s">
        <v>439</v>
      </c>
      <c r="AZ97" t="s">
        <v>439</v>
      </c>
      <c r="BA97" t="s">
        <v>439</v>
      </c>
      <c r="BB97" t="s">
        <v>720</v>
      </c>
      <c r="BC97">
        <v>1722</v>
      </c>
      <c r="BE97" t="s">
        <v>720</v>
      </c>
      <c r="BF97" t="s">
        <v>721</v>
      </c>
      <c r="BG97" t="s">
        <v>446</v>
      </c>
      <c r="BH97" t="s">
        <v>203</v>
      </c>
      <c r="BI97" t="s">
        <v>449</v>
      </c>
      <c r="BK97" t="s">
        <v>442</v>
      </c>
      <c r="BL97" t="s">
        <v>443</v>
      </c>
      <c r="BM97" t="s">
        <v>444</v>
      </c>
      <c r="BN97" t="s">
        <v>639</v>
      </c>
      <c r="BO97" t="s">
        <v>445</v>
      </c>
      <c r="BP97" t="s">
        <v>440</v>
      </c>
      <c r="BT97">
        <v>8</v>
      </c>
      <c r="BU97">
        <v>15</v>
      </c>
      <c r="CE97">
        <v>15</v>
      </c>
      <c r="CH97">
        <v>0</v>
      </c>
      <c r="CI97">
        <v>258.3</v>
      </c>
      <c r="CJ97">
        <v>0</v>
      </c>
      <c r="CK97">
        <v>15</v>
      </c>
      <c r="CM97">
        <v>15</v>
      </c>
      <c r="CN97">
        <v>258.3</v>
      </c>
      <c r="CO97">
        <v>15</v>
      </c>
      <c r="CP97" s="55">
        <v>0</v>
      </c>
      <c r="CQ97" s="55">
        <v>0</v>
      </c>
      <c r="CS97" s="56">
        <v>1722</v>
      </c>
      <c r="CT97" s="57">
        <v>0</v>
      </c>
      <c r="CU97">
        <v>0</v>
      </c>
      <c r="CV97" s="56">
        <v>15</v>
      </c>
    </row>
    <row r="99" spans="1:101" x14ac:dyDescent="0.35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  <c r="AD99" s="85"/>
      <c r="AE99" s="85"/>
      <c r="AF99" s="85"/>
      <c r="AG99" s="85"/>
      <c r="AH99" s="85"/>
      <c r="AI99" s="85"/>
      <c r="AJ99" s="85"/>
      <c r="AK99" s="85"/>
      <c r="AL99" s="85"/>
      <c r="AM99" s="85"/>
      <c r="AN99" s="85"/>
      <c r="AO99" s="85"/>
      <c r="AP99" s="85"/>
      <c r="AQ99" s="85"/>
      <c r="AR99" s="85"/>
      <c r="AS99" s="85"/>
      <c r="AT99" s="85"/>
      <c r="AU99" s="85"/>
      <c r="AV99" s="85"/>
      <c r="AW99" s="85"/>
      <c r="AX99" s="85"/>
      <c r="AY99" s="85"/>
      <c r="AZ99" s="85"/>
      <c r="BA99" s="85"/>
      <c r="BB99" s="85"/>
      <c r="BC99" s="85"/>
      <c r="BD99" s="85"/>
      <c r="BE99" s="85"/>
      <c r="BF99" s="85"/>
      <c r="BG99" s="85"/>
      <c r="BH99" s="85"/>
      <c r="BI99" s="85"/>
      <c r="BJ99" s="85"/>
      <c r="BK99" s="85"/>
      <c r="BL99" s="85"/>
      <c r="BM99" s="85"/>
      <c r="BN99" s="85"/>
      <c r="BO99" s="85"/>
      <c r="BP99" s="85"/>
      <c r="BQ99" s="85"/>
      <c r="BR99" s="85"/>
      <c r="BS99" s="85"/>
      <c r="BT99" s="85"/>
      <c r="BU99" s="85"/>
      <c r="BV99" s="85"/>
      <c r="BW99" s="85"/>
      <c r="BX99" s="85"/>
      <c r="BY99" s="85"/>
      <c r="BZ99" s="85"/>
      <c r="CA99" s="85"/>
      <c r="CB99" s="85"/>
      <c r="CC99" s="85"/>
      <c r="CD99" s="85"/>
      <c r="CE99" s="85"/>
      <c r="CF99" s="85"/>
      <c r="CG99" s="85"/>
      <c r="CH99" s="85"/>
      <c r="CI99" s="85"/>
      <c r="CJ99" s="85"/>
      <c r="CK99" s="85"/>
      <c r="CL99" s="85"/>
      <c r="CM99" s="85"/>
      <c r="CN99" s="85"/>
      <c r="CO99" s="85"/>
      <c r="CP99" s="85"/>
      <c r="CQ99" s="85"/>
      <c r="CR99" s="85"/>
      <c r="CS99" s="85"/>
      <c r="CT99" s="85"/>
      <c r="CU99" s="85"/>
      <c r="CV99" s="85"/>
      <c r="CW99" s="85"/>
    </row>
  </sheetData>
  <autoFilter ref="A1:CW97" xr:uid="{46314299-728F-4C7B-BA65-A21A07395186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3:E36"/>
  <sheetViews>
    <sheetView topLeftCell="A2" workbookViewId="0">
      <selection activeCell="E6" sqref="E6"/>
    </sheetView>
  </sheetViews>
  <sheetFormatPr defaultColWidth="9.1796875" defaultRowHeight="14.5" x14ac:dyDescent="0.35"/>
  <cols>
    <col min="2" max="2" width="8" bestFit="1" customWidth="1"/>
    <col min="3" max="3" width="18.81640625" bestFit="1" customWidth="1"/>
    <col min="4" max="4" width="9.81640625" bestFit="1" customWidth="1"/>
    <col min="5" max="5" width="8.54296875" bestFit="1" customWidth="1"/>
  </cols>
  <sheetData>
    <row r="3" spans="1:5" ht="15" thickBot="1" x14ac:dyDescent="0.4"/>
    <row r="4" spans="1:5" ht="15" thickBot="1" x14ac:dyDescent="0.4">
      <c r="B4" s="77" t="s">
        <v>244</v>
      </c>
      <c r="C4" s="78"/>
      <c r="D4" s="9"/>
      <c r="E4" s="10"/>
    </row>
    <row r="5" spans="1:5" ht="15" thickBot="1" x14ac:dyDescent="0.4">
      <c r="A5" s="11" t="s">
        <v>207</v>
      </c>
      <c r="B5" s="12" t="s">
        <v>207</v>
      </c>
      <c r="C5" s="13" t="s">
        <v>208</v>
      </c>
      <c r="D5" s="13" t="s">
        <v>190</v>
      </c>
      <c r="E5" s="13" t="s">
        <v>191</v>
      </c>
    </row>
    <row r="6" spans="1:5" ht="15" thickBot="1" x14ac:dyDescent="0.4">
      <c r="A6" s="14" t="s">
        <v>92</v>
      </c>
      <c r="B6" s="14" t="s">
        <v>185</v>
      </c>
      <c r="C6" s="15" t="s">
        <v>114</v>
      </c>
      <c r="D6" s="16">
        <v>4.9000000000000002E-2</v>
      </c>
      <c r="E6" s="16">
        <v>0.315</v>
      </c>
    </row>
    <row r="7" spans="1:5" ht="15" thickBot="1" x14ac:dyDescent="0.4">
      <c r="A7" s="14" t="s">
        <v>209</v>
      </c>
      <c r="B7" s="14" t="s">
        <v>210</v>
      </c>
      <c r="C7" s="15" t="s">
        <v>211</v>
      </c>
      <c r="D7" s="16">
        <v>0</v>
      </c>
      <c r="E7" s="16">
        <v>0.15</v>
      </c>
    </row>
    <row r="8" spans="1:5" ht="15" thickBot="1" x14ac:dyDescent="0.4">
      <c r="A8" s="14" t="s">
        <v>212</v>
      </c>
      <c r="B8" s="14" t="s">
        <v>213</v>
      </c>
      <c r="C8" s="15" t="s">
        <v>214</v>
      </c>
      <c r="D8" s="16">
        <v>0</v>
      </c>
      <c r="E8" s="16">
        <v>0</v>
      </c>
    </row>
    <row r="9" spans="1:5" ht="15" thickBot="1" x14ac:dyDescent="0.4">
      <c r="A9" s="14" t="s">
        <v>101</v>
      </c>
      <c r="B9" s="14" t="s">
        <v>204</v>
      </c>
      <c r="C9" s="15" t="s">
        <v>215</v>
      </c>
      <c r="D9" s="16">
        <v>0</v>
      </c>
      <c r="E9" s="16">
        <v>0.125</v>
      </c>
    </row>
    <row r="10" spans="1:5" ht="15" thickBot="1" x14ac:dyDescent="0.4">
      <c r="A10" s="14" t="s">
        <v>95</v>
      </c>
      <c r="B10" s="14" t="s">
        <v>188</v>
      </c>
      <c r="C10" s="15" t="s">
        <v>81</v>
      </c>
      <c r="D10" s="16">
        <v>0</v>
      </c>
      <c r="E10" s="40">
        <v>0.35</v>
      </c>
    </row>
    <row r="11" spans="1:5" ht="15" thickBot="1" x14ac:dyDescent="0.4">
      <c r="A11" s="14" t="s">
        <v>82</v>
      </c>
      <c r="B11" s="14" t="s">
        <v>181</v>
      </c>
      <c r="C11" s="15" t="s">
        <v>103</v>
      </c>
      <c r="D11" s="17">
        <v>9.6600000000000002E-3</v>
      </c>
      <c r="E11" s="40">
        <v>0.2</v>
      </c>
    </row>
    <row r="12" spans="1:5" ht="15" thickBot="1" x14ac:dyDescent="0.4">
      <c r="A12" s="14" t="s">
        <v>97</v>
      </c>
      <c r="B12" s="14" t="s">
        <v>205</v>
      </c>
      <c r="C12" s="15" t="s">
        <v>112</v>
      </c>
      <c r="D12" s="16">
        <v>0</v>
      </c>
      <c r="E12" s="16">
        <v>0.15</v>
      </c>
    </row>
    <row r="13" spans="1:5" ht="15" thickBot="1" x14ac:dyDescent="0.4">
      <c r="A13" s="14" t="s">
        <v>89</v>
      </c>
      <c r="B13" s="14" t="s">
        <v>216</v>
      </c>
      <c r="C13" s="15" t="s">
        <v>217</v>
      </c>
      <c r="D13" s="16">
        <v>0</v>
      </c>
      <c r="E13" s="16">
        <v>0.28999999999999998</v>
      </c>
    </row>
    <row r="14" spans="1:5" ht="15" thickBot="1" x14ac:dyDescent="0.4">
      <c r="A14" s="14" t="s">
        <v>85</v>
      </c>
      <c r="B14" s="14" t="s">
        <v>183</v>
      </c>
      <c r="C14" s="15" t="s">
        <v>218</v>
      </c>
      <c r="D14" s="16">
        <v>0</v>
      </c>
      <c r="E14" s="16">
        <v>0.25</v>
      </c>
    </row>
    <row r="15" spans="1:5" ht="15" thickBot="1" x14ac:dyDescent="0.4">
      <c r="A15" s="14" t="s">
        <v>198</v>
      </c>
      <c r="B15" s="14" t="s">
        <v>199</v>
      </c>
      <c r="C15" s="15" t="s">
        <v>106</v>
      </c>
      <c r="D15" s="16">
        <v>0</v>
      </c>
      <c r="E15" s="16">
        <v>0.2</v>
      </c>
    </row>
    <row r="16" spans="1:5" ht="15" thickBot="1" x14ac:dyDescent="0.4">
      <c r="A16" s="14" t="s">
        <v>90</v>
      </c>
      <c r="B16" s="14" t="s">
        <v>193</v>
      </c>
      <c r="C16" s="15" t="s">
        <v>105</v>
      </c>
      <c r="D16" s="16">
        <v>0</v>
      </c>
      <c r="E16" s="16">
        <v>0.25</v>
      </c>
    </row>
    <row r="17" spans="1:5" ht="15" thickBot="1" x14ac:dyDescent="0.4">
      <c r="A17" s="14" t="s">
        <v>192</v>
      </c>
      <c r="B17" s="14" t="s">
        <v>200</v>
      </c>
      <c r="C17" s="15" t="s">
        <v>99</v>
      </c>
      <c r="D17" s="16">
        <v>0</v>
      </c>
      <c r="E17" s="16">
        <v>0.25</v>
      </c>
    </row>
    <row r="18" spans="1:5" ht="15" thickBot="1" x14ac:dyDescent="0.4">
      <c r="A18" s="14" t="s">
        <v>219</v>
      </c>
      <c r="B18" s="14" t="s">
        <v>220</v>
      </c>
      <c r="C18" s="15" t="s">
        <v>221</v>
      </c>
      <c r="D18" s="16">
        <v>0</v>
      </c>
      <c r="E18" s="16">
        <v>0</v>
      </c>
    </row>
    <row r="19" spans="1:5" ht="15" thickBot="1" x14ac:dyDescent="0.4">
      <c r="A19" s="14" t="s">
        <v>86</v>
      </c>
      <c r="B19" s="14" t="s">
        <v>186</v>
      </c>
      <c r="C19" s="15" t="s">
        <v>202</v>
      </c>
      <c r="D19" s="16">
        <v>0</v>
      </c>
      <c r="E19" s="16">
        <v>0</v>
      </c>
    </row>
    <row r="20" spans="1:5" ht="15" thickBot="1" x14ac:dyDescent="0.4">
      <c r="A20" s="14" t="s">
        <v>102</v>
      </c>
      <c r="B20" s="14" t="s">
        <v>195</v>
      </c>
      <c r="C20" s="15" t="s">
        <v>222</v>
      </c>
      <c r="D20" s="16">
        <v>0</v>
      </c>
      <c r="E20" s="16">
        <v>0.105</v>
      </c>
    </row>
    <row r="21" spans="1:5" ht="15" thickBot="1" x14ac:dyDescent="0.4">
      <c r="A21" s="14" t="s">
        <v>91</v>
      </c>
      <c r="B21" s="14" t="s">
        <v>187</v>
      </c>
      <c r="C21" s="15" t="s">
        <v>113</v>
      </c>
      <c r="D21" s="16">
        <v>0</v>
      </c>
      <c r="E21" s="16">
        <v>0.125</v>
      </c>
    </row>
    <row r="22" spans="1:5" ht="15" thickBot="1" x14ac:dyDescent="0.4">
      <c r="A22" s="14" t="s">
        <v>109</v>
      </c>
      <c r="B22" s="14" t="s">
        <v>194</v>
      </c>
      <c r="C22" s="15" t="s">
        <v>223</v>
      </c>
      <c r="D22" s="16">
        <v>0</v>
      </c>
      <c r="E22" s="16">
        <v>0.15</v>
      </c>
    </row>
    <row r="23" spans="1:5" ht="15" thickBot="1" x14ac:dyDescent="0.4">
      <c r="A23" s="14" t="s">
        <v>88</v>
      </c>
      <c r="B23" s="14" t="s">
        <v>184</v>
      </c>
      <c r="C23" s="15" t="s">
        <v>224</v>
      </c>
      <c r="D23" s="16">
        <v>0</v>
      </c>
      <c r="E23" s="16">
        <v>0.3</v>
      </c>
    </row>
    <row r="24" spans="1:5" ht="15" thickBot="1" x14ac:dyDescent="0.4">
      <c r="A24" s="42" t="s">
        <v>201</v>
      </c>
      <c r="B24" s="42" t="s">
        <v>225</v>
      </c>
      <c r="C24" s="43" t="s">
        <v>226</v>
      </c>
      <c r="D24" s="44">
        <v>0</v>
      </c>
      <c r="E24" s="44">
        <v>0</v>
      </c>
    </row>
    <row r="25" spans="1:5" ht="15" thickBot="1" x14ac:dyDescent="0.4">
      <c r="A25" s="14" t="s">
        <v>84</v>
      </c>
      <c r="B25" s="14" t="s">
        <v>182</v>
      </c>
      <c r="C25" s="15" t="s">
        <v>227</v>
      </c>
      <c r="D25" s="16">
        <v>0</v>
      </c>
      <c r="E25" s="40">
        <v>0</v>
      </c>
    </row>
    <row r="26" spans="1:5" ht="15" thickBot="1" x14ac:dyDescent="0.4">
      <c r="A26" s="14" t="s">
        <v>197</v>
      </c>
      <c r="B26" s="14" t="s">
        <v>228</v>
      </c>
      <c r="C26" s="15" t="s">
        <v>229</v>
      </c>
      <c r="D26" s="16">
        <v>0</v>
      </c>
      <c r="E26" s="16">
        <v>0.17</v>
      </c>
    </row>
    <row r="27" spans="1:5" ht="15" thickBot="1" x14ac:dyDescent="0.4">
      <c r="A27" s="14" t="s">
        <v>74</v>
      </c>
      <c r="B27" s="14" t="s">
        <v>180</v>
      </c>
      <c r="C27" s="15" t="s">
        <v>230</v>
      </c>
      <c r="D27" s="16">
        <v>0</v>
      </c>
      <c r="E27" s="16">
        <v>0</v>
      </c>
    </row>
    <row r="34" spans="1:2" x14ac:dyDescent="0.35">
      <c r="A34" s="45" t="s">
        <v>245</v>
      </c>
    </row>
    <row r="35" spans="1:2" x14ac:dyDescent="0.35">
      <c r="B35" s="45" t="s">
        <v>246</v>
      </c>
    </row>
    <row r="36" spans="1:2" x14ac:dyDescent="0.35">
      <c r="B36" s="45" t="s">
        <v>247</v>
      </c>
    </row>
  </sheetData>
  <mergeCells count="1">
    <mergeCell ref="B4:C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Invoice Template</vt:lpstr>
      <vt:lpstr>Pivot</vt:lpstr>
      <vt:lpstr>Billing Report</vt:lpstr>
      <vt:lpstr>IMS Commission List</vt:lpstr>
      <vt:lpstr>IMS Tax 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Navdeep Hayer</dc:creator>
  <cp:lastModifiedBy>mariana.tunno</cp:lastModifiedBy>
  <dcterms:created xsi:type="dcterms:W3CDTF">2018-10-03T01:19:09Z</dcterms:created>
  <dcterms:modified xsi:type="dcterms:W3CDTF">2026-03-23T14:50:26Z</dcterms:modified>
</cp:coreProperties>
</file>