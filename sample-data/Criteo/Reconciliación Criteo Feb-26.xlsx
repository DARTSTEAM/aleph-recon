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edro Ferrauti\Downloads\IA\Criteo\"/>
    </mc:Choice>
  </mc:AlternateContent>
  <xr:revisionPtr revIDLastSave="0" documentId="13_ncr:1_{2B2C91F1-F270-4C0A-8D3B-F3B122CFAC8D}" xr6:coauthVersionLast="47" xr6:coauthVersionMax="47" xr10:uidLastSave="{00000000-0000-0000-0000-000000000000}"/>
  <bookViews>
    <workbookView xWindow="-108" yWindow="-108" windowWidth="23256" windowHeight="12456" tabRatio="790" activeTab="1" xr2:uid="{00000000-000D-0000-FFFF-FFFF00000000}"/>
  </bookViews>
  <sheets>
    <sheet name="Pivot" sheetId="10" r:id="rId1"/>
    <sheet name="Summary" sheetId="2" r:id="rId2"/>
    <sheet name="DEALS" sheetId="19" state="hidden" r:id="rId3"/>
    <sheet name="Salesforce" sheetId="1" r:id="rId4"/>
    <sheet name="SF_Direct" sheetId="27" state="hidden" r:id="rId5"/>
    <sheet name="ex rate" sheetId="18" r:id="rId6"/>
    <sheet name="Criteo Report" sheetId="3" r:id="rId7"/>
    <sheet name="Criteo Direct Report" sheetId="28" state="hidden" r:id="rId8"/>
    <sheet name="Pivot Criteo report" sheetId="6" r:id="rId9"/>
    <sheet name="ERP" sheetId="21" r:id="rId10"/>
    <sheet name="SAP" sheetId="22" state="hidden" r:id="rId11"/>
    <sheet name="ERP VS SF" sheetId="23" r:id="rId12"/>
    <sheet name="CRM_PREV_M" sheetId="24" r:id="rId13"/>
    <sheet name="Billing_Rev" sheetId="25" r:id="rId14"/>
    <sheet name="Interco" sheetId="26" r:id="rId15"/>
  </sheets>
  <definedNames>
    <definedName name="_______a1" localSheetId="1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_______a1" localSheetId="1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_______a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_______a1_1" localSheetId="1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_______a1_1" localSheetId="1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_______a1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_______a1_2" localSheetId="1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_______a1_2" localSheetId="1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_______a1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_______a1_3" localSheetId="1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_______a1_3" localSheetId="1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_______a1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_______wr1" localSheetId="1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__wr1" localSheetId="1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__wr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__wr1_1" localSheetId="1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__wr1_1" localSheetId="1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__wr1_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__wr1_2" localSheetId="1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__wr1_2" localSheetId="1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__wr1_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__wr1_3" localSheetId="1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__wr1_3" localSheetId="14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___wr1_3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Key2" hidden="1">#REF!</definedName>
    <definedName name="___Key2" hidden="1">#REF!</definedName>
    <definedName name="__1__123Graph_ACHART_1" hidden="1">#REF!</definedName>
    <definedName name="__10__123Graph_BCHART_9" hidden="1">#REF!</definedName>
    <definedName name="__11__123Graph_ACHART_10" hidden="1">#REF!</definedName>
    <definedName name="__11__123Graph_CCHART_9" hidden="1">#REF!</definedName>
    <definedName name="__12__123Graph_LBL_ACHART_1" hidden="1">#REF!</definedName>
    <definedName name="__123Graph_A" hidden="1">#REF!</definedName>
    <definedName name="__123Graph_AGRAPH1" hidden="1">#REF!</definedName>
    <definedName name="__123Graph_B" hidden="1">#REF!</definedName>
    <definedName name="__123Graph_BGRAPH1" hidden="1">#REF!</definedName>
    <definedName name="__123Graph_C" hidden="1">#REF!</definedName>
    <definedName name="__123Graph_CGRAPH1" hidden="1">#REF!</definedName>
    <definedName name="__123Graph_D" hidden="1">#REF!</definedName>
    <definedName name="__123Graph_DGRAPH1" hidden="1">#REF!</definedName>
    <definedName name="__123Graph_E" hidden="1">#REF!</definedName>
    <definedName name="__123Graph_EGRAPH1" hidden="1">#REF!</definedName>
    <definedName name="__123Graph_F" hidden="1">#REF!</definedName>
    <definedName name="__123Graph_X" hidden="1">#REF!</definedName>
    <definedName name="__123Graph_XGRAPH1" hidden="1">#REF!</definedName>
    <definedName name="__13__123Graph_LBL_ACHART_12" hidden="1">#REF!</definedName>
    <definedName name="__14__123Graph_LBL_ACHART_2" hidden="1">#REF!</definedName>
    <definedName name="__15__123Graph_LBL_ACHART_3" hidden="1">#REF!</definedName>
    <definedName name="__16__123Graph_LBL_ACHART_4" hidden="1">#REF!</definedName>
    <definedName name="__17__123Graph_LBL_ACHART_9" hidden="1">#REF!</definedName>
    <definedName name="__18__123Graph_LBL_BCHART_9" hidden="1">#REF!</definedName>
    <definedName name="__19__123Graph_LBL_CCHART_9" hidden="1">#REF!</definedName>
    <definedName name="__2__123Graph_ACHART_10" hidden="1">#REF!</definedName>
    <definedName name="__20__123Graph_XCHART_11" hidden="1">#REF!</definedName>
    <definedName name="__21__123Graph_XCHART_2" hidden="1">#REF!</definedName>
    <definedName name="__22__123Graph_XCHART_3" hidden="1">#REF!</definedName>
    <definedName name="__23__123Graph_XCHART_4" hidden="1">#REF!</definedName>
    <definedName name="__3__123Graph_ACHART_11" hidden="1">#REF!</definedName>
    <definedName name="__4__123Graph_ACHART_12" hidden="1">#REF!</definedName>
    <definedName name="__46__123Graph_XCHART_3" hidden="1">#REF!</definedName>
    <definedName name="__5__123Graph_ACHART_2" hidden="1">#REF!</definedName>
    <definedName name="__6__123Graph_ACHART_3" hidden="1">#REF!</definedName>
    <definedName name="__7__123Graph_ACHART_4" hidden="1">#REF!</definedName>
    <definedName name="__8__123Graph_ACHART_9" hidden="1">#REF!</definedName>
    <definedName name="__9__123Graph_BCHART_11" hidden="1">#REF!</definedName>
    <definedName name="__IntlFixup" hidden="1">TRUE</definedName>
    <definedName name="__jul02" localSheetId="11" hidden="1">{#N/A,#N/A,FALSE,"MAY96 2260";#N/A,#N/A,FALSE,"system reclass";#N/A,#N/A,FALSE,"Items with no project number"}</definedName>
    <definedName name="__jul02" localSheetId="14" hidden="1">{#N/A,#N/A,FALSE,"MAY96 2260";#N/A,#N/A,FALSE,"system reclass";#N/A,#N/A,FALSE,"Items with no project number"}</definedName>
    <definedName name="__jul02" hidden="1">{#N/A,#N/A,FALSE,"MAY96 2260";#N/A,#N/A,FALSE,"system reclass";#N/A,#N/A,FALSE,"Items with no project number"}</definedName>
    <definedName name="__Key2" hidden="1">#REF!</definedName>
    <definedName name="_1" hidden="1">#REF!</definedName>
    <definedName name="_1__123Graph_ACHART_1" hidden="1">#REF!</definedName>
    <definedName name="_1__123Graph_ACHART_10" hidden="1">#REF!</definedName>
    <definedName name="_10__123Graph_ACHART_1" hidden="1">#REF!</definedName>
    <definedName name="_10__123Graph_ACHART_10" hidden="1">#REF!</definedName>
    <definedName name="_10__123Graph_ACHART_12" hidden="1">#REF!</definedName>
    <definedName name="_10__123Graph_ACHART_2" hidden="1">#REF!</definedName>
    <definedName name="_10__123Graph_ACHART_3" hidden="1">#REF!</definedName>
    <definedName name="_10__123Graph_BCHART_11" hidden="1">#REF!</definedName>
    <definedName name="_10__123Graph_BCHART_9" hidden="1">#REF!</definedName>
    <definedName name="_10__123Graph_LBL_BCHART_9" hidden="1">#REF!</definedName>
    <definedName name="_100___________123Graph_LBL_ACHART_9" hidden="1">#REF!</definedName>
    <definedName name="_100__123Graph_LBL_BCHART_9" hidden="1">#REF!</definedName>
    <definedName name="_100__123Graph_XCHART_11" hidden="1">#REF!</definedName>
    <definedName name="_101_____________123Graph_ACHART_4" hidden="1">#REF!</definedName>
    <definedName name="_101___________123Graph_LBL_BCHART_9" hidden="1">#REF!</definedName>
    <definedName name="_101__123Graph_XCHART_3" hidden="1">#REF!</definedName>
    <definedName name="_102___________123Graph_LBL_CCHART_9" hidden="1">#REF!</definedName>
    <definedName name="_102__123Graph_ACHART_9" hidden="1">#REF!</definedName>
    <definedName name="_102__123Graph_XCHART_11" hidden="1">#REF!</definedName>
    <definedName name="_103___________123Graph_XCHART_11" hidden="1">#REF!</definedName>
    <definedName name="_103__123Graph_CCHART_9" hidden="1">#REF!</definedName>
    <definedName name="_103__123Graph_XCHART_4" hidden="1">#REF!</definedName>
    <definedName name="_104_____________123Graph_ACHART_9" hidden="1">#REF!</definedName>
    <definedName name="_104___________123Graph_XCHART_2" hidden="1">#REF!</definedName>
    <definedName name="_104__123Graph_BCHART_9" hidden="1">#REF!</definedName>
    <definedName name="_105___________123Graph_XCHART_3" hidden="1">#REF!</definedName>
    <definedName name="_105__123Graph_XCHART_2" hidden="1">#REF!</definedName>
    <definedName name="_1059___0_S" hidden="1">#REF!</definedName>
    <definedName name="_106___________123Graph_XCHART_4" hidden="1">#REF!</definedName>
    <definedName name="_106__123Graph_LBL_ACHART_1" hidden="1">#REF!</definedName>
    <definedName name="_106__123Graph_LBL_ACHART_12" hidden="1">#REF!</definedName>
    <definedName name="_106__123Graph_LBL_CCHART_9" hidden="1">#REF!</definedName>
    <definedName name="_107_____________123Graph_BCHART_11" hidden="1">#REF!</definedName>
    <definedName name="_108__123Graph_LBL_ACHART_2" hidden="1">#REF!</definedName>
    <definedName name="_108__123Graph_XCHART_3" hidden="1">#REF!</definedName>
    <definedName name="_109____________0_S" hidden="1">#REF!</definedName>
    <definedName name="_11__123Graph_ACHART_10" hidden="1">#REF!</definedName>
    <definedName name="_11__123Graph_ACHART_11" hidden="1">#REF!</definedName>
    <definedName name="_11__123Graph_ACHART_2" hidden="1">#REF!</definedName>
    <definedName name="_11__123Graph_ACHART_4" hidden="1">#REF!</definedName>
    <definedName name="_11__123Graph_CCHART_9" hidden="1">#REF!</definedName>
    <definedName name="_11__123Graph_LBL_CCHART_9" hidden="1">#REF!</definedName>
    <definedName name="_110_____________123Graph_BCHART_9" hidden="1">#REF!</definedName>
    <definedName name="_110__123Graph_XCHART_3" hidden="1">#REF!</definedName>
    <definedName name="_111__123Graph_XCHART_4" hidden="1">#REF!</definedName>
    <definedName name="_111_0_S" hidden="1">#REF!</definedName>
    <definedName name="_112__123Graph_BCHART_11" hidden="1">#REF!</definedName>
    <definedName name="_112__123Graph_CCHART_9" hidden="1">#REF!</definedName>
    <definedName name="_112__123Graph_XCHART_11" hidden="1">#REF!</definedName>
    <definedName name="_113_____________123Graph_CCHART_9" hidden="1">#REF!</definedName>
    <definedName name="_113__________123Graph_ACHART_1" hidden="1">#REF!</definedName>
    <definedName name="_113__123Graph_LBL_ACHART_12" hidden="1">#REF!</definedName>
    <definedName name="_113__123Graph_XCHART_2" hidden="1">#REF!</definedName>
    <definedName name="_114_____________123Graph_LBL_ACHART_1" hidden="1">#REF!</definedName>
    <definedName name="_114__________123Graph_ACHART_10" hidden="1">#REF!</definedName>
    <definedName name="_114__123Graph_XCHART_3" hidden="1">#REF!</definedName>
    <definedName name="_115__________123Graph_ACHART_11" hidden="1">#REF!</definedName>
    <definedName name="_115__123Graph_XCHART_4" hidden="1">#REF!</definedName>
    <definedName name="_116__________123Graph_ACHART_12" hidden="1">#REF!</definedName>
    <definedName name="_116__123Graph_LBL_ACHART_2" hidden="1">#REF!</definedName>
    <definedName name="_116__123Graph_LBL_ACHART_3" hidden="1">#REF!</definedName>
    <definedName name="_117_____________123Graph_LBL_ACHART_12" hidden="1">#REF!</definedName>
    <definedName name="_117__________123Graph_ACHART_2" hidden="1">#REF!</definedName>
    <definedName name="_117__123Graph_LBL_ACHART_1" hidden="1">#REF!</definedName>
    <definedName name="_118_____________123Graph_LBL_ACHART_2" hidden="1">#REF!</definedName>
    <definedName name="_118__________123Graph_ACHART_3" hidden="1">#REF!</definedName>
    <definedName name="_119__________123Graph_ACHART_4" hidden="1">#REF!</definedName>
    <definedName name="_12__123Graph_ACHART_11" hidden="1">#REF!</definedName>
    <definedName name="_12__123Graph_ACHART_12" hidden="1">#REF!</definedName>
    <definedName name="_12__123Graph_ACHART_2" hidden="1">#REF!</definedName>
    <definedName name="_12__123Graph_ACHART_3" hidden="1">#REF!</definedName>
    <definedName name="_12__123Graph_ACHART_4" hidden="1">#REF!</definedName>
    <definedName name="_12__123Graph_ACHART_9" hidden="1">#REF!</definedName>
    <definedName name="_12__123Graph_BCHART_9" hidden="1">#REF!</definedName>
    <definedName name="_12__123Graph_LBL_ACHART_1" hidden="1">#REF!</definedName>
    <definedName name="_12__123Graph_XCHART_11" hidden="1">#REF!</definedName>
    <definedName name="_120__________123Graph_ACHART_9" hidden="1">#REF!</definedName>
    <definedName name="_121_____________123Graph_ACHART_1" hidden="1">#REF!</definedName>
    <definedName name="_121_____________123Graph_LBL_ACHART_3" hidden="1">#REF!</definedName>
    <definedName name="_121__________123Graph_BCHART_11" hidden="1">#REF!</definedName>
    <definedName name="_121S" hidden="1">#REF!</definedName>
    <definedName name="_122__________123Graph_BCHART_9" hidden="1">#REF!</definedName>
    <definedName name="_122__123Graph_BCHART_9" hidden="1">#REF!</definedName>
    <definedName name="_123__________123Graph_CCHART_9" hidden="1">#REF!</definedName>
    <definedName name="_124_____________123Graph_LBL_ACHART_4" hidden="1">#REF!</definedName>
    <definedName name="_124__________123Graph_LBL_ACHART_1" hidden="1">#REF!</definedName>
    <definedName name="_124__123Graph_LBL_ACHART_4" hidden="1">#REF!</definedName>
    <definedName name="_125_____________123Graph_ACHART_10" hidden="1">#REF!</definedName>
    <definedName name="_125__________123Graph_LBL_ACHART_12" hidden="1">#REF!</definedName>
    <definedName name="_125__123Graph_LBL_ACHART_12" hidden="1">#REF!</definedName>
    <definedName name="_125__123Graph_LBL_ACHART_3" hidden="1">#REF!</definedName>
    <definedName name="_126__________123Graph_LBL_ACHART_2" hidden="1">#REF!</definedName>
    <definedName name="_127_____________123Graph_LBL_ACHART_9" hidden="1">#REF!</definedName>
    <definedName name="_127__________123Graph_LBL_ACHART_3" hidden="1">#REF!</definedName>
    <definedName name="_128__________123Graph_LBL_ACHART_4" hidden="1">#REF!</definedName>
    <definedName name="_129_____________123Graph_ACHART_11" hidden="1">#REF!</definedName>
    <definedName name="_129__________123Graph_LBL_ACHART_9" hidden="1">#REF!</definedName>
    <definedName name="_13__123Graph_ACHART_1" hidden="1">#REF!</definedName>
    <definedName name="_13__123Graph_ACHART_11" hidden="1">#REF!</definedName>
    <definedName name="_13__123Graph_ACHART_12" hidden="1">#REF!</definedName>
    <definedName name="_13__123Graph_BCHART_11" hidden="1">#REF!</definedName>
    <definedName name="_13__123Graph_LBL_ACHART_12" hidden="1">#REF!</definedName>
    <definedName name="_130_____________123Graph_LBL_BCHART_9" hidden="1">#REF!</definedName>
    <definedName name="_130__________123Graph_LBL_BCHART_9" hidden="1">#REF!</definedName>
    <definedName name="_130__123Graph_LBL_ACHART_2" hidden="1">#REF!</definedName>
    <definedName name="_131__________123Graph_LBL_CCHART_9" hidden="1">#REF!</definedName>
    <definedName name="_131__123Graph_LBL_ACHART_9" hidden="1">#REF!</definedName>
    <definedName name="_132__________123Graph_XCHART_11" hidden="1">#REF!</definedName>
    <definedName name="_132__123Graph_CCHART_9" hidden="1">#REF!</definedName>
    <definedName name="_133_____________123Graph_ACHART_12" hidden="1">#REF!</definedName>
    <definedName name="_133_____________123Graph_LBL_CCHART_9" hidden="1">#REF!</definedName>
    <definedName name="_133__________123Graph_XCHART_2" hidden="1">#REF!</definedName>
    <definedName name="_134_____________123Graph_ACHART_2" hidden="1">#REF!</definedName>
    <definedName name="_134__________123Graph_XCHART_3" hidden="1">#REF!</definedName>
    <definedName name="_134__123Graph_LBL_ACHART_4" hidden="1">#REF!</definedName>
    <definedName name="_135__________123Graph_XCHART_4" hidden="1">#REF!</definedName>
    <definedName name="_136_____________123Graph_XCHART_11" hidden="1">#REF!</definedName>
    <definedName name="_137_____________123Graph_XCHART_2" hidden="1">#REF!</definedName>
    <definedName name="_137__123Graph_LBL_ACHART_1" hidden="1">#REF!</definedName>
    <definedName name="_138_____________123Graph_ACHART_3" hidden="1">#REF!</definedName>
    <definedName name="_138_____________123Graph_XCHART_3" hidden="1">#REF!</definedName>
    <definedName name="_138___________0_S" hidden="1">#REF!</definedName>
    <definedName name="_138__123Graph_LBL_BCHART_9" hidden="1">#REF!</definedName>
    <definedName name="_139_____________123Graph_XCHART_4" hidden="1">#REF!</definedName>
    <definedName name="_139__123Graph_LBL_ACHART_3" hidden="1">#REF!</definedName>
    <definedName name="_14_____123Graph_ACHART_1" hidden="1">#REF!</definedName>
    <definedName name="_14__123Graph_ACHART_2" hidden="1">#REF!</definedName>
    <definedName name="_14__123Graph_ACHART_3" hidden="1">#REF!</definedName>
    <definedName name="_14__123Graph_ACHART_4" hidden="1">#REF!</definedName>
    <definedName name="_14__123Graph_ACHART_9" hidden="1">#REF!</definedName>
    <definedName name="_14__123Graph_BCHART_9" hidden="1">#REF!</definedName>
    <definedName name="_14__123Graph_CCHART_9" hidden="1">#REF!</definedName>
    <definedName name="_14__123Graph_LBL_ACHART_2" hidden="1">#REF!</definedName>
    <definedName name="_140____________123Graph_ACHART_1" hidden="1">#REF!</definedName>
    <definedName name="_141__123Graph_LBL_ACHART_9" hidden="1">#REF!</definedName>
    <definedName name="_142_____________123Graph_ACHART_4" hidden="1">#REF!</definedName>
    <definedName name="_142_________123Graph_ACHART_1" hidden="1">#REF!</definedName>
    <definedName name="_143____________123Graph_ACHART_10" hidden="1">#REF!</definedName>
    <definedName name="_143_________123Graph_ACHART_10" hidden="1">#REF!</definedName>
    <definedName name="_144_________123Graph_ACHART_11" hidden="1">#REF!</definedName>
    <definedName name="_145_________123Graph_ACHART_12" hidden="1">#REF!</definedName>
    <definedName name="_145__123Graph_LBL_CCHART_9" hidden="1">#REF!</definedName>
    <definedName name="_146_____________123Graph_ACHART_9" hidden="1">#REF!</definedName>
    <definedName name="_146____________123Graph_ACHART_11" hidden="1">#REF!</definedName>
    <definedName name="_146_________123Graph_ACHART_2" hidden="1">#REF!</definedName>
    <definedName name="_147_________123Graph_ACHART_3" hidden="1">#REF!</definedName>
    <definedName name="_147__123Graph_LBL_ACHART_12" hidden="1">#REF!</definedName>
    <definedName name="_148_________123Graph_ACHART_4" hidden="1">#REF!</definedName>
    <definedName name="_148__123Graph_LBL_ACHART_4" hidden="1">#REF!</definedName>
    <definedName name="_148__123Graph_LBL_BCHART_9" hidden="1">#REF!</definedName>
    <definedName name="_149____________123Graph_ACHART_12" hidden="1">#REF!</definedName>
    <definedName name="_149_________123Graph_ACHART_9" hidden="1">#REF!</definedName>
    <definedName name="_15_____123Graph_ACHART_10" hidden="1">#REF!</definedName>
    <definedName name="_15__123Graph_ACHART_11" hidden="1">#REF!</definedName>
    <definedName name="_15__123Graph_ACHART_12" hidden="1">#REF!</definedName>
    <definedName name="_15__123Graph_ACHART_2" hidden="1">#REF!</definedName>
    <definedName name="_15__123Graph_ACHART_3" hidden="1">#REF!</definedName>
    <definedName name="_15__123Graph_CCHART_9" hidden="1">#REF!</definedName>
    <definedName name="_15__123Graph_LBL_ACHART_3" hidden="1">#REF!</definedName>
    <definedName name="_150_____________123Graph_BCHART_11" hidden="1">#REF!</definedName>
    <definedName name="_150____________123Graph_ACHART_2" hidden="1">#REF!</definedName>
    <definedName name="_150_________123Graph_BCHART_11" hidden="1">#REF!</definedName>
    <definedName name="_151_________123Graph_BCHART_9" hidden="1">#REF!</definedName>
    <definedName name="_152_________123Graph_CCHART_9" hidden="1">#REF!</definedName>
    <definedName name="_152__123Graph_LBL_ACHART_2" hidden="1">#REF!</definedName>
    <definedName name="_152__123Graph_XCHART_11" hidden="1">#REF!</definedName>
    <definedName name="_153____________123Graph_ACHART_3" hidden="1">#REF!</definedName>
    <definedName name="_153_________123Graph_LBL_ACHART_1" hidden="1">#REF!</definedName>
    <definedName name="_154_____________123Graph_BCHART_9" hidden="1">#REF!</definedName>
    <definedName name="_154_________123Graph_LBL_ACHART_12" hidden="1">#REF!</definedName>
    <definedName name="_154__123Graph_XCHART_2" hidden="1">#REF!</definedName>
    <definedName name="_155_________123Graph_LBL_ACHART_2" hidden="1">#REF!</definedName>
    <definedName name="_155__123Graph_LBL_CCHART_9" hidden="1">#REF!</definedName>
    <definedName name="_156____________123Graph_ACHART_4" hidden="1">#REF!</definedName>
    <definedName name="_156_________123Graph_LBL_ACHART_3" hidden="1">#REF!</definedName>
    <definedName name="_156__123Graph_LBL_ACHART_9" hidden="1">#REF!</definedName>
    <definedName name="_156__123Graph_XCHART_3" hidden="1">#REF!</definedName>
    <definedName name="_157_________123Graph_LBL_ACHART_4" hidden="1">#REF!</definedName>
    <definedName name="_158_____________123Graph_CCHART_9" hidden="1">#REF!</definedName>
    <definedName name="_158_________123Graph_LBL_ACHART_9" hidden="1">#REF!</definedName>
    <definedName name="_158__123Graph_XCHART_4" hidden="1">#REF!</definedName>
    <definedName name="_159_____________123Graph_LBL_ACHART_1" hidden="1">#REF!</definedName>
    <definedName name="_159____________123Graph_ACHART_9" hidden="1">#REF!</definedName>
    <definedName name="_159_________123Graph_LBL_BCHART_9" hidden="1">#REF!</definedName>
    <definedName name="_16_____123Graph_ACHART_11" hidden="1">#REF!</definedName>
    <definedName name="_16__123Graph_ACHART_11" hidden="1">#REF!</definedName>
    <definedName name="_16__123Graph_ACHART_2" hidden="1">#REF!</definedName>
    <definedName name="_16__123Graph_ACHART_4" hidden="1">#REF!</definedName>
    <definedName name="_16__123Graph_ACHART_9" hidden="1">#REF!</definedName>
    <definedName name="_16__123Graph_BCHART_11" hidden="1">#REF!</definedName>
    <definedName name="_16__123Graph_LBL_ACHART_1" hidden="1">#REF!</definedName>
    <definedName name="_16__123Graph_LBL_ACHART_12" hidden="1">#REF!</definedName>
    <definedName name="_16__123Graph_LBL_ACHART_4" hidden="1">#REF!</definedName>
    <definedName name="_160_________123Graph_LBL_CCHART_9" hidden="1">#REF!</definedName>
    <definedName name="_161_________123Graph_XCHART_11" hidden="1">#REF!</definedName>
    <definedName name="_162____________123Graph_BCHART_11" hidden="1">#REF!</definedName>
    <definedName name="_162_________123Graph_XCHART_2" hidden="1">#REF!</definedName>
    <definedName name="_162__123Graph_LBL_ACHART_3" hidden="1">#REF!</definedName>
    <definedName name="_162__123Graph_XCHART_11" hidden="1">#REF!</definedName>
    <definedName name="_163_____________123Graph_LBL_ACHART_12" hidden="1">#REF!</definedName>
    <definedName name="_163_________123Graph_XCHART_3" hidden="1">#REF!</definedName>
    <definedName name="_164_____________123Graph_LBL_ACHART_2" hidden="1">#REF!</definedName>
    <definedName name="_164_________123Graph_XCHART_4" hidden="1">#REF!</definedName>
    <definedName name="_164__123Graph_LBL_BCHART_9" hidden="1">#REF!</definedName>
    <definedName name="_165____________123Graph_BCHART_9" hidden="1">#REF!</definedName>
    <definedName name="_165__123Graph_XCHART_2" hidden="1">#REF!</definedName>
    <definedName name="_167__________0_S" hidden="1">#REF!</definedName>
    <definedName name="_168_____________123Graph_LBL_ACHART_3" hidden="1">#REF!</definedName>
    <definedName name="_168____________123Graph_CCHART_9" hidden="1">#REF!</definedName>
    <definedName name="_168__123Graph_XCHART_3" hidden="1">#REF!</definedName>
    <definedName name="_169____________123Graph_LBL_ACHART_1" hidden="1">#REF!</definedName>
    <definedName name="_17_____123Graph_ACHART_12" hidden="1">#REF!</definedName>
    <definedName name="_17__123Graph_ACHART_2" hidden="1">#REF!</definedName>
    <definedName name="_17__123Graph_ACHART_4" hidden="1">#REF!</definedName>
    <definedName name="_17__123Graph_LBL_ACHART_12" hidden="1">#REF!</definedName>
    <definedName name="_17__123Graph_LBL_ACHART_9" hidden="1">#REF!</definedName>
    <definedName name="_171________123Graph_ACHART_1" hidden="1">#REF!</definedName>
    <definedName name="_171__123Graph_XCHART_4" hidden="1">#REF!</definedName>
    <definedName name="_172_____________123Graph_LBL_ACHART_4" hidden="1">#REF!</definedName>
    <definedName name="_172____________123Graph_LBL_ACHART_12" hidden="1">#REF!</definedName>
    <definedName name="_172________123Graph_ACHART_10" hidden="1">#REF!</definedName>
    <definedName name="_172__123Graph_LBL_ACHART_4" hidden="1">#REF!</definedName>
    <definedName name="_172__123Graph_LBL_CCHART_9" hidden="1">#REF!</definedName>
    <definedName name="_173____________123Graph_LBL_ACHART_2" hidden="1">#REF!</definedName>
    <definedName name="_173________123Graph_ACHART_11" hidden="1">#REF!</definedName>
    <definedName name="_174________123Graph_ACHART_12" hidden="1">#REF!</definedName>
    <definedName name="_175________123Graph_ACHART_2" hidden="1">#REF!</definedName>
    <definedName name="_176_____________123Graph_LBL_ACHART_9" hidden="1">#REF!</definedName>
    <definedName name="_176____________123Graph_LBL_ACHART_3" hidden="1">#REF!</definedName>
    <definedName name="_176________123Graph_ACHART_3" hidden="1">#REF!</definedName>
    <definedName name="_177________123Graph_ACHART_4" hidden="1">#REF!</definedName>
    <definedName name="_178________123Graph_ACHART_9" hidden="1">#REF!</definedName>
    <definedName name="_179____________123Graph_LBL_ACHART_4" hidden="1">#REF!</definedName>
    <definedName name="_179________123Graph_BCHART_11" hidden="1">#REF!</definedName>
    <definedName name="_18_____123Graph_ACHART_2" hidden="1">#REF!</definedName>
    <definedName name="_18__123Graph_ACHART_3" hidden="1">#REF!</definedName>
    <definedName name="_18__123Graph_ACHART_9" hidden="1">#REF!</definedName>
    <definedName name="_18__123Graph_BCHART_11" hidden="1">#REF!</definedName>
    <definedName name="_18__123Graph_BCHART_9" hidden="1">#REF!</definedName>
    <definedName name="_18__123Graph_LBL_ACHART_2" hidden="1">#REF!</definedName>
    <definedName name="_18__123Graph_LBL_ACHART_9" hidden="1">#REF!</definedName>
    <definedName name="_18__123Graph_LBL_BCHART_9" hidden="1">#REF!</definedName>
    <definedName name="_180_____________123Graph_LBL_BCHART_9" hidden="1">#REF!</definedName>
    <definedName name="_180________123Graph_BCHART_9" hidden="1">#REF!</definedName>
    <definedName name="_180__123Graph_XCHART_11" hidden="1">#REF!</definedName>
    <definedName name="_181________123Graph_CCHART_9" hidden="1">#REF!</definedName>
    <definedName name="_182____________123Graph_LBL_ACHART_9" hidden="1">#REF!</definedName>
    <definedName name="_182________123Graph_LBL_ACHART_1" hidden="1">#REF!</definedName>
    <definedName name="_182__123Graph_LBL_ACHART_9" hidden="1">#REF!</definedName>
    <definedName name="_183________123Graph_LBL_ACHART_12" hidden="1">#REF!</definedName>
    <definedName name="_184_____________123Graph_LBL_CCHART_9" hidden="1">#REF!</definedName>
    <definedName name="_184________123Graph_LBL_ACHART_2" hidden="1">#REF!</definedName>
    <definedName name="_185____________123Graph_LBL_BCHART_9" hidden="1">#REF!</definedName>
    <definedName name="_185________123Graph_LBL_ACHART_3" hidden="1">#REF!</definedName>
    <definedName name="_185__123Graph_XCHART_2" hidden="1">#REF!</definedName>
    <definedName name="_186________123Graph_LBL_ACHART_4" hidden="1">#REF!</definedName>
    <definedName name="_187________123Graph_LBL_ACHART_9" hidden="1">#REF!</definedName>
    <definedName name="_188_____________123Graph_XCHART_11" hidden="1">#REF!</definedName>
    <definedName name="_188____________123Graph_LBL_CCHART_9" hidden="1">#REF!</definedName>
    <definedName name="_188________123Graph_LBL_BCHART_9" hidden="1">#REF!</definedName>
    <definedName name="_189_____________123Graph_XCHART_2" hidden="1">#REF!</definedName>
    <definedName name="_189________123Graph_LBL_CCHART_9" hidden="1">#REF!</definedName>
    <definedName name="_19_____123Graph_ACHART_3" hidden="1">#REF!</definedName>
    <definedName name="_19__123Graph_ACHART_10" hidden="1">#REF!</definedName>
    <definedName name="_19__123Graph_LBL_ACHART_3" hidden="1">#REF!</definedName>
    <definedName name="_19__123Graph_LBL_CCHART_9" hidden="1">#REF!</definedName>
    <definedName name="_190_____________123Graph_XCHART_3" hidden="1">#REF!</definedName>
    <definedName name="_190________123Graph_XCHART_11" hidden="1">#REF!</definedName>
    <definedName name="_190__123Graph_XCHART_3" hidden="1">#REF!</definedName>
    <definedName name="_191_____________123Graph_XCHART_4" hidden="1">#REF!</definedName>
    <definedName name="_191____________123Graph_XCHART_11" hidden="1">#REF!</definedName>
    <definedName name="_191________123Graph_XCHART_2" hidden="1">#REF!</definedName>
    <definedName name="_192____________123Graph_ACHART_1" hidden="1">#REF!</definedName>
    <definedName name="_192____________123Graph_XCHART_2" hidden="1">#REF!</definedName>
    <definedName name="_192________123Graph_XCHART_3" hidden="1">#REF!</definedName>
    <definedName name="_192__123Graph_LBL_BCHART_9" hidden="1">#REF!</definedName>
    <definedName name="_193____________123Graph_XCHART_3" hidden="1">#REF!</definedName>
    <definedName name="_193________123Graph_XCHART_4" hidden="1">#REF!</definedName>
    <definedName name="_194____________123Graph_XCHART_4" hidden="1">#REF!</definedName>
    <definedName name="_195__123Graph_XCHART_4" hidden="1">#REF!</definedName>
    <definedName name="_196____________123Graph_ACHART_10" hidden="1">#REF!</definedName>
    <definedName name="_196_________0_S" hidden="1">#REF!</definedName>
    <definedName name="_197_____________0_S" hidden="1">#REF!</definedName>
    <definedName name="_2__123Graph_ACHART_1" hidden="1">#REF!</definedName>
    <definedName name="_2__123Graph_ACHART_10" hidden="1">#REF!</definedName>
    <definedName name="_2__123Graph_ACHART_11" hidden="1">#REF!</definedName>
    <definedName name="_20_____123Graph_ACHART_4" hidden="1">#REF!</definedName>
    <definedName name="_20__123Graph_ACHART_12" hidden="1">#REF!</definedName>
    <definedName name="_20__123Graph_ACHART_4" hidden="1">#REF!</definedName>
    <definedName name="_20__123Graph_ACHART_9" hidden="1">#REF!</definedName>
    <definedName name="_20__123Graph_BCHART_11" hidden="1">#REF!</definedName>
    <definedName name="_20__123Graph_BCHART_9" hidden="1">#REF!</definedName>
    <definedName name="_20__123Graph_CCHART_9" hidden="1">#REF!</definedName>
    <definedName name="_20__123Graph_LBL_ACHART_4" hidden="1">#REF!</definedName>
    <definedName name="_20__123Graph_LBL_BCHART_9" hidden="1">#REF!</definedName>
    <definedName name="_20__123Graph_XCHART_11" hidden="1">#REF!</definedName>
    <definedName name="_200____________123Graph_ACHART_11" hidden="1">#REF!</definedName>
    <definedName name="_200_______123Graph_ACHART_1" hidden="1">#REF!</definedName>
    <definedName name="_201_______123Graph_ACHART_10" hidden="1">#REF!</definedName>
    <definedName name="_202_______123Graph_ACHART_11" hidden="1">#REF!</definedName>
    <definedName name="_202__123Graph_LBL_CCHART_9" hidden="1">#REF!</definedName>
    <definedName name="_203_______123Graph_ACHART_12" hidden="1">#REF!</definedName>
    <definedName name="_204____________123Graph_ACHART_12" hidden="1">#REF!</definedName>
    <definedName name="_204_______123Graph_ACHART_2" hidden="1">#REF!</definedName>
    <definedName name="_205____________123Graph_ACHART_2" hidden="1">#REF!</definedName>
    <definedName name="_205_______123Graph_ACHART_3" hidden="1">#REF!</definedName>
    <definedName name="_206_______123Graph_ACHART_4" hidden="1">#REF!</definedName>
    <definedName name="_207___________123Graph_ACHART_1" hidden="1">#REF!</definedName>
    <definedName name="_207_______123Graph_ACHART_9" hidden="1">#REF!</definedName>
    <definedName name="_208_______123Graph_BCHART_11" hidden="1">#REF!</definedName>
    <definedName name="_209____________123Graph_ACHART_3" hidden="1">#REF!</definedName>
    <definedName name="_209_______123Graph_BCHART_9" hidden="1">#REF!</definedName>
    <definedName name="_21_____123Graph_ACHART_9" hidden="1">#REF!</definedName>
    <definedName name="_21__123Graph_ACHART_1" hidden="1">#REF!</definedName>
    <definedName name="_21__123Graph_ACHART_3" hidden="1">#REF!</definedName>
    <definedName name="_21__123Graph_ACHART_4" hidden="1">#REF!</definedName>
    <definedName name="_21__123Graph_LBL_ACHART_1" hidden="1">#REF!</definedName>
    <definedName name="_21__123Graph_LBL_ACHART_9" hidden="1">#REF!</definedName>
    <definedName name="_21__123Graph_XCHART_2" hidden="1">#REF!</definedName>
    <definedName name="_210___________123Graph_ACHART_10" hidden="1">#REF!</definedName>
    <definedName name="_210_______123Graph_CCHART_9" hidden="1">#REF!</definedName>
    <definedName name="_211_______123Graph_LBL_ACHART_1" hidden="1">#REF!</definedName>
    <definedName name="_212_______123Graph_LBL_ACHART_12" hidden="1">#REF!</definedName>
    <definedName name="_212__123Graph_XCHART_11" hidden="1">#REF!</definedName>
    <definedName name="_213____________123Graph_ACHART_4" hidden="1">#REF!</definedName>
    <definedName name="_213___________123Graph_ACHART_11" hidden="1">#REF!</definedName>
    <definedName name="_213_______123Graph_LBL_ACHART_2" hidden="1">#REF!</definedName>
    <definedName name="_214_______123Graph_LBL_ACHART_3" hidden="1">#REF!</definedName>
    <definedName name="_215_______123Graph_LBL_ACHART_4" hidden="1">#REF!</definedName>
    <definedName name="_216___________123Graph_ACHART_12" hidden="1">#REF!</definedName>
    <definedName name="_216_______123Graph_LBL_ACHART_9" hidden="1">#REF!</definedName>
    <definedName name="_217____________123Graph_ACHART_9" hidden="1">#REF!</definedName>
    <definedName name="_217___________123Graph_ACHART_2" hidden="1">#REF!</definedName>
    <definedName name="_217_______123Graph_LBL_BCHART_9" hidden="1">#REF!</definedName>
    <definedName name="_217__123Graph_XCHART_2" hidden="1">#REF!</definedName>
    <definedName name="_218_______123Graph_LBL_CCHART_9" hidden="1">#REF!</definedName>
    <definedName name="_219_______123Graph_XCHART_11" hidden="1">#REF!</definedName>
    <definedName name="_22_____123Graph_BCHART_11" hidden="1">#REF!</definedName>
    <definedName name="_22__123Graph_ACHART_9" hidden="1">#REF!</definedName>
    <definedName name="_22__123Graph_BCHART_9" hidden="1">#REF!</definedName>
    <definedName name="_22__123Graph_CCHART_9" hidden="1">#REF!</definedName>
    <definedName name="_22__123Graph_LBL_BCHART_9" hidden="1">#REF!</definedName>
    <definedName name="_22__123Graph_LBL_CCHART_9" hidden="1">#REF!</definedName>
    <definedName name="_22__123Graph_XCHART_3" hidden="1">#REF!</definedName>
    <definedName name="_220___________123Graph_ACHART_3" hidden="1">#REF!</definedName>
    <definedName name="_220_______123Graph_XCHART_2" hidden="1">#REF!</definedName>
    <definedName name="_221____________123Graph_BCHART_11" hidden="1">#REF!</definedName>
    <definedName name="_221_______123Graph_XCHART_3" hidden="1">#REF!</definedName>
    <definedName name="_222_______123Graph_XCHART_4" hidden="1">#REF!</definedName>
    <definedName name="_222__123Graph_XCHART_3" hidden="1">#REF!</definedName>
    <definedName name="_223___________123Graph_ACHART_4" hidden="1">#REF!</definedName>
    <definedName name="_225____________123Graph_BCHART_9" hidden="1">#REF!</definedName>
    <definedName name="_225________0_S" hidden="1">#REF!</definedName>
    <definedName name="_226___________123Graph_ACHART_9" hidden="1">#REF!</definedName>
    <definedName name="_227__123Graph_XCHART_4" hidden="1">#REF!</definedName>
    <definedName name="_229____________123Graph_CCHART_9" hidden="1">#REF!</definedName>
    <definedName name="_229___________123Graph_BCHART_11" hidden="1">#REF!</definedName>
    <definedName name="_229______123Graph_ACHART_1" hidden="1">#REF!</definedName>
    <definedName name="_23_____123Graph_BCHART_9" hidden="1">#REF!</definedName>
    <definedName name="_23__123Graph_BCHART_11" hidden="1">#REF!</definedName>
    <definedName name="_23__123Graph_LBL_ACHART_12" hidden="1">#REF!</definedName>
    <definedName name="_23__123Graph_LBL_CCHART_9" hidden="1">#REF!</definedName>
    <definedName name="_23__123Graph_XCHART_4" hidden="1">#REF!</definedName>
    <definedName name="_230____________123Graph_LBL_ACHART_1" hidden="1">#REF!</definedName>
    <definedName name="_230______123Graph_ACHART_10" hidden="1">#REF!</definedName>
    <definedName name="_231______123Graph_ACHART_11" hidden="1">#REF!</definedName>
    <definedName name="_232___________123Graph_BCHART_9" hidden="1">#REF!</definedName>
    <definedName name="_232______123Graph_ACHART_12" hidden="1">#REF!</definedName>
    <definedName name="_233______123Graph_ACHART_2" hidden="1">#REF!</definedName>
    <definedName name="_234____________123Graph_LBL_ACHART_12" hidden="1">#REF!</definedName>
    <definedName name="_234______123Graph_ACHART_3" hidden="1">#REF!</definedName>
    <definedName name="_235____________123Graph_LBL_ACHART_2" hidden="1">#REF!</definedName>
    <definedName name="_235___________123Graph_CCHART_9" hidden="1">#REF!</definedName>
    <definedName name="_235______123Graph_ACHART_4" hidden="1">#REF!</definedName>
    <definedName name="_236___________123Graph_LBL_ACHART_1" hidden="1">#REF!</definedName>
    <definedName name="_236______123Graph_ACHART_9" hidden="1">#REF!</definedName>
    <definedName name="_237______123Graph_BCHART_11" hidden="1">#REF!</definedName>
    <definedName name="_238______123Graph_BCHART_9" hidden="1">#REF!</definedName>
    <definedName name="_239____________123Graph_LBL_ACHART_3" hidden="1">#REF!</definedName>
    <definedName name="_239___________123Graph_LBL_ACHART_12" hidden="1">#REF!</definedName>
    <definedName name="_239______123Graph_CCHART_9" hidden="1">#REF!</definedName>
    <definedName name="_24_____123Graph_CCHART_9" hidden="1">#REF!</definedName>
    <definedName name="_24__123Graph_ACHART_12" hidden="1">#REF!</definedName>
    <definedName name="_24__123Graph_ACHART_9" hidden="1">#REF!</definedName>
    <definedName name="_24__123Graph_BCHART_11" hidden="1">#REF!</definedName>
    <definedName name="_24__123Graph_CCHART_9" hidden="1">#REF!</definedName>
    <definedName name="_24__123Graph_LBL_ACHART_1" hidden="1">#REF!</definedName>
    <definedName name="_24__123Graph_LBL_ACHART_2" hidden="1">#REF!</definedName>
    <definedName name="_24__123Graph_XCHART_11" hidden="1">#REF!</definedName>
    <definedName name="_240___________123Graph_LBL_ACHART_2" hidden="1">#REF!</definedName>
    <definedName name="_240______123Graph_LBL_ACHART_1" hidden="1">#REF!</definedName>
    <definedName name="_241______123Graph_LBL_ACHART_12" hidden="1">#REF!</definedName>
    <definedName name="_242______123Graph_LBL_ACHART_2" hidden="1">#REF!</definedName>
    <definedName name="_243____________123Graph_LBL_ACHART_4" hidden="1">#REF!</definedName>
    <definedName name="_243___________123Graph_LBL_ACHART_3" hidden="1">#REF!</definedName>
    <definedName name="_243______123Graph_LBL_ACHART_3" hidden="1">#REF!</definedName>
    <definedName name="_244______123Graph_LBL_ACHART_4" hidden="1">#REF!</definedName>
    <definedName name="_245______123Graph_LBL_ACHART_9" hidden="1">#REF!</definedName>
    <definedName name="_246___________123Graph_LBL_ACHART_4" hidden="1">#REF!</definedName>
    <definedName name="_246______123Graph_LBL_BCHART_9" hidden="1">#REF!</definedName>
    <definedName name="_247____________123Graph_LBL_ACHART_9" hidden="1">#REF!</definedName>
    <definedName name="_247______123Graph_LBL_CCHART_9" hidden="1">#REF!</definedName>
    <definedName name="_248______123Graph_XCHART_11" hidden="1">#REF!</definedName>
    <definedName name="_249___________123Graph_LBL_ACHART_9" hidden="1">#REF!</definedName>
    <definedName name="_249______123Graph_XCHART_2" hidden="1">#REF!</definedName>
    <definedName name="_24S" hidden="1">#REF!</definedName>
    <definedName name="_25_____123Graph_LBL_ACHART_1" hidden="1">#REF!</definedName>
    <definedName name="_25__123Graph_ACHART_10" hidden="1">#REF!</definedName>
    <definedName name="_25__123Graph_ACHART_11" hidden="1">#REF!</definedName>
    <definedName name="_25__123Graph_ACHART_2" hidden="1">#REF!</definedName>
    <definedName name="_25__123Graph_ACHART_4" hidden="1">#REF!</definedName>
    <definedName name="_25__123Graph_LBL_ACHART_1" hidden="1">#REF!</definedName>
    <definedName name="_25__123Graph_XCHART_2" hidden="1">#REF!</definedName>
    <definedName name="_250______123Graph_XCHART_3" hidden="1">#REF!</definedName>
    <definedName name="_251____________123Graph_LBL_BCHART_9" hidden="1">#REF!</definedName>
    <definedName name="_251______123Graph_XCHART_4" hidden="1">#REF!</definedName>
    <definedName name="_252___________123Graph_LBL_BCHART_9" hidden="1">#REF!</definedName>
    <definedName name="_254_______0_S" hidden="1">#REF!</definedName>
    <definedName name="_255____________123Graph_LBL_CCHART_9" hidden="1">#REF!</definedName>
    <definedName name="_255___________123Graph_LBL_CCHART_9" hidden="1">#REF!</definedName>
    <definedName name="_258___________123Graph_XCHART_11" hidden="1">#REF!</definedName>
    <definedName name="_259____________123Graph_XCHART_11" hidden="1">#REF!</definedName>
    <definedName name="_259___________123Graph_XCHART_2" hidden="1">#REF!</definedName>
    <definedName name="_26_____123Graph_LBL_ACHART_12" hidden="1">#REF!</definedName>
    <definedName name="_26__123Graph_ACHART_9" hidden="1">#REF!</definedName>
    <definedName name="_26__123Graph_BCHART_9" hidden="1">#REF!</definedName>
    <definedName name="_26__123Graph_LBL_ACHART_1" hidden="1">#REF!</definedName>
    <definedName name="_26__123Graph_LBL_ACHART_12" hidden="1">#REF!</definedName>
    <definedName name="_26__123Graph_LBL_ACHART_3" hidden="1">#REF!</definedName>
    <definedName name="_26__123Graph_XCHART_3" hidden="1">#REF!</definedName>
    <definedName name="_260____________123Graph_XCHART_2" hidden="1">#REF!</definedName>
    <definedName name="_260___________123Graph_XCHART_3" hidden="1">#REF!</definedName>
    <definedName name="_260______0_S" hidden="1">#REF!</definedName>
    <definedName name="_261____________123Graph_XCHART_3" hidden="1">#REF!</definedName>
    <definedName name="_261___________123Graph_XCHART_4" hidden="1">#REF!</definedName>
    <definedName name="_262____________123Graph_XCHART_4" hidden="1">#REF!</definedName>
    <definedName name="_266_____________0_S" hidden="1">#REF!</definedName>
    <definedName name="_27_____123Graph_LBL_ACHART_2" hidden="1">#REF!</definedName>
    <definedName name="_27__123Graph_BCHART_11" hidden="1">#REF!</definedName>
    <definedName name="_27__123Graph_LBL_ACHART_12" hidden="1">#REF!</definedName>
    <definedName name="_27__123Graph_XCHART_4" hidden="1">#REF!</definedName>
    <definedName name="_270____________0_S" hidden="1">#REF!</definedName>
    <definedName name="_272___123Graph_ACHART_1" hidden="1">#REF!</definedName>
    <definedName name="_273___123Graph_ACHART_10" hidden="1">#REF!</definedName>
    <definedName name="_274___123Graph_ACHART_11" hidden="1">#REF!</definedName>
    <definedName name="_275___123Graph_ACHART_12" hidden="1">#REF!</definedName>
    <definedName name="_276___123Graph_ACHART_2" hidden="1">#REF!</definedName>
    <definedName name="_277___123Graph_ACHART_3" hidden="1">#REF!</definedName>
    <definedName name="_278___123Graph_ACHART_4" hidden="1">#REF!</definedName>
    <definedName name="_279___________123Graph_ACHART_1" hidden="1">#REF!</definedName>
    <definedName name="_279___123Graph_ACHART_9" hidden="1">#REF!</definedName>
    <definedName name="_28_____123Graph_LBL_ACHART_3" hidden="1">#REF!</definedName>
    <definedName name="_28__123Graph_BCHART_9" hidden="1">#REF!</definedName>
    <definedName name="_28__123Graph_CCHART_9" hidden="1">#REF!</definedName>
    <definedName name="_28__123Graph_LBL_ACHART_12" hidden="1">#REF!</definedName>
    <definedName name="_28__123Graph_LBL_ACHART_2" hidden="1">#REF!</definedName>
    <definedName name="_28__123Graph_LBL_ACHART_4" hidden="1">#REF!</definedName>
    <definedName name="_28_0_K" hidden="1">#REF!</definedName>
    <definedName name="_280__________123Graph_ACHART_1" hidden="1">#REF!</definedName>
    <definedName name="_280___123Graph_BCHART_11" hidden="1">#REF!</definedName>
    <definedName name="_281___123Graph_BCHART_9" hidden="1">#REF!</definedName>
    <definedName name="_282___123Graph_CCHART_9" hidden="1">#REF!</definedName>
    <definedName name="_283___________123Graph_ACHART_10" hidden="1">#REF!</definedName>
    <definedName name="_283__________123Graph_ACHART_10" hidden="1">#REF!</definedName>
    <definedName name="_283___123Graph_LBL_ACHART_1" hidden="1">#REF!</definedName>
    <definedName name="_284___123Graph_LBL_ACHART_12" hidden="1">#REF!</definedName>
    <definedName name="_285___123Graph_LBL_ACHART_2" hidden="1">#REF!</definedName>
    <definedName name="_286__________123Graph_ACHART_11" hidden="1">#REF!</definedName>
    <definedName name="_286___123Graph_LBL_ACHART_3" hidden="1">#REF!</definedName>
    <definedName name="_287___________123Graph_ACHART_11" hidden="1">#REF!</definedName>
    <definedName name="_287___123Graph_LBL_ACHART_4" hidden="1">#REF!</definedName>
    <definedName name="_288___123Graph_LBL_ACHART_9" hidden="1">#REF!</definedName>
    <definedName name="_289__________123Graph_ACHART_12" hidden="1">#REF!</definedName>
    <definedName name="_289___123Graph_LBL_BCHART_9" hidden="1">#REF!</definedName>
    <definedName name="_29_____123Graph_LBL_ACHART_4" hidden="1">#REF!</definedName>
    <definedName name="_29__123Graph_ACHART_11" hidden="1">#REF!</definedName>
    <definedName name="_29__123Graph_CCHART_9" hidden="1">#REF!</definedName>
    <definedName name="_29__123Graph_LBL_ACHART_1" hidden="1">#REF!</definedName>
    <definedName name="_29__123Graph_LBL_ACHART_3" hidden="1">#REF!</definedName>
    <definedName name="_29_0_K" hidden="1">#REF!</definedName>
    <definedName name="_290__________123Graph_ACHART_2" hidden="1">#REF!</definedName>
    <definedName name="_290___123Graph_LBL_CCHART_9" hidden="1">#REF!</definedName>
    <definedName name="_291___________123Graph_ACHART_12" hidden="1">#REF!</definedName>
    <definedName name="_291___123Graph_XCHART_11" hidden="1">#REF!</definedName>
    <definedName name="_292___________123Graph_ACHART_2" hidden="1">#REF!</definedName>
    <definedName name="_292___123Graph_XCHART_2" hidden="1">#REF!</definedName>
    <definedName name="_293__________123Graph_ACHART_3" hidden="1">#REF!</definedName>
    <definedName name="_293___123Graph_XCHART_3" hidden="1">#REF!</definedName>
    <definedName name="_294___123Graph_XCHART_4" hidden="1">#REF!</definedName>
    <definedName name="_296___________123Graph_ACHART_3" hidden="1">#REF!</definedName>
    <definedName name="_296__________123Graph_ACHART_4" hidden="1">#REF!</definedName>
    <definedName name="_299__________123Graph_ACHART_9" hidden="1">#REF!</definedName>
    <definedName name="_3__123Graph_ACHART_1" hidden="1">#REF!</definedName>
    <definedName name="_3__123Graph_ACHART_10" hidden="1">#REF!</definedName>
    <definedName name="_3__123Graph_ACHART_11" hidden="1">#REF!</definedName>
    <definedName name="_3__123Graph_ACHART_12" hidden="1">#REF!</definedName>
    <definedName name="_30_____123Graph_LBL_ACHART_9" hidden="1">#REF!</definedName>
    <definedName name="_30__123Graph_ACHART_1" hidden="1">#REF!</definedName>
    <definedName name="_30__123Graph_ACHART_3" hidden="1">#REF!</definedName>
    <definedName name="_30__123Graph_BCHART_9" hidden="1">#REF!</definedName>
    <definedName name="_30__123Graph_LBL_ACHART_1" hidden="1">#REF!</definedName>
    <definedName name="_30__123Graph_LBL_ACHART_2" hidden="1">#REF!</definedName>
    <definedName name="_30__123Graph_LBL_ACHART_3" hidden="1">#REF!</definedName>
    <definedName name="_30__123Graph_LBL_ACHART_4" hidden="1">#REF!</definedName>
    <definedName name="_30__123Graph_LBL_ACHART_9" hidden="1">#REF!</definedName>
    <definedName name="_30_0_S" hidden="1">#REF!</definedName>
    <definedName name="_300___________123Graph_ACHART_4" hidden="1">#REF!</definedName>
    <definedName name="_302__________123Graph_BCHART_11" hidden="1">#REF!</definedName>
    <definedName name="_304___________123Graph_ACHART_9" hidden="1">#REF!</definedName>
    <definedName name="_305__________123Graph_BCHART_9" hidden="1">#REF!</definedName>
    <definedName name="_308___________123Graph_BCHART_11" hidden="1">#REF!</definedName>
    <definedName name="_308__________123Graph_CCHART_9" hidden="1">#REF!</definedName>
    <definedName name="_309__________123Graph_LBL_ACHART_1" hidden="1">#REF!</definedName>
    <definedName name="_31_____123Graph_LBL_BCHART_9" hidden="1">#REF!</definedName>
    <definedName name="_31__123Graph_ACHART_12" hidden="1">#REF!</definedName>
    <definedName name="_31__123Graph_LBL_ACHART_12" hidden="1">#REF!</definedName>
    <definedName name="_31_0_S" hidden="1">#REF!</definedName>
    <definedName name="_312___________123Graph_BCHART_9" hidden="1">#REF!</definedName>
    <definedName name="_312__________123Graph_LBL_ACHART_12" hidden="1">#REF!</definedName>
    <definedName name="_312___0_S" hidden="1">#REF!</definedName>
    <definedName name="_313__________123Graph_LBL_ACHART_2" hidden="1">#REF!</definedName>
    <definedName name="_316___________123Graph_CCHART_9" hidden="1">#REF!</definedName>
    <definedName name="_316__________123Graph_LBL_ACHART_3" hidden="1">#REF!</definedName>
    <definedName name="_317___________123Graph_LBL_ACHART_1" hidden="1">#REF!</definedName>
    <definedName name="_319__________123Graph_LBL_ACHART_4" hidden="1">#REF!</definedName>
    <definedName name="_32_____123Graph_LBL_CCHART_9" hidden="1">#REF!</definedName>
    <definedName name="_32__123Graph_ACHART_2" hidden="1">#REF!</definedName>
    <definedName name="_32__123Graph_ACHART_9" hidden="1">#REF!</definedName>
    <definedName name="_32__123Graph_LBL_ACHART_2" hidden="1">#REF!</definedName>
    <definedName name="_32__123Graph_LBL_ACHART_3" hidden="1">#REF!</definedName>
    <definedName name="_32__123Graph_LBL_ACHART_4" hidden="1">#REF!</definedName>
    <definedName name="_32__123Graph_LBL_ACHART_9" hidden="1">#REF!</definedName>
    <definedName name="_32__123Graph_LBL_BCHART_9" hidden="1">#REF!</definedName>
    <definedName name="_321___________123Graph_LBL_ACHART_12" hidden="1">#REF!</definedName>
    <definedName name="_322___________123Graph_LBL_ACHART_2" hidden="1">#REF!</definedName>
    <definedName name="_322__________123Graph_LBL_ACHART_9" hidden="1">#REF!</definedName>
    <definedName name="_325__________123Graph_LBL_BCHART_9" hidden="1">#REF!</definedName>
    <definedName name="_326___________123Graph_LBL_ACHART_3" hidden="1">#REF!</definedName>
    <definedName name="_328__________123Graph_LBL_CCHART_9" hidden="1">#REF!</definedName>
    <definedName name="_33_____123Graph_XCHART_11" hidden="1">#REF!</definedName>
    <definedName name="_33__123Graph_ACHART_1" hidden="1">#REF!</definedName>
    <definedName name="_33__123Graph_ACHART_12" hidden="1">#REF!</definedName>
    <definedName name="_33__123Graph_CCHART_9" hidden="1">#REF!</definedName>
    <definedName name="_33__123Graph_LBL_ACHART_1" hidden="1">#REF!</definedName>
    <definedName name="_33__123Graph_LBL_ACHART_12" hidden="1">#REF!</definedName>
    <definedName name="_330___________123Graph_LBL_ACHART_4" hidden="1">#REF!</definedName>
    <definedName name="_331__________123Graph_XCHART_11" hidden="1">#REF!</definedName>
    <definedName name="_332__________123Graph_XCHART_2" hidden="1">#REF!</definedName>
    <definedName name="_333__________123Graph_XCHART_3" hidden="1">#REF!</definedName>
    <definedName name="_334___________123Graph_LBL_ACHART_9" hidden="1">#REF!</definedName>
    <definedName name="_334__________123Graph_XCHART_4" hidden="1">#REF!</definedName>
    <definedName name="_338___________123Graph_LBL_BCHART_9" hidden="1">#REF!</definedName>
    <definedName name="_34_____________123Graph_ACHART_1" hidden="1">#REF!</definedName>
    <definedName name="_34_____123Graph_XCHART_2" hidden="1">#REF!</definedName>
    <definedName name="_34__123Graph_LBL_ACHART_12" hidden="1">#REF!</definedName>
    <definedName name="_34__123Graph_LBL_ACHART_2" hidden="1">#REF!</definedName>
    <definedName name="_34__123Graph_LBL_ACHART_3" hidden="1">#REF!</definedName>
    <definedName name="_34__123Graph_LBL_ACHART_4" hidden="1">#REF!</definedName>
    <definedName name="_34__123Graph_LBL_ACHART_9" hidden="1">#REF!</definedName>
    <definedName name="_34__123Graph_LBL_BCHART_9" hidden="1">#REF!</definedName>
    <definedName name="_34__123Graph_LBL_CCHART_9" hidden="1">#REF!</definedName>
    <definedName name="_342___________123Graph_LBL_CCHART_9" hidden="1">#REF!</definedName>
    <definedName name="_343___________0_S" hidden="1">#REF!</definedName>
    <definedName name="_346___________123Graph_XCHART_11" hidden="1">#REF!</definedName>
    <definedName name="_347___________123Graph_XCHART_2" hidden="1">#REF!</definedName>
    <definedName name="_348___________123Graph_XCHART_3" hidden="1">#REF!</definedName>
    <definedName name="_349___________123Graph_XCHART_4" hidden="1">#REF!</definedName>
    <definedName name="_35_____________123Graph_ACHART_10" hidden="1">#REF!</definedName>
    <definedName name="_35_____123Graph_XCHART_3" hidden="1">#REF!</definedName>
    <definedName name="_35__123Graph_ACHART_4" hidden="1">#REF!</definedName>
    <definedName name="_353_________123Graph_ACHART_1" hidden="1">#REF!</definedName>
    <definedName name="_356_________123Graph_ACHART_10" hidden="1">#REF!</definedName>
    <definedName name="_359_________123Graph_ACHART_11" hidden="1">#REF!</definedName>
    <definedName name="_36_____________123Graph_ACHART_11" hidden="1">#REF!</definedName>
    <definedName name="_36_____123Graph_XCHART_4" hidden="1">#REF!</definedName>
    <definedName name="_36__123Graph_ACHART_2" hidden="1">#REF!</definedName>
    <definedName name="_36__123Graph_LBL_ACHART_1" hidden="1">#REF!</definedName>
    <definedName name="_36__123Graph_LBL_ACHART_4" hidden="1">#REF!</definedName>
    <definedName name="_36__123Graph_LBL_ACHART_9" hidden="1">#REF!</definedName>
    <definedName name="_36__123Graph_LBL_BCHART_9" hidden="1">#REF!</definedName>
    <definedName name="_36__123Graph_LBL_CCHART_9" hidden="1">#REF!</definedName>
    <definedName name="_36__123Graph_XCHART_11" hidden="1">#REF!</definedName>
    <definedName name="_361____________0_S" hidden="1">#REF!</definedName>
    <definedName name="_362_________123Graph_ACHART_12" hidden="1">#REF!</definedName>
    <definedName name="_363_________123Graph_ACHART_2" hidden="1">#REF!</definedName>
    <definedName name="_366_________123Graph_ACHART_3" hidden="1">#REF!</definedName>
    <definedName name="_369_________123Graph_ACHART_4" hidden="1">#REF!</definedName>
    <definedName name="_37_____________123Graph_ACHART_12" hidden="1">#REF!</definedName>
    <definedName name="_37____123Graph_ACHART_1" hidden="1">#REF!</definedName>
    <definedName name="_37__123Graph_ACHART_1" hidden="1">#REF!</definedName>
    <definedName name="_37__123Graph_ACHART_10" hidden="1">#REF!</definedName>
    <definedName name="_37__123Graph_LBL_ACHART_3" hidden="1">#REF!</definedName>
    <definedName name="_37__123Graph_XCHART_2" hidden="1">#REF!</definedName>
    <definedName name="_372_________123Graph_ACHART_9" hidden="1">#REF!</definedName>
    <definedName name="_374__________123Graph_ACHART_1" hidden="1">#REF!</definedName>
    <definedName name="_375_________123Graph_BCHART_11" hidden="1">#REF!</definedName>
    <definedName name="_378__________123Graph_ACHART_10" hidden="1">#REF!</definedName>
    <definedName name="_378_________123Graph_BCHART_9" hidden="1">#REF!</definedName>
    <definedName name="_38_____________123Graph_ACHART_2" hidden="1">#REF!</definedName>
    <definedName name="_38____123Graph_ACHART_10" hidden="1">#REF!</definedName>
    <definedName name="_38__123Graph_ACHART_3" hidden="1">#REF!</definedName>
    <definedName name="_38__123Graph_LBL_ACHART_2" hidden="1">#REF!</definedName>
    <definedName name="_38__123Graph_LBL_ACHART_9" hidden="1">#REF!</definedName>
    <definedName name="_38__123Graph_LBL_BCHART_9" hidden="1">#REF!</definedName>
    <definedName name="_38__123Graph_LBL_CCHART_9" hidden="1">#REF!</definedName>
    <definedName name="_38__123Graph_XCHART_11" hidden="1">#REF!</definedName>
    <definedName name="_38__123Graph_XCHART_3" hidden="1">#REF!</definedName>
    <definedName name="_381_________123Graph_CCHART_9" hidden="1">#REF!</definedName>
    <definedName name="_382__________123Graph_ACHART_11" hidden="1">#REF!</definedName>
    <definedName name="_382_________123Graph_LBL_ACHART_1" hidden="1">#REF!</definedName>
    <definedName name="_385_________123Graph_LBL_ACHART_12" hidden="1">#REF!</definedName>
    <definedName name="_386__________123Graph_ACHART_12" hidden="1">#REF!</definedName>
    <definedName name="_386_________123Graph_LBL_ACHART_2" hidden="1">#REF!</definedName>
    <definedName name="_387__________123Graph_ACHART_2" hidden="1">#REF!</definedName>
    <definedName name="_389_________123Graph_LBL_ACHART_3" hidden="1">#REF!</definedName>
    <definedName name="_39_____________123Graph_ACHART_3" hidden="1">#REF!</definedName>
    <definedName name="_39____123Graph_ACHART_11" hidden="1">#REF!</definedName>
    <definedName name="_39__123Graph_LBL_ACHART_12" hidden="1">#REF!</definedName>
    <definedName name="_39__123Graph_XCHART_2" hidden="1">#REF!</definedName>
    <definedName name="_39__123Graph_XCHART_4" hidden="1">#REF!</definedName>
    <definedName name="_391__________123Graph_ACHART_3" hidden="1">#REF!</definedName>
    <definedName name="_392_________123Graph_LBL_ACHART_4" hidden="1">#REF!</definedName>
    <definedName name="_395__________123Graph_ACHART_4" hidden="1">#REF!</definedName>
    <definedName name="_395_________123Graph_LBL_ACHART_9" hidden="1">#REF!</definedName>
    <definedName name="_398_________123Graph_LBL_BCHART_9" hidden="1">#REF!</definedName>
    <definedName name="_399__________123Graph_ACHART_9" hidden="1">#REF!</definedName>
    <definedName name="_4__123Graph_ACHART_1" hidden="1">#REF!</definedName>
    <definedName name="_4__123Graph_ACHART_10" hidden="1">#REF!</definedName>
    <definedName name="_4__123Graph_ACHART_11" hidden="1">#REF!</definedName>
    <definedName name="_4__123Graph_ACHART_12" hidden="1">#REF!</definedName>
    <definedName name="_4__123Graph_ACHART_9" hidden="1">#REF!</definedName>
    <definedName name="_40_____________123Graph_ACHART_4" hidden="1">#REF!</definedName>
    <definedName name="_40____123Graph_ACHART_12" hidden="1">#REF!</definedName>
    <definedName name="_40__123Graph_ACHART_10" hidden="1">#REF!</definedName>
    <definedName name="_40__123Graph_ACHART_9" hidden="1">#REF!</definedName>
    <definedName name="_40__123Graph_BCHART_11" hidden="1">#REF!</definedName>
    <definedName name="_40__123Graph_LBL_ACHART_4" hidden="1">#REF!</definedName>
    <definedName name="_40__123Graph_LBL_BCHART_9" hidden="1">#REF!</definedName>
    <definedName name="_40__123Graph_LBL_CCHART_9" hidden="1">#REF!</definedName>
    <definedName name="_40__123Graph_XCHART_11" hidden="1">#REF!</definedName>
    <definedName name="_40__123Graph_XCHART_3" hidden="1">#REF!</definedName>
    <definedName name="_401_________123Graph_LBL_CCHART_9" hidden="1">#REF!</definedName>
    <definedName name="_403__________123Graph_BCHART_11" hidden="1">#REF!</definedName>
    <definedName name="_404_________123Graph_XCHART_11" hidden="1">#REF!</definedName>
    <definedName name="_405_________123Graph_XCHART_2" hidden="1">#REF!</definedName>
    <definedName name="_406_________123Graph_XCHART_3" hidden="1">#REF!</definedName>
    <definedName name="_407__________123Graph_BCHART_9" hidden="1">#REF!</definedName>
    <definedName name="_407_________123Graph_XCHART_4" hidden="1">#REF!</definedName>
    <definedName name="_41_____________123Graph_ACHART_9" hidden="1">#REF!</definedName>
    <definedName name="_41____123Graph_ACHART_2" hidden="1">#REF!</definedName>
    <definedName name="_41__123Graph_ACHART_10" hidden="1">#REF!</definedName>
    <definedName name="_41__123Graph_XCHART_4" hidden="1">#REF!</definedName>
    <definedName name="_411__________123Graph_CCHART_9" hidden="1">#REF!</definedName>
    <definedName name="_412__________123Graph_LBL_ACHART_1" hidden="1">#REF!</definedName>
    <definedName name="_416__________0_S" hidden="1">#REF!</definedName>
    <definedName name="_416__________123Graph_LBL_ACHART_12" hidden="1">#REF!</definedName>
    <definedName name="_417__________123Graph_LBL_ACHART_2" hidden="1">#REF!</definedName>
    <definedName name="_42_____________123Graph_BCHART_11" hidden="1">#REF!</definedName>
    <definedName name="_42____123Graph_ACHART_3" hidden="1">#REF!</definedName>
    <definedName name="_42__123Graph_ACHART_3" hidden="1">#REF!</definedName>
    <definedName name="_42__123Graph_LBL_ACHART_2" hidden="1">#REF!</definedName>
    <definedName name="_42__123Graph_LBL_ACHART_3" hidden="1">#REF!</definedName>
    <definedName name="_42__123Graph_LBL_CCHART_9" hidden="1">#REF!</definedName>
    <definedName name="_42__123Graph_XCHART_11" hidden="1">#REF!</definedName>
    <definedName name="_42__123Graph_XCHART_2" hidden="1">#REF!</definedName>
    <definedName name="_421__________123Graph_LBL_ACHART_3" hidden="1">#REF!</definedName>
    <definedName name="_425__________123Graph_LBL_ACHART_4" hidden="1">#REF!</definedName>
    <definedName name="_426________123Graph_ACHART_1" hidden="1">#REF!</definedName>
    <definedName name="_429__________123Graph_LBL_ACHART_9" hidden="1">#REF!</definedName>
    <definedName name="_429________123Graph_ACHART_10" hidden="1">#REF!</definedName>
    <definedName name="_42S" hidden="1">#REF!</definedName>
    <definedName name="_43_____________123Graph_BCHART_9" hidden="1">#REF!</definedName>
    <definedName name="_43____123Graph_ACHART_4" hidden="1">#REF!</definedName>
    <definedName name="_43__123Graph_LBL_ACHART_9" hidden="1">#REF!</definedName>
    <definedName name="_432________123Graph_ACHART_11" hidden="1">#REF!</definedName>
    <definedName name="_433__________123Graph_LBL_BCHART_9" hidden="1">#REF!</definedName>
    <definedName name="_435________123Graph_ACHART_12" hidden="1">#REF!</definedName>
    <definedName name="_436________123Graph_ACHART_2" hidden="1">#REF!</definedName>
    <definedName name="_437__________123Graph_LBL_CCHART_9" hidden="1">#REF!</definedName>
    <definedName name="_439________123Graph_ACHART_3" hidden="1">#REF!</definedName>
    <definedName name="_44_____________123Graph_CCHART_9" hidden="1">#REF!</definedName>
    <definedName name="_44____123Graph_ACHART_9" hidden="1">#REF!</definedName>
    <definedName name="_44__123Graph_ACHART_11" hidden="1">#REF!</definedName>
    <definedName name="_44__123Graph_ACHART_4" hidden="1">#REF!</definedName>
    <definedName name="_44__123Graph_XCHART_11" hidden="1">#REF!</definedName>
    <definedName name="_44__123Graph_XCHART_2" hidden="1">#REF!</definedName>
    <definedName name="_44__123Graph_XCHART_3" hidden="1">#REF!</definedName>
    <definedName name="_441__________123Graph_XCHART_11" hidden="1">#REF!</definedName>
    <definedName name="_442__________123Graph_XCHART_2" hidden="1">#REF!</definedName>
    <definedName name="_442________123Graph_ACHART_4" hidden="1">#REF!</definedName>
    <definedName name="_443__________123Graph_XCHART_3" hidden="1">#REF!</definedName>
    <definedName name="_444__________123Graph_XCHART_4" hidden="1">#REF!</definedName>
    <definedName name="_445________123Graph_ACHART_9" hidden="1">#REF!</definedName>
    <definedName name="_448________123Graph_BCHART_11" hidden="1">#REF!</definedName>
    <definedName name="_45_____________123Graph_LBL_ACHART_1" hidden="1">#REF!</definedName>
    <definedName name="_45____123Graph_BCHART_11" hidden="1">#REF!</definedName>
    <definedName name="_45__123Graph_BCHART_11" hidden="1">#REF!</definedName>
    <definedName name="_45__123Graph_LBL_ACHART_3" hidden="1">#REF!</definedName>
    <definedName name="_45__123Graph_XCHART_2" hidden="1">#REF!</definedName>
    <definedName name="_451________123Graph_BCHART_9" hidden="1">#REF!</definedName>
    <definedName name="_454________123Graph_CCHART_9" hidden="1">#REF!</definedName>
    <definedName name="_455________123Graph_LBL_ACHART_1" hidden="1">#REF!</definedName>
    <definedName name="_456___________0_S" hidden="1">#REF!</definedName>
    <definedName name="_458________123Graph_LBL_ACHART_12" hidden="1">#REF!</definedName>
    <definedName name="_459________123Graph_LBL_ACHART_2" hidden="1">#REF!</definedName>
    <definedName name="_46_____________123Graph_LBL_ACHART_12" hidden="1">#REF!</definedName>
    <definedName name="_46____123Graph_BCHART_9" hidden="1">#REF!</definedName>
    <definedName name="_46__123Graph_LBL_ACHART_4" hidden="1">#REF!</definedName>
    <definedName name="_46__123Graph_LBL_BCHART_9" hidden="1">#REF!</definedName>
    <definedName name="_46__123Graph_XCHART_3" hidden="1">#REF!</definedName>
    <definedName name="_46__123Graph_XCHART_4" hidden="1">#REF!</definedName>
    <definedName name="_462________123Graph_LBL_ACHART_3" hidden="1">#REF!</definedName>
    <definedName name="_465________123Graph_LBL_ACHART_4" hidden="1">#REF!</definedName>
    <definedName name="_468________123Graph_LBL_ACHART_9" hidden="1">#REF!</definedName>
    <definedName name="_469_________123Graph_ACHART_1" hidden="1">#REF!</definedName>
    <definedName name="_47_____________123Graph_LBL_ACHART_2" hidden="1">#REF!</definedName>
    <definedName name="_47____123Graph_CCHART_9" hidden="1">#REF!</definedName>
    <definedName name="_47__123Graph_ACHART_10" hidden="1">#REF!</definedName>
    <definedName name="_47__123Graph_ACHART_11" hidden="1">#REF!</definedName>
    <definedName name="_47__123Graph_LBL_ACHART_9" hidden="1">#REF!</definedName>
    <definedName name="_47__123Graph_XCHART_4" hidden="1">#REF!</definedName>
    <definedName name="_471________123Graph_LBL_BCHART_9" hidden="1">#REF!</definedName>
    <definedName name="_473_________123Graph_ACHART_10" hidden="1">#REF!</definedName>
    <definedName name="_474________123Graph_LBL_CCHART_9" hidden="1">#REF!</definedName>
    <definedName name="_477_________123Graph_ACHART_11" hidden="1">#REF!</definedName>
    <definedName name="_477________123Graph_XCHART_11" hidden="1">#REF!</definedName>
    <definedName name="_478________123Graph_XCHART_2" hidden="1">#REF!</definedName>
    <definedName name="_479________123Graph_XCHART_3" hidden="1">#REF!</definedName>
    <definedName name="_48_____________123Graph_LBL_ACHART_3" hidden="1">#REF!</definedName>
    <definedName name="_48____123Graph_LBL_ACHART_1" hidden="1">#REF!</definedName>
    <definedName name="_48__123Graph_ACHART_4" hidden="1">#REF!</definedName>
    <definedName name="_48__123Graph_BCHART_9" hidden="1">#REF!</definedName>
    <definedName name="_48__123Graph_LBL_ACHART_4" hidden="1">#REF!</definedName>
    <definedName name="_48__123Graph_LBL_BCHART_9" hidden="1">#REF!</definedName>
    <definedName name="_48__123Graph_XCHART_4" hidden="1">#REF!</definedName>
    <definedName name="_480________123Graph_XCHART_4" hidden="1">#REF!</definedName>
    <definedName name="_481_________123Graph_ACHART_12" hidden="1">#REF!</definedName>
    <definedName name="_482_________123Graph_ACHART_2" hidden="1">#REF!</definedName>
    <definedName name="_486_________123Graph_ACHART_3" hidden="1">#REF!</definedName>
    <definedName name="_489_________0_S" hidden="1">#REF!</definedName>
    <definedName name="_49_____________123Graph_LBL_ACHART_4" hidden="1">#REF!</definedName>
    <definedName name="_49____123Graph_LBL_ACHART_12" hidden="1">#REF!</definedName>
    <definedName name="_49__123Graph_ACHART_11" hidden="1">#REF!</definedName>
    <definedName name="_49__123Graph_LBL_CCHART_9" hidden="1">#REF!</definedName>
    <definedName name="_490_________123Graph_ACHART_4" hidden="1">#REF!</definedName>
    <definedName name="_494_________123Graph_ACHART_9" hidden="1">#REF!</definedName>
    <definedName name="_498_________123Graph_BCHART_11" hidden="1">#REF!</definedName>
    <definedName name="_499_______123Graph_ACHART_1" hidden="1">#REF!</definedName>
    <definedName name="_49S" hidden="1">#REF!</definedName>
    <definedName name="_5__123Graph_ACHART_1" hidden="1">#REF!</definedName>
    <definedName name="_5__123Graph_ACHART_11" hidden="1">#REF!</definedName>
    <definedName name="_5__123Graph_ACHART_2" hidden="1">#REF!</definedName>
    <definedName name="_5__123Graph_BCHART_11" hidden="1">#REF!</definedName>
    <definedName name="_50_____________123Graph_LBL_ACHART_9" hidden="1">#REF!</definedName>
    <definedName name="_50____123Graph_LBL_ACHART_2" hidden="1">#REF!</definedName>
    <definedName name="_50__123Graph_ACHART_9" hidden="1">#REF!</definedName>
    <definedName name="_50__123Graph_BCHART_9" hidden="1">#REF!</definedName>
    <definedName name="_50__123Graph_XCHART_11" hidden="1">#REF!</definedName>
    <definedName name="_502_________123Graph_BCHART_9" hidden="1">#REF!</definedName>
    <definedName name="_502_______123Graph_ACHART_10" hidden="1">#REF!</definedName>
    <definedName name="_505_______123Graph_ACHART_11" hidden="1">#REF!</definedName>
    <definedName name="_506_________123Graph_CCHART_9" hidden="1">#REF!</definedName>
    <definedName name="_507_________123Graph_LBL_ACHART_1" hidden="1">#REF!</definedName>
    <definedName name="_508_______123Graph_ACHART_12" hidden="1">#REF!</definedName>
    <definedName name="_509_______123Graph_ACHART_2" hidden="1">#REF!</definedName>
    <definedName name="_51_____________123Graph_LBL_BCHART_9" hidden="1">#REF!</definedName>
    <definedName name="_51____123Graph_LBL_ACHART_3" hidden="1">#REF!</definedName>
    <definedName name="_51__123Graph_ACHART_12" hidden="1">#REF!</definedName>
    <definedName name="_51__123Graph_LBL_ACHART_9" hidden="1">#REF!</definedName>
    <definedName name="_511_________123Graph_LBL_ACHART_12" hidden="1">#REF!</definedName>
    <definedName name="_512_________123Graph_LBL_ACHART_2" hidden="1">#REF!</definedName>
    <definedName name="_512_______123Graph_ACHART_3" hidden="1">#REF!</definedName>
    <definedName name="_515_______123Graph_ACHART_4" hidden="1">#REF!</definedName>
    <definedName name="_516_________123Graph_LBL_ACHART_3" hidden="1">#REF!</definedName>
    <definedName name="_518_______123Graph_ACHART_9" hidden="1">#REF!</definedName>
    <definedName name="_52_____________123Graph_LBL_CCHART_9" hidden="1">#REF!</definedName>
    <definedName name="_52____123Graph_LBL_ACHART_4" hidden="1">#REF!</definedName>
    <definedName name="_52__123Graph_ACHART_9" hidden="1">#REF!</definedName>
    <definedName name="_52__123Graph_XCHART_11" hidden="1">#REF!</definedName>
    <definedName name="_520_________123Graph_LBL_ACHART_4" hidden="1">#REF!</definedName>
    <definedName name="_521_______123Graph_BCHART_11" hidden="1">#REF!</definedName>
    <definedName name="_524_________123Graph_LBL_ACHART_9" hidden="1">#REF!</definedName>
    <definedName name="_524_______123Graph_BCHART_9" hidden="1">#REF!</definedName>
    <definedName name="_527_______123Graph_CCHART_9" hidden="1">#REF!</definedName>
    <definedName name="_528_________123Graph_LBL_BCHART_9" hidden="1">#REF!</definedName>
    <definedName name="_528_______123Graph_LBL_ACHART_1" hidden="1">#REF!</definedName>
    <definedName name="_53_____________123Graph_XCHART_11" hidden="1">#REF!</definedName>
    <definedName name="_53____123Graph_LBL_ACHART_9" hidden="1">#REF!</definedName>
    <definedName name="_53__123Graph_ACHART_2" hidden="1">#REF!</definedName>
    <definedName name="_53__123Graph_XCHART_2" hidden="1">#REF!</definedName>
    <definedName name="_531_______123Graph_LBL_ACHART_12" hidden="1">#REF!</definedName>
    <definedName name="_532_________123Graph_LBL_CCHART_9" hidden="1">#REF!</definedName>
    <definedName name="_532_______123Graph_LBL_ACHART_2" hidden="1">#REF!</definedName>
    <definedName name="_535_______123Graph_LBL_ACHART_3" hidden="1">#REF!</definedName>
    <definedName name="_536_________123Graph_XCHART_11" hidden="1">#REF!</definedName>
    <definedName name="_537_________123Graph_XCHART_2" hidden="1">#REF!</definedName>
    <definedName name="_538_________123Graph_XCHART_3" hidden="1">#REF!</definedName>
    <definedName name="_538_______123Graph_LBL_ACHART_4" hidden="1">#REF!</definedName>
    <definedName name="_539_________123Graph_XCHART_4" hidden="1">#REF!</definedName>
    <definedName name="_54_____________123Graph_XCHART_2" hidden="1">#REF!</definedName>
    <definedName name="_54____123Graph_LBL_BCHART_9" hidden="1">#REF!</definedName>
    <definedName name="_54__123Graph_ACHART_12" hidden="1">#REF!</definedName>
    <definedName name="_54__123Graph_LBL_BCHART_9" hidden="1">#REF!</definedName>
    <definedName name="_54__123Graph_XCHART_2" hidden="1">#REF!</definedName>
    <definedName name="_54__123Graph_XCHART_3" hidden="1">#REF!</definedName>
    <definedName name="_541_______123Graph_LBL_ACHART_9" hidden="1">#REF!</definedName>
    <definedName name="_544_______123Graph_LBL_BCHART_9" hidden="1">#REF!</definedName>
    <definedName name="_547_______123Graph_LBL_CCHART_9" hidden="1">#REF!</definedName>
    <definedName name="_55_____________123Graph_XCHART_3" hidden="1">#REF!</definedName>
    <definedName name="_55____123Graph_LBL_CCHART_9" hidden="1">#REF!</definedName>
    <definedName name="_55__123Graph_CCHART_9" hidden="1">#REF!</definedName>
    <definedName name="_55__123Graph_XCHART_4" hidden="1">#REF!</definedName>
    <definedName name="_550_______123Graph_XCHART_11" hidden="1">#REF!</definedName>
    <definedName name="_551__________0_S" hidden="1">#REF!</definedName>
    <definedName name="_551_______123Graph_XCHART_2" hidden="1">#REF!</definedName>
    <definedName name="_552_______123Graph_XCHART_3" hidden="1">#REF!</definedName>
    <definedName name="_553_______123Graph_XCHART_4" hidden="1">#REF!</definedName>
    <definedName name="_56_____________123Graph_XCHART_4" hidden="1">#REF!</definedName>
    <definedName name="_56____123Graph_XCHART_11" hidden="1">#REF!</definedName>
    <definedName name="_56__123Graph_BCHART_11" hidden="1">#REF!</definedName>
    <definedName name="_56__123Graph_CCHART_9" hidden="1">#REF!</definedName>
    <definedName name="_562________0_S" hidden="1">#REF!</definedName>
    <definedName name="_564________123Graph_ACHART_1" hidden="1">#REF!</definedName>
    <definedName name="_568________123Graph_ACHART_10" hidden="1">#REF!</definedName>
    <definedName name="_57____________123Graph_ACHART_1" hidden="1">#REF!</definedName>
    <definedName name="_57____123Graph_XCHART_2" hidden="1">#REF!</definedName>
    <definedName name="_57__123Graph_ACHART_11" hidden="1">#REF!</definedName>
    <definedName name="_57__123Graph_ACHART_12" hidden="1">#REF!</definedName>
    <definedName name="_57__123Graph_ACHART_2" hidden="1">#REF!</definedName>
    <definedName name="_57__123Graph_LBL_CCHART_9" hidden="1">#REF!</definedName>
    <definedName name="_572________123Graph_ACHART_11" hidden="1">#REF!</definedName>
    <definedName name="_572______123Graph_ACHART_1" hidden="1">#REF!</definedName>
    <definedName name="_575______123Graph_ACHART_10" hidden="1">#REF!</definedName>
    <definedName name="_576________123Graph_ACHART_12" hidden="1">#REF!</definedName>
    <definedName name="_577________123Graph_ACHART_2" hidden="1">#REF!</definedName>
    <definedName name="_578______123Graph_ACHART_11" hidden="1">#REF!</definedName>
    <definedName name="_58____________123Graph_ACHART_10" hidden="1">#REF!</definedName>
    <definedName name="_58____123Graph_XCHART_3" hidden="1">#REF!</definedName>
    <definedName name="_58__123Graph_XCHART_3" hidden="1">#REF!</definedName>
    <definedName name="_581________123Graph_ACHART_3" hidden="1">#REF!</definedName>
    <definedName name="_581______123Graph_ACHART_12" hidden="1">#REF!</definedName>
    <definedName name="_582______123Graph_ACHART_2" hidden="1">#REF!</definedName>
    <definedName name="_585________123Graph_ACHART_4" hidden="1">#REF!</definedName>
    <definedName name="_585______123Graph_ACHART_3" hidden="1">#REF!</definedName>
    <definedName name="_588______123Graph_ACHART_4" hidden="1">#REF!</definedName>
    <definedName name="_589________123Graph_ACHART_9" hidden="1">#REF!</definedName>
    <definedName name="_59____________123Graph_ACHART_11" hidden="1">#REF!</definedName>
    <definedName name="_59____123Graph_XCHART_4" hidden="1">#REF!</definedName>
    <definedName name="_591______123Graph_ACHART_9" hidden="1">#REF!</definedName>
    <definedName name="_593________123Graph_BCHART_11" hidden="1">#REF!</definedName>
    <definedName name="_594______123Graph_BCHART_11" hidden="1">#REF!</definedName>
    <definedName name="_597________123Graph_BCHART_9" hidden="1">#REF!</definedName>
    <definedName name="_597______123Graph_BCHART_9" hidden="1">#REF!</definedName>
    <definedName name="_6__123Graph_ACHART_10" hidden="1">#REF!</definedName>
    <definedName name="_6__123Graph_ACHART_11" hidden="1">#REF!</definedName>
    <definedName name="_6__123Graph_ACHART_12" hidden="1">#REF!</definedName>
    <definedName name="_6__123Graph_ACHART_3" hidden="1">#REF!</definedName>
    <definedName name="_6__123Graph_BCHART_9" hidden="1">#REF!</definedName>
    <definedName name="_60____________123Graph_ACHART_12" hidden="1">#REF!</definedName>
    <definedName name="_60_____0_S" hidden="1">#REF!</definedName>
    <definedName name="_60__123Graph_BCHART_9" hidden="1">#REF!</definedName>
    <definedName name="_60__123Graph_LBL_ACHART_1" hidden="1">#REF!</definedName>
    <definedName name="_60__123Graph_XCHART_11" hidden="1">#REF!</definedName>
    <definedName name="_600______123Graph_CCHART_9" hidden="1">#REF!</definedName>
    <definedName name="_601________123Graph_CCHART_9" hidden="1">#REF!</definedName>
    <definedName name="_601______123Graph_LBL_ACHART_1" hidden="1">#REF!</definedName>
    <definedName name="_602________123Graph_LBL_ACHART_1" hidden="1">#REF!</definedName>
    <definedName name="_604______123Graph_LBL_ACHART_12" hidden="1">#REF!</definedName>
    <definedName name="_605______123Graph_LBL_ACHART_2" hidden="1">#REF!</definedName>
    <definedName name="_606________123Graph_LBL_ACHART_12" hidden="1">#REF!</definedName>
    <definedName name="_607________123Graph_LBL_ACHART_2" hidden="1">#REF!</definedName>
    <definedName name="_608______123Graph_LBL_ACHART_3" hidden="1">#REF!</definedName>
    <definedName name="_61____________123Graph_ACHART_2" hidden="1">#REF!</definedName>
    <definedName name="_61__123Graph_ACHART_3" hidden="1">#REF!</definedName>
    <definedName name="_611________123Graph_LBL_ACHART_3" hidden="1">#REF!</definedName>
    <definedName name="_611______123Graph_LBL_ACHART_4" hidden="1">#REF!</definedName>
    <definedName name="_614______123Graph_LBL_ACHART_9" hidden="1">#REF!</definedName>
    <definedName name="_615________123Graph_LBL_ACHART_4" hidden="1">#REF!</definedName>
    <definedName name="_617______123Graph_LBL_BCHART_9" hidden="1">#REF!</definedName>
    <definedName name="_619________123Graph_LBL_ACHART_9" hidden="1">#REF!</definedName>
    <definedName name="_62____________123Graph_ACHART_3" hidden="1">#REF!</definedName>
    <definedName name="_62__123Graph_ACHART_2" hidden="1">#REF!</definedName>
    <definedName name="_62__123Graph_BCHART_9" hidden="1">#REF!</definedName>
    <definedName name="_62__123Graph_XCHART_4" hidden="1">#REF!</definedName>
    <definedName name="_620______123Graph_LBL_CCHART_9" hidden="1">#REF!</definedName>
    <definedName name="_623________123Graph_LBL_BCHART_9" hidden="1">#REF!</definedName>
    <definedName name="_623______123Graph_XCHART_11" hidden="1">#REF!</definedName>
    <definedName name="_624______123Graph_XCHART_2" hidden="1">#REF!</definedName>
    <definedName name="_625______123Graph_XCHART_3" hidden="1">#REF!</definedName>
    <definedName name="_626______123Graph_XCHART_4" hidden="1">#REF!</definedName>
    <definedName name="_627________123Graph_LBL_CCHART_9" hidden="1">#REF!</definedName>
    <definedName name="_63____________123Graph_ACHART_4" hidden="1">#REF!</definedName>
    <definedName name="_63__123Graph_XCHART_2" hidden="1">#REF!</definedName>
    <definedName name="_631________123Graph_XCHART_11" hidden="1">#REF!</definedName>
    <definedName name="_632________123Graph_XCHART_2" hidden="1">#REF!</definedName>
    <definedName name="_633________123Graph_XCHART_3" hidden="1">#REF!</definedName>
    <definedName name="_634________123Graph_XCHART_4" hidden="1">#REF!</definedName>
    <definedName name="_635_______0_S" hidden="1">#REF!</definedName>
    <definedName name="_64____________123Graph_ACHART_9" hidden="1">#REF!</definedName>
    <definedName name="_64__123Graph_CCHART_9" hidden="1">#REF!</definedName>
    <definedName name="_64__123Graph_LBL_ACHART_12" hidden="1">#REF!</definedName>
    <definedName name="_646_________0_S" hidden="1">#REF!</definedName>
    <definedName name="_65____________123Graph_BCHART_11" hidden="1">#REF!</definedName>
    <definedName name="_65__123Graph_LBL_ACHART_12" hidden="1">#REF!</definedName>
    <definedName name="_653______0_S" hidden="1">#REF!</definedName>
    <definedName name="_659_______123Graph_ACHART_1" hidden="1">#REF!</definedName>
    <definedName name="_66____________123Graph_BCHART_9" hidden="1">#REF!</definedName>
    <definedName name="_66____0_S" hidden="1">#REF!</definedName>
    <definedName name="_66__123Graph_ACHART_3" hidden="1">#REF!</definedName>
    <definedName name="_66__123Graph_XCHART_3" hidden="1">#REF!</definedName>
    <definedName name="_663_______123Graph_ACHART_10" hidden="1">#REF!</definedName>
    <definedName name="_667_______123Graph_ACHART_11" hidden="1">#REF!</definedName>
    <definedName name="_67____________123Graph_CCHART_9" hidden="1">#REF!</definedName>
    <definedName name="_67__123Graph_ACHART_12" hidden="1">#REF!</definedName>
    <definedName name="_67__123Graph_LBL_ACHART_1" hidden="1">#REF!</definedName>
    <definedName name="_671_______123Graph_ACHART_12" hidden="1">#REF!</definedName>
    <definedName name="_672_______123Graph_ACHART_2" hidden="1">#REF!</definedName>
    <definedName name="_676_______123Graph_ACHART_3" hidden="1">#REF!</definedName>
    <definedName name="_68____________123Graph_LBL_ACHART_1" hidden="1">#REF!</definedName>
    <definedName name="_68__123Graph_CCHART_9" hidden="1">#REF!</definedName>
    <definedName name="_680_______123Graph_ACHART_4" hidden="1">#REF!</definedName>
    <definedName name="_684_______123Graph_ACHART_9" hidden="1">#REF!</definedName>
    <definedName name="_688_______123Graph_BCHART_11" hidden="1">#REF!</definedName>
    <definedName name="_69____________123Graph_LBL_ACHART_12" hidden="1">#REF!</definedName>
    <definedName name="_69__123Graph_ACHART_4" hidden="1">#REF!</definedName>
    <definedName name="_69__123Graph_LBL_ACHART_1" hidden="1">#REF!</definedName>
    <definedName name="_69__123Graph_XCHART_4" hidden="1">#REF!</definedName>
    <definedName name="_692_______123Graph_BCHART_9" hidden="1">#REF!</definedName>
    <definedName name="_696_______123Graph_CCHART_9" hidden="1">#REF!</definedName>
    <definedName name="_697_______123Graph_LBL_ACHART_1" hidden="1">#REF!</definedName>
    <definedName name="_699___123Graph_ACHART_1" hidden="1">#REF!</definedName>
    <definedName name="_7__123Graph_ACHART_1" hidden="1">#REF!</definedName>
    <definedName name="_7__123Graph_ACHART_11" hidden="1">#REF!</definedName>
    <definedName name="_7__123Graph_ACHART_12" hidden="1">#REF!</definedName>
    <definedName name="_7__123Graph_ACHART_4" hidden="1">#REF!</definedName>
    <definedName name="_7__123Graph_CCHART_9" hidden="1">#REF!</definedName>
    <definedName name="_70____________123Graph_LBL_ACHART_2" hidden="1">#REF!</definedName>
    <definedName name="_70__123Graph_LBL_ACHART_2" hidden="1">#REF!</definedName>
    <definedName name="_701_______123Graph_LBL_ACHART_12" hidden="1">#REF!</definedName>
    <definedName name="_702_______123Graph_LBL_ACHART_2" hidden="1">#REF!</definedName>
    <definedName name="_702___123Graph_ACHART_10" hidden="1">#REF!</definedName>
    <definedName name="_705___123Graph_ACHART_11" hidden="1">#REF!</definedName>
    <definedName name="_706_______123Graph_LBL_ACHART_3" hidden="1">#REF!</definedName>
    <definedName name="_708___123Graph_ACHART_12" hidden="1">#REF!</definedName>
    <definedName name="_709___123Graph_ACHART_2" hidden="1">#REF!</definedName>
    <definedName name="_71____________123Graph_LBL_ACHART_3" hidden="1">#REF!</definedName>
    <definedName name="_71__123Graph_ACHART_1" hidden="1">#REF!</definedName>
    <definedName name="_71__123Graph_ACHART_3" hidden="1">#REF!</definedName>
    <definedName name="_71__123Graph_LBL_ACHART_12" hidden="1">#REF!</definedName>
    <definedName name="_710_______123Graph_LBL_ACHART_4" hidden="1">#REF!</definedName>
    <definedName name="_712___123Graph_ACHART_3" hidden="1">#REF!</definedName>
    <definedName name="_714_______123Graph_LBL_ACHART_9" hidden="1">#REF!</definedName>
    <definedName name="_715___123Graph_ACHART_4" hidden="1">#REF!</definedName>
    <definedName name="_718_______123Graph_LBL_BCHART_9" hidden="1">#REF!</definedName>
    <definedName name="_718___123Graph_ACHART_9" hidden="1">#REF!</definedName>
    <definedName name="_72____________123Graph_LBL_ACHART_4" hidden="1">#REF!</definedName>
    <definedName name="_72__123Graph_ACHART_10" hidden="1">#REF!</definedName>
    <definedName name="_72__123Graph_ACHART_2" hidden="1">#REF!</definedName>
    <definedName name="_72__123Graph_LBL_ACHART_9" hidden="1">#REF!</definedName>
    <definedName name="_721___123Graph_BCHART_11" hidden="1">#REF!</definedName>
    <definedName name="_722_______123Graph_LBL_CCHART_9" hidden="1">#REF!</definedName>
    <definedName name="_724___123Graph_BCHART_9" hidden="1">#REF!</definedName>
    <definedName name="_726_______123Graph_XCHART_11" hidden="1">#REF!</definedName>
    <definedName name="_727_______123Graph_XCHART_2" hidden="1">#REF!</definedName>
    <definedName name="_727___123Graph_CCHART_9" hidden="1">#REF!</definedName>
    <definedName name="_728_______123Graph_XCHART_3" hidden="1">#REF!</definedName>
    <definedName name="_728___123Graph_LBL_ACHART_1" hidden="1">#REF!</definedName>
    <definedName name="_729_______123Graph_XCHART_4" hidden="1">#REF!</definedName>
    <definedName name="_73____________123Graph_LBL_ACHART_9" hidden="1">#REF!</definedName>
    <definedName name="_73__123Graph_ACHART_11" hidden="1">#REF!</definedName>
    <definedName name="_731___123Graph_LBL_ACHART_12" hidden="1">#REF!</definedName>
    <definedName name="_732___123Graph_LBL_ACHART_2" hidden="1">#REF!</definedName>
    <definedName name="_735___123Graph_LBL_ACHART_3" hidden="1">#REF!</definedName>
    <definedName name="_738___123Graph_LBL_ACHART_4" hidden="1">#REF!</definedName>
    <definedName name="_74____________123Graph_LBL_BCHART_9" hidden="1">#REF!</definedName>
    <definedName name="_74__123Graph_ACHART_12" hidden="1">#REF!</definedName>
    <definedName name="_74__123Graph_LBL_ACHART_2" hidden="1">#REF!</definedName>
    <definedName name="_741________0_S" hidden="1">#REF!</definedName>
    <definedName name="_741___123Graph_LBL_ACHART_9" hidden="1">#REF!</definedName>
    <definedName name="_744___123Graph_LBL_BCHART_9" hidden="1">#REF!</definedName>
    <definedName name="_747___123Graph_LBL_CCHART_9" hidden="1">#REF!</definedName>
    <definedName name="_75____________123Graph_LBL_CCHART_9" hidden="1">#REF!</definedName>
    <definedName name="_75__123Graph_ACHART_4" hidden="1">#REF!</definedName>
    <definedName name="_75__123Graph_LBL_ACHART_12" hidden="1">#REF!</definedName>
    <definedName name="_75__123Graph_LBL_ACHART_3" hidden="1">#REF!</definedName>
    <definedName name="_750___123Graph_XCHART_11" hidden="1">#REF!</definedName>
    <definedName name="_751___123Graph_XCHART_2" hidden="1">#REF!</definedName>
    <definedName name="_752___123Graph_XCHART_3" hidden="1">#REF!</definedName>
    <definedName name="_753___123Graph_XCHART_4" hidden="1">#REF!</definedName>
    <definedName name="_754______123Graph_ACHART_1" hidden="1">#REF!</definedName>
    <definedName name="_758______123Graph_ACHART_10" hidden="1">#REF!</definedName>
    <definedName name="_76____________123Graph_XCHART_11" hidden="1">#REF!</definedName>
    <definedName name="_76__123Graph_ACHART_2" hidden="1">#REF!</definedName>
    <definedName name="_76__123Graph_ACHART_9" hidden="1">#REF!</definedName>
    <definedName name="_76__123Graph_LBL_ACHART_2" hidden="1">#REF!</definedName>
    <definedName name="_762______123Graph_ACHART_11" hidden="1">#REF!</definedName>
    <definedName name="_766______123Graph_ACHART_12" hidden="1">#REF!</definedName>
    <definedName name="_767______123Graph_ACHART_2" hidden="1">#REF!</definedName>
    <definedName name="_77____________123Graph_XCHART_2" hidden="1">#REF!</definedName>
    <definedName name="_771______123Graph_ACHART_3" hidden="1">#REF!</definedName>
    <definedName name="_775______123Graph_ACHART_4" hidden="1">#REF!</definedName>
    <definedName name="_779______123Graph_ACHART_9" hidden="1">#REF!</definedName>
    <definedName name="_78____________123Graph_XCHART_3" hidden="1">#REF!</definedName>
    <definedName name="_78__123Graph_ACHART_3" hidden="1">#REF!</definedName>
    <definedName name="_783______123Graph_BCHART_11" hidden="1">#REF!</definedName>
    <definedName name="_787______123Graph_BCHART_9" hidden="1">#REF!</definedName>
    <definedName name="_79____________123Graph_XCHART_4" hidden="1">#REF!</definedName>
    <definedName name="_791______123Graph_CCHART_9" hidden="1">#REF!</definedName>
    <definedName name="_791___0_S" hidden="1">#REF!</definedName>
    <definedName name="_792______123Graph_LBL_ACHART_1" hidden="1">#REF!</definedName>
    <definedName name="_796______123Graph_LBL_ACHART_12" hidden="1">#REF!</definedName>
    <definedName name="_797______123Graph_LBL_ACHART_2" hidden="1">#REF!</definedName>
    <definedName name="_8__123Graph_ACHART_10" hidden="1">#REF!</definedName>
    <definedName name="_8__123Graph_ACHART_11" hidden="1">#REF!</definedName>
    <definedName name="_8__123Graph_ACHART_12" hidden="1">#REF!</definedName>
    <definedName name="_8__123Graph_ACHART_2" hidden="1">#REF!</definedName>
    <definedName name="_8__123Graph_ACHART_9" hidden="1">#REF!</definedName>
    <definedName name="_8__123Graph_LBL_ACHART_12" hidden="1">#REF!</definedName>
    <definedName name="_80_____________0_S" hidden="1">#REF!</definedName>
    <definedName name="_80__123Graph_ACHART_4" hidden="1">#REF!</definedName>
    <definedName name="_80__123Graph_LBL_ACHART_3" hidden="1">#REF!</definedName>
    <definedName name="_80__123Graph_LBL_ACHART_4" hidden="1">#REF!</definedName>
    <definedName name="_80__123Graph_LBL_BCHART_9" hidden="1">#REF!</definedName>
    <definedName name="_801______123Graph_LBL_ACHART_3" hidden="1">#REF!</definedName>
    <definedName name="_805______123Graph_LBL_ACHART_4" hidden="1">#REF!</definedName>
    <definedName name="_809______123Graph_LBL_ACHART_9" hidden="1">#REF!</definedName>
    <definedName name="_81__123Graph_ACHART_9" hidden="1">#REF!</definedName>
    <definedName name="_813______123Graph_LBL_BCHART_9" hidden="1">#REF!</definedName>
    <definedName name="_817______123Graph_LBL_CCHART_9" hidden="1">#REF!</definedName>
    <definedName name="_82__123Graph_ACHART_3" hidden="1">#REF!</definedName>
    <definedName name="_82__123Graph_ACHART_9" hidden="1">#REF!</definedName>
    <definedName name="_82__123Graph_BCHART_11" hidden="1">#REF!</definedName>
    <definedName name="_82__123Graph_LBL_ACHART_3" hidden="1">#REF!</definedName>
    <definedName name="_821______123Graph_XCHART_11" hidden="1">#REF!</definedName>
    <definedName name="_822______123Graph_XCHART_2" hidden="1">#REF!</definedName>
    <definedName name="_823______123Graph_XCHART_3" hidden="1">#REF!</definedName>
    <definedName name="_824______123Graph_XCHART_4" hidden="1">#REF!</definedName>
    <definedName name="_83__123Graph_BCHART_11" hidden="1">#REF!</definedName>
    <definedName name="_83__123Graph_BCHART_9" hidden="1">#REF!</definedName>
    <definedName name="_836_______0_S" hidden="1">#REF!</definedName>
    <definedName name="_84___________123Graph_ACHART_1" hidden="1">#REF!</definedName>
    <definedName name="_84__123Graph_CCHART_9" hidden="1">#REF!</definedName>
    <definedName name="_85_____________123Graph_ACHART_1" hidden="1">#REF!</definedName>
    <definedName name="_85___________123Graph_ACHART_10" hidden="1">#REF!</definedName>
    <definedName name="_85__123Graph_LBL_ACHART_9" hidden="1">#REF!</definedName>
    <definedName name="_86___________123Graph_ACHART_11" hidden="1">#REF!</definedName>
    <definedName name="_86__123Graph_LBL_ACHART_1" hidden="1">#REF!</definedName>
    <definedName name="_86__123Graph_LBL_ACHART_4" hidden="1">#REF!</definedName>
    <definedName name="_860______0_S" hidden="1">#REF!</definedName>
    <definedName name="_87___________123Graph_ACHART_12" hidden="1">#REF!</definedName>
    <definedName name="_87__123Graph_LBL_ACHART_12" hidden="1">#REF!</definedName>
    <definedName name="_88_____________123Graph_ACHART_10" hidden="1">#REF!</definedName>
    <definedName name="_88___________123Graph_ACHART_2" hidden="1">#REF!</definedName>
    <definedName name="_88__123Graph_ACHART_9" hidden="1">#REF!</definedName>
    <definedName name="_88__123Graph_LBL_ACHART_4" hidden="1">#REF!</definedName>
    <definedName name="_88__123Graph_LBL_CCHART_9" hidden="1">#REF!</definedName>
    <definedName name="_89___________123Graph_ACHART_3" hidden="1">#REF!</definedName>
    <definedName name="_89__123Graph_BCHART_11" hidden="1">#REF!</definedName>
    <definedName name="_89__123Graph_LBL_ACHART_2" hidden="1">#REF!</definedName>
    <definedName name="_9__123Graph_ACHART_1" hidden="1">#REF!</definedName>
    <definedName name="_9__123Graph_ACHART_10" hidden="1">#REF!</definedName>
    <definedName name="_9__123Graph_ACHART_11" hidden="1">#REF!</definedName>
    <definedName name="_9__123Graph_ACHART_2" hidden="1">#REF!</definedName>
    <definedName name="_9__123Graph_BCHART_11" hidden="1">#REF!</definedName>
    <definedName name="_9__123Graph_LBL_ACHART_9" hidden="1">#REF!</definedName>
    <definedName name="_90___________123Graph_ACHART_4" hidden="1">#REF!</definedName>
    <definedName name="_90__123Graph_BCHART_9" hidden="1">#REF!</definedName>
    <definedName name="_90__123Graph_LBL_ACHART_9" hidden="1">#REF!</definedName>
    <definedName name="_90__123Graph_LBL_BCHART_9" hidden="1">#REF!</definedName>
    <definedName name="_91_____________123Graph_ACHART_11" hidden="1">#REF!</definedName>
    <definedName name="_91___________123Graph_ACHART_9" hidden="1">#REF!</definedName>
    <definedName name="_91__123Graph_LBL_ACHART_3" hidden="1">#REF!</definedName>
    <definedName name="_92___________123Graph_BCHART_11" hidden="1">#REF!</definedName>
    <definedName name="_92__123Graph_ACHART_4" hidden="1">#REF!</definedName>
    <definedName name="_929___123Graph_ACHART_1" hidden="1">#REF!</definedName>
    <definedName name="_93___________123Graph_BCHART_9" hidden="1">#REF!</definedName>
    <definedName name="_93__123Graph_LBL_ACHART_4" hidden="1">#REF!</definedName>
    <definedName name="_933___123Graph_ACHART_10" hidden="1">#REF!</definedName>
    <definedName name="_937___123Graph_ACHART_11" hidden="1">#REF!</definedName>
    <definedName name="_94_____________123Graph_ACHART_12" hidden="1">#REF!</definedName>
    <definedName name="_94___________123Graph_CCHART_9" hidden="1">#REF!</definedName>
    <definedName name="_94__123Graph_LBL_ACHART_9" hidden="1">#REF!</definedName>
    <definedName name="_94__123Graph_LBL_BCHART_9" hidden="1">#REF!</definedName>
    <definedName name="_941___123Graph_ACHART_12" hidden="1">#REF!</definedName>
    <definedName name="_942___123Graph_ACHART_2" hidden="1">#REF!</definedName>
    <definedName name="_946___123Graph_ACHART_3" hidden="1">#REF!</definedName>
    <definedName name="_95_____________123Graph_ACHART_2" hidden="1">#REF!</definedName>
    <definedName name="_95___________123Graph_LBL_ACHART_1" hidden="1">#REF!</definedName>
    <definedName name="_95__123Graph_LBL_BCHART_9" hidden="1">#REF!</definedName>
    <definedName name="_95__123Graph_LBL_CCHART_9" hidden="1">#REF!</definedName>
    <definedName name="_950___123Graph_ACHART_4" hidden="1">#REF!</definedName>
    <definedName name="_954___123Graph_ACHART_9" hidden="1">#REF!</definedName>
    <definedName name="_958___123Graph_BCHART_11" hidden="1">#REF!</definedName>
    <definedName name="_96___________123Graph_LBL_ACHART_12" hidden="1">#REF!</definedName>
    <definedName name="_96__123Graph_BCHART_11" hidden="1">#REF!</definedName>
    <definedName name="_96__123Graph_BCHART_9" hidden="1">#REF!</definedName>
    <definedName name="_96__123Graph_LBL_CCHART_9" hidden="1">#REF!</definedName>
    <definedName name="_96__123Graph_XCHART_11" hidden="1">#REF!</definedName>
    <definedName name="_962___123Graph_BCHART_9" hidden="1">#REF!</definedName>
    <definedName name="_966___123Graph_CCHART_9" hidden="1">#REF!</definedName>
    <definedName name="_967___123Graph_LBL_ACHART_1" hidden="1">#REF!</definedName>
    <definedName name="_97___________123Graph_LBL_ACHART_2" hidden="1">#REF!</definedName>
    <definedName name="_97__123Graph_CCHART_9" hidden="1">#REF!</definedName>
    <definedName name="_97__123Graph_XCHART_11" hidden="1">#REF!</definedName>
    <definedName name="_971___123Graph_LBL_ACHART_12" hidden="1">#REF!</definedName>
    <definedName name="_972___123Graph_LBL_ACHART_2" hidden="1">#REF!</definedName>
    <definedName name="_976___123Graph_LBL_ACHART_3" hidden="1">#REF!</definedName>
    <definedName name="_98_____________123Graph_ACHART_3" hidden="1">#REF!</definedName>
    <definedName name="_98___________123Graph_LBL_ACHART_3" hidden="1">#REF!</definedName>
    <definedName name="_98__123Graph_LBL_CCHART_9" hidden="1">#REF!</definedName>
    <definedName name="_980___123Graph_LBL_ACHART_4" hidden="1">#REF!</definedName>
    <definedName name="_984___123Graph_LBL_ACHART_9" hidden="1">#REF!</definedName>
    <definedName name="_988___123Graph_LBL_BCHART_9" hidden="1">#REF!</definedName>
    <definedName name="_99___________123Graph_LBL_ACHART_4" hidden="1">#REF!</definedName>
    <definedName name="_99__123Graph_LBL_ACHART_1" hidden="1">#REF!</definedName>
    <definedName name="_99__123Graph_XCHART_2" hidden="1">#REF!</definedName>
    <definedName name="_992___123Graph_LBL_CCHART_9" hidden="1">#REF!</definedName>
    <definedName name="_996___123Graph_XCHART_11" hidden="1">#REF!</definedName>
    <definedName name="_997___123Graph_XCHART_2" hidden="1">#REF!</definedName>
    <definedName name="_998___123Graph_XCHART_3" hidden="1">#REF!</definedName>
    <definedName name="_999___123Graph_XCHART_4" hidden="1">#REF!</definedName>
    <definedName name="_bdm.00ADE70C9B6640A99CB8DBE8D8B3CF5C.edm" hidden="1">#REF!</definedName>
    <definedName name="_bdm.07DDC45F08264482A9115B7DBD361CD6.edm" hidden="1">#REF!</definedName>
    <definedName name="_bdm.0D36997B78AB466394832F21270DBFC5.edm" hidden="1">#REF!</definedName>
    <definedName name="_bdm.112DBF864D67464C9F2DDA9D7D7DB219.edm" hidden="1">#REF!</definedName>
    <definedName name="_bdm.1DBFA3D6F6694DB9886C9242E07F2D6A.edm" hidden="1">#REF!</definedName>
    <definedName name="_bdm.24E9DBE5C18F4848A58277A9AC360071.edm" hidden="1">#REF!</definedName>
    <definedName name="_bdm.275BBE214B6142D3962DC99DB15D8AFF.edm" hidden="1">#REF!</definedName>
    <definedName name="_bdm.2D369C23394E42E382A989961C9AB9A7.edm" hidden="1">#REF!</definedName>
    <definedName name="_bdm.3846CE4F2A684B59AFF11B52AEB8DBE0.edm" hidden="1">#REF!</definedName>
    <definedName name="_bdm.43AB2ABDBA534462978A923EF8D92578.edm" hidden="1">#REF!</definedName>
    <definedName name="_bdm.4597AFBF778849A6B4432D481FCDB6D6.edm" hidden="1">#REF!</definedName>
    <definedName name="_bdm.4F4DA9435D634A5AADB9E415BA54E446.edm" hidden="1">#REF!</definedName>
    <definedName name="_bdm.51B96939080B482EAE8E3DB9C3AFE869.edm" hidden="1">#REF!</definedName>
    <definedName name="_bdm.52BAEF0B42DD40DBBD30CA7E85AEC7C2.edm" hidden="1">#REF!</definedName>
    <definedName name="_bdm.53220B959C6744C6941DD9BDDC32DB2B.edm" hidden="1">#REF!</definedName>
    <definedName name="_bdm.57FB563F37F64DB4BA0C340F8D1B5287.edm" hidden="1">#REF!</definedName>
    <definedName name="_bdm.5EDB8A8C132F41A4BEF05948315CBA73.edm" hidden="1">#REF!</definedName>
    <definedName name="_bdm.639347ACDEC9496DBBC428652FCA5732.edm" hidden="1">#REF!</definedName>
    <definedName name="_bdm.672409166EA841C594665E80ADBDCBDB.edm" hidden="1">#REF!</definedName>
    <definedName name="_bdm.6724589DB22244158C1298097E83964F.edm" hidden="1">#REF!</definedName>
    <definedName name="_bdm.6BBAA9F19C0E4D869F6B7A12F4A363DB.edm" hidden="1">#REF!</definedName>
    <definedName name="_bdm.6DFEDB81B32544C59D3C8EEEB576F3F7.edm" hidden="1">#REF!</definedName>
    <definedName name="_bdm.7275D11753444B5F919125474DBBEE85.edm" hidden="1">#REF!</definedName>
    <definedName name="_bdm.764469A4916E4F818F4DB8A51224C88D.edm" hidden="1">#REF!</definedName>
    <definedName name="_bdm.82C07AFDE9FB4DB1834F139F97979867.edm" hidden="1">#REF!</definedName>
    <definedName name="_bdm.8C209B02DB594231896E6775EF37FFA1.edm" hidden="1">#REF!</definedName>
    <definedName name="_bdm.9169D82962DB4F57AB72B8F6F5F85B73.edm" hidden="1">#REF!</definedName>
    <definedName name="_bdm.96A1EC0A76334A6AB7FDB085C982DD22.edm" hidden="1">#REF!</definedName>
    <definedName name="_bdm.987A79D37ADB48B190D43DA79B7265E1.edm" hidden="1">#REF!</definedName>
    <definedName name="_bdm.99D57A1DBC024AF28CB931E973C4D8A9.edm" hidden="1">#REF!</definedName>
    <definedName name="_bdm.9B6BEF8D5F844DD399F6AE6E9DB27C54.edm" hidden="1">#REF!</definedName>
    <definedName name="_bdm.9CDC35CDB7B143079762F320F757C403.edm" hidden="1">#REF!</definedName>
    <definedName name="_bdm.A38BB1BC71C443579907FE3A14DB6161.edm" hidden="1">#REF!</definedName>
    <definedName name="_bdm.A7CE24B55E984EEDBCB1C09A98DBB1FA.edm" hidden="1">#REF!</definedName>
    <definedName name="_bdm.A8C2046258D2446495D0F90DB0EC29D5.edm" hidden="1">#REF!</definedName>
    <definedName name="_bdm.B0AD5E4D7B2E4D64A2DBD132983C4D26.edm" hidden="1">#REF!</definedName>
    <definedName name="_bdm.B3A90153EDBD41DA98D3963DF708EA13.edm" hidden="1">#REF!</definedName>
    <definedName name="_bdm.B4A3A943416744FA92F0DDFD23C53DB8.edm" hidden="1">#REF!</definedName>
    <definedName name="_bdm.BDB9018F394B4D619CA288E2B170F24A.edm" hidden="1">#REF!</definedName>
    <definedName name="_bdm.C32BC6B1041A4015AB0BE84DAFADDB01.edm" hidden="1">#REF!</definedName>
    <definedName name="_bdm.C4434E8BB876487DB064D997092AF5AE.edm" hidden="1">#REF!</definedName>
    <definedName name="_bdm.CD0A9DDDB7874725901AE3A54A39619E.edm" hidden="1">#REF!</definedName>
    <definedName name="_bdm.CEACD67C453A4F428DBCAA24CD709A75.edm" hidden="1">#REF!</definedName>
    <definedName name="_bdm.D3A7DB21C85649A8A6B9F73C9315ACC5.edm" hidden="1">#REF!</definedName>
    <definedName name="_bdm.D9E6F7E2FBDB4FF6A6D632BFBE3A1A0F.edm" hidden="1">#REF!</definedName>
    <definedName name="_bdm.DBBB0A11890D45848CD4E45328F1B3BE.edm" hidden="1">#REF!</definedName>
    <definedName name="_bdm.DBF8F79D2FE244698C14155A4A3CFA25.edm" hidden="1">#REF!</definedName>
    <definedName name="_bdm.DEA02B8DB9594F51BA561009BFB2731A.edm" hidden="1">#REF!</definedName>
    <definedName name="_bdm.E341976468C04C1DBB314A44D0DDAF35.edm" hidden="1">#REF!</definedName>
    <definedName name="_bdm.E581D81EB4034397B5772E280C5F75DB.edm" hidden="1">#REF!</definedName>
    <definedName name="_bdm.EA467C3FF79A48EA8DBB7D8A7493DCD4.edm" hidden="1">#REF!</definedName>
    <definedName name="_bdm.EAE9F3664D4E4B80B684B7E7730B97DB.edm" hidden="1">#REF!</definedName>
    <definedName name="_bdm.EAEC9C3D50474F6CA7AEE5FBEDB1FC8E.edm" hidden="1">#REF!</definedName>
    <definedName name="_bdm.EB175D349DBA44CDB0F1A9ECD9B01B81.edm" hidden="1">#REF!</definedName>
    <definedName name="_bdm.EFC8C47572F24A23A2D1DF11DBA33452.edm" hidden="1">#REF!</definedName>
    <definedName name="_bdm.F1F4C95B8A15466DB8F634532E2B8CAD.edm" hidden="1">#REF!</definedName>
    <definedName name="_bdm.F937BDB1677C45289CC8DDB635C5EDB8.edm" hidden="1">#REF!</definedName>
    <definedName name="_bdm.F93AD3D7C6354ADBBCDFB37DD0CE3A41.edm" hidden="1">#REF!</definedName>
    <definedName name="_bdm.FAA43AF139F14D89B400DBE6794BF8BA.edm" hidden="1">#REF!</definedName>
    <definedName name="_Dist_Values" hidden="1">#REF!</definedName>
    <definedName name="_Fill" hidden="1">#REF!</definedName>
    <definedName name="_xlnm._FilterDatabase" localSheetId="7" hidden="1">'Criteo Direct Report'!$A$1:$U$5</definedName>
    <definedName name="_xlnm._FilterDatabase" localSheetId="6" hidden="1">'Criteo Report'!$A$1:$U$29</definedName>
    <definedName name="_xlnm._FilterDatabase" localSheetId="12" hidden="1">CRM_PREV_M!$A$1:$BM$22</definedName>
    <definedName name="_xlnm._FilterDatabase" localSheetId="9" hidden="1">ERP!$A$1:$X$96</definedName>
    <definedName name="_xlnm._FilterDatabase" localSheetId="11" hidden="1">'ERP VS SF'!$A$1:$R$1860</definedName>
    <definedName name="_xlnm._FilterDatabase" localSheetId="14" hidden="1">Interco!$I$5:$L$12</definedName>
    <definedName name="_xlnm._FilterDatabase" localSheetId="3" hidden="1">Salesforce!$A$2:$BT$32</definedName>
    <definedName name="_xlnm._FilterDatabase" localSheetId="10" hidden="1">SAP!$A$1:$Y$25</definedName>
    <definedName name="_xlnm._FilterDatabase" localSheetId="1" hidden="1">Summary!$A$3:$Q$31</definedName>
    <definedName name="_xlnm._FilterDatabase" hidden="1">#REF!</definedName>
    <definedName name="_HC2" localSheetId="11" hidden="1">{"schedule",#N/A,FALSE,"Sum Op's";"input area",#N/A,FALSE,"Sum Op's"}</definedName>
    <definedName name="_HC2" localSheetId="14" hidden="1">{"schedule",#N/A,FALSE,"Sum Op's";"input area",#N/A,FALSE,"Sum Op's"}</definedName>
    <definedName name="_HC2" hidden="1">{"schedule",#N/A,FALSE,"Sum Op's";"input area",#N/A,FALSE,"Sum Op's"}</definedName>
    <definedName name="_Key1" hidden="1">#REF!</definedName>
    <definedName name="_Key2" hidden="1">#REF!</definedName>
    <definedName name="_MatMult_B" hidden="1">#REF!</definedName>
    <definedName name="_name1" hidden="1">#REF!</definedName>
    <definedName name="_name10" hidden="1">#REF!</definedName>
    <definedName name="_name11" hidden="1">#REF!</definedName>
    <definedName name="_name12" hidden="1">#REF!</definedName>
    <definedName name="_name13" hidden="1">#REF!</definedName>
    <definedName name="_name2" hidden="1">#REF!</definedName>
    <definedName name="_name3" hidden="1">#REF!</definedName>
    <definedName name="_name31" hidden="1">#REF!</definedName>
    <definedName name="_name4" hidden="1">#REF!</definedName>
    <definedName name="_name5" hidden="1">#REF!</definedName>
    <definedName name="_name6" hidden="1">#REF!</definedName>
    <definedName name="_name7" hidden="1">#REF!</definedName>
    <definedName name="_name8" hidden="1">#REF!</definedName>
    <definedName name="_name9" hidden="1">#REF!</definedName>
    <definedName name="_new10" hidden="1">#REF!</definedName>
    <definedName name="_new11" hidden="1">#REF!</definedName>
    <definedName name="_new12" hidden="1">#REF!</definedName>
    <definedName name="_new2" hidden="1">#REF!</definedName>
    <definedName name="_new3" hidden="1">#REF!</definedName>
    <definedName name="_new4" hidden="1">#REF!</definedName>
    <definedName name="_new5" hidden="1">#REF!</definedName>
    <definedName name="_new6" hidden="1">#REF!</definedName>
    <definedName name="_new7" hidden="1">#REF!</definedName>
    <definedName name="_new8" hidden="1">#REF!</definedName>
    <definedName name="_new9" hidden="1">#REF!</definedName>
    <definedName name="_Order1" hidden="1">255</definedName>
    <definedName name="_Order2" hidden="1">255</definedName>
    <definedName name="_Regression_Int" hidden="1">1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a" localSheetId="1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" localSheetId="1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_1" localSheetId="1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_1" localSheetId="1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_2" localSheetId="1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_2" localSheetId="1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_3" localSheetId="1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_3" localSheetId="1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a" localSheetId="1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a" localSheetId="1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a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a_1" localSheetId="1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a_1" localSheetId="1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a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a_2" localSheetId="1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a_2" localSheetId="1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a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a_3" localSheetId="1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a_3" localSheetId="1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a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aa" localSheetId="11" hidden="1">{"page1",#N/A,FALSE,"Summary";"page2",#N/A,FALSE,"Summary";"page3",#N/A,FALSE,"Summary";"page4",#N/A,FALSE,"Summary";"page5",#N/A,FALSE,"Summary";"page6",#N/A,FALSE,"Summary"}</definedName>
    <definedName name="aaa" localSheetId="14" hidden="1">{"page1",#N/A,FALSE,"Summary";"page2",#N/A,FALSE,"Summary";"page3",#N/A,FALSE,"Summary";"page4",#N/A,FALSE,"Summary";"page5",#N/A,FALSE,"Summary";"page6",#N/A,FALSE,"Summary"}</definedName>
    <definedName name="aaa" hidden="1">{"page1",#N/A,FALSE,"Summary";"page2",#N/A,FALSE,"Summary";"page3",#N/A,FALSE,"Summary";"page4",#N/A,FALSE,"Summary";"page5",#N/A,FALSE,"Summary";"page6",#N/A,FALSE,"Summary"}</definedName>
    <definedName name="aaa_1" localSheetId="1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aa_1" localSheetId="1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aa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aa_2" localSheetId="1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aa_2" localSheetId="1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aa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aa_3" localSheetId="1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aa_3" localSheetId="1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aa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df" localSheetId="11" hidden="1">{#N/A,#N/A,TRUE,"MAIN FT TERM";#N/A,#N/A,TRUE,"MCI  FT TERM ";#N/A,#N/A,TRUE,"OC12 EQV"}</definedName>
    <definedName name="aadf" localSheetId="14" hidden="1">{#N/A,#N/A,TRUE,"MAIN FT TERM";#N/A,#N/A,TRUE,"MCI  FT TERM ";#N/A,#N/A,TRUE,"OC12 EQV"}</definedName>
    <definedName name="aadf" hidden="1">{#N/A,#N/A,TRUE,"MAIN FT TERM";#N/A,#N/A,TRUE,"MCI  FT TERM ";#N/A,#N/A,TRUE,"OC12 EQV"}</definedName>
    <definedName name="aadf_1" localSheetId="11" hidden="1">{#N/A,#N/A,TRUE,"MAIN FT TERM";#N/A,#N/A,TRUE,"MCI  FT TERM ";#N/A,#N/A,TRUE,"OC12 EQV"}</definedName>
    <definedName name="aadf_1" localSheetId="14" hidden="1">{#N/A,#N/A,TRUE,"MAIN FT TERM";#N/A,#N/A,TRUE,"MCI  FT TERM ";#N/A,#N/A,TRUE,"OC12 EQV"}</definedName>
    <definedName name="aadf_1" hidden="1">{#N/A,#N/A,TRUE,"MAIN FT TERM";#N/A,#N/A,TRUE,"MCI  FT TERM ";#N/A,#N/A,TRUE,"OC12 EQV"}</definedName>
    <definedName name="aadf_2" localSheetId="11" hidden="1">{#N/A,#N/A,TRUE,"MAIN FT TERM";#N/A,#N/A,TRUE,"MCI  FT TERM ";#N/A,#N/A,TRUE,"OC12 EQV"}</definedName>
    <definedName name="aadf_2" localSheetId="14" hidden="1">{#N/A,#N/A,TRUE,"MAIN FT TERM";#N/A,#N/A,TRUE,"MCI  FT TERM ";#N/A,#N/A,TRUE,"OC12 EQV"}</definedName>
    <definedName name="aadf_2" hidden="1">{#N/A,#N/A,TRUE,"MAIN FT TERM";#N/A,#N/A,TRUE,"MCI  FT TERM ";#N/A,#N/A,TRUE,"OC12 EQV"}</definedName>
    <definedName name="aadf_3" localSheetId="11" hidden="1">{#N/A,#N/A,TRUE,"MAIN FT TERM";#N/A,#N/A,TRUE,"MCI  FT TERM ";#N/A,#N/A,TRUE,"OC12 EQV"}</definedName>
    <definedName name="aadf_3" localSheetId="14" hidden="1">{#N/A,#N/A,TRUE,"MAIN FT TERM";#N/A,#N/A,TRUE,"MCI  FT TERM ";#N/A,#N/A,TRUE,"OC12 EQV"}</definedName>
    <definedName name="aadf_3" hidden="1">{#N/A,#N/A,TRUE,"MAIN FT TERM";#N/A,#N/A,TRUE,"MCI  FT TERM ";#N/A,#N/A,TRUE,"OC12 EQV"}</definedName>
    <definedName name="abc" localSheetId="1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bc" localSheetId="1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bc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ccessDatabase" hidden="1">"S:\LUKE\AMCODES\AMCODES.mdb"</definedName>
    <definedName name="aging" hidden="1">#REF!</definedName>
    <definedName name="anscount" hidden="1">1</definedName>
    <definedName name="appendix4" localSheetId="1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localSheetId="1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5" localSheetId="1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5" localSheetId="1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S2DocOpenMode" hidden="1">"AS2DocumentEdit"</definedName>
    <definedName name="AS2HasNoAutoHeaderFooter" hidden="1">" "</definedName>
    <definedName name="AS2NamedRange" hidden="1">30</definedName>
    <definedName name="AS2ReportLS" hidden="1">2</definedName>
    <definedName name="AS2SyncStepLS" hidden="1">0</definedName>
    <definedName name="AS2VersionLS" hidden="1">300</definedName>
    <definedName name="asc" hidden="1">#REF!</definedName>
    <definedName name="asdfasdfasdfas" hidden="1">#REF!</definedName>
    <definedName name="asds" hidden="1">#REF!</definedName>
    <definedName name="bb" hidden="1">#REF!</definedName>
    <definedName name="BEx91OTVH9ZDBC3QTORU8RZX4EOC" hidden="1">#REF!</definedName>
    <definedName name="BEx93TJUX3U0FJDBG6DDSNQ91R5J" hidden="1">#REF!</definedName>
    <definedName name="BEx9D1BC9FT19KY0INAABNDBAMR1" hidden="1">#REF!</definedName>
    <definedName name="BExD4JJSS3QDBLABCJCHD45SRNPI" hidden="1">#REF!</definedName>
    <definedName name="BExDBDR1XR0FV0CYUCB2OJ7CJCZU" hidden="1">#REF!</definedName>
    <definedName name="BExF2DYO1WQ7GMXSTAQRDBW1NSFG" hidden="1">#REF!</definedName>
    <definedName name="BExGU6HTKLRZO8UOI3DTAM5RFDBA" hidden="1">#REF!</definedName>
    <definedName name="BExIWB3SY3WRIVIOF988DNNODBOA" hidden="1">#REF!</definedName>
    <definedName name="BExMCFSQFSEMPY5IXDIRKZDASDBR" hidden="1">#REF!</definedName>
    <definedName name="BExQ8ZCEDBOBJA3D9LDP5TU2WYGR" hidden="1">#REF!</definedName>
    <definedName name="BExQFC0M9KKFMQKPLPEO2RQDB7MM" hidden="1">#REF!</definedName>
    <definedName name="BExTUSQCFFYZCDNHWHADBC2E1ZP1" hidden="1">#REF!</definedName>
    <definedName name="BExUC623BDYEODBN0N4DO6PJQ7NU" hidden="1">#REF!</definedName>
    <definedName name="BExVX3XN2DRJKL8EDBIG58RYQ36R" hidden="1">#REF!</definedName>
    <definedName name="BExXXBM521DL8R4ZX7NZ3DBCUOR5" hidden="1">#REF!</definedName>
    <definedName name="BG_Del" hidden="1">15</definedName>
    <definedName name="BG_Ins" hidden="1">4</definedName>
    <definedName name="BG_Mod" hidden="1">6</definedName>
    <definedName name="bhy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hy" localSheetId="1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hy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LPH1" hidden="1">#REF!</definedName>
    <definedName name="BLPH10" hidden="1">#REF!</definedName>
    <definedName name="BLPH11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cb_sChart41E9A35_opts" hidden="1">"1, 9, 1, False, 2, False, False, , 0, False, True, 1, 1"</definedName>
    <definedName name="cb_sChart68E08A4_opts" hidden="1">"1, 1, 1, False, 2, True, False, , 0, False, False, 2, 2"</definedName>
    <definedName name="cb_sChart6F544DD_opts" hidden="1">"1, 3, 1, False, 2, False, False, , 0, False, False, 2, 1"</definedName>
    <definedName name="cb_sChart74FE4B0_opts" hidden="1">"1, 4, 1, False, 2, True, False, , 0, False, False, 1, 1"</definedName>
    <definedName name="cb_sChart74FE8FC_opts" hidden="1">"1, 4, 1, False, 2, True, False, , 0, False, False, 1, 1"</definedName>
    <definedName name="cb_sChartF046D89_opts" hidden="1">"1, 1, 1, False, 2, True, False, , 1, False, False, 1, 1"</definedName>
    <definedName name="cb_sChartF048B26_opts" hidden="1">"1, 5, 1, False, 2, False, False, , 1, False, False, 1, 2"</definedName>
    <definedName name="cb_sChartF2B7B01_opts" hidden="1">"1, 1, 1, False, 2, True, False, , 1, False, False, 1, 1"</definedName>
    <definedName name="cc" localSheetId="1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cc" localSheetId="1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cc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cc_1" localSheetId="1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cc_1" localSheetId="1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cc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cc_2" localSheetId="1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cc_2" localSheetId="1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cc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cc_3" localSheetId="1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cc_3" localSheetId="1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cc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ccc" localSheetId="1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ccc" localSheetId="1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ccc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ccc_1" localSheetId="1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ccc_1" localSheetId="1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ccc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ccc_2" localSheetId="1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ccc_2" localSheetId="1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ccc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ccc_3" localSheetId="1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ccc_3" localSheetId="1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ccc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cde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de" localSheetId="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de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fw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cfw" localSheetId="1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cfw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CIQWBGuid" hidden="1">"1b563fbf-2a87-4a4c-a7a6-ec10d52f4e04"</definedName>
    <definedName name="cooo" hidden="1">#REF!</definedName>
    <definedName name="CORoll" localSheetId="11" hidden="1">{"schedule",#N/A,FALSE,"Sum Op's";"input area",#N/A,FALSE,"Sum Op's"}</definedName>
    <definedName name="CORoll" localSheetId="14" hidden="1">{"schedule",#N/A,FALSE,"Sum Op's";"input area",#N/A,FALSE,"Sum Op's"}</definedName>
    <definedName name="CORoll" hidden="1">{"schedule",#N/A,FALSE,"Sum Op's";"input area",#N/A,FALSE,"Sum Op's"}</definedName>
    <definedName name="d" hidden="1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09" hidden="1">#REF!</definedName>
    <definedName name="decos1" hidden="1">#REF!</definedName>
    <definedName name="deleteme" localSheetId="11" hidden="1">{"schedule",#N/A,FALSE,"Sum Op's";"input area",#N/A,FALSE,"Sum Op's"}</definedName>
    <definedName name="deleteme" localSheetId="14" hidden="1">{"schedule",#N/A,FALSE,"Sum Op's";"input area",#N/A,FALSE,"Sum Op's"}</definedName>
    <definedName name="deleteme" hidden="1">{"schedule",#N/A,FALSE,"Sum Op's";"input area",#N/A,FALSE,"Sum Op's"}</definedName>
    <definedName name="deleteme1" localSheetId="11" hidden="1">{"schedule",#N/A,FALSE,"Sum Op's";"input area",#N/A,FALSE,"Sum Op's"}</definedName>
    <definedName name="deleteme1" localSheetId="14" hidden="1">{"schedule",#N/A,FALSE,"Sum Op's";"input area",#N/A,FALSE,"Sum Op's"}</definedName>
    <definedName name="deleteme1" hidden="1">{"schedule",#N/A,FALSE,"Sum Op's";"input area",#N/A,FALSE,"Sum Op's"}</definedName>
    <definedName name="deletemeagain" localSheetId="11" hidden="1">{"schedule",#N/A,FALSE,"Sum Op's";"input area",#N/A,FALSE,"Sum Op's"}</definedName>
    <definedName name="deletemeagain" localSheetId="14" hidden="1">{"schedule",#N/A,FALSE,"Sum Op's";"input area",#N/A,FALSE,"Sum Op's"}</definedName>
    <definedName name="deletemeagain" hidden="1">{"schedule",#N/A,FALSE,"Sum Op's";"input area",#N/A,FALSE,"Sum Op's"}</definedName>
    <definedName name="dev_tech" hidden="1">#REF!</definedName>
    <definedName name="doll" localSheetId="11" hidden="1">{"schedule",#N/A,FALSE,"Sum Op's";"input area",#N/A,FALSE,"Sum Op's"}</definedName>
    <definedName name="doll" localSheetId="14" hidden="1">{"schedule",#N/A,FALSE,"Sum Op's";"input area",#N/A,FALSE,"Sum Op's"}</definedName>
    <definedName name="doll" hidden="1">{"schedule",#N/A,FALSE,"Sum Op's";"input area",#N/A,FALSE,"Sum Op's"}</definedName>
    <definedName name="ds" hidden="1">#REF!</definedName>
    <definedName name="ert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ert" localSheetId="1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ert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etu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etu" localSheetId="1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etu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ev.Calculation" hidden="1">-4135</definedName>
    <definedName name="ev.Initialized" hidden="1">FALSE</definedName>
    <definedName name="EV__LASTREFTIME__" hidden="1">40318.7493518519</definedName>
    <definedName name="existing2" localSheetId="11" hidden="1">{#N/A,#N/A,TRUE,"MAIN FT TERM";#N/A,#N/A,TRUE,"MCI  FT TERM ";#N/A,#N/A,TRUE,"OC12 EQV"}</definedName>
    <definedName name="existing2" localSheetId="14" hidden="1">{#N/A,#N/A,TRUE,"MAIN FT TERM";#N/A,#N/A,TRUE,"MCI  FT TERM ";#N/A,#N/A,TRUE,"OC12 EQV"}</definedName>
    <definedName name="existing2" hidden="1">{#N/A,#N/A,TRUE,"MAIN FT TERM";#N/A,#N/A,TRUE,"MCI  FT TERM ";#N/A,#N/A,TRUE,"OC12 EQV"}</definedName>
    <definedName name="existing2_1" localSheetId="11" hidden="1">{#N/A,#N/A,TRUE,"MAIN FT TERM";#N/A,#N/A,TRUE,"MCI  FT TERM ";#N/A,#N/A,TRUE,"OC12 EQV"}</definedName>
    <definedName name="existing2_1" localSheetId="14" hidden="1">{#N/A,#N/A,TRUE,"MAIN FT TERM";#N/A,#N/A,TRUE,"MCI  FT TERM ";#N/A,#N/A,TRUE,"OC12 EQV"}</definedName>
    <definedName name="existing2_1" hidden="1">{#N/A,#N/A,TRUE,"MAIN FT TERM";#N/A,#N/A,TRUE,"MCI  FT TERM ";#N/A,#N/A,TRUE,"OC12 EQV"}</definedName>
    <definedName name="existing2_2" localSheetId="11" hidden="1">{#N/A,#N/A,TRUE,"MAIN FT TERM";#N/A,#N/A,TRUE,"MCI  FT TERM ";#N/A,#N/A,TRUE,"OC12 EQV"}</definedName>
    <definedName name="existing2_2" localSheetId="14" hidden="1">{#N/A,#N/A,TRUE,"MAIN FT TERM";#N/A,#N/A,TRUE,"MCI  FT TERM ";#N/A,#N/A,TRUE,"OC12 EQV"}</definedName>
    <definedName name="existing2_2" hidden="1">{#N/A,#N/A,TRUE,"MAIN FT TERM";#N/A,#N/A,TRUE,"MCI  FT TERM ";#N/A,#N/A,TRUE,"OC12 EQV"}</definedName>
    <definedName name="existing2_3" localSheetId="11" hidden="1">{#N/A,#N/A,TRUE,"MAIN FT TERM";#N/A,#N/A,TRUE,"MCI  FT TERM ";#N/A,#N/A,TRUE,"OC12 EQV"}</definedName>
    <definedName name="existing2_3" localSheetId="14" hidden="1">{#N/A,#N/A,TRUE,"MAIN FT TERM";#N/A,#N/A,TRUE,"MCI  FT TERM ";#N/A,#N/A,TRUE,"OC12 EQV"}</definedName>
    <definedName name="existing2_3" hidden="1">{#N/A,#N/A,TRUE,"MAIN FT TERM";#N/A,#N/A,TRUE,"MCI  FT TERM ";#N/A,#N/A,TRUE,"OC12 EQV"}</definedName>
    <definedName name="existing3" localSheetId="11" hidden="1">{#N/A,#N/A,TRUE,"MAIN FT TERM";#N/A,#N/A,TRUE,"MCI  FT TERM ";#N/A,#N/A,TRUE,"OC12 EQV"}</definedName>
    <definedName name="existing3" localSheetId="14" hidden="1">{#N/A,#N/A,TRUE,"MAIN FT TERM";#N/A,#N/A,TRUE,"MCI  FT TERM ";#N/A,#N/A,TRUE,"OC12 EQV"}</definedName>
    <definedName name="existing3" hidden="1">{#N/A,#N/A,TRUE,"MAIN FT TERM";#N/A,#N/A,TRUE,"MCI  FT TERM ";#N/A,#N/A,TRUE,"OC12 EQV"}</definedName>
    <definedName name="existing3_1" localSheetId="11" hidden="1">{#N/A,#N/A,TRUE,"MAIN FT TERM";#N/A,#N/A,TRUE,"MCI  FT TERM ";#N/A,#N/A,TRUE,"OC12 EQV"}</definedName>
    <definedName name="existing3_1" localSheetId="14" hidden="1">{#N/A,#N/A,TRUE,"MAIN FT TERM";#N/A,#N/A,TRUE,"MCI  FT TERM ";#N/A,#N/A,TRUE,"OC12 EQV"}</definedName>
    <definedName name="existing3_1" hidden="1">{#N/A,#N/A,TRUE,"MAIN FT TERM";#N/A,#N/A,TRUE,"MCI  FT TERM ";#N/A,#N/A,TRUE,"OC12 EQV"}</definedName>
    <definedName name="existing3_2" localSheetId="11" hidden="1">{#N/A,#N/A,TRUE,"MAIN FT TERM";#N/A,#N/A,TRUE,"MCI  FT TERM ";#N/A,#N/A,TRUE,"OC12 EQV"}</definedName>
    <definedName name="existing3_2" localSheetId="14" hidden="1">{#N/A,#N/A,TRUE,"MAIN FT TERM";#N/A,#N/A,TRUE,"MCI  FT TERM ";#N/A,#N/A,TRUE,"OC12 EQV"}</definedName>
    <definedName name="existing3_2" hidden="1">{#N/A,#N/A,TRUE,"MAIN FT TERM";#N/A,#N/A,TRUE,"MCI  FT TERM ";#N/A,#N/A,TRUE,"OC12 EQV"}</definedName>
    <definedName name="existing3_3" localSheetId="11" hidden="1">{#N/A,#N/A,TRUE,"MAIN FT TERM";#N/A,#N/A,TRUE,"MCI  FT TERM ";#N/A,#N/A,TRUE,"OC12 EQV"}</definedName>
    <definedName name="existing3_3" localSheetId="14" hidden="1">{#N/A,#N/A,TRUE,"MAIN FT TERM";#N/A,#N/A,TRUE,"MCI  FT TERM ";#N/A,#N/A,TRUE,"OC12 EQV"}</definedName>
    <definedName name="existing3_3" hidden="1">{#N/A,#N/A,TRUE,"MAIN FT TERM";#N/A,#N/A,TRUE,"MCI  FT TERM ";#N/A,#N/A,TRUE,"OC12 EQV"}</definedName>
    <definedName name="existing4" localSheetId="11" hidden="1">{#N/A,#N/A,TRUE,"MAIN FT TERM";#N/A,#N/A,TRUE,"MCI  FT TERM ";#N/A,#N/A,TRUE,"OC12 EQV"}</definedName>
    <definedName name="existing4" localSheetId="14" hidden="1">{#N/A,#N/A,TRUE,"MAIN FT TERM";#N/A,#N/A,TRUE,"MCI  FT TERM ";#N/A,#N/A,TRUE,"OC12 EQV"}</definedName>
    <definedName name="existing4" hidden="1">{#N/A,#N/A,TRUE,"MAIN FT TERM";#N/A,#N/A,TRUE,"MCI  FT TERM ";#N/A,#N/A,TRUE,"OC12 EQV"}</definedName>
    <definedName name="existing4_1" localSheetId="11" hidden="1">{#N/A,#N/A,TRUE,"MAIN FT TERM";#N/A,#N/A,TRUE,"MCI  FT TERM ";#N/A,#N/A,TRUE,"OC12 EQV"}</definedName>
    <definedName name="existing4_1" localSheetId="14" hidden="1">{#N/A,#N/A,TRUE,"MAIN FT TERM";#N/A,#N/A,TRUE,"MCI  FT TERM ";#N/A,#N/A,TRUE,"OC12 EQV"}</definedName>
    <definedName name="existing4_1" hidden="1">{#N/A,#N/A,TRUE,"MAIN FT TERM";#N/A,#N/A,TRUE,"MCI  FT TERM ";#N/A,#N/A,TRUE,"OC12 EQV"}</definedName>
    <definedName name="existing4_2" localSheetId="11" hidden="1">{#N/A,#N/A,TRUE,"MAIN FT TERM";#N/A,#N/A,TRUE,"MCI  FT TERM ";#N/A,#N/A,TRUE,"OC12 EQV"}</definedName>
    <definedName name="existing4_2" localSheetId="14" hidden="1">{#N/A,#N/A,TRUE,"MAIN FT TERM";#N/A,#N/A,TRUE,"MCI  FT TERM ";#N/A,#N/A,TRUE,"OC12 EQV"}</definedName>
    <definedName name="existing4_2" hidden="1">{#N/A,#N/A,TRUE,"MAIN FT TERM";#N/A,#N/A,TRUE,"MCI  FT TERM ";#N/A,#N/A,TRUE,"OC12 EQV"}</definedName>
    <definedName name="existing4_3" localSheetId="11" hidden="1">{#N/A,#N/A,TRUE,"MAIN FT TERM";#N/A,#N/A,TRUE,"MCI  FT TERM ";#N/A,#N/A,TRUE,"OC12 EQV"}</definedName>
    <definedName name="existing4_3" localSheetId="14" hidden="1">{#N/A,#N/A,TRUE,"MAIN FT TERM";#N/A,#N/A,TRUE,"MCI  FT TERM ";#N/A,#N/A,TRUE,"OC12 EQV"}</definedName>
    <definedName name="existing4_3" hidden="1">{#N/A,#N/A,TRUE,"MAIN FT TERM";#N/A,#N/A,TRUE,"MCI  FT TERM ";#N/A,#N/A,TRUE,"OC12 EQV"}</definedName>
    <definedName name="existing5" localSheetId="11" hidden="1">{#N/A,#N/A,TRUE,"MAIN FT TERM";#N/A,#N/A,TRUE,"MCI  FT TERM ";#N/A,#N/A,TRUE,"OC12 EQV"}</definedName>
    <definedName name="existing5" localSheetId="14" hidden="1">{#N/A,#N/A,TRUE,"MAIN FT TERM";#N/A,#N/A,TRUE,"MCI  FT TERM ";#N/A,#N/A,TRUE,"OC12 EQV"}</definedName>
    <definedName name="existing5" hidden="1">{#N/A,#N/A,TRUE,"MAIN FT TERM";#N/A,#N/A,TRUE,"MCI  FT TERM ";#N/A,#N/A,TRUE,"OC12 EQV"}</definedName>
    <definedName name="existing5_1" localSheetId="11" hidden="1">{#N/A,#N/A,TRUE,"MAIN FT TERM";#N/A,#N/A,TRUE,"MCI  FT TERM ";#N/A,#N/A,TRUE,"OC12 EQV"}</definedName>
    <definedName name="existing5_1" localSheetId="14" hidden="1">{#N/A,#N/A,TRUE,"MAIN FT TERM";#N/A,#N/A,TRUE,"MCI  FT TERM ";#N/A,#N/A,TRUE,"OC12 EQV"}</definedName>
    <definedName name="existing5_1" hidden="1">{#N/A,#N/A,TRUE,"MAIN FT TERM";#N/A,#N/A,TRUE,"MCI  FT TERM ";#N/A,#N/A,TRUE,"OC12 EQV"}</definedName>
    <definedName name="existing5_2" localSheetId="11" hidden="1">{#N/A,#N/A,TRUE,"MAIN FT TERM";#N/A,#N/A,TRUE,"MCI  FT TERM ";#N/A,#N/A,TRUE,"OC12 EQV"}</definedName>
    <definedName name="existing5_2" localSheetId="14" hidden="1">{#N/A,#N/A,TRUE,"MAIN FT TERM";#N/A,#N/A,TRUE,"MCI  FT TERM ";#N/A,#N/A,TRUE,"OC12 EQV"}</definedName>
    <definedName name="existing5_2" hidden="1">{#N/A,#N/A,TRUE,"MAIN FT TERM";#N/A,#N/A,TRUE,"MCI  FT TERM ";#N/A,#N/A,TRUE,"OC12 EQV"}</definedName>
    <definedName name="existing5_3" localSheetId="11" hidden="1">{#N/A,#N/A,TRUE,"MAIN FT TERM";#N/A,#N/A,TRUE,"MCI  FT TERM ";#N/A,#N/A,TRUE,"OC12 EQV"}</definedName>
    <definedName name="existing5_3" localSheetId="14" hidden="1">{#N/A,#N/A,TRUE,"MAIN FT TERM";#N/A,#N/A,TRUE,"MCI  FT TERM ";#N/A,#N/A,TRUE,"OC12 EQV"}</definedName>
    <definedName name="existing5_3" hidden="1">{#N/A,#N/A,TRUE,"MAIN FT TERM";#N/A,#N/A,TRUE,"MCI  FT TERM ";#N/A,#N/A,TRUE,"OC12 EQV"}</definedName>
    <definedName name="f_1" localSheetId="1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f_1" localSheetId="1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f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f_2" localSheetId="1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f_2" localSheetId="1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f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f_3" localSheetId="1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f_3" localSheetId="1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f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ff" hidden="1">#REF!</definedName>
    <definedName name="fill" hidden="1">#REF!</definedName>
    <definedName name="foo" localSheetId="1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oo" localSheetId="1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gg" hidden="1">#REF!</definedName>
    <definedName name="HC" localSheetId="11" hidden="1">{"schedule",#N/A,FALSE,"Sum Op's";"input area",#N/A,FALSE,"Sum Op's"}</definedName>
    <definedName name="HC" localSheetId="14" hidden="1">{"schedule",#N/A,FALSE,"Sum Op's";"input area",#N/A,FALSE,"Sum Op's"}</definedName>
    <definedName name="HC" hidden="1">{"schedule",#N/A,FALSE,"Sum Op's";"input area",#N/A,FALSE,"Sum Op's"}</definedName>
    <definedName name="hi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</definedName>
    <definedName name="hn.DZ_MultByFXRates" hidden="1">#REF!,#REF!,#REF!,#REF!</definedName>
    <definedName name="hn.ExtDb" hidden="1">FALSE</definedName>
    <definedName name="hn.LTM_MultByFXRates" hidden="1">#REF!,#REF!,#REF!,#REF!,#REF!,#REF!,#REF!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YearLabel" hidden="1">#REF!</definedName>
    <definedName name="hola" hidden="1">#REF!</definedName>
    <definedName name="HTML_CodePage" hidden="1">1252</definedName>
    <definedName name="HTML_Control" localSheetId="11" hidden="1">{"'Hoja1'!$A$1:$O$35"}</definedName>
    <definedName name="HTML_Control" localSheetId="14" hidden="1">{"'Hoja1'!$A$1:$O$35"}</definedName>
    <definedName name="HTML_Control" hidden="1">{"'Hoja1'!$A$1:$O$35"}</definedName>
    <definedName name="HTML_Control_1" localSheetId="11" hidden="1">{"'SERC'!$E$1:$M$37"}</definedName>
    <definedName name="HTML_Control_1" localSheetId="14" hidden="1">{"'SERC'!$E$1:$M$37"}</definedName>
    <definedName name="HTML_Control_1" hidden="1">{"'SERC'!$E$1:$M$37"}</definedName>
    <definedName name="HTML_Control_2" localSheetId="11" hidden="1">{"'SERC'!$E$1:$M$37"}</definedName>
    <definedName name="HTML_Control_2" localSheetId="14" hidden="1">{"'SERC'!$E$1:$M$37"}</definedName>
    <definedName name="HTML_Control_2" hidden="1">{"'SERC'!$E$1:$M$37"}</definedName>
    <definedName name="HTML_Control_3" localSheetId="11" hidden="1">{"'SERC'!$E$1:$M$37"}</definedName>
    <definedName name="HTML_Control_3" localSheetId="14" hidden="1">{"'SERC'!$E$1:$M$37"}</definedName>
    <definedName name="HTML_Control_3" hidden="1">{"'SERC'!$E$1:$M$37"}</definedName>
    <definedName name="HTML_Description" hidden="1">""</definedName>
    <definedName name="HTML_Email" hidden="1">""</definedName>
    <definedName name="HTML_Header" hidden="1">"Hoja1"</definedName>
    <definedName name="HTML_LastUpdate" hidden="1">"31/1/00"</definedName>
    <definedName name="HTML_LineAfter" hidden="1">FALSE</definedName>
    <definedName name="HTML_LineBefore" hidden="1">FALSE</definedName>
    <definedName name="HTML_Name" hidden="1">"eguinand"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"A:\HTML.htm"</definedName>
    <definedName name="HTML_PathTemplate" hidden="1">"Z:\gochart.htm"</definedName>
    <definedName name="HTML_Title" hidden="1">"ar3"</definedName>
    <definedName name="HTML1_1" hidden="1">"[TB9.XLS]St_tot_94_95!$A$1:$J$428"</definedName>
    <definedName name="HTML1_10" hidden="1">""</definedName>
    <definedName name="HTML1_11" hidden="1">1</definedName>
    <definedName name="HTML1_12" hidden="1">"F:\USERS\ECON\Census95\Int\T9ST.htm"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"2/17/98"</definedName>
    <definedName name="HTML1_9" hidden="1">"BPH"</definedName>
    <definedName name="HTML2_1" hidden="1">"[TB9.XLS]St_tot_94_95!$A$1:$J$427"</definedName>
    <definedName name="HTML2_10" hidden="1">""</definedName>
    <definedName name="HTML2_11" hidden="1">1</definedName>
    <definedName name="HTML2_12" hidden="1">"F:\USERS\ECON\Census95\Int\T9ST.htm"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"2/17/98"</definedName>
    <definedName name="HTML2_9" hidden="1">"BPH"</definedName>
    <definedName name="HTML3_1" hidden="1">"[TB9.XLS]St_tot_94_95!$A$1:$H$427"</definedName>
    <definedName name="HTML3_10" hidden="1">""</definedName>
    <definedName name="HTML3_11" hidden="1">1</definedName>
    <definedName name="HTML3_12" hidden="1">"F:\USERS\ECON\Census95\Int\T9st.htm"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"2/17/98"</definedName>
    <definedName name="HTML3_9" hidden="1">"BPH"</definedName>
    <definedName name="HTMLCount" hidden="1">3</definedName>
    <definedName name="ii" hidden="1">#REF!</definedName>
    <definedName name="Im" hidden="1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process3" localSheetId="11" hidden="1">{#N/A,#N/A,TRUE,"MAIN FT TERM";#N/A,#N/A,TRUE,"MCI  FT TERM ";#N/A,#N/A,TRUE,"OC12 EQV"}</definedName>
    <definedName name="inprocess3" localSheetId="14" hidden="1">{#N/A,#N/A,TRUE,"MAIN FT TERM";#N/A,#N/A,TRUE,"MCI  FT TERM ";#N/A,#N/A,TRUE,"OC12 EQV"}</definedName>
    <definedName name="inprocess3" hidden="1">{#N/A,#N/A,TRUE,"MAIN FT TERM";#N/A,#N/A,TRUE,"MCI  FT TERM ";#N/A,#N/A,TRUE,"OC12 EQV"}</definedName>
    <definedName name="inprocess3_1" localSheetId="11" hidden="1">{#N/A,#N/A,TRUE,"MAIN FT TERM";#N/A,#N/A,TRUE,"MCI  FT TERM ";#N/A,#N/A,TRUE,"OC12 EQV"}</definedName>
    <definedName name="inprocess3_1" localSheetId="14" hidden="1">{#N/A,#N/A,TRUE,"MAIN FT TERM";#N/A,#N/A,TRUE,"MCI  FT TERM ";#N/A,#N/A,TRUE,"OC12 EQV"}</definedName>
    <definedName name="inprocess3_1" hidden="1">{#N/A,#N/A,TRUE,"MAIN FT TERM";#N/A,#N/A,TRUE,"MCI  FT TERM ";#N/A,#N/A,TRUE,"OC12 EQV"}</definedName>
    <definedName name="inprocess3_2" localSheetId="11" hidden="1">{#N/A,#N/A,TRUE,"MAIN FT TERM";#N/A,#N/A,TRUE,"MCI  FT TERM ";#N/A,#N/A,TRUE,"OC12 EQV"}</definedName>
    <definedName name="inprocess3_2" localSheetId="14" hidden="1">{#N/A,#N/A,TRUE,"MAIN FT TERM";#N/A,#N/A,TRUE,"MCI  FT TERM ";#N/A,#N/A,TRUE,"OC12 EQV"}</definedName>
    <definedName name="inprocess3_2" hidden="1">{#N/A,#N/A,TRUE,"MAIN FT TERM";#N/A,#N/A,TRUE,"MCI  FT TERM ";#N/A,#N/A,TRUE,"OC12 EQV"}</definedName>
    <definedName name="inprocess3_3" localSheetId="11" hidden="1">{#N/A,#N/A,TRUE,"MAIN FT TERM";#N/A,#N/A,TRUE,"MCI  FT TERM ";#N/A,#N/A,TRUE,"OC12 EQV"}</definedName>
    <definedName name="inprocess3_3" localSheetId="14" hidden="1">{#N/A,#N/A,TRUE,"MAIN FT TERM";#N/A,#N/A,TRUE,"MCI  FT TERM ";#N/A,#N/A,TRUE,"OC12 EQV"}</definedName>
    <definedName name="inprocess3_3" hidden="1">{#N/A,#N/A,TRUE,"MAIN FT TERM";#N/A,#N/A,TRUE,"MCI  FT TERM ";#N/A,#N/A,TRUE,"OC12 EQV"}</definedName>
    <definedName name="IntroPrintArea" hidden="1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DUSTRY_REC_NO" hidden="1">"c4454"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FAX" hidden="1">"c2100"</definedName>
    <definedName name="IQ_BOARD_MEMBER_OFFICE" hidden="1">"c2098"</definedName>
    <definedName name="IQ_BOARD_MEMBER_PHONE" hidden="1">"c2099"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REUT" hidden="1">"c5471"</definedName>
    <definedName name="IQ_BV_ACT_OR_EST_THOM" hidden="1">"c5308"</definedName>
    <definedName name="IQ_BV_EST" hidden="1">"c5624"</definedName>
    <definedName name="IQ_BV_EST_REUT" hidden="1">"c5403"</definedName>
    <definedName name="IQ_BV_EST_THOM" hidden="1">"c5147"</definedName>
    <definedName name="IQ_BV_HIGH_EST" hidden="1">"c5626"</definedName>
    <definedName name="IQ_BV_HIGH_EST_REUT" hidden="1">"c5405"</definedName>
    <definedName name="IQ_BV_HIGH_EST_THOM" hidden="1">"c5149"</definedName>
    <definedName name="IQ_BV_LOW_EST" hidden="1">"c5627"</definedName>
    <definedName name="IQ_BV_LOW_EST_REUT" hidden="1">"c5406"</definedName>
    <definedName name="IQ_BV_LOW_EST_THOM" hidden="1">"c5150"</definedName>
    <definedName name="IQ_BV_MEDIAN_EST" hidden="1">"c5625"</definedName>
    <definedName name="IQ_BV_MEDIAN_EST_REUT" hidden="1">"c5404"</definedName>
    <definedName name="IQ_BV_MEDIAN_EST_THOM" hidden="1">"c5148"</definedName>
    <definedName name="IQ_BV_NUM_EST" hidden="1">"c5628"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EST" hidden="1">"c3541"</definedName>
    <definedName name="IQ_BV_SHARE_EST_REUT" hidden="1">"c5439"</definedName>
    <definedName name="IQ_BV_SHARE_HIGH_EST" hidden="1">"c3542"</definedName>
    <definedName name="IQ_BV_SHARE_HIGH_EST_REUT" hidden="1">"c5441"</definedName>
    <definedName name="IQ_BV_SHARE_LOW_EST" hidden="1">"c3543"</definedName>
    <definedName name="IQ_BV_SHARE_LOW_EST_REUT" hidden="1">"c5442"</definedName>
    <definedName name="IQ_BV_SHARE_MEDIAN_EST" hidden="1">"c3544"</definedName>
    <definedName name="IQ_BV_SHARE_MEDIAN_EST_REUT" hidden="1">"c5440"</definedName>
    <definedName name="IQ_BV_SHARE_NUM_EST" hidden="1">"c3539"</definedName>
    <definedName name="IQ_BV_SHARE_NUM_EST_REUT" hidden="1">"c5443"</definedName>
    <definedName name="IQ_BV_SHARE_STDDEV_EST" hidden="1">"c3540"</definedName>
    <definedName name="IQ_BV_SHARE_STDDEV_EST_REUT" hidden="1">"c5444"</definedName>
    <definedName name="IQ_BV_STDDEV_EST" hidden="1">"c5629"</definedName>
    <definedName name="IQ_BV_STDDEV_EST_REUT" hidden="1">"c5408"</definedName>
    <definedName name="IQ_BV_STDDEV_EST_THOM" hidden="1">"c5152"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NUM_EST" hidden="1">"c3521"</definedName>
    <definedName name="IQ_CAPEX_NUM_EST_REUT" hidden="1">"c3973"</definedName>
    <definedName name="IQ_CAPEX_STDDEV_EST" hidden="1">"c3522"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hidden="1">"c118"</definedName>
    <definedName name="IQ_CASH_FINAN" hidden="1">"c119"</definedName>
    <definedName name="IQ_CASH_FLOW_ACT_OR_EST" hidden="1">"c4154"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GUIDANCE" hidden="1">"c4256"</definedName>
    <definedName name="IQ_CFPS_HIGH_EST" hidden="1">"c1669"</definedName>
    <definedName name="IQ_CFPS_HIGH_EST_REUT" hidden="1">"c3846"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GUIDANCE" hidden="1">"c4302"</definedName>
    <definedName name="IQ_DPS_HIGH_EST" hidden="1">"c1676"</definedName>
    <definedName name="IQ_DPS_HIGH_EST_REUT" hidden="1">"c3853"</definedName>
    <definedName name="IQ_DPS_HIGH_GUIDANCE" hidden="1">"c4168"</definedName>
    <definedName name="IQ_DPS_LOW_EST" hidden="1">"c1677"</definedName>
    <definedName name="IQ_DPS_LOW_EST_REUT" hidden="1">"c3854"</definedName>
    <definedName name="IQ_DPS_LOW_GUIDANCE" hidden="1">"c4208"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ROWTH_1" hidden="1">"c157"</definedName>
    <definedName name="IQ_EBIT_GROWTH_2" hidden="1">"c161"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"c1369"</definedName>
    <definedName name="IQ_EBIT_SBC_ACT_OR_EST" hidden="1">"c4316"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ROWTH_1" hidden="1">"c156"</definedName>
    <definedName name="IQ_EBITDA_GROWTH_2" hidden="1">"c160"</definedName>
    <definedName name="IQ_EBITDA_GUIDANCE" hidden="1">"c4334"</definedName>
    <definedName name="IQ_EBITDA_HIGH_EST" hidden="1">"c370"</definedName>
    <definedName name="IQ_EBITDA_HIGH_EST_REUT" hidden="1">"c3642"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REUT" hidden="1">"c3643"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O_EST" hidden="1">"c267"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IT" hidden="1">"c389"</definedName>
    <definedName name="IQ_EBT_SBC_ACT_OR_EST" hidden="1">"c4350"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ACT_OR_EST_REUT" hidden="1">"c5460"</definedName>
    <definedName name="IQ_EPS_EST" hidden="1">"c399"</definedName>
    <definedName name="IQ_EPS_EST_1" hidden="1">"c189"</definedName>
    <definedName name="IQ_EPS_EST_BOTTOM_UP" hidden="1">"c5489"</definedName>
    <definedName name="IQ_EPS_EST_BOTTOM_UP_REUT" hidden="1">"c5497"</definedName>
    <definedName name="IQ_EPS_EST_REUT" hidden="1">"c5453"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REUT" hidden="1">"c5499"</definedName>
    <definedName name="IQ_EPS_GW_EST_REUT" hidden="1">"c5389"</definedName>
    <definedName name="IQ_EPS_GW_GUIDANCE" hidden="1">"c4372"</definedName>
    <definedName name="IQ_EPS_GW_HIGH_EST" hidden="1">"c1739"</definedName>
    <definedName name="IQ_EPS_GW_HIGH_EST_REUT" hidden="1">"c5391"</definedName>
    <definedName name="IQ_EPS_GW_HIGH_GUIDANCE" hidden="1">"c4373"</definedName>
    <definedName name="IQ_EPS_GW_LOW_EST" hidden="1">"c1740"</definedName>
    <definedName name="IQ_EPS_GW_LOW_EST_REUT" hidden="1">"c5392"</definedName>
    <definedName name="IQ_EPS_GW_LOW_GUIDANCE" hidden="1">"c4206"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_EST" hidden="1">"c271"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REUT" hidden="1">"c5498"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_ACT_OR_EST_REUT" hidden="1">"c5470"</definedName>
    <definedName name="IQ_EPS_REPORTED_EST" hidden="1">"c1744"</definedName>
    <definedName name="IQ_EPS_REPORTED_EST_BOTTOM_UP" hidden="1">"c5492"</definedName>
    <definedName name="IQ_EPS_REPORTED_EST_BOTTOM_UP_REUT" hidden="1">"c5500"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REUT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" hidden="1">"c5630"</definedName>
    <definedName name="IQ_EST_ACT_BV_REUT" hidden="1">"c5409"</definedName>
    <definedName name="IQ_EST_ACT_BV_SHARE" hidden="1">"c3549"</definedName>
    <definedName name="IQ_EST_ACT_BV_SHARE_REUT" hidden="1">"c5445"</definedName>
    <definedName name="IQ_EST_ACT_BV_THOM" hidden="1">"c5153"</definedName>
    <definedName name="IQ_EST_ACT_CAPEX" hidden="1">"c3546"</definedName>
    <definedName name="IQ_EST_ACT_CAPEX_REUT" hidden="1">"c3975"</definedName>
    <definedName name="IQ_EST_ACT_CASH_EPS" hidden="1">"c5637"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DA" hidden="1">"c1664"</definedName>
    <definedName name="IQ_EST_ACT_EBITDA_REUT" hidden="1">"c3836"</definedName>
    <definedName name="IQ_EST_ACT_EBITDA_SBC" hidden="1">"c4401"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PRIMARY" hidden="1">"c2232"</definedName>
    <definedName name="IQ_EST_ACT_EPS_REPORTED" hidden="1">"c1750"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FFO_THOM" hidden="1">"c4005"</definedName>
    <definedName name="IQ_EST_ACT_GROSS_MARGIN" hidden="1">"c5553"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ET_DEBT" hidden="1">"c3545"</definedName>
    <definedName name="IQ_EST_ACT_NET_DEBT_REUT" hidden="1">"c5446"</definedName>
    <definedName name="IQ_EST_ACT_NI" hidden="1">"c1722"</definedName>
    <definedName name="IQ_EST_ACT_NI_GW" hidden="1">"c1729"</definedName>
    <definedName name="IQ_EST_ACT_NI_GW_REUT" hidden="1">"c5381"</definedName>
    <definedName name="IQ_EST_ACT_NI_GW_THOM" hidden="1">"c5139"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REUT" hidden="1">"c3835"</definedName>
    <definedName name="IQ_EST_BV_DIFF_CIQ" hidden="1">"c4765"</definedName>
    <definedName name="IQ_EST_BV_DIFF_REUT" hidden="1">"c5433"</definedName>
    <definedName name="IQ_EST_BV_DIFF_THOM" hidden="1">"c5204"</definedName>
    <definedName name="IQ_EST_BV_SHARE_DIFF" hidden="1">"c4147"</definedName>
    <definedName name="IQ_EST_BV_SHARE_SURPRISE_PERCENT" hidden="1">"c4148"</definedName>
    <definedName name="IQ_EST_BV_SURPRISE_PERCENT_CIQ" hidden="1">"c4766"</definedName>
    <definedName name="IQ_EST_BV_SURPRISE_PERCENT_REUT" hidden="1">"c5434"</definedName>
    <definedName name="IQ_EST_BV_SURPRISE_PERCENT_THOM" hidden="1">"c5205"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2YR" hidden="1">"c3589"</definedName>
    <definedName name="IQ_EST_CAPEX_GROWTH_2YR_REUT" hidden="1">"c5448"</definedName>
    <definedName name="IQ_EST_CAPEX_GROWTH_Q_1YR" hidden="1">"c3590"</definedName>
    <definedName name="IQ_EST_CAPEX_GROWTH_Q_1YR_REUT" hidden="1">"c5449"</definedName>
    <definedName name="IQ_EST_CAPEX_SEQ_GROWTH_Q" hidden="1">"c3591"</definedName>
    <definedName name="IQ_EST_CAPEX_SEQ_GROWTH_Q_REUT" hidden="1">"c5450"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REUT" hidden="1">"c3888"</definedName>
    <definedName name="IQ_EST_EBITDA_GROWTH_1YR" hidden="1">"c1766"</definedName>
    <definedName name="IQ_EST_EBITDA_GROWTH_1YR_REUT" hidden="1">"c3864"</definedName>
    <definedName name="IQ_EST_EBITDA_GROWTH_2YR" hidden="1">"c1767"</definedName>
    <definedName name="IQ_EST_EBITDA_GROWTH_2YR_REUT" hidden="1">"c3865"</definedName>
    <definedName name="IQ_EST_EBITDA_GROWTH_Q_1YR" hidden="1">"c1768"</definedName>
    <definedName name="IQ_EST_EBITDA_GROWTH_Q_1YR_REUT" hidden="1">"c3866"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REUT" hidden="1">"c3867"</definedName>
    <definedName name="IQ_EST_EBITDA_SURPRISE_PERCENT" hidden="1">"c1868"</definedName>
    <definedName name="IQ_EST_EBITDA_SURPRISE_PERCENT_REUT" hidden="1">"c3889"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REUT" hidden="1">"c3859"</definedName>
    <definedName name="IQ_EST_EPS_SURPRISE" hidden="1">"c1635"</definedName>
    <definedName name="IQ_EST_EPS_SURPRISE_PERCENT" hidden="1">"c1635"</definedName>
    <definedName name="IQ_EST_EPS_SURPRISE_PERCENT_REUT" hidden="1">"c5459"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URPRISE_PERCENT" hidden="1">"c4453"</definedName>
    <definedName name="IQ_EST_FFO_SURPRISE_PERCENT" hidden="1">"c1870"</definedName>
    <definedName name="IQ_EST_FFO_SURPRISE_PERCENT_REUT" hidden="1">"c3891"</definedName>
    <definedName name="IQ_EST_FFO_SURPRISE_PERCENT_THOM" hidden="1">"c5187"</definedName>
    <definedName name="IQ_EST_FOOTNOTE" hidden="1">"c4540"</definedName>
    <definedName name="IQ_EST_FOOTNOTE_REUT" hidden="1">"c5478"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REUT" hidden="1">"c5423"</definedName>
    <definedName name="IQ_EST_NI_GW_DIFF" hidden="1">"c1887"</definedName>
    <definedName name="IQ_EST_NI_GW_DIFF_REUT" hidden="1">"c5425"</definedName>
    <definedName name="IQ_EST_NI_GW_DIFF_THOM" hidden="1">"c5200"</definedName>
    <definedName name="IQ_EST_NI_GW_SURPRISE_PERCENT" hidden="1">"c1888"</definedName>
    <definedName name="IQ_EST_NI_GW_SURPRISE_PERCENT_REUT" hidden="1">"c5426"</definedName>
    <definedName name="IQ_EST_NI_GW_SURPRISE_PERCENT_THOM" hidden="1">"c5201"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 hidden="1">"c5649"</definedName>
    <definedName name="IQ_EST_NUM_HIGH_REC_REUT" hidden="1">"c3870"</definedName>
    <definedName name="IQ_EST_NUM_HIGHEST_REC" hidden="1">"c5648"</definedName>
    <definedName name="IQ_EST_NUM_HIGHEST_REC_REUT" hidden="1">"c3869"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 hidden="1">"c5651"</definedName>
    <definedName name="IQ_EST_NUM_LOW_REC_REUT" hidden="1">"c3872"</definedName>
    <definedName name="IQ_EST_NUM_LOWEST_REC" hidden="1">"c5652"</definedName>
    <definedName name="IQ_EST_NUM_LOWEST_REC_REUT" hidden="1">"c3873"</definedName>
    <definedName name="IQ_EST_NUM_NEUTRAL_REC" hidden="1">"c5650"</definedName>
    <definedName name="IQ_EST_NUM_NEUTRAL_REC_REUT" hidden="1">"c3871"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CURRING_PROFIT_SHARE_DIFF" hidden="1">"c4505"</definedName>
    <definedName name="IQ_EST_RECURRING_PROFIT_SHARE_SURPRISE_PERCENT" hidden="1">"c4515"</definedName>
    <definedName name="IQ_EST_REUT_ACT_CAPEX" hidden="1">"c3975"</definedName>
    <definedName name="IQ_EST_REV_DIFF" hidden="1">"c1865"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" hidden="1">"c1765"</definedName>
    <definedName name="IQ_EST_REV_SEQ_GROWTH_Q_REUT" hidden="1">"c3863"</definedName>
    <definedName name="IQ_EST_REV_SURPRISE_PERCENT" hidden="1">"c1866"</definedName>
    <definedName name="IQ_EST_REV_SURPRISE_PERCENT_REUT" hidden="1">"c3887"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610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REUT" hidden="1">"c3837"</definedName>
    <definedName name="IQ_FFO_EST_THOM" hidden="1">"c3999"</definedName>
    <definedName name="IQ_FFO_GUIDANCE" hidden="1">"c4443"</definedName>
    <definedName name="IQ_FFO_HIGH_EST" hidden="1">"c419"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LOW_EST" hidden="1">"c420"</definedName>
    <definedName name="IQ_FFO_LOW_EST_REUT" hidden="1">"c3840"</definedName>
    <definedName name="IQ_FFO_LOW_EST_THOM" hidden="1">"c4002"</definedName>
    <definedName name="IQ_FFO_LOW_GUIDANCE" hidden="1">"c4224"</definedName>
    <definedName name="IQ_FFO_MEDIAN_EST" hidden="1">"c1665"</definedName>
    <definedName name="IQ_FFO_MEDIAN_EST_REUT" hidden="1">"c3838"</definedName>
    <definedName name="IQ_FFO_MEDIAN_EST_THOM" hidden="1">"c4000"</definedName>
    <definedName name="IQ_FFO_NO_EST" hidden="1">"c276"</definedName>
    <definedName name="IQ_FFO_NUM_EST" hidden="1">"c421"</definedName>
    <definedName name="IQ_FFO_NUM_EST_REUT" hidden="1">"c3841"</definedName>
    <definedName name="IQ_FFO_NUM_EST_THOM" hidden="1">"c4003"</definedName>
    <definedName name="IQ_FFO_PAYOUT_RATIO" hidden="1">"c3492"</definedName>
    <definedName name="IQ_FFO_SHARE_ACT_OR_EST" hidden="1">"c4446"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TDDEV_EST" hidden="1">"c4452"</definedName>
    <definedName name="IQ_FFO_STDDEV_EST" hidden="1">"c422"</definedName>
    <definedName name="IQ_FFO_STDDEV_EST_REUT" hidden="1">"c3842"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" hidden="1">"c225"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GW" hidden="1">"c519"</definedName>
    <definedName name="IQ_GROSS_INTAN" hidden="1">"c520"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_TARGET_PRICE" hidden="1">"c1651"</definedName>
    <definedName name="IQ_HIGH_TARGET_PRICE_REUT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RKTCAP" hidden="1">"c258"</definedName>
    <definedName name="IQ_MATURITY_DATE" hidden="1">"c2146"</definedName>
    <definedName name="IQ_MATURITY_ONE_YEAR_LESS_FDIC" hidden="1">"c6425"</definedName>
    <definedName name="IQ_MC_RATIO" hidden="1">"c2783"</definedName>
    <definedName name="IQ_MC_STATUTORY_SURPLUS" hidden="1">"c2772"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41529.6381134259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" hidden="1">"c5615"</definedName>
    <definedName name="IQ_NAV_SHARE_ACT_OR_EST_REUT" hidden="1">"c5623"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NUM_EST" hidden="1">"c3515"</definedName>
    <definedName name="IQ_NET_DEBT_NUM_EST_REUT" hidden="1">"c3980"</definedName>
    <definedName name="IQ_NET_DEBT_STDDEV_EST" hidden="1">"c3516"</definedName>
    <definedName name="IQ_NET_DEBT_STDDEV_EST_REUT" hidden="1">"c3981"</definedName>
    <definedName name="IQ_NET_EARNED" hidden="1">"c2734"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"c158"</definedName>
    <definedName name="IQ_NET_INC_GROWTH_2" hidden="1">"c162"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EST_REUT" hidden="1">"c5368"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" hidden="1">"c1723"</definedName>
    <definedName name="IQ_NI_GW_EST_REUT" hidden="1">"c5375"</definedName>
    <definedName name="IQ_NI_GW_EST_THOM" hidden="1">"c5133"</definedName>
    <definedName name="IQ_NI_GW_GUIDANCE" hidden="1">"c4471"</definedName>
    <definedName name="IQ_NI_GW_HIGH_EST" hidden="1">"c1725"</definedName>
    <definedName name="IQ_NI_GW_HIGH_EST_REUT" hidden="1">"c5377"</definedName>
    <definedName name="IQ_NI_GW_HIGH_EST_THOM" hidden="1">"c5135"</definedName>
    <definedName name="IQ_NI_GW_HIGH_GUIDANCE" hidden="1">"c4178"</definedName>
    <definedName name="IQ_NI_GW_LOW_EST" hidden="1">"c1726"</definedName>
    <definedName name="IQ_NI_GW_LOW_EST_REUT" hidden="1">"c5378"</definedName>
    <definedName name="IQ_NI_GW_LOW_EST_THOM" hidden="1">"c5136"</definedName>
    <definedName name="IQ_NI_GW_LOW_GUIDANCE" hidden="1">"c4218"</definedName>
    <definedName name="IQ_NI_GW_MEDIAN_EST" hidden="1">"c1724"</definedName>
    <definedName name="IQ_NI_GW_MEDIAN_EST_REUT" hidden="1">"c5376"</definedName>
    <definedName name="IQ_NI_GW_MEDIAN_EST_THOM" hidden="1">"c5134"</definedName>
    <definedName name="IQ_NI_GW_NUM_EST" hidden="1">"c1727"</definedName>
    <definedName name="IQ_NI_GW_NUM_EST_REUT" hidden="1">"c5379"</definedName>
    <definedName name="IQ_NI_GW_NUM_EST_THOM" hidden="1">"c5137"</definedName>
    <definedName name="IQ_NI_GW_STDDEV_EST" hidden="1">"c1728"</definedName>
    <definedName name="IQ_NI_GW_STDDEV_EST_REUT" hidden="1">"c5380"</definedName>
    <definedName name="IQ_NI_GW_STDDEV_EST_THOM" hidden="1">"c5138"</definedName>
    <definedName name="IQ_NI_HIGH_EST" hidden="1">"c1718"</definedName>
    <definedName name="IQ_NI_HIGH_EST_REUT" hidden="1">"c5370"</definedName>
    <definedName name="IQ_NI_HIGH_GUIDANCE" hidden="1">"c4176"</definedName>
    <definedName name="IQ_NI_LOW_EST" hidden="1">"c1719"</definedName>
    <definedName name="IQ_NI_LOW_EST_REUT" hidden="1">"c5371"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REUT" hidden="1">"c3917"</definedName>
    <definedName name="IQ_PERCENT_CHANGE_EST_EBITDA_18MONTHS" hidden="1">"c1805"</definedName>
    <definedName name="IQ_PERCENT_CHANGE_EST_EBITDA_18MONTHS_REUT" hidden="1">"c3918"</definedName>
    <definedName name="IQ_PERCENT_CHANGE_EST_EBITDA_3MONTHS" hidden="1">"c1801"</definedName>
    <definedName name="IQ_PERCENT_CHANGE_EST_EBITDA_3MONTHS_REUT" hidden="1">"c3914"</definedName>
    <definedName name="IQ_PERCENT_CHANGE_EST_EBITDA_6MONTHS" hidden="1">"c1802"</definedName>
    <definedName name="IQ_PERCENT_CHANGE_EST_EBITDA_6MONTHS_REUT" hidden="1">"c3915"</definedName>
    <definedName name="IQ_PERCENT_CHANGE_EST_EBITDA_9MONTHS" hidden="1">"c1803"</definedName>
    <definedName name="IQ_PERCENT_CHANGE_EST_EBITDA_9MONTHS_REUT" hidden="1">"c3916"</definedName>
    <definedName name="IQ_PERCENT_CHANGE_EST_EBITDA_DAY" hidden="1">"c1798"</definedName>
    <definedName name="IQ_PERCENT_CHANGE_EST_EBITDA_DAY_REUT" hidden="1">"c3912"</definedName>
    <definedName name="IQ_PERCENT_CHANGE_EST_EBITDA_MONTH" hidden="1">"c1800"</definedName>
    <definedName name="IQ_PERCENT_CHANGE_EST_EBITDA_MONTH_REUT" hidden="1">"c3913"</definedName>
    <definedName name="IQ_PERCENT_CHANGE_EST_EBITDA_WEEK" hidden="1">"c1799"</definedName>
    <definedName name="IQ_PERCENT_CHANGE_EST_EBITDA_WEEK_REUT" hidden="1">"c3961"</definedName>
    <definedName name="IQ_PERCENT_CHANGE_EST_EPS_12MONTHS" hidden="1">"c1788"</definedName>
    <definedName name="IQ_PERCENT_CHANGE_EST_EPS_12MONTHS_REUT" hidden="1">"c3902"</definedName>
    <definedName name="IQ_PERCENT_CHANGE_EST_EPS_18MONTHS" hidden="1">"c1789"</definedName>
    <definedName name="IQ_PERCENT_CHANGE_EST_EPS_18MONTHS_REUT" hidden="1">"c3903"</definedName>
    <definedName name="IQ_PERCENT_CHANGE_EST_EPS_3MONTHS" hidden="1">"c1785"</definedName>
    <definedName name="IQ_PERCENT_CHANGE_EST_EPS_3MONTHS_REUT" hidden="1">"c3899"</definedName>
    <definedName name="IQ_PERCENT_CHANGE_EST_EPS_6MONTHS" hidden="1">"c1786"</definedName>
    <definedName name="IQ_PERCENT_CHANGE_EST_EPS_6MONTHS_REUT" hidden="1">"c3900"</definedName>
    <definedName name="IQ_PERCENT_CHANGE_EST_EPS_9MONTHS" hidden="1">"c1787"</definedName>
    <definedName name="IQ_PERCENT_CHANGE_EST_EPS_9MONTHS_REUT" hidden="1">"c3901"</definedName>
    <definedName name="IQ_PERCENT_CHANGE_EST_EPS_DAY" hidden="1">"c1782"</definedName>
    <definedName name="IQ_PERCENT_CHANGE_EST_EPS_DAY_REUT" hidden="1">"c3896"</definedName>
    <definedName name="IQ_PERCENT_CHANGE_EST_EPS_MONTH" hidden="1">"c1784"</definedName>
    <definedName name="IQ_PERCENT_CHANGE_EST_EPS_MONTH_REUT" hidden="1">"c3898"</definedName>
    <definedName name="IQ_PERCENT_CHANGE_EST_EPS_WEEK" hidden="1">"c1783"</definedName>
    <definedName name="IQ_PERCENT_CHANGE_EST_EPS_WEEK_REUT" hidden="1">"c3897"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REUT" hidden="1">"c3951"</definedName>
    <definedName name="IQ_PERCENT_CHANGE_EST_PRICE_TARGET_DAY" hidden="1">"c1838"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REUT" hidden="1">"c3948"</definedName>
    <definedName name="IQ_PERCENT_CHANGE_EST_PRICE_TARGET_WEEK" hidden="1">"c1839"</definedName>
    <definedName name="IQ_PERCENT_CHANGE_EST_PRICE_TARGET_WEEK_REUT" hidden="1">"c3967"</definedName>
    <definedName name="IQ_PERCENT_CHANGE_EST_RECO_12MONTHS" hidden="1">"c1836"</definedName>
    <definedName name="IQ_PERCENT_CHANGE_EST_RECO_12MONTHS_REUT" hidden="1">"c3945"</definedName>
    <definedName name="IQ_PERCENT_CHANGE_EST_RECO_18MONTHS" hidden="1">"c1837"</definedName>
    <definedName name="IQ_PERCENT_CHANGE_EST_RECO_18MONTHS_REUT" hidden="1">"c3946"</definedName>
    <definedName name="IQ_PERCENT_CHANGE_EST_RECO_3MONTHS" hidden="1">"c1833"</definedName>
    <definedName name="IQ_PERCENT_CHANGE_EST_RECO_3MONTHS_REUT" hidden="1">"c3942"</definedName>
    <definedName name="IQ_PERCENT_CHANGE_EST_RECO_6MONTHS" hidden="1">"c1834"</definedName>
    <definedName name="IQ_PERCENT_CHANGE_EST_RECO_6MONTHS_REUT" hidden="1">"c3943"</definedName>
    <definedName name="IQ_PERCENT_CHANGE_EST_RECO_9MONTHS" hidden="1">"c1835"</definedName>
    <definedName name="IQ_PERCENT_CHANGE_EST_RECO_9MONTHS_REUT" hidden="1">"c3944"</definedName>
    <definedName name="IQ_PERCENT_CHANGE_EST_RECO_DAY" hidden="1">"c1830"</definedName>
    <definedName name="IQ_PERCENT_CHANGE_EST_RECO_DAY_REUT" hidden="1">"c3940"</definedName>
    <definedName name="IQ_PERCENT_CHANGE_EST_RECO_MONTH" hidden="1">"c1832"</definedName>
    <definedName name="IQ_PERCENT_CHANGE_EST_RECO_MONTH_REUT" hidden="1">"c3941"</definedName>
    <definedName name="IQ_PERCENT_CHANGE_EST_RECO_WEEK" hidden="1">"c1831"</definedName>
    <definedName name="IQ_PERCENT_CHANGE_EST_RECO_WEEK_REUT" hidden="1">"c3965"</definedName>
    <definedName name="IQ_PERCENT_CHANGE_EST_REV_12MONTHS" hidden="1">"c1796"</definedName>
    <definedName name="IQ_PERCENT_CHANGE_EST_REV_12MONTHS_REUT" hidden="1">"c3910"</definedName>
    <definedName name="IQ_PERCENT_CHANGE_EST_REV_18MONTHS" hidden="1">"c1797"</definedName>
    <definedName name="IQ_PERCENT_CHANGE_EST_REV_18MONTHS_REUT" hidden="1">"c3911"</definedName>
    <definedName name="IQ_PERCENT_CHANGE_EST_REV_3MONTHS" hidden="1">"c1793"</definedName>
    <definedName name="IQ_PERCENT_CHANGE_EST_REV_3MONTHS_REUT" hidden="1">"c3907"</definedName>
    <definedName name="IQ_PERCENT_CHANGE_EST_REV_6MONTHS" hidden="1">"c1794"</definedName>
    <definedName name="IQ_PERCENT_CHANGE_EST_REV_6MONTHS_REUT" hidden="1">"c3908"</definedName>
    <definedName name="IQ_PERCENT_CHANGE_EST_REV_9MONTHS" hidden="1">"c1795"</definedName>
    <definedName name="IQ_PERCENT_CHANGE_EST_REV_9MONTHS_REUT" hidden="1">"c3909"</definedName>
    <definedName name="IQ_PERCENT_CHANGE_EST_REV_DAY" hidden="1">"c1790"</definedName>
    <definedName name="IQ_PERCENT_CHANGE_EST_REV_DAY_REUT" hidden="1">"c3904"</definedName>
    <definedName name="IQ_PERCENT_CHANGE_EST_REV_MONTH" hidden="1">"c1792"</definedName>
    <definedName name="IQ_PERCENT_CHANGE_EST_REV_MONTH_REUT" hidden="1">"c3906"</definedName>
    <definedName name="IQ_PERCENT_CHANGE_EST_REV_WEEK" hidden="1">"c1791"</definedName>
    <definedName name="IQ_PERCENT_CHANGE_EST_REV_WEEK_REUT" hidden="1">"c3905"</definedName>
    <definedName name="IQ_PERCENT_FLOAT" hidden="1">"c227"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REUT" hidden="1">"c3968"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ICE_CFPS_FWD" hidden="1">"c2237"</definedName>
    <definedName name="IQ_PRICE_CFPS_FWD_REUT" hidden="1">"c4053"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_TARGET" hidden="1">"c82"</definedName>
    <definedName name="IQ_PRICE_TARGET_BOTTOM_UP" hidden="1">"c5486"</definedName>
    <definedName name="IQ_PRICE_TARGET_BOTTOM_UP_REUT" hidden="1">"c5494"</definedName>
    <definedName name="IQ_PRICE_TARGET_REUT" hidden="1">"c3631"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NUM_EST" hidden="1">"c3527"</definedName>
    <definedName name="IQ_RETURN_ASSETS_NUM_EST_REUT" hidden="1">"c3994"</definedName>
    <definedName name="IQ_RETURN_ASSETS_STDDEV_EST" hidden="1">"c3528"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NUM_EST" hidden="1">"c3533"</definedName>
    <definedName name="IQ_RETURN_EQUITY_NUM_EST_REUT" hidden="1">"c3987"</definedName>
    <definedName name="IQ_RETURN_EQUITY_STDDEV_EST" hidden="1">"c3534"</definedName>
    <definedName name="IQ_RETURN_EQUITY_STDDEV_EST_REUT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REUT" hidden="1">"c5461"</definedName>
    <definedName name="IQ_REVENUE_EST" hidden="1">"c1126"</definedName>
    <definedName name="IQ_REVENUE_EST_1" hidden="1">"c190"</definedName>
    <definedName name="IQ_REVENUE_EST_BOTTOM_UP" hidden="1">"c5488"</definedName>
    <definedName name="IQ_REVENUE_EST_BOTTOM_UP_REUT" hidden="1">"c5496"</definedName>
    <definedName name="IQ_REVENUE_EST_REUT" hidden="1">"c3634"</definedName>
    <definedName name="IQ_REVENUE_GROWTH_1" hidden="1">"c155"</definedName>
    <definedName name="IQ_REVENUE_GROWTH_2" hidden="1">"c159"</definedName>
    <definedName name="IQ_REVENUE_GUIDANCE" hidden="1">"c4519"</definedName>
    <definedName name="IQ_REVENUE_HIGH_EST" hidden="1">"c1127"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REUT" hidden="1">"c3635"</definedName>
    <definedName name="IQ_REVENUE_NO_EST" hidden="1">"c263"</definedName>
    <definedName name="IQ_REVENUE_NUM_EST" hidden="1">"c1129"</definedName>
    <definedName name="IQ_REVENUE_NUM_EST_REUT" hidden="1">"c3638"</definedName>
    <definedName name="IQ_REVISION_DATE_" hidden="1">38968.4960416667</definedName>
    <definedName name="IQ_RISK_ADJ_BANK_ASSETS" hidden="1">"c2670"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EST" hidden="1">"c4526"</definedName>
    <definedName name="IQ_TEV_HIGH_EST" hidden="1">"c4527"</definedName>
    <definedName name="IQ_TEV_LOW_EST" hidden="1">"c4528"</definedName>
    <definedName name="IQ_TEV_MEDIAN_EST" hidden="1">"c4529"</definedName>
    <definedName name="IQ_TEV_NUM_EST" hidden="1">"c4530"</definedName>
    <definedName name="IQ_TEV_STDDEV_EST" hidden="1">"c4531"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8" hidden="1">"$A$9:$A$257"</definedName>
    <definedName name="IQRB8" hidden="1">"$B$9:$B$257"</definedName>
    <definedName name="IQRC8" hidden="1">"$C$9:$C$257"</definedName>
    <definedName name="IsColHidden" hidden="1">FALSE</definedName>
    <definedName name="IsLTMColHidden" hidden="1">FALSE</definedName>
    <definedName name="jj" hidden="1">#REF!</definedName>
    <definedName name="JJHH" localSheetId="1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JJHH" localSheetId="1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JJHH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JJHH_1" localSheetId="1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JJHH_1" localSheetId="1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JJHH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JJHH_2" localSheetId="1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JJHH_2" localSheetId="1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JJHH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JJHH_3" localSheetId="1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JJHH_3" localSheetId="1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JJHH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Key2" hidden="1">#REF!</definedName>
    <definedName name="limcount" hidden="1">1</definedName>
    <definedName name="ListOffset" hidden="1">1</definedName>
    <definedName name="ll" hidden="1">#REF!</definedName>
    <definedName name="mlo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lo" localSheetId="1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lo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undo" hidden="1">#REF!</definedName>
    <definedName name="na" hidden="1">#REF!</definedName>
    <definedName name="name_cap" hidden="1">#REF!</definedName>
    <definedName name="new" hidden="1">#REF!</definedName>
    <definedName name="newsheet" localSheetId="11" hidden="1">{"schedule",#N/A,FALSE,"Sum Op's";"input area",#N/A,FALSE,"Sum Op's"}</definedName>
    <definedName name="newsheet" localSheetId="14" hidden="1">{"schedule",#N/A,FALSE,"Sum Op's";"input area",#N/A,FALSE,"Sum Op's"}</definedName>
    <definedName name="newsheet" hidden="1">{"schedule",#N/A,FALSE,"Sum Op's";"input area",#N/A,FALSE,"Sum Op's"}</definedName>
    <definedName name="newsheet1" localSheetId="11" hidden="1">{"schedule",#N/A,FALSE,"Sum Op's";"input area",#N/A,FALSE,"Sum Op's"}</definedName>
    <definedName name="newsheet1" localSheetId="14" hidden="1">{"schedule",#N/A,FALSE,"Sum Op's";"input area",#N/A,FALSE,"Sum Op's"}</definedName>
    <definedName name="newsheet1" hidden="1">{"schedule",#N/A,FALSE,"Sum Op's";"input area",#N/A,FALSE,"Sum Op's"}</definedName>
    <definedName name="nju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ju" localSheetId="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j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oooooooo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oooooooo" localSheetId="1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oooooooo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OOOOOOOOO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OOOOOOOOO" localSheetId="1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OOOOOOOOO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otes" localSheetId="11" hidden="1">{"schedule",#N/A,FALSE,"Sum Op's";"input area",#N/A,FALSE,"Sum Op's"}</definedName>
    <definedName name="Notes" localSheetId="14" hidden="1">{"schedule",#N/A,FALSE,"Sum Op's";"input area",#N/A,FALSE,"Sum Op's"}</definedName>
    <definedName name="Notes" hidden="1">{"schedule",#N/A,FALSE,"Sum Op's";"input area",#N/A,FALSE,"Sum Op's"}</definedName>
    <definedName name="OK" localSheetId="11" hidden="1">{#N/A,#N/A,FALSE,"Cover";#N/A,#N/A,FALSE,"LUMI";#N/A,#N/A,FALSE,"COMD";#N/A,#N/A,FALSE,"Valuation";#N/A,#N/A,FALSE,"Assumptions";#N/A,#N/A,FALSE,"Pooling";#N/A,#N/A,FALSE,"BalanceSheet"}</definedName>
    <definedName name="OK" localSheetId="14" hidden="1">{#N/A,#N/A,FALSE,"Cover";#N/A,#N/A,FALSE,"LUMI";#N/A,#N/A,FALSE,"COMD";#N/A,#N/A,FALSE,"Valuation";#N/A,#N/A,FALSE,"Assumptions";#N/A,#N/A,FALSE,"Pooling";#N/A,#N/A,FALSE,"BalanceSheet"}</definedName>
    <definedName name="OK" hidden="1">{#N/A,#N/A,FALSE,"Cover";#N/A,#N/A,FALSE,"LUMI";#N/A,#N/A,FALSE,"COMD";#N/A,#N/A,FALSE,"Valuation";#N/A,#N/A,FALSE,"Assumptions";#N/A,#N/A,FALSE,"Pooling";#N/A,#N/A,FALSE,"BalanceSheet"}</definedName>
    <definedName name="OK_1" localSheetId="11" hidden="1">{#N/A,#N/A,FALSE,"Cover";#N/A,#N/A,FALSE,"LUMI";#N/A,#N/A,FALSE,"COMD";#N/A,#N/A,FALSE,"Valuation";#N/A,#N/A,FALSE,"Assumptions";#N/A,#N/A,FALSE,"Pooling";#N/A,#N/A,FALSE,"BalanceSheet"}</definedName>
    <definedName name="OK_1" localSheetId="14" hidden="1">{#N/A,#N/A,FALSE,"Cover";#N/A,#N/A,FALSE,"LUMI";#N/A,#N/A,FALSE,"COMD";#N/A,#N/A,FALSE,"Valuation";#N/A,#N/A,FALSE,"Assumptions";#N/A,#N/A,FALSE,"Pooling";#N/A,#N/A,FALSE,"BalanceSheet"}</definedName>
    <definedName name="OK_1" hidden="1">{#N/A,#N/A,FALSE,"Cover";#N/A,#N/A,FALSE,"LUMI";#N/A,#N/A,FALSE,"COMD";#N/A,#N/A,FALSE,"Valuation";#N/A,#N/A,FALSE,"Assumptions";#N/A,#N/A,FALSE,"Pooling";#N/A,#N/A,FALSE,"BalanceSheet"}</definedName>
    <definedName name="OK_2" localSheetId="11" hidden="1">{#N/A,#N/A,FALSE,"Cover";#N/A,#N/A,FALSE,"LUMI";#N/A,#N/A,FALSE,"COMD";#N/A,#N/A,FALSE,"Valuation";#N/A,#N/A,FALSE,"Assumptions";#N/A,#N/A,FALSE,"Pooling";#N/A,#N/A,FALSE,"BalanceSheet"}</definedName>
    <definedName name="OK_2" localSheetId="14" hidden="1">{#N/A,#N/A,FALSE,"Cover";#N/A,#N/A,FALSE,"LUMI";#N/A,#N/A,FALSE,"COMD";#N/A,#N/A,FALSE,"Valuation";#N/A,#N/A,FALSE,"Assumptions";#N/A,#N/A,FALSE,"Pooling";#N/A,#N/A,FALSE,"BalanceSheet"}</definedName>
    <definedName name="OK_2" hidden="1">{#N/A,#N/A,FALSE,"Cover";#N/A,#N/A,FALSE,"LUMI";#N/A,#N/A,FALSE,"COMD";#N/A,#N/A,FALSE,"Valuation";#N/A,#N/A,FALSE,"Assumptions";#N/A,#N/A,FALSE,"Pooling";#N/A,#N/A,FALSE,"BalanceSheet"}</definedName>
    <definedName name="OK_3" localSheetId="11" hidden="1">{#N/A,#N/A,FALSE,"Cover";#N/A,#N/A,FALSE,"LUMI";#N/A,#N/A,FALSE,"COMD";#N/A,#N/A,FALSE,"Valuation";#N/A,#N/A,FALSE,"Assumptions";#N/A,#N/A,FALSE,"Pooling";#N/A,#N/A,FALSE,"BalanceSheet"}</definedName>
    <definedName name="OK_3" localSheetId="14" hidden="1">{#N/A,#N/A,FALSE,"Cover";#N/A,#N/A,FALSE,"LUMI";#N/A,#N/A,FALSE,"COMD";#N/A,#N/A,FALSE,"Valuation";#N/A,#N/A,FALSE,"Assumptions";#N/A,#N/A,FALSE,"Pooling";#N/A,#N/A,FALSE,"BalanceSheet"}</definedName>
    <definedName name="OK_3" hidden="1">{#N/A,#N/A,FALSE,"Cover";#N/A,#N/A,FALSE,"LUMI";#N/A,#N/A,FALSE,"COMD";#N/A,#N/A,FALSE,"Valuation";#N/A,#N/A,FALSE,"Assumptions";#N/A,#N/A,FALSE,"Pooling";#N/A,#N/A,FALSE,"BalanceSheet"}</definedName>
    <definedName name="pi" localSheetId="11" hidden="1">{#N/A,#N/A,FALSE,"MAY96 2260";#N/A,#N/A,FALSE,"system reclass";#N/A,#N/A,FALSE,"Items with no project number"}</definedName>
    <definedName name="pi" localSheetId="14" hidden="1">{#N/A,#N/A,FALSE,"MAY96 2260";#N/A,#N/A,FALSE,"system reclass";#N/A,#N/A,FALSE,"Items with no project number"}</definedName>
    <definedName name="pi" hidden="1">{#N/A,#N/A,FALSE,"MAY96 2260";#N/A,#N/A,FALSE,"system reclass";#N/A,#N/A,FALSE,"Items with no project number"}</definedName>
    <definedName name="pirulo" localSheetId="11" hidden="1">{#N/A,#N/A,FALSE,"MAY96 2260";#N/A,#N/A,FALSE,"system reclass";#N/A,#N/A,FALSE,"Items with no project number"}</definedName>
    <definedName name="pirulo" localSheetId="14" hidden="1">{#N/A,#N/A,FALSE,"MAY96 2260";#N/A,#N/A,FALSE,"system reclass";#N/A,#N/A,FALSE,"Items with no project number"}</definedName>
    <definedName name="pirulo" hidden="1">{#N/A,#N/A,FALSE,"MAY96 2260";#N/A,#N/A,FALSE,"system reclass";#N/A,#N/A,FALSE,"Items with no project number"}</definedName>
    <definedName name="plom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lom" localSheetId="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lom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nt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pnt" localSheetId="1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pnt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ppppp" hidden="1">#REF!</definedName>
    <definedName name="Pres" localSheetId="1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localSheetId="1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int4" localSheetId="1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" localSheetId="1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1" localSheetId="1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1" localSheetId="1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2" localSheetId="1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2" localSheetId="1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3" localSheetId="1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3" localSheetId="1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Q2OH" localSheetId="11" hidden="1">{"schedule",#N/A,FALSE,"Sum Op's";"input area",#N/A,FALSE,"Sum Op's"}</definedName>
    <definedName name="Q2OH" localSheetId="14" hidden="1">{"schedule",#N/A,FALSE,"Sum Op's";"input area",#N/A,FALSE,"Sum Op's"}</definedName>
    <definedName name="Q2OH" hidden="1">{"schedule",#N/A,FALSE,"Sum Op's";"input area",#N/A,FALSE,"Sum Op's"}</definedName>
    <definedName name="qdq" hidden="1">#REF!</definedName>
    <definedName name="qet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et" localSheetId="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e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" localSheetId="11" hidden="1">{"schedule",#N/A,FALSE,"Sum Op's";"input area",#N/A,FALSE,"Sum Op's"}</definedName>
    <definedName name="qq" localSheetId="14" hidden="1">{"schedule",#N/A,FALSE,"Sum Op's";"input area",#N/A,FALSE,"Sum Op's"}</definedName>
    <definedName name="qq" hidden="1">{"schedule",#N/A,FALSE,"Sum Op's";"input area",#N/A,FALSE,"Sum Op's"}</definedName>
    <definedName name="qs" hidden="1">#REF!</definedName>
    <definedName name="qwe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" localSheetId="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QWEQ" localSheetId="11" hidden="1">{"schedule",#N/A,FALSE,"Sum Op's";"input area",#N/A,FALSE,"Sum Op's"}</definedName>
    <definedName name="QWEQWEQ" localSheetId="14" hidden="1">{"schedule",#N/A,FALSE,"Sum Op's";"input area",#N/A,FALSE,"Sum Op's"}</definedName>
    <definedName name="QWEQWEQ" hidden="1">{"schedule",#N/A,FALSE,"Sum Op's";"input area",#N/A,FALSE,"Sum Op's"}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eportGroup" hidden="1">0</definedName>
    <definedName name="revised" localSheetId="11" hidden="1">{"schedule",#N/A,FALSE,"Sum Op's";"input area",#N/A,FALSE,"Sum Op's"}</definedName>
    <definedName name="revised" localSheetId="14" hidden="1">{"schedule",#N/A,FALSE,"Sum Op's";"input area",#N/A,FALSE,"Sum Op's"}</definedName>
    <definedName name="revised" hidden="1">{"schedule",#N/A,FALSE,"Sum Op's";"input area",#N/A,FALSE,"Sum Op's"}</definedName>
    <definedName name="revised1" localSheetId="11" hidden="1">{"schedule",#N/A,FALSE,"Sum Op's";"input area",#N/A,FALSE,"Sum Op's"}</definedName>
    <definedName name="revised1" localSheetId="14" hidden="1">{"schedule",#N/A,FALSE,"Sum Op's";"input area",#N/A,FALSE,"Sum Op's"}</definedName>
    <definedName name="revised1" hidden="1">{"schedule",#N/A,FALSE,"Sum Op's";"input area",#N/A,FALSE,"Sum Op's"}</definedName>
    <definedName name="s" hidden="1">#REF!</definedName>
    <definedName name="SADD" localSheetId="11" hidden="1">{"schedule",#N/A,FALSE,"Sum Op's";"input area",#N/A,FALSE,"Sum Op's"}</definedName>
    <definedName name="SADD" localSheetId="14" hidden="1">{"schedule",#N/A,FALSE,"Sum Op's";"input area",#N/A,FALSE,"Sum Op's"}</definedName>
    <definedName name="SADD" hidden="1">{"schedule",#N/A,FALSE,"Sum Op's";"input area",#N/A,FALSE,"Sum Op's"}</definedName>
    <definedName name="SAPBEXrevision" hidden="1">2</definedName>
    <definedName name="SAPBEXsysID" hidden="1">"BPR"</definedName>
    <definedName name="SAPBEXwbID" hidden="1">"3WO7T0HHM8FN5PSFRU5X3U6RO"</definedName>
    <definedName name="se" localSheetId="1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se" localSheetId="1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se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se_1" localSheetId="1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se_1" localSheetId="1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se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se_2" localSheetId="1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se_2" localSheetId="1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se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se_3" localSheetId="1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se_3" localSheetId="1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se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sencount" hidden="1">1</definedName>
    <definedName name="sin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in" localSheetId="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in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irf" hidden="1">#REF!</definedName>
    <definedName name="son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on" localSheetId="1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on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pectfdi" localSheetId="11" hidden="1">{"schedule",#N/A,FALSE,"Sum Op's";"input area",#N/A,FALSE,"Sum Op's"}</definedName>
    <definedName name="spectfdi" localSheetId="14" hidden="1">{"schedule",#N/A,FALSE,"Sum Op's";"input area",#N/A,FALSE,"Sum Op's"}</definedName>
    <definedName name="spectfdi" hidden="1">{"schedule",#N/A,FALSE,"Sum Op's";"input area",#N/A,FALSE,"Sum Op's"}</definedName>
    <definedName name="STAFF" localSheetId="11" hidden="1">{"schedule",#N/A,FALSE,"Sum Op's";"input area",#N/A,FALSE,"Sum Op's"}</definedName>
    <definedName name="STAFF" localSheetId="14" hidden="1">{"schedule",#N/A,FALSE,"Sum Op's";"input area",#N/A,FALSE,"Sum Op's"}</definedName>
    <definedName name="STAFF" hidden="1">{"schedule",#N/A,FALSE,"Sum Op's";"input area",#N/A,FALSE,"Sum Op's"}</definedName>
    <definedName name="stef" localSheetId="1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localSheetId="1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uff" hidden="1">#REF!</definedName>
    <definedName name="test1" localSheetId="11" hidden="1">{#N/A,#N/A,TRUE,"MAIN FT TERM";#N/A,#N/A,TRUE,"MCI  FT TERM ";#N/A,#N/A,TRUE,"OC12 EQV"}</definedName>
    <definedName name="test1" localSheetId="14" hidden="1">{#N/A,#N/A,TRUE,"MAIN FT TERM";#N/A,#N/A,TRUE,"MCI  FT TERM ";#N/A,#N/A,TRUE,"OC12 EQV"}</definedName>
    <definedName name="test1" hidden="1">{#N/A,#N/A,TRUE,"MAIN FT TERM";#N/A,#N/A,TRUE,"MCI  FT TERM ";#N/A,#N/A,TRUE,"OC12 EQV"}</definedName>
    <definedName name="test1_1" localSheetId="11" hidden="1">{#N/A,#N/A,TRUE,"MAIN FT TERM";#N/A,#N/A,TRUE,"MCI  FT TERM ";#N/A,#N/A,TRUE,"OC12 EQV"}</definedName>
    <definedName name="test1_1" localSheetId="14" hidden="1">{#N/A,#N/A,TRUE,"MAIN FT TERM";#N/A,#N/A,TRUE,"MCI  FT TERM ";#N/A,#N/A,TRUE,"OC12 EQV"}</definedName>
    <definedName name="test1_1" hidden="1">{#N/A,#N/A,TRUE,"MAIN FT TERM";#N/A,#N/A,TRUE,"MCI  FT TERM ";#N/A,#N/A,TRUE,"OC12 EQV"}</definedName>
    <definedName name="test1_2" localSheetId="11" hidden="1">{#N/A,#N/A,TRUE,"MAIN FT TERM";#N/A,#N/A,TRUE,"MCI  FT TERM ";#N/A,#N/A,TRUE,"OC12 EQV"}</definedName>
    <definedName name="test1_2" localSheetId="14" hidden="1">{#N/A,#N/A,TRUE,"MAIN FT TERM";#N/A,#N/A,TRUE,"MCI  FT TERM ";#N/A,#N/A,TRUE,"OC12 EQV"}</definedName>
    <definedName name="test1_2" hidden="1">{#N/A,#N/A,TRUE,"MAIN FT TERM";#N/A,#N/A,TRUE,"MCI  FT TERM ";#N/A,#N/A,TRUE,"OC12 EQV"}</definedName>
    <definedName name="test1_3" localSheetId="11" hidden="1">{#N/A,#N/A,TRUE,"MAIN FT TERM";#N/A,#N/A,TRUE,"MCI  FT TERM ";#N/A,#N/A,TRUE,"OC12 EQV"}</definedName>
    <definedName name="test1_3" localSheetId="14" hidden="1">{#N/A,#N/A,TRUE,"MAIN FT TERM";#N/A,#N/A,TRUE,"MCI  FT TERM ";#N/A,#N/A,TRUE,"OC12 EQV"}</definedName>
    <definedName name="test1_3" hidden="1">{#N/A,#N/A,TRUE,"MAIN FT TERM";#N/A,#N/A,TRUE,"MCI  FT TERM ";#N/A,#N/A,TRUE,"OC12 EQV"}</definedName>
    <definedName name="TextRefCopyRangeCount" hidden="1">1</definedName>
    <definedName name="tge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ge" localSheetId="1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ge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reeList" hidden="1">"00000000000000000000000000000000000000000000000000000000000000000000000000000000000000000000000000000000000000000000000000000000000000000000000000000000000000000000000000000000000000000000000000000000"</definedName>
    <definedName name="trtrt" hidden="1">#REF!</definedName>
    <definedName name="uniw" localSheetId="11" hidden="1">{#N/A,#N/A,FALSE,"Intl Mo Syn"}</definedName>
    <definedName name="uniw" localSheetId="14" hidden="1">{#N/A,#N/A,FALSE,"Intl Mo Syn"}</definedName>
    <definedName name="uniw" hidden="1">{#N/A,#N/A,FALSE,"Intl Mo Syn"}</definedName>
    <definedName name="UntAction" localSheetId="11" hidden="1">{"schedule",#N/A,FALSE,"Sum Op's";"input area",#N/A,FALSE,"Sum Op's"}</definedName>
    <definedName name="UntAction" localSheetId="14" hidden="1">{"schedule",#N/A,FALSE,"Sum Op's";"input area",#N/A,FALSE,"Sum Op's"}</definedName>
    <definedName name="UntAction" hidden="1">{"schedule",#N/A,FALSE,"Sum Op's";"input area",#N/A,FALSE,"Sum Op's"}</definedName>
    <definedName name="Venezuela" localSheetId="11" hidden="1">{"schedule",#N/A,FALSE,"Sum Op's";"input area",#N/A,FALSE,"Sum Op's"}</definedName>
    <definedName name="Venezuela" localSheetId="14" hidden="1">{"schedule",#N/A,FALSE,"Sum Op's";"input area",#N/A,FALSE,"Sum Op's"}</definedName>
    <definedName name="Venezuela" hidden="1">{"schedule",#N/A,FALSE,"Sum Op's";"input area",#N/A,FALSE,"Sum Op's"}</definedName>
    <definedName name="venezuela." localSheetId="11" hidden="1">{"byqtr",#N/A,FALSE,"Worksheet"}</definedName>
    <definedName name="venezuela." localSheetId="14" hidden="1">{"byqtr",#N/A,FALSE,"Worksheet"}</definedName>
    <definedName name="venezuela." hidden="1">{"byqtr",#N/A,FALSE,"Worksheet"}</definedName>
    <definedName name="vfr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vfr" localSheetId="1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vfr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" hidden="1">#REF!</definedName>
    <definedName name="wer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er" localSheetId="1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er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estern" localSheetId="11" hidden="1">{"schedule",#N/A,FALSE,"Sum Op's";"input area",#N/A,FALSE,"Sum Op's"}</definedName>
    <definedName name="western" localSheetId="14" hidden="1">{"schedule",#N/A,FALSE,"Sum Op's";"input area",#N/A,FALSE,"Sum Op's"}</definedName>
    <definedName name="western" hidden="1">{"schedule",#N/A,FALSE,"Sum Op's";"input area",#N/A,FALSE,"Sum Op's"}</definedName>
    <definedName name="wrn.Aging._.and._.Trend._.Analysis." localSheetId="11" hidden="1">{#N/A,#N/A,FALSE,"Aging Summary";#N/A,#N/A,FALSE,"Ratio Analysis";#N/A,#N/A,FALSE,"Test 120 Day Accts";#N/A,#N/A,FALSE,"Tickmarks"}</definedName>
    <definedName name="wrn.Aging._.and._.Trend._.Analysis." localSheetId="14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11" hidden="1">{#N/A,#N/A,FALSE,"CTT";#N/A,#N/A,FALSE,"REC";#N/A,#N/A,FALSE,"INV";#N/A,#N/A,FALSE,"PPE";#N/A,#N/A,FALSE,"GW";#N/A,#N/A,FALSE,"AP";#N/A,#N/A,FALSE,"CO";#N/A,#N/A,FALSE,"RE"}</definedName>
    <definedName name="wrn.ALL." localSheetId="14" hidden="1">{#N/A,#N/A,FALSE,"CTT";#N/A,#N/A,FALSE,"REC";#N/A,#N/A,FALSE,"INV";#N/A,#N/A,FALSE,"PPE";#N/A,#N/A,FALSE,"GW";#N/A,#N/A,FALSE,"AP";#N/A,#N/A,FALSE,"CO";#N/A,#N/A,FALSE,"RE"}</definedName>
    <definedName name="wrn.ALL." hidden="1">{#N/A,#N/A,FALSE,"CTT";#N/A,#N/A,FALSE,"REC";#N/A,#N/A,FALSE,"INV";#N/A,#N/A,FALSE,"PPE";#N/A,#N/A,FALSE,"GW";#N/A,#N/A,FALSE,"AP";#N/A,#N/A,FALSE,"CO";#N/A,#N/A,FALSE,"RE"}</definedName>
    <definedName name="wrn.all._.sheets." localSheetId="11" hidden="1">{#N/A,#N/A,TRUE,"MAIN FT TERM";#N/A,#N/A,TRUE,"MCI  FT TERM ";#N/A,#N/A,TRUE,"OC12 EQV"}</definedName>
    <definedName name="wrn.all._.sheets." localSheetId="14" hidden="1">{#N/A,#N/A,TRUE,"MAIN FT TERM";#N/A,#N/A,TRUE,"MCI  FT TERM ";#N/A,#N/A,TRUE,"OC12 EQV"}</definedName>
    <definedName name="wrn.all._.sheets." hidden="1">{#N/A,#N/A,TRUE,"MAIN FT TERM";#N/A,#N/A,TRUE,"MCI  FT TERM ";#N/A,#N/A,TRUE,"OC12 EQV"}</definedName>
    <definedName name="wrn.all._.sheets._1" localSheetId="11" hidden="1">{#N/A,#N/A,TRUE,"MAIN FT TERM";#N/A,#N/A,TRUE,"MCI  FT TERM ";#N/A,#N/A,TRUE,"OC12 EQV"}</definedName>
    <definedName name="wrn.all._.sheets._1" localSheetId="14" hidden="1">{#N/A,#N/A,TRUE,"MAIN FT TERM";#N/A,#N/A,TRUE,"MCI  FT TERM ";#N/A,#N/A,TRUE,"OC12 EQV"}</definedName>
    <definedName name="wrn.all._.sheets._1" hidden="1">{#N/A,#N/A,TRUE,"MAIN FT TERM";#N/A,#N/A,TRUE,"MCI  FT TERM ";#N/A,#N/A,TRUE,"OC12 EQV"}</definedName>
    <definedName name="wrn.all._.sheets._2" localSheetId="11" hidden="1">{#N/A,#N/A,TRUE,"MAIN FT TERM";#N/A,#N/A,TRUE,"MCI  FT TERM ";#N/A,#N/A,TRUE,"OC12 EQV"}</definedName>
    <definedName name="wrn.all._.sheets._2" localSheetId="14" hidden="1">{#N/A,#N/A,TRUE,"MAIN FT TERM";#N/A,#N/A,TRUE,"MCI  FT TERM ";#N/A,#N/A,TRUE,"OC12 EQV"}</definedName>
    <definedName name="wrn.all._.sheets._2" hidden="1">{#N/A,#N/A,TRUE,"MAIN FT TERM";#N/A,#N/A,TRUE,"MCI  FT TERM ";#N/A,#N/A,TRUE,"OC12 EQV"}</definedName>
    <definedName name="wrn.all._.sheets._3" localSheetId="11" hidden="1">{#N/A,#N/A,TRUE,"MAIN FT TERM";#N/A,#N/A,TRUE,"MCI  FT TERM ";#N/A,#N/A,TRUE,"OC12 EQV"}</definedName>
    <definedName name="wrn.all._.sheets._3" localSheetId="14" hidden="1">{#N/A,#N/A,TRUE,"MAIN FT TERM";#N/A,#N/A,TRUE,"MCI  FT TERM ";#N/A,#N/A,TRUE,"OC12 EQV"}</definedName>
    <definedName name="wrn.all._.sheets._3" hidden="1">{#N/A,#N/A,TRUE,"MAIN FT TERM";#N/A,#N/A,TRUE,"MCI  FT TERM ";#N/A,#N/A,TRUE,"OC12 EQV"}</definedName>
    <definedName name="wrn.all._1" localSheetId="11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1" localSheetId="14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1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2" localSheetId="11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2" localSheetId="14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3" localSheetId="11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3" localSheetId="14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3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BALANCE._.SHEET." localSheetId="11" hidden="1">{"page1",#N/A,FALSE,"Summary";"page2",#N/A,FALSE,"Summary";"page3",#N/A,FALSE,"Summary";"page4",#N/A,FALSE,"Summary";"page5",#N/A,FALSE,"Summary";"page6",#N/A,FALSE,"Summary"}</definedName>
    <definedName name="wrn.BALANCE._.SHEET." localSheetId="14" hidden="1">{"page1",#N/A,FALSE,"Summary";"page2",#N/A,FALSE,"Summary";"page3",#N/A,FALSE,"Summary";"page4",#N/A,FALSE,"Summary";"page5",#N/A,FALSE,"Summary";"page6",#N/A,FALSE,"Summary"}</definedName>
    <definedName name="wrn.BALANCE._.SHEET." hidden="1">{"page1",#N/A,FALSE,"Summary";"page2",#N/A,FALSE,"Summary";"page3",#N/A,FALSE,"Summary";"page4",#N/A,FALSE,"Summary";"page5",#N/A,FALSE,"Summary";"page6",#N/A,FALSE,"Summary"}</definedName>
    <definedName name="wrn.Balance._.Sheet._1" localSheetId="11" hidden="1">{#N/A,#N/A,FALSE,"Adj2BS";#N/A,#N/A,FALSE,"AdjBS";#N/A,#N/A,FALSE,"AdjBS_CS"}</definedName>
    <definedName name="wrn.Balance._.Sheet._1" localSheetId="14" hidden="1">{#N/A,#N/A,FALSE,"Adj2BS";#N/A,#N/A,FALSE,"AdjBS";#N/A,#N/A,FALSE,"AdjBS_CS"}</definedName>
    <definedName name="wrn.Balance._.Sheet._1" hidden="1">{#N/A,#N/A,FALSE,"Adj2BS";#N/A,#N/A,FALSE,"AdjBS";#N/A,#N/A,FALSE,"AdjBS_CS"}</definedName>
    <definedName name="wrn.Balance._.Sheet._2" localSheetId="11" hidden="1">{#N/A,#N/A,FALSE,"Adj2BS";#N/A,#N/A,FALSE,"AdjBS";#N/A,#N/A,FALSE,"AdjBS_CS"}</definedName>
    <definedName name="wrn.Balance._.Sheet._2" localSheetId="14" hidden="1">{#N/A,#N/A,FALSE,"Adj2BS";#N/A,#N/A,FALSE,"AdjBS";#N/A,#N/A,FALSE,"AdjBS_CS"}</definedName>
    <definedName name="wrn.Balance._.Sheet._2" hidden="1">{#N/A,#N/A,FALSE,"Adj2BS";#N/A,#N/A,FALSE,"AdjBS";#N/A,#N/A,FALSE,"AdjBS_CS"}</definedName>
    <definedName name="wrn.Balance._.Sheet._3" localSheetId="11" hidden="1">{#N/A,#N/A,FALSE,"Adj2BS";#N/A,#N/A,FALSE,"AdjBS";#N/A,#N/A,FALSE,"AdjBS_CS"}</definedName>
    <definedName name="wrn.Balance._.Sheet._3" localSheetId="14" hidden="1">{#N/A,#N/A,FALSE,"Adj2BS";#N/A,#N/A,FALSE,"AdjBS";#N/A,#N/A,FALSE,"AdjBS_CS"}</definedName>
    <definedName name="wrn.Balance._.Sheet._3" hidden="1">{#N/A,#N/A,FALSE,"Adj2BS";#N/A,#N/A,FALSE,"AdjBS";#N/A,#N/A,FALSE,"AdjBS_CS"}</definedName>
    <definedName name="wrn.Basic." localSheetId="11" hidden="1">{#N/A,#N/A,FALSE,"Cover";#N/A,#N/A,FALSE,"Assumptions";#N/A,#N/A,FALSE,"Acquirer";#N/A,#N/A,FALSE,"Target";#N/A,#N/A,FALSE,"Income Statement";#N/A,#N/A,FALSE,"Summary Tables"}</definedName>
    <definedName name="wrn.Basic." localSheetId="14" hidden="1">{#N/A,#N/A,FALSE,"Cover";#N/A,#N/A,FALSE,"Assumptions";#N/A,#N/A,FALSE,"Acquirer";#N/A,#N/A,FALSE,"Target";#N/A,#N/A,FALSE,"Income Statement";#N/A,#N/A,FALSE,"Summary Tables"}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1" localSheetId="11" hidden="1">{#N/A,#N/A,FALSE,"Cover";#N/A,#N/A,FALSE,"Assumptions";#N/A,#N/A,FALSE,"Acquirer";#N/A,#N/A,FALSE,"Target";#N/A,#N/A,FALSE,"Income Statement";#N/A,#N/A,FALSE,"Summary Tables"}</definedName>
    <definedName name="wrn.Basic._1" localSheetId="14" hidden="1">{#N/A,#N/A,FALSE,"Cover";#N/A,#N/A,FALSE,"Assumptions";#N/A,#N/A,FALSE,"Acquirer";#N/A,#N/A,FALSE,"Target";#N/A,#N/A,FALSE,"Income Statement";#N/A,#N/A,FALSE,"Summary Tables"}</definedName>
    <definedName name="wrn.Basic._1" hidden="1">{#N/A,#N/A,FALSE,"Cover";#N/A,#N/A,FALSE,"Assumptions";#N/A,#N/A,FALSE,"Acquirer";#N/A,#N/A,FALSE,"Target";#N/A,#N/A,FALSE,"Income Statement";#N/A,#N/A,FALSE,"Summary Tables"}</definedName>
    <definedName name="wrn.Basic._2" localSheetId="11" hidden="1">{#N/A,#N/A,FALSE,"Cover";#N/A,#N/A,FALSE,"Assumptions";#N/A,#N/A,FALSE,"Acquirer";#N/A,#N/A,FALSE,"Target";#N/A,#N/A,FALSE,"Income Statement";#N/A,#N/A,FALSE,"Summary Tables"}</definedName>
    <definedName name="wrn.Basic._2" localSheetId="14" hidden="1">{#N/A,#N/A,FALSE,"Cover";#N/A,#N/A,FALSE,"Assumptions";#N/A,#N/A,FALSE,"Acquirer";#N/A,#N/A,FALSE,"Target";#N/A,#N/A,FALSE,"Income Statement";#N/A,#N/A,FALSE,"Summary Tables"}</definedName>
    <definedName name="wrn.Basic._2" hidden="1">{#N/A,#N/A,FALSE,"Cover";#N/A,#N/A,FALSE,"Assumptions";#N/A,#N/A,FALSE,"Acquirer";#N/A,#N/A,FALSE,"Target";#N/A,#N/A,FALSE,"Income Statement";#N/A,#N/A,FALSE,"Summary Tables"}</definedName>
    <definedName name="wrn.Basic._3" localSheetId="11" hidden="1">{#N/A,#N/A,FALSE,"Cover";#N/A,#N/A,FALSE,"Assumptions";#N/A,#N/A,FALSE,"Acquirer";#N/A,#N/A,FALSE,"Target";#N/A,#N/A,FALSE,"Income Statement";#N/A,#N/A,FALSE,"Summary Tables"}</definedName>
    <definedName name="wrn.Basic._3" localSheetId="14" hidden="1">{#N/A,#N/A,FALSE,"Cover";#N/A,#N/A,FALSE,"Assumptions";#N/A,#N/A,FALSE,"Acquirer";#N/A,#N/A,FALSE,"Target";#N/A,#N/A,FALSE,"Income Statement";#N/A,#N/A,FALSE,"Summary Tables"}</definedName>
    <definedName name="wrn.Basic._3" hidden="1">{#N/A,#N/A,FALSE,"Cover";#N/A,#N/A,FALSE,"Assumptions";#N/A,#N/A,FALSE,"Acquirer";#N/A,#N/A,FALSE,"Target";#N/A,#N/A,FALSE,"Income Statement";#N/A,#N/A,FALSE,"Summary Tables"}</definedName>
    <definedName name="wrn.Book." localSheetId="11" hidden="1">{"EVA",#N/A,FALSE,"SMT2";#N/A,#N/A,FALSE,"Summary";#N/A,#N/A,FALSE,"Graphs";#N/A,#N/A,FALSE,"4 Panel"}</definedName>
    <definedName name="wrn.Book." localSheetId="14" hidden="1">{"EVA",#N/A,FALSE,"SMT2";#N/A,#N/A,FALSE,"Summary";#N/A,#N/A,FALSE,"Graphs";#N/A,#N/A,FALSE,"4 Panel"}</definedName>
    <definedName name="wrn.Book." hidden="1">{"EVA",#N/A,FALSE,"SMT2";#N/A,#N/A,FALSE,"Summary";#N/A,#N/A,FALSE,"Graphs";#N/A,#N/A,FALSE,"4 Panel"}</definedName>
    <definedName name="wrn.bud" localSheetId="11" hidden="1">{"byqtr",#N/A,FALSE,"Worksheet"}</definedName>
    <definedName name="wrn.bud" localSheetId="14" hidden="1">{"byqtr",#N/A,FALSE,"Worksheet"}</definedName>
    <definedName name="wrn.bud" hidden="1">{"byqtr",#N/A,FALSE,"Worksheet"}</definedName>
    <definedName name="wrn.Calcs._.and._.Exhbts." localSheetId="11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lcs._.and._.Exhbts." localSheetId="14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lcs._.and._.Exhbts.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lcs._.and._.Exhbts._1" localSheetId="11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lcs._.and._.Exhbts._1" localSheetId="14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lcs._.and._.Exhbts._1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lcs._.and._.Exhbts._2" localSheetId="11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lcs._.and._.Exhbts._2" localSheetId="14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lcs._.and._.Exhbts._2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lcs._.and._.Exhbts._3" localSheetId="11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lcs._.and._.Exhbts._3" localSheetId="14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lcs._.and._.Exhbts._3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lientcopy." localSheetId="1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localSheetId="1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" localSheetId="1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" localSheetId="1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2" localSheetId="1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2" localSheetId="1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3" localSheetId="1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3" localSheetId="1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plete." localSheetId="11" hidden="1">{#N/A,#N/A,FALSE,"SMT1";#N/A,#N/A,FALSE,"SMT2";#N/A,#N/A,FALSE,"Summary";#N/A,#N/A,FALSE,"Graphs";#N/A,#N/A,FALSE,"4 Panel"}</definedName>
    <definedName name="wrn.Complete." localSheetId="14" hidden="1">{#N/A,#N/A,FALSE,"SMT1";#N/A,#N/A,FALSE,"SMT2";#N/A,#N/A,FALSE,"Summary";#N/A,#N/A,FALSE,"Graphs";#N/A,#N/A,FALSE,"4 Panel"}</definedName>
    <definedName name="wrn.Complete." hidden="1">{#N/A,#N/A,FALSE,"SMT1";#N/A,#N/A,FALSE,"SMT2";#N/A,#N/A,FALSE,"Summary";#N/A,#N/A,FALSE,"Graphs";#N/A,#N/A,FALSE,"4 Panel"}</definedName>
    <definedName name="wrn.Complete._.Set." localSheetId="11" hidden="1">{#N/A,#N/A,FALSE,"Full";#N/A,#N/A,FALSE,"Half";#N/A,#N/A,FALSE,"Op Expenses";#N/A,#N/A,FALSE,"Cap Charge";#N/A,#N/A,FALSE,"Cost C";#N/A,#N/A,FALSE,"PP&amp;E";#N/A,#N/A,FALSE,"R&amp;D"}</definedName>
    <definedName name="wrn.Complete._.Set." localSheetId="14" hidden="1">{#N/A,#N/A,FALSE,"Full";#N/A,#N/A,FALSE,"Half";#N/A,#N/A,FALSE,"Op Expenses";#N/A,#N/A,FALSE,"Cap Charge";#N/A,#N/A,FALSE,"Cost C";#N/A,#N/A,FALSE,"PP&amp;E";#N/A,#N/A,FALSE,"R&amp;D"}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database." localSheetId="11" hidden="1">{"subs",#N/A,FALSE,"database ";"proportional",#N/A,FALSE,"database "}</definedName>
    <definedName name="wrn.database." localSheetId="14" hidden="1">{"subs",#N/A,FALSE,"database ";"proportional",#N/A,FALSE,"database "}</definedName>
    <definedName name="wrn.database." hidden="1">{"subs",#N/A,FALSE,"database ";"proportional",#N/A,FALSE,"database "}</definedName>
    <definedName name="wrn.DCF." localSheetId="11" hidden="1">{#N/A,#N/A,FALSE,"Brad_DCFM";#N/A,#N/A,FALSE,"Nick_DCFM";#N/A,#N/A,FALSE,"Mobile_DCFM"}</definedName>
    <definedName name="wrn.DCF." localSheetId="14" hidden="1">{#N/A,#N/A,FALSE,"Brad_DCFM";#N/A,#N/A,FALSE,"Nick_DCFM";#N/A,#N/A,FALSE,"Mobile_DCFM"}</definedName>
    <definedName name="wrn.DCF." hidden="1">{#N/A,#N/A,FALSE,"Brad_DCFM";#N/A,#N/A,FALSE,"Nick_DCFM";#N/A,#N/A,FALSE,"Mobile_DCFM"}</definedName>
    <definedName name="wrn.DCF._1" localSheetId="11" hidden="1">{#N/A,#N/A,FALSE,"Brad_DCFM";#N/A,#N/A,FALSE,"Nick_DCFM";#N/A,#N/A,FALSE,"Mobile_DCFM"}</definedName>
    <definedName name="wrn.DCF._1" localSheetId="14" hidden="1">{#N/A,#N/A,FALSE,"Brad_DCFM";#N/A,#N/A,FALSE,"Nick_DCFM";#N/A,#N/A,FALSE,"Mobile_DCFM"}</definedName>
    <definedName name="wrn.DCF._1" hidden="1">{#N/A,#N/A,FALSE,"Brad_DCFM";#N/A,#N/A,FALSE,"Nick_DCFM";#N/A,#N/A,FALSE,"Mobile_DCFM"}</definedName>
    <definedName name="wrn.DCF._2" localSheetId="11" hidden="1">{#N/A,#N/A,FALSE,"Brad_DCFM";#N/A,#N/A,FALSE,"Nick_DCFM";#N/A,#N/A,FALSE,"Mobile_DCFM"}</definedName>
    <definedName name="wrn.DCF._2" localSheetId="14" hidden="1">{#N/A,#N/A,FALSE,"Brad_DCFM";#N/A,#N/A,FALSE,"Nick_DCFM";#N/A,#N/A,FALSE,"Mobile_DCFM"}</definedName>
    <definedName name="wrn.DCF._2" hidden="1">{#N/A,#N/A,FALSE,"Brad_DCFM";#N/A,#N/A,FALSE,"Nick_DCFM";#N/A,#N/A,FALSE,"Mobile_DCFM"}</definedName>
    <definedName name="wrn.DCF._3" localSheetId="11" hidden="1">{#N/A,#N/A,FALSE,"Brad_DCFM";#N/A,#N/A,FALSE,"Nick_DCFM";#N/A,#N/A,FALSE,"Mobile_DCFM"}</definedName>
    <definedName name="wrn.DCF._3" localSheetId="14" hidden="1">{#N/A,#N/A,FALSE,"Brad_DCFM";#N/A,#N/A,FALSE,"Nick_DCFM";#N/A,#N/A,FALSE,"Mobile_DCFM"}</definedName>
    <definedName name="wrn.DCF._3" hidden="1">{#N/A,#N/A,FALSE,"Brad_DCFM";#N/A,#N/A,FALSE,"Nick_DCFM";#N/A,#N/A,FALSE,"Mobile_DCFM"}</definedName>
    <definedName name="wrn.Dynamic._.DCF." localSheetId="11" hidden="1">{#N/A,#N/A,FALSE,"Cover";#N/A,#N/A,FALSE,"Output";#N/A,#N/A,FALSE,"Comps";#N/A,#N/A,FALSE,"Control (In)";#N/A,#N/A,FALSE,"Assumptions (In)";#N/A,#N/A,FALSE,"DCF I ";#N/A,#N/A,FALSE,"Options";#N/A,#N/A,FALSE,"Lease convertor"}</definedName>
    <definedName name="wrn.Dynamic._.DCF." localSheetId="14" hidden="1">{#N/A,#N/A,FALSE,"Cover";#N/A,#N/A,FALSE,"Output";#N/A,#N/A,FALSE,"Comps";#N/A,#N/A,FALSE,"Control (In)";#N/A,#N/A,FALSE,"Assumptions (In)";#N/A,#N/A,FALSE,"DCF I ";#N/A,#N/A,FALSE,"Options";#N/A,#N/A,FALSE,"Lease convertor"}</definedName>
    <definedName name="wrn.Dynamic._.DCF." hidden="1">{#N/A,#N/A,FALSE,"Cover";#N/A,#N/A,FALSE,"Output";#N/A,#N/A,FALSE,"Comps";#N/A,#N/A,FALSE,"Control (In)";#N/A,#N/A,FALSE,"Assumptions (In)";#N/A,#N/A,FALSE,"DCF I ";#N/A,#N/A,FALSE,"Options";#N/A,#N/A,FALSE,"Lease convertor"}</definedName>
    <definedName name="wrn.Earnings._.Model." localSheetId="1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1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localSheetId="1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localSheetId="1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" localSheetId="1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" localSheetId="1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3" localSheetId="1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3" localSheetId="1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verything." localSheetId="11" hidden="1">{#N/A,#N/A,FALSE,"Adj2PL";#N/A,#N/A,FALSE,"AdjPL";#N/A,#N/A,FALSE,"AdjPLCS";#N/A,#N/A,FALSE,"AdjPLGR";#N/A,#N/A,FALSE,"Adj2BS";#N/A,#N/A,FALSE,"AdjBS";#N/A,#N/A,FALSE,"AdjBS_CS";#N/A,#N/A,FALSE,"AdjFA";#N/A,#N/A,FALSE,"IncApp";#N/A,#N/A,FALSE,"Incappexh";#N/A,#N/A,FALSE,"WACC_Mults_Other Inputs 97";#N/A,#N/A,FALSE,"SuppInc App";#N/A,#N/A,FALSE,"AsstApp";#N/A,#N/A,FALSE,"MktApp";#N/A,#N/A,FALSE,"Crltn 97";#N/A,#N/A,FALSE,"Amort"}</definedName>
    <definedName name="wrn.Everything." localSheetId="14" hidden="1">{#N/A,#N/A,FALSE,"Adj2PL";#N/A,#N/A,FALSE,"AdjPL";#N/A,#N/A,FALSE,"AdjPLCS";#N/A,#N/A,FALSE,"AdjPLGR";#N/A,#N/A,FALSE,"Adj2BS";#N/A,#N/A,FALSE,"AdjBS";#N/A,#N/A,FALSE,"AdjBS_CS";#N/A,#N/A,FALSE,"AdjFA";#N/A,#N/A,FALSE,"IncApp";#N/A,#N/A,FALSE,"Incappexh";#N/A,#N/A,FALSE,"WACC_Mults_Other Inputs 97";#N/A,#N/A,FALSE,"SuppInc App";#N/A,#N/A,FALSE,"AsstApp";#N/A,#N/A,FALSE,"MktApp";#N/A,#N/A,FALSE,"Crltn 97";#N/A,#N/A,FALSE,"Amort"}</definedName>
    <definedName name="wrn.Everything." hidden="1">{#N/A,#N/A,FALSE,"Adj2PL";#N/A,#N/A,FALSE,"AdjPL";#N/A,#N/A,FALSE,"AdjPLCS";#N/A,#N/A,FALSE,"AdjPLGR";#N/A,#N/A,FALSE,"Adj2BS";#N/A,#N/A,FALSE,"AdjBS";#N/A,#N/A,FALSE,"AdjBS_CS";#N/A,#N/A,FALSE,"AdjFA";#N/A,#N/A,FALSE,"IncApp";#N/A,#N/A,FALSE,"Incappexh";#N/A,#N/A,FALSE,"WACC_Mults_Other Inputs 97";#N/A,#N/A,FALSE,"SuppInc App";#N/A,#N/A,FALSE,"AsstApp";#N/A,#N/A,FALSE,"MktApp";#N/A,#N/A,FALSE,"Crltn 97";#N/A,#N/A,FALSE,"Amort"}</definedName>
    <definedName name="wrn.Everything._1" localSheetId="11" hidden="1">{#N/A,#N/A,FALSE,"Adj2PL";#N/A,#N/A,FALSE,"AdjPL";#N/A,#N/A,FALSE,"AdjPLCS";#N/A,#N/A,FALSE,"AdjPLGR";#N/A,#N/A,FALSE,"Adj2BS";#N/A,#N/A,FALSE,"AdjBS";#N/A,#N/A,FALSE,"AdjBS_CS";#N/A,#N/A,FALSE,"AdjFA";#N/A,#N/A,FALSE,"IncApp";#N/A,#N/A,FALSE,"Incappexh";#N/A,#N/A,FALSE,"WACC_Mults_Other Inputs 97";#N/A,#N/A,FALSE,"SuppInc App";#N/A,#N/A,FALSE,"AsstApp";#N/A,#N/A,FALSE,"MktApp";#N/A,#N/A,FALSE,"Crltn 97";#N/A,#N/A,FALSE,"Amort"}</definedName>
    <definedName name="wrn.Everything._1" localSheetId="14" hidden="1">{#N/A,#N/A,FALSE,"Adj2PL";#N/A,#N/A,FALSE,"AdjPL";#N/A,#N/A,FALSE,"AdjPLCS";#N/A,#N/A,FALSE,"AdjPLGR";#N/A,#N/A,FALSE,"Adj2BS";#N/A,#N/A,FALSE,"AdjBS";#N/A,#N/A,FALSE,"AdjBS_CS";#N/A,#N/A,FALSE,"AdjFA";#N/A,#N/A,FALSE,"IncApp";#N/A,#N/A,FALSE,"Incappexh";#N/A,#N/A,FALSE,"WACC_Mults_Other Inputs 97";#N/A,#N/A,FALSE,"SuppInc App";#N/A,#N/A,FALSE,"AsstApp";#N/A,#N/A,FALSE,"MktApp";#N/A,#N/A,FALSE,"Crltn 97";#N/A,#N/A,FALSE,"Amort"}</definedName>
    <definedName name="wrn.Everything._1" hidden="1">{#N/A,#N/A,FALSE,"Adj2PL";#N/A,#N/A,FALSE,"AdjPL";#N/A,#N/A,FALSE,"AdjPLCS";#N/A,#N/A,FALSE,"AdjPLGR";#N/A,#N/A,FALSE,"Adj2BS";#N/A,#N/A,FALSE,"AdjBS";#N/A,#N/A,FALSE,"AdjBS_CS";#N/A,#N/A,FALSE,"AdjFA";#N/A,#N/A,FALSE,"IncApp";#N/A,#N/A,FALSE,"Incappexh";#N/A,#N/A,FALSE,"WACC_Mults_Other Inputs 97";#N/A,#N/A,FALSE,"SuppInc App";#N/A,#N/A,FALSE,"AsstApp";#N/A,#N/A,FALSE,"MktApp";#N/A,#N/A,FALSE,"Crltn 97";#N/A,#N/A,FALSE,"Amort"}</definedName>
    <definedName name="wrn.Everything._2" localSheetId="11" hidden="1">{#N/A,#N/A,FALSE,"Adj2PL";#N/A,#N/A,FALSE,"AdjPL";#N/A,#N/A,FALSE,"AdjPLCS";#N/A,#N/A,FALSE,"AdjPLGR";#N/A,#N/A,FALSE,"Adj2BS";#N/A,#N/A,FALSE,"AdjBS";#N/A,#N/A,FALSE,"AdjBS_CS";#N/A,#N/A,FALSE,"AdjFA";#N/A,#N/A,FALSE,"IncApp";#N/A,#N/A,FALSE,"Incappexh";#N/A,#N/A,FALSE,"WACC_Mults_Other Inputs 97";#N/A,#N/A,FALSE,"SuppInc App";#N/A,#N/A,FALSE,"AsstApp";#N/A,#N/A,FALSE,"MktApp";#N/A,#N/A,FALSE,"Crltn 97";#N/A,#N/A,FALSE,"Amort"}</definedName>
    <definedName name="wrn.Everything._2" localSheetId="14" hidden="1">{#N/A,#N/A,FALSE,"Adj2PL";#N/A,#N/A,FALSE,"AdjPL";#N/A,#N/A,FALSE,"AdjPLCS";#N/A,#N/A,FALSE,"AdjPLGR";#N/A,#N/A,FALSE,"Adj2BS";#N/A,#N/A,FALSE,"AdjBS";#N/A,#N/A,FALSE,"AdjBS_CS";#N/A,#N/A,FALSE,"AdjFA";#N/A,#N/A,FALSE,"IncApp";#N/A,#N/A,FALSE,"Incappexh";#N/A,#N/A,FALSE,"WACC_Mults_Other Inputs 97";#N/A,#N/A,FALSE,"SuppInc App";#N/A,#N/A,FALSE,"AsstApp";#N/A,#N/A,FALSE,"MktApp";#N/A,#N/A,FALSE,"Crltn 97";#N/A,#N/A,FALSE,"Amort"}</definedName>
    <definedName name="wrn.Everything._2" hidden="1">{#N/A,#N/A,FALSE,"Adj2PL";#N/A,#N/A,FALSE,"AdjPL";#N/A,#N/A,FALSE,"AdjPLCS";#N/A,#N/A,FALSE,"AdjPLGR";#N/A,#N/A,FALSE,"Adj2BS";#N/A,#N/A,FALSE,"AdjBS";#N/A,#N/A,FALSE,"AdjBS_CS";#N/A,#N/A,FALSE,"AdjFA";#N/A,#N/A,FALSE,"IncApp";#N/A,#N/A,FALSE,"Incappexh";#N/A,#N/A,FALSE,"WACC_Mults_Other Inputs 97";#N/A,#N/A,FALSE,"SuppInc App";#N/A,#N/A,FALSE,"AsstApp";#N/A,#N/A,FALSE,"MktApp";#N/A,#N/A,FALSE,"Crltn 97";#N/A,#N/A,FALSE,"Amort"}</definedName>
    <definedName name="wrn.Everything._3" localSheetId="11" hidden="1">{#N/A,#N/A,FALSE,"Adj2PL";#N/A,#N/A,FALSE,"AdjPL";#N/A,#N/A,FALSE,"AdjPLCS";#N/A,#N/A,FALSE,"AdjPLGR";#N/A,#N/A,FALSE,"Adj2BS";#N/A,#N/A,FALSE,"AdjBS";#N/A,#N/A,FALSE,"AdjBS_CS";#N/A,#N/A,FALSE,"AdjFA";#N/A,#N/A,FALSE,"IncApp";#N/A,#N/A,FALSE,"Incappexh";#N/A,#N/A,FALSE,"WACC_Mults_Other Inputs 97";#N/A,#N/A,FALSE,"SuppInc App";#N/A,#N/A,FALSE,"AsstApp";#N/A,#N/A,FALSE,"MktApp";#N/A,#N/A,FALSE,"Crltn 97";#N/A,#N/A,FALSE,"Amort"}</definedName>
    <definedName name="wrn.Everything._3" localSheetId="14" hidden="1">{#N/A,#N/A,FALSE,"Adj2PL";#N/A,#N/A,FALSE,"AdjPL";#N/A,#N/A,FALSE,"AdjPLCS";#N/A,#N/A,FALSE,"AdjPLGR";#N/A,#N/A,FALSE,"Adj2BS";#N/A,#N/A,FALSE,"AdjBS";#N/A,#N/A,FALSE,"AdjBS_CS";#N/A,#N/A,FALSE,"AdjFA";#N/A,#N/A,FALSE,"IncApp";#N/A,#N/A,FALSE,"Incappexh";#N/A,#N/A,FALSE,"WACC_Mults_Other Inputs 97";#N/A,#N/A,FALSE,"SuppInc App";#N/A,#N/A,FALSE,"AsstApp";#N/A,#N/A,FALSE,"MktApp";#N/A,#N/A,FALSE,"Crltn 97";#N/A,#N/A,FALSE,"Amort"}</definedName>
    <definedName name="wrn.Everything._3" hidden="1">{#N/A,#N/A,FALSE,"Adj2PL";#N/A,#N/A,FALSE,"AdjPL";#N/A,#N/A,FALSE,"AdjPLCS";#N/A,#N/A,FALSE,"AdjPLGR";#N/A,#N/A,FALSE,"Adj2BS";#N/A,#N/A,FALSE,"AdjBS";#N/A,#N/A,FALSE,"AdjBS_CS";#N/A,#N/A,FALSE,"AdjFA";#N/A,#N/A,FALSE,"IncApp";#N/A,#N/A,FALSE,"Incappexh";#N/A,#N/A,FALSE,"WACC_Mults_Other Inputs 97";#N/A,#N/A,FALSE,"SuppInc App";#N/A,#N/A,FALSE,"AsstApp";#N/A,#N/A,FALSE,"MktApp";#N/A,#N/A,FALSE,"Crltn 97";#N/A,#N/A,FALSE,"Amort"}</definedName>
    <definedName name="wrn.filecopy." localSheetId="1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localSheetId="14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" localSheetId="1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" localSheetId="14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2" localSheetId="1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2" localSheetId="14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2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3" localSheetId="1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3" localSheetId="14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3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nancial._.Statements." localSheetId="11" hidden="1">{"Stmt of Ops",#N/A,FALSE,"Statement of Operations";"Stmt of Ops - non-GAAP",#N/A,FALSE,"Stmt of Ops_non GAAP analysis";"BS &amp; CF",#N/A,FALSE,"Balsheet &amp; Cashflow";"CapEx buildup",#N/A,FALSE,"CapEx Buildup";"headcount buildup",#N/A,FALSE,"Headcount Buildup";"expense summary",#N/A,FALSE,"Expense Summary"}</definedName>
    <definedName name="wrn.Financial._.Statements." localSheetId="14" hidden="1">{"Stmt of Ops",#N/A,FALSE,"Statement of Operations";"Stmt of Ops - non-GAAP",#N/A,FALSE,"Stmt of Ops_non GAAP analysis";"BS &amp; CF",#N/A,FALSE,"Balsheet &amp; Cashflow";"CapEx buildup",#N/A,FALSE,"CapEx Buildup";"headcount buildup",#N/A,FALSE,"Headcount Buildup";"expense summary",#N/A,FALSE,"Expense Summary"}</definedName>
    <definedName name="wrn.Financial._.Statements." hidden="1">{"Stmt of Ops",#N/A,FALSE,"Statement of Operations";"Stmt of Ops - non-GAAP",#N/A,FALSE,"Stmt of Ops_non GAAP analysis";"BS &amp; CF",#N/A,FALSE,"Balsheet &amp; Cashflow";"CapEx buildup",#N/A,FALSE,"CapEx Buildup";"headcount buildup",#N/A,FALSE,"Headcount Buildup";"expense summary",#N/A,FALSE,"Expense Summary"}</definedName>
    <definedName name="wrn.Good._.Stuff." localSheetId="11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ood._.Stuff." localSheetId="14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ood._.Stuff.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ood._.Stuff._1" localSheetId="11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ood._.Stuff._1" localSheetId="14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ood._.Stuff._1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ood._.Stuff._2" localSheetId="11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ood._.Stuff._2" localSheetId="14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ood._.Stuff._2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ood._.Stuff._3" localSheetId="11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ood._.Stuff._3" localSheetId="14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ood._.Stuff._3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HBO._.monthly._.board._.report." localSheetId="11" hidden="1">{#N/A,#N/A,FALSE,"rep 1 - Income Statement";#N/A,#N/A,FALSE,"rep 2 - MSO";#N/A,#N/A,FALSE,"rep 3- FX";#N/A,#N/A,FALSE,"rep 4- Balance Sheet";#N/A,#N/A,FALSE,"rep 5- Monthly detailed CF";#N/A,#N/A,FALSE,"rep 6- Balance Sheet notes";#N/A,#N/A,FALSE,"rep 7- Departments";#N/A,#N/A,FALSE,"rep 8- Licence";#N/A,#N/A,FALSE,"rep 9- Departments (2)";#N/A,#N/A,FALSE,"rep 10- Aging"}</definedName>
    <definedName name="wrn.HBO._.monthly._.board._.report." localSheetId="14" hidden="1">{#N/A,#N/A,FALSE,"rep 1 - Income Statement";#N/A,#N/A,FALSE,"rep 2 - MSO";#N/A,#N/A,FALSE,"rep 3- FX";#N/A,#N/A,FALSE,"rep 4- Balance Sheet";#N/A,#N/A,FALSE,"rep 5- Monthly detailed CF";#N/A,#N/A,FALSE,"rep 6- Balance Sheet notes";#N/A,#N/A,FALSE,"rep 7- Departments";#N/A,#N/A,FALSE,"rep 8- Licence";#N/A,#N/A,FALSE,"rep 9- Departments (2)";#N/A,#N/A,FALSE,"rep 10- Aging"}</definedName>
    <definedName name="wrn.HBO._.monthly._.board._.report." hidden="1">{#N/A,#N/A,FALSE,"rep 1 - Income Statement";#N/A,#N/A,FALSE,"rep 2 - MSO";#N/A,#N/A,FALSE,"rep 3- FX";#N/A,#N/A,FALSE,"rep 4- Balance Sheet";#N/A,#N/A,FALSE,"rep 5- Monthly detailed CF";#N/A,#N/A,FALSE,"rep 6- Balance Sheet notes";#N/A,#N/A,FALSE,"rep 7- Departments";#N/A,#N/A,FALSE,"rep 8- Licence";#N/A,#N/A,FALSE,"rep 9- Departments (2)";#N/A,#N/A,FALSE,"rep 10- Aging"}</definedName>
    <definedName name="wrn.icem." localSheetId="11" hidden="1">{#N/A,#N/A,FALSE,"Exb 2";#N/A,#N/A,FALSE,"Exb 3(a)";#N/A,#N/A,FALSE,"WACC";#N/A,#N/A,FALSE,"Exh 4(a)";#N/A,#N/A,FALSE,"Exh 4(b)";#N/A,#N/A,FALSE,"Exb 5(a)";#N/A,#N/A,FALSE,"Exb 5(b)"}</definedName>
    <definedName name="wrn.icem." localSheetId="14" hidden="1">{#N/A,#N/A,FALSE,"Exb 2";#N/A,#N/A,FALSE,"Exb 3(a)";#N/A,#N/A,FALSE,"WACC";#N/A,#N/A,FALSE,"Exh 4(a)";#N/A,#N/A,FALSE,"Exh 4(b)";#N/A,#N/A,FALSE,"Exb 5(a)";#N/A,#N/A,FALSE,"Exb 5(b)"}</definedName>
    <definedName name="wrn.icem." hidden="1">{#N/A,#N/A,FALSE,"Exb 2";#N/A,#N/A,FALSE,"Exb 3(a)";#N/A,#N/A,FALSE,"WACC";#N/A,#N/A,FALSE,"Exh 4(a)";#N/A,#N/A,FALSE,"Exh 4(b)";#N/A,#N/A,FALSE,"Exb 5(a)";#N/A,#N/A,FALSE,"Exb 5(b)"}</definedName>
    <definedName name="wrn.icem._1" localSheetId="11" hidden="1">{#N/A,#N/A,FALSE,"Exb 2";#N/A,#N/A,FALSE,"Exb 3(a)";#N/A,#N/A,FALSE,"WACC";#N/A,#N/A,FALSE,"Exh 4(a)";#N/A,#N/A,FALSE,"Exh 4(b)";#N/A,#N/A,FALSE,"Exb 5(a)";#N/A,#N/A,FALSE,"Exb 5(b)"}</definedName>
    <definedName name="wrn.icem._1" localSheetId="14" hidden="1">{#N/A,#N/A,FALSE,"Exb 2";#N/A,#N/A,FALSE,"Exb 3(a)";#N/A,#N/A,FALSE,"WACC";#N/A,#N/A,FALSE,"Exh 4(a)";#N/A,#N/A,FALSE,"Exh 4(b)";#N/A,#N/A,FALSE,"Exb 5(a)";#N/A,#N/A,FALSE,"Exb 5(b)"}</definedName>
    <definedName name="wrn.icem._1" hidden="1">{#N/A,#N/A,FALSE,"Exb 2";#N/A,#N/A,FALSE,"Exb 3(a)";#N/A,#N/A,FALSE,"WACC";#N/A,#N/A,FALSE,"Exh 4(a)";#N/A,#N/A,FALSE,"Exh 4(b)";#N/A,#N/A,FALSE,"Exb 5(a)";#N/A,#N/A,FALSE,"Exb 5(b)"}</definedName>
    <definedName name="wrn.icem._2" localSheetId="11" hidden="1">{#N/A,#N/A,FALSE,"Exb 2";#N/A,#N/A,FALSE,"Exb 3(a)";#N/A,#N/A,FALSE,"WACC";#N/A,#N/A,FALSE,"Exh 4(a)";#N/A,#N/A,FALSE,"Exh 4(b)";#N/A,#N/A,FALSE,"Exb 5(a)";#N/A,#N/A,FALSE,"Exb 5(b)"}</definedName>
    <definedName name="wrn.icem._2" localSheetId="14" hidden="1">{#N/A,#N/A,FALSE,"Exb 2";#N/A,#N/A,FALSE,"Exb 3(a)";#N/A,#N/A,FALSE,"WACC";#N/A,#N/A,FALSE,"Exh 4(a)";#N/A,#N/A,FALSE,"Exh 4(b)";#N/A,#N/A,FALSE,"Exb 5(a)";#N/A,#N/A,FALSE,"Exb 5(b)"}</definedName>
    <definedName name="wrn.icem._2" hidden="1">{#N/A,#N/A,FALSE,"Exb 2";#N/A,#N/A,FALSE,"Exb 3(a)";#N/A,#N/A,FALSE,"WACC";#N/A,#N/A,FALSE,"Exh 4(a)";#N/A,#N/A,FALSE,"Exh 4(b)";#N/A,#N/A,FALSE,"Exb 5(a)";#N/A,#N/A,FALSE,"Exb 5(b)"}</definedName>
    <definedName name="wrn.icem._3" localSheetId="11" hidden="1">{#N/A,#N/A,FALSE,"Exb 2";#N/A,#N/A,FALSE,"Exb 3(a)";#N/A,#N/A,FALSE,"WACC";#N/A,#N/A,FALSE,"Exh 4(a)";#N/A,#N/A,FALSE,"Exh 4(b)";#N/A,#N/A,FALSE,"Exb 5(a)";#N/A,#N/A,FALSE,"Exb 5(b)"}</definedName>
    <definedName name="wrn.icem._3" localSheetId="14" hidden="1">{#N/A,#N/A,FALSE,"Exb 2";#N/A,#N/A,FALSE,"Exb 3(a)";#N/A,#N/A,FALSE,"WACC";#N/A,#N/A,FALSE,"Exh 4(a)";#N/A,#N/A,FALSE,"Exh 4(b)";#N/A,#N/A,FALSE,"Exb 5(a)";#N/A,#N/A,FALSE,"Exb 5(b)"}</definedName>
    <definedName name="wrn.icem._3" hidden="1">{#N/A,#N/A,FALSE,"Exb 2";#N/A,#N/A,FALSE,"Exb 3(a)";#N/A,#N/A,FALSE,"WACC";#N/A,#N/A,FALSE,"Exh 4(a)";#N/A,#N/A,FALSE,"Exh 4(b)";#N/A,#N/A,FALSE,"Exb 5(a)";#N/A,#N/A,FALSE,"Exb 5(b)"}</definedName>
    <definedName name="wrn.Income._.Statement." localSheetId="11" hidden="1">{#N/A,#N/A,FALSE,"Adj2PL";#N/A,#N/A,FALSE,"AdjPL";#N/A,#N/A,FALSE,"AdjPLCS";#N/A,#N/A,FALSE,"AdjPLGR"}</definedName>
    <definedName name="wrn.Income._.Statement." localSheetId="14" hidden="1">{#N/A,#N/A,FALSE,"Adj2PL";#N/A,#N/A,FALSE,"AdjPL";#N/A,#N/A,FALSE,"AdjPLCS";#N/A,#N/A,FALSE,"AdjPLGR"}</definedName>
    <definedName name="wrn.Income._.Statement." hidden="1">{#N/A,#N/A,FALSE,"Adj2PL";#N/A,#N/A,FALSE,"AdjPL";#N/A,#N/A,FALSE,"AdjPLCS";#N/A,#N/A,FALSE,"AdjPLGR"}</definedName>
    <definedName name="wrn.Income._.Statement._1" localSheetId="11" hidden="1">{#N/A,#N/A,FALSE,"Adj2PL";#N/A,#N/A,FALSE,"AdjPL";#N/A,#N/A,FALSE,"AdjPLCS";#N/A,#N/A,FALSE,"AdjPLGR"}</definedName>
    <definedName name="wrn.Income._.Statement._1" localSheetId="14" hidden="1">{#N/A,#N/A,FALSE,"Adj2PL";#N/A,#N/A,FALSE,"AdjPL";#N/A,#N/A,FALSE,"AdjPLCS";#N/A,#N/A,FALSE,"AdjPLGR"}</definedName>
    <definedName name="wrn.Income._.Statement._1" hidden="1">{#N/A,#N/A,FALSE,"Adj2PL";#N/A,#N/A,FALSE,"AdjPL";#N/A,#N/A,FALSE,"AdjPLCS";#N/A,#N/A,FALSE,"AdjPLGR"}</definedName>
    <definedName name="wrn.Income._.Statement._2" localSheetId="11" hidden="1">{#N/A,#N/A,FALSE,"Adj2PL";#N/A,#N/A,FALSE,"AdjPL";#N/A,#N/A,FALSE,"AdjPLCS";#N/A,#N/A,FALSE,"AdjPLGR"}</definedName>
    <definedName name="wrn.Income._.Statement._2" localSheetId="14" hidden="1">{#N/A,#N/A,FALSE,"Adj2PL";#N/A,#N/A,FALSE,"AdjPL";#N/A,#N/A,FALSE,"AdjPLCS";#N/A,#N/A,FALSE,"AdjPLGR"}</definedName>
    <definedName name="wrn.Income._.Statement._2" hidden="1">{#N/A,#N/A,FALSE,"Adj2PL";#N/A,#N/A,FALSE,"AdjPL";#N/A,#N/A,FALSE,"AdjPLCS";#N/A,#N/A,FALSE,"AdjPLGR"}</definedName>
    <definedName name="wrn.Income._.Statement._3" localSheetId="11" hidden="1">{#N/A,#N/A,FALSE,"Adj2PL";#N/A,#N/A,FALSE,"AdjPL";#N/A,#N/A,FALSE,"AdjPLCS";#N/A,#N/A,FALSE,"AdjPLGR"}</definedName>
    <definedName name="wrn.Income._.Statement._3" localSheetId="14" hidden="1">{#N/A,#N/A,FALSE,"Adj2PL";#N/A,#N/A,FALSE,"AdjPL";#N/A,#N/A,FALSE,"AdjPLCS";#N/A,#N/A,FALSE,"AdjPLGR"}</definedName>
    <definedName name="wrn.Income._.Statement._3" hidden="1">{#N/A,#N/A,FALSE,"Adj2PL";#N/A,#N/A,FALSE,"AdjPL";#N/A,#N/A,FALSE,"AdjPLCS";#N/A,#N/A,FALSE,"AdjPLGR"}</definedName>
    <definedName name="wrn.LBO._.Model._.Output." localSheetId="11" hidden="1">{#N/A,#N/A,FALSE,"Cover";#N/A,#N/A,FALSE,"Summary";#N/A,#N/A,FALSE,"IS";#N/A,#N/A,FALSE,"CF";#N/A,#N/A,FALSE,"BS";#N/A,#N/A,FALSE,"Detail";#N/A,#N/A,FALSE,"IRR"}</definedName>
    <definedName name="wrn.LBO._.Model._.Output." localSheetId="14" hidden="1">{#N/A,#N/A,FALSE,"Cover";#N/A,#N/A,FALSE,"Summary";#N/A,#N/A,FALSE,"IS";#N/A,#N/A,FALSE,"CF";#N/A,#N/A,FALSE,"BS";#N/A,#N/A,FALSE,"Detail";#N/A,#N/A,FALSE,"IRR"}</definedName>
    <definedName name="wrn.LBO._.Model._.Output." hidden="1">{#N/A,#N/A,FALSE,"Cover";#N/A,#N/A,FALSE,"Summary";#N/A,#N/A,FALSE,"IS";#N/A,#N/A,FALSE,"CF";#N/A,#N/A,FALSE,"BS";#N/A,#N/A,FALSE,"Detail";#N/A,#N/A,FALSE,"IRR"}</definedName>
    <definedName name="wrn.Model." localSheetId="11" hidden="1">{#N/A,#N/A,FALSE,"Cover";#N/A,#N/A,FALSE,"LUMI";#N/A,#N/A,FALSE,"COMD";#N/A,#N/A,FALSE,"Valuation";#N/A,#N/A,FALSE,"Assumptions";#N/A,#N/A,FALSE,"Pooling";#N/A,#N/A,FALSE,"BalanceSheet"}</definedName>
    <definedName name="wrn.Model." localSheetId="14" hidden="1">{#N/A,#N/A,FALSE,"Cover";#N/A,#N/A,FALSE,"LUMI";#N/A,#N/A,FALSE,"COMD";#N/A,#N/A,FALSE,"Valuation";#N/A,#N/A,FALSE,"Assumptions";#N/A,#N/A,FALSE,"Pooling";#N/A,#N/A,FALSE,"BalanceSheet"}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1" localSheetId="11" hidden="1">{#N/A,#N/A,FALSE,"Cover";#N/A,#N/A,FALSE,"LUMI";#N/A,#N/A,FALSE,"COMD";#N/A,#N/A,FALSE,"Valuation";#N/A,#N/A,FALSE,"Assumptions";#N/A,#N/A,FALSE,"Pooling";#N/A,#N/A,FALSE,"BalanceSheet"}</definedName>
    <definedName name="wrn.Model._1" localSheetId="14" hidden="1">{#N/A,#N/A,FALSE,"Cover";#N/A,#N/A,FALSE,"LUMI";#N/A,#N/A,FALSE,"COMD";#N/A,#N/A,FALSE,"Valuation";#N/A,#N/A,FALSE,"Assumptions";#N/A,#N/A,FALSE,"Pooling";#N/A,#N/A,FALSE,"BalanceSheet"}</definedName>
    <definedName name="wrn.Model._1" hidden="1">{#N/A,#N/A,FALSE,"Cover";#N/A,#N/A,FALSE,"LUMI";#N/A,#N/A,FALSE,"COMD";#N/A,#N/A,FALSE,"Valuation";#N/A,#N/A,FALSE,"Assumptions";#N/A,#N/A,FALSE,"Pooling";#N/A,#N/A,FALSE,"BalanceSheet"}</definedName>
    <definedName name="wrn.Model._2" localSheetId="11" hidden="1">{#N/A,#N/A,FALSE,"Cover";#N/A,#N/A,FALSE,"LUMI";#N/A,#N/A,FALSE,"COMD";#N/A,#N/A,FALSE,"Valuation";#N/A,#N/A,FALSE,"Assumptions";#N/A,#N/A,FALSE,"Pooling";#N/A,#N/A,FALSE,"BalanceSheet"}</definedName>
    <definedName name="wrn.Model._2" localSheetId="14" hidden="1">{#N/A,#N/A,FALSE,"Cover";#N/A,#N/A,FALSE,"LUMI";#N/A,#N/A,FALSE,"COMD";#N/A,#N/A,FALSE,"Valuation";#N/A,#N/A,FALSE,"Assumptions";#N/A,#N/A,FALSE,"Pooling";#N/A,#N/A,FALSE,"BalanceSheet"}</definedName>
    <definedName name="wrn.Model._2" hidden="1">{#N/A,#N/A,FALSE,"Cover";#N/A,#N/A,FALSE,"LUMI";#N/A,#N/A,FALSE,"COMD";#N/A,#N/A,FALSE,"Valuation";#N/A,#N/A,FALSE,"Assumptions";#N/A,#N/A,FALSE,"Pooling";#N/A,#N/A,FALSE,"BalanceSheet"}</definedName>
    <definedName name="wrn.Model._3" localSheetId="11" hidden="1">{#N/A,#N/A,FALSE,"Cover";#N/A,#N/A,FALSE,"LUMI";#N/A,#N/A,FALSE,"COMD";#N/A,#N/A,FALSE,"Valuation";#N/A,#N/A,FALSE,"Assumptions";#N/A,#N/A,FALSE,"Pooling";#N/A,#N/A,FALSE,"BalanceSheet"}</definedName>
    <definedName name="wrn.Model._3" localSheetId="14" hidden="1">{#N/A,#N/A,FALSE,"Cover";#N/A,#N/A,FALSE,"LUMI";#N/A,#N/A,FALSE,"COMD";#N/A,#N/A,FALSE,"Valuation";#N/A,#N/A,FALSE,"Assumptions";#N/A,#N/A,FALSE,"Pooling";#N/A,#N/A,FALSE,"BalanceSheet"}</definedName>
    <definedName name="wrn.Model._3" hidden="1">{#N/A,#N/A,FALSE,"Cover";#N/A,#N/A,FALSE,"LUMI";#N/A,#N/A,FALSE,"COMD";#N/A,#N/A,FALSE,"Valuation";#N/A,#N/A,FALSE,"Assumptions";#N/A,#N/A,FALSE,"Pooling";#N/A,#N/A,FALSE,"BalanceSheet"}</definedName>
    <definedName name="wrn.MSR.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." localSheetId="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.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usic._.monthly." localSheetId="11" hidden="1">{#N/A,#N/A,TRUE,"reppl";#N/A,#N/A,TRUE,"Rev";#N/A,#N/A,TRUE,"MSO";#N/A,#N/A,TRUE,"Liza_bs";#N/A,#N/A,TRUE,"C_F detailed";#N/A,#N/A,TRUE,"B_S P_L Notes";#N/A,#N/A,TRUE,"Business";#N/A,#N/A,TRUE,"Aging";#N/A,#N/A,TRUE,"repcpex"}</definedName>
    <definedName name="wrn.music._.monthly." localSheetId="14" hidden="1">{#N/A,#N/A,TRUE,"reppl";#N/A,#N/A,TRUE,"Rev";#N/A,#N/A,TRUE,"MSO";#N/A,#N/A,TRUE,"Liza_bs";#N/A,#N/A,TRUE,"C_F detailed";#N/A,#N/A,TRUE,"B_S P_L Notes";#N/A,#N/A,TRUE,"Business";#N/A,#N/A,TRUE,"Aging";#N/A,#N/A,TRUE,"repcpex"}</definedName>
    <definedName name="wrn.music._.monthly." hidden="1">{#N/A,#N/A,TRUE,"reppl";#N/A,#N/A,TRUE,"Rev";#N/A,#N/A,TRUE,"MSO";#N/A,#N/A,TRUE,"Liza_bs";#N/A,#N/A,TRUE,"C_F detailed";#N/A,#N/A,TRUE,"B_S P_L Notes";#N/A,#N/A,TRUE,"Business";#N/A,#N/A,TRUE,"Aging";#N/A,#N/A,TRUE,"repcpex"}</definedName>
    <definedName name="wrn.nema." localSheetId="11" hidden="1">{#N/A,#N/A,FALSE,"Distbn Ntwrk";#N/A,#N/A,FALSE,"Workforce";#N/A,#N/A,FALSE,"cur-prod1";#N/A,#N/A,FALSE,"in-proc"}</definedName>
    <definedName name="wrn.nema." localSheetId="14" hidden="1">{#N/A,#N/A,FALSE,"Distbn Ntwrk";#N/A,#N/A,FALSE,"Workforce";#N/A,#N/A,FALSE,"cur-prod1";#N/A,#N/A,FALSE,"in-proc"}</definedName>
    <definedName name="wrn.nema." hidden="1">{#N/A,#N/A,FALSE,"Distbn Ntwrk";#N/A,#N/A,FALSE,"Workforce";#N/A,#N/A,FALSE,"cur-prod1";#N/A,#N/A,FALSE,"in-proc"}</definedName>
    <definedName name="wrn.nema._1" localSheetId="11" hidden="1">{#N/A,#N/A,FALSE,"Distbn Ntwrk";#N/A,#N/A,FALSE,"Workforce";#N/A,#N/A,FALSE,"cur-prod1";#N/A,#N/A,FALSE,"in-proc"}</definedName>
    <definedName name="wrn.nema._1" localSheetId="14" hidden="1">{#N/A,#N/A,FALSE,"Distbn Ntwrk";#N/A,#N/A,FALSE,"Workforce";#N/A,#N/A,FALSE,"cur-prod1";#N/A,#N/A,FALSE,"in-proc"}</definedName>
    <definedName name="wrn.nema._1" hidden="1">{#N/A,#N/A,FALSE,"Distbn Ntwrk";#N/A,#N/A,FALSE,"Workforce";#N/A,#N/A,FALSE,"cur-prod1";#N/A,#N/A,FALSE,"in-proc"}</definedName>
    <definedName name="wrn.nema._2" localSheetId="11" hidden="1">{#N/A,#N/A,FALSE,"Distbn Ntwrk";#N/A,#N/A,FALSE,"Workforce";#N/A,#N/A,FALSE,"cur-prod1";#N/A,#N/A,FALSE,"in-proc"}</definedName>
    <definedName name="wrn.nema._2" localSheetId="14" hidden="1">{#N/A,#N/A,FALSE,"Distbn Ntwrk";#N/A,#N/A,FALSE,"Workforce";#N/A,#N/A,FALSE,"cur-prod1";#N/A,#N/A,FALSE,"in-proc"}</definedName>
    <definedName name="wrn.nema._2" hidden="1">{#N/A,#N/A,FALSE,"Distbn Ntwrk";#N/A,#N/A,FALSE,"Workforce";#N/A,#N/A,FALSE,"cur-prod1";#N/A,#N/A,FALSE,"in-proc"}</definedName>
    <definedName name="wrn.nema._3" localSheetId="11" hidden="1">{#N/A,#N/A,FALSE,"Distbn Ntwrk";#N/A,#N/A,FALSE,"Workforce";#N/A,#N/A,FALSE,"cur-prod1";#N/A,#N/A,FALSE,"in-proc"}</definedName>
    <definedName name="wrn.nema._3" localSheetId="14" hidden="1">{#N/A,#N/A,FALSE,"Distbn Ntwrk";#N/A,#N/A,FALSE,"Workforce";#N/A,#N/A,FALSE,"cur-prod1";#N/A,#N/A,FALSE,"in-proc"}</definedName>
    <definedName name="wrn.nema._3" hidden="1">{#N/A,#N/A,FALSE,"Distbn Ntwrk";#N/A,#N/A,FALSE,"Workforce";#N/A,#N/A,FALSE,"cur-prod1";#N/A,#N/A,FALSE,"in-proc"}</definedName>
    <definedName name="wrn.One." localSheetId="11" hidden="1">{#N/A,#N/A,FALSE,"Intl Mo Syn"}</definedName>
    <definedName name="wrn.One." localSheetId="14" hidden="1">{#N/A,#N/A,FALSE,"Intl Mo Syn"}</definedName>
    <definedName name="wrn.One." hidden="1">{#N/A,#N/A,FALSE,"Intl Mo Syn"}</definedName>
    <definedName name="wrn.Print." localSheetId="1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." localSheetId="1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._.All." localSheetId="11" hidden="1">{"Balance Sheet",#N/A,FALSE,"SUMMARY";"Income Statement",#N/A,FALSE,"SUMMARY"}</definedName>
    <definedName name="wrn.Print._.All." localSheetId="14" hidden="1">{"Balance Sheet",#N/A,FALSE,"SUMMARY";"Income Statement",#N/A,FALSE,"SUMMARY"}</definedName>
    <definedName name="wrn.Print._.All." hidden="1">{"Balance Sheet",#N/A,FALSE,"SUMMARY";"Income Statement",#N/A,FALSE,"SUMMARY"}</definedName>
    <definedName name="wrn.Print._.All._.Worksheets." localSheetId="1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" localSheetId="14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" localSheetId="1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" localSheetId="14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" localSheetId="1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" localSheetId="14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3" localSheetId="1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3" localSheetId="14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3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1" localSheetId="1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._1" localSheetId="1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.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._2" localSheetId="1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._2" localSheetId="1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.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._3" localSheetId="1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._3" localSheetId="1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.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" localSheetId="1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" localSheetId="1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1" localSheetId="1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1" localSheetId="1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2" localSheetId="1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2" localSheetId="1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3" localSheetId="1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3" localSheetId="1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localSheetId="1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localSheetId="1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1" localSheetId="1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1" localSheetId="1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2" localSheetId="1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2" localSheetId="1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3" localSheetId="1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3" localSheetId="1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localSheetId="11" hidden="1">{#N/A,#N/A,FALSE,"Op-BS";#N/A,#N/A,FALSE,"Assum";#N/A,#N/A,FALSE,"IS";#N/A,#N/A,FALSE,"Syn+Elim";#N/A,#N/A,FALSE,"BSCF";#N/A,#N/A,FALSE,"Blue_IS";#N/A,#N/A,FALSE,"Blue_BSCF";#N/A,#N/A,FALSE,"Ratings"}</definedName>
    <definedName name="wrn.printac." localSheetId="14" hidden="1">{#N/A,#N/A,FALSE,"Op-BS";#N/A,#N/A,FALSE,"Assum";#N/A,#N/A,FALSE,"IS";#N/A,#N/A,FALSE,"Syn+Elim";#N/A,#N/A,FALSE,"BSCF";#N/A,#N/A,FALSE,"Blue_IS";#N/A,#N/A,FALSE,"Blue_BSCF";#N/A,#N/A,FALSE,"Ratings"}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c._1" localSheetId="11" hidden="1">{#N/A,#N/A,FALSE,"Op-BS";#N/A,#N/A,FALSE,"Assum";#N/A,#N/A,FALSE,"IS";#N/A,#N/A,FALSE,"Syn+Elim";#N/A,#N/A,FALSE,"BSCF";#N/A,#N/A,FALSE,"Blue_IS";#N/A,#N/A,FALSE,"Blue_BSCF";#N/A,#N/A,FALSE,"Ratings"}</definedName>
    <definedName name="wrn.printac._1" localSheetId="14" hidden="1">{#N/A,#N/A,FALSE,"Op-BS";#N/A,#N/A,FALSE,"Assum";#N/A,#N/A,FALSE,"IS";#N/A,#N/A,FALSE,"Syn+Elim";#N/A,#N/A,FALSE,"BSCF";#N/A,#N/A,FALSE,"Blue_IS";#N/A,#N/A,FALSE,"Blue_BSCF";#N/A,#N/A,FALSE,"Ratings"}</definedName>
    <definedName name="wrn.printac._1" hidden="1">{#N/A,#N/A,FALSE,"Op-BS";#N/A,#N/A,FALSE,"Assum";#N/A,#N/A,FALSE,"IS";#N/A,#N/A,FALSE,"Syn+Elim";#N/A,#N/A,FALSE,"BSCF";#N/A,#N/A,FALSE,"Blue_IS";#N/A,#N/A,FALSE,"Blue_BSCF";#N/A,#N/A,FALSE,"Ratings"}</definedName>
    <definedName name="wrn.printac._2" localSheetId="11" hidden="1">{#N/A,#N/A,FALSE,"Op-BS";#N/A,#N/A,FALSE,"Assum";#N/A,#N/A,FALSE,"IS";#N/A,#N/A,FALSE,"Syn+Elim";#N/A,#N/A,FALSE,"BSCF";#N/A,#N/A,FALSE,"Blue_IS";#N/A,#N/A,FALSE,"Blue_BSCF";#N/A,#N/A,FALSE,"Ratings"}</definedName>
    <definedName name="wrn.printac._2" localSheetId="14" hidden="1">{#N/A,#N/A,FALSE,"Op-BS";#N/A,#N/A,FALSE,"Assum";#N/A,#N/A,FALSE,"IS";#N/A,#N/A,FALSE,"Syn+Elim";#N/A,#N/A,FALSE,"BSCF";#N/A,#N/A,FALSE,"Blue_IS";#N/A,#N/A,FALSE,"Blue_BSCF";#N/A,#N/A,FALSE,"Ratings"}</definedName>
    <definedName name="wrn.printac._2" hidden="1">{#N/A,#N/A,FALSE,"Op-BS";#N/A,#N/A,FALSE,"Assum";#N/A,#N/A,FALSE,"IS";#N/A,#N/A,FALSE,"Syn+Elim";#N/A,#N/A,FALSE,"BSCF";#N/A,#N/A,FALSE,"Blue_IS";#N/A,#N/A,FALSE,"Blue_BSCF";#N/A,#N/A,FALSE,"Ratings"}</definedName>
    <definedName name="wrn.printac._3" localSheetId="11" hidden="1">{#N/A,#N/A,FALSE,"Op-BS";#N/A,#N/A,FALSE,"Assum";#N/A,#N/A,FALSE,"IS";#N/A,#N/A,FALSE,"Syn+Elim";#N/A,#N/A,FALSE,"BSCF";#N/A,#N/A,FALSE,"Blue_IS";#N/A,#N/A,FALSE,"Blue_BSCF";#N/A,#N/A,FALSE,"Ratings"}</definedName>
    <definedName name="wrn.printac._3" localSheetId="14" hidden="1">{#N/A,#N/A,FALSE,"Op-BS";#N/A,#N/A,FALSE,"Assum";#N/A,#N/A,FALSE,"IS";#N/A,#N/A,FALSE,"Syn+Elim";#N/A,#N/A,FALSE,"BSCF";#N/A,#N/A,FALSE,"Blue_IS";#N/A,#N/A,FALSE,"Blue_BSCF";#N/A,#N/A,FALSE,"Ratings"}</definedName>
    <definedName name="wrn.printac._3" hidden="1">{#N/A,#N/A,FALSE,"Op-BS";#N/A,#N/A,FALSE,"Assum";#N/A,#N/A,FALSE,"IS";#N/A,#N/A,FALSE,"Syn+Elim";#N/A,#N/A,FALSE,"BSCF";#N/A,#N/A,FALSE,"Blue_IS";#N/A,#N/A,FALSE,"Blue_BSCF";#N/A,#N/A,FALSE,"Ratings"}</definedName>
    <definedName name="wrn.qtr." localSheetId="11" hidden="1">{"byqtr",#N/A,FALSE,"Worksheet"}</definedName>
    <definedName name="wrn.qtr." localSheetId="14" hidden="1">{"byqtr",#N/A,FALSE,"Worksheet"}</definedName>
    <definedName name="wrn.qtr." hidden="1">{"byqtr",#N/A,FALSE,"Worksheet"}</definedName>
    <definedName name="wrn.Report._.2." localSheetId="11" hidden="1">{#N/A,#N/A,TRUE,"Pivots-Employee";#N/A,"Scenerio2",TRUE,"Assumptions Summary"}</definedName>
    <definedName name="wrn.Report._.2." localSheetId="14" hidden="1">{#N/A,#N/A,TRUE,"Pivots-Employee";#N/A,"Scenerio2",TRUE,"Assumptions Summary"}</definedName>
    <definedName name="wrn.Report._.2." hidden="1">{#N/A,#N/A,TRUE,"Pivots-Employee";#N/A,"Scenerio2",TRUE,"Assumptions Summary"}</definedName>
    <definedName name="wrn.Report._.2._1" localSheetId="11" hidden="1">{#N/A,#N/A,TRUE,"Pivots-Employee";#N/A,"Scenerio2",TRUE,"Assumptions Summary"}</definedName>
    <definedName name="wrn.Report._.2._1" localSheetId="14" hidden="1">{#N/A,#N/A,TRUE,"Pivots-Employee";#N/A,"Scenerio2",TRUE,"Assumptions Summary"}</definedName>
    <definedName name="wrn.Report._.2._1" hidden="1">{#N/A,#N/A,TRUE,"Pivots-Employee";#N/A,"Scenerio2",TRUE,"Assumptions Summary"}</definedName>
    <definedName name="wrn.Report._.2._2" localSheetId="11" hidden="1">{#N/A,#N/A,TRUE,"Pivots-Employee";#N/A,"Scenerio2",TRUE,"Assumptions Summary"}</definedName>
    <definedName name="wrn.Report._.2._2" localSheetId="14" hidden="1">{#N/A,#N/A,TRUE,"Pivots-Employee";#N/A,"Scenerio2",TRUE,"Assumptions Summary"}</definedName>
    <definedName name="wrn.Report._.2._2" hidden="1">{#N/A,#N/A,TRUE,"Pivots-Employee";#N/A,"Scenerio2",TRUE,"Assumptions Summary"}</definedName>
    <definedName name="wrn.Report._.2._3" localSheetId="11" hidden="1">{#N/A,#N/A,TRUE,"Pivots-Employee";#N/A,"Scenerio2",TRUE,"Assumptions Summary"}</definedName>
    <definedName name="wrn.Report._.2._3" localSheetId="14" hidden="1">{#N/A,#N/A,TRUE,"Pivots-Employee";#N/A,"Scenerio2",TRUE,"Assumptions Summary"}</definedName>
    <definedName name="wrn.Report._.2._3" hidden="1">{#N/A,#N/A,TRUE,"Pivots-Employee";#N/A,"Scenerio2",TRUE,"Assumptions Summary"}</definedName>
    <definedName name="wrn.Report1." localSheetId="11" hidden="1">{#N/A,#N/A,TRUE,"Pivots-Employee";#N/A,"Scenario1",TRUE,"Assumptions Summary"}</definedName>
    <definedName name="wrn.Report1." localSheetId="14" hidden="1">{#N/A,#N/A,TRUE,"Pivots-Employee";#N/A,"Scenario1",TRUE,"Assumptions Summary"}</definedName>
    <definedName name="wrn.Report1." hidden="1">{#N/A,#N/A,TRUE,"Pivots-Employee";#N/A,"Scenario1",TRUE,"Assumptions Summary"}</definedName>
    <definedName name="wrn.Report1._1" localSheetId="11" hidden="1">{#N/A,#N/A,TRUE,"Pivots-Employee";#N/A,"Scenario1",TRUE,"Assumptions Summary"}</definedName>
    <definedName name="wrn.Report1._1" localSheetId="14" hidden="1">{#N/A,#N/A,TRUE,"Pivots-Employee";#N/A,"Scenario1",TRUE,"Assumptions Summary"}</definedName>
    <definedName name="wrn.Report1._1" hidden="1">{#N/A,#N/A,TRUE,"Pivots-Employee";#N/A,"Scenario1",TRUE,"Assumptions Summary"}</definedName>
    <definedName name="wrn.Report1._2" localSheetId="11" hidden="1">{#N/A,#N/A,TRUE,"Pivots-Employee";#N/A,"Scenario1",TRUE,"Assumptions Summary"}</definedName>
    <definedName name="wrn.Report1._2" localSheetId="14" hidden="1">{#N/A,#N/A,TRUE,"Pivots-Employee";#N/A,"Scenario1",TRUE,"Assumptions Summary"}</definedName>
    <definedName name="wrn.Report1._2" hidden="1">{#N/A,#N/A,TRUE,"Pivots-Employee";#N/A,"Scenario1",TRUE,"Assumptions Summary"}</definedName>
    <definedName name="wrn.Report1._3" localSheetId="11" hidden="1">{#N/A,#N/A,TRUE,"Pivots-Employee";#N/A,"Scenario1",TRUE,"Assumptions Summary"}</definedName>
    <definedName name="wrn.Report1._3" localSheetId="14" hidden="1">{#N/A,#N/A,TRUE,"Pivots-Employee";#N/A,"Scenario1",TRUE,"Assumptions Summary"}</definedName>
    <definedName name="wrn.Report1._3" hidden="1">{#N/A,#N/A,TRUE,"Pivots-Employee";#N/A,"Scenario1",TRUE,"Assumptions Summary"}</definedName>
    <definedName name="wrn.Research._.Dept." localSheetId="11" hidden="1">{"hc buildup",#N/A,FALSE,"Headcount Build-up";"7xx - ops summary - hc",#N/A,FALSE,"7xx_Research Summary";"7xx operations summary",#N/A,FALSE,"7xx_Research Summary";"720 custom research",#N/A,FALSE,"720_Custom Research";"730 syn research",#N/A,FALSE,"730_Syndicated Research"}</definedName>
    <definedName name="wrn.Research._.Dept." localSheetId="14" hidden="1">{"hc buildup",#N/A,FALSE,"Headcount Build-up";"7xx - ops summary - hc",#N/A,FALSE,"7xx_Research Summary";"7xx operations summary",#N/A,FALSE,"7xx_Research Summary";"720 custom research",#N/A,FALSE,"720_Custom Research";"730 syn research",#N/A,FALSE,"730_Syndicated Research"}</definedName>
    <definedName name="wrn.Research._.Dept." hidden="1">{"hc buildup",#N/A,FALSE,"Headcount Build-up";"7xx - ops summary - hc",#N/A,FALSE,"7xx_Research Summary";"7xx operations summary",#N/A,FALSE,"7xx_Research Summary";"720 custom research",#N/A,FALSE,"720_Custom Research";"730 syn research",#N/A,FALSE,"730_Syndicated Research"}</definedName>
    <definedName name="wrn.Revenue._.Cost._.Model." localSheetId="11" hidden="1">{"revenue buildup",#N/A,FALSE,"Revenue_Cost Model";"hc buildup",#N/A,FALSE,"Headcount Build-up";"1xx summary ops - HC",#N/A,FALSE,"1xx_Operations Summary";"1xx ops summary - expense",#N/A,FALSE,"1xx_Operations Summary";"110 admin ops",#N/A,FALSE,"110_Admin";"120 survey ops",#N/A,FALSE,"120_Survey Research";"130 resorce mgmt",#N/A,FALSE,"130_Resource Mgmt.";"140 panel member",#N/A,FALSE,"140_Panel Member"}</definedName>
    <definedName name="wrn.Revenue._.Cost._.Model." localSheetId="14" hidden="1">{"revenue buildup",#N/A,FALSE,"Revenue_Cost Model";"hc buildup",#N/A,FALSE,"Headcount Build-up";"1xx summary ops - HC",#N/A,FALSE,"1xx_Operations Summary";"1xx ops summary - expense",#N/A,FALSE,"1xx_Operations Summary";"110 admin ops",#N/A,FALSE,"110_Admin";"120 survey ops",#N/A,FALSE,"120_Survey Research";"130 resorce mgmt",#N/A,FALSE,"130_Resource Mgmt.";"140 panel member",#N/A,FALSE,"140_Panel Member"}</definedName>
    <definedName name="wrn.Revenue._.Cost._.Model." hidden="1">{"revenue buildup",#N/A,FALSE,"Revenue_Cost Model";"hc buildup",#N/A,FALSE,"Headcount Build-up";"1xx summary ops - HC",#N/A,FALSE,"1xx_Operations Summary";"1xx ops summary - expense",#N/A,FALSE,"1xx_Operations Summary";"110 admin ops",#N/A,FALSE,"110_Admin";"120 survey ops",#N/A,FALSE,"120_Survey Research";"130 resorce mgmt",#N/A,FALSE,"130_Resource Mgmt.";"140 panel member",#N/A,FALSE,"140_Panel Member"}</definedName>
    <definedName name="wrn.SBEI." localSheetId="1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" localSheetId="14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" localSheetId="1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" localSheetId="14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2" localSheetId="1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2" localSheetId="14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3" localSheetId="1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3" localSheetId="14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3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di." localSheetId="11" hidden="1">{#N/A,#N/A,FALSE,"Customer Base";#N/A,#N/A,FALSE,"Workforce";#N/A,#N/A,FALSE,"cur prod";#N/A,#N/A,FALSE,"in-proc";#N/A,#N/A,FALSE,"Trademark"}</definedName>
    <definedName name="wrn.sdi." localSheetId="14" hidden="1">{#N/A,#N/A,FALSE,"Customer Base";#N/A,#N/A,FALSE,"Workforce";#N/A,#N/A,FALSE,"cur prod";#N/A,#N/A,FALSE,"in-proc";#N/A,#N/A,FALSE,"Trademark"}</definedName>
    <definedName name="wrn.sdi." hidden="1">{#N/A,#N/A,FALSE,"Customer Base";#N/A,#N/A,FALSE,"Workforce";#N/A,#N/A,FALSE,"cur prod";#N/A,#N/A,FALSE,"in-proc";#N/A,#N/A,FALSE,"Trademark"}</definedName>
    <definedName name="wrn.sdi._1" localSheetId="11" hidden="1">{#N/A,#N/A,FALSE,"Customer Base";#N/A,#N/A,FALSE,"Workforce";#N/A,#N/A,FALSE,"cur prod";#N/A,#N/A,FALSE,"in-proc";#N/A,#N/A,FALSE,"Trademark"}</definedName>
    <definedName name="wrn.sdi._1" localSheetId="14" hidden="1">{#N/A,#N/A,FALSE,"Customer Base";#N/A,#N/A,FALSE,"Workforce";#N/A,#N/A,FALSE,"cur prod";#N/A,#N/A,FALSE,"in-proc";#N/A,#N/A,FALSE,"Trademark"}</definedName>
    <definedName name="wrn.sdi._1" hidden="1">{#N/A,#N/A,FALSE,"Customer Base";#N/A,#N/A,FALSE,"Workforce";#N/A,#N/A,FALSE,"cur prod";#N/A,#N/A,FALSE,"in-proc";#N/A,#N/A,FALSE,"Trademark"}</definedName>
    <definedName name="wrn.sdi._2" localSheetId="11" hidden="1">{#N/A,#N/A,FALSE,"Customer Base";#N/A,#N/A,FALSE,"Workforce";#N/A,#N/A,FALSE,"cur prod";#N/A,#N/A,FALSE,"in-proc";#N/A,#N/A,FALSE,"Trademark"}</definedName>
    <definedName name="wrn.sdi._2" localSheetId="14" hidden="1">{#N/A,#N/A,FALSE,"Customer Base";#N/A,#N/A,FALSE,"Workforce";#N/A,#N/A,FALSE,"cur prod";#N/A,#N/A,FALSE,"in-proc";#N/A,#N/A,FALSE,"Trademark"}</definedName>
    <definedName name="wrn.sdi._2" hidden="1">{#N/A,#N/A,FALSE,"Customer Base";#N/A,#N/A,FALSE,"Workforce";#N/A,#N/A,FALSE,"cur prod";#N/A,#N/A,FALSE,"in-proc";#N/A,#N/A,FALSE,"Trademark"}</definedName>
    <definedName name="wrn.sdi._3" localSheetId="11" hidden="1">{#N/A,#N/A,FALSE,"Customer Base";#N/A,#N/A,FALSE,"Workforce";#N/A,#N/A,FALSE,"cur prod";#N/A,#N/A,FALSE,"in-proc";#N/A,#N/A,FALSE,"Trademark"}</definedName>
    <definedName name="wrn.sdi._3" localSheetId="14" hidden="1">{#N/A,#N/A,FALSE,"Customer Base";#N/A,#N/A,FALSE,"Workforce";#N/A,#N/A,FALSE,"cur prod";#N/A,#N/A,FALSE,"in-proc";#N/A,#N/A,FALSE,"Trademark"}</definedName>
    <definedName name="wrn.sdi._3" hidden="1">{#N/A,#N/A,FALSE,"Customer Base";#N/A,#N/A,FALSE,"Workforce";#N/A,#N/A,FALSE,"cur prod";#N/A,#N/A,FALSE,"in-proc";#N/A,#N/A,FALSE,"Trademark"}</definedName>
    <definedName name="wrn.Statement._.Review.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._.Review." localSheetId="1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._.Review.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um._.ops." localSheetId="11" hidden="1">{"schedule",#N/A,FALSE,"Sum Op's";"input area",#N/A,FALSE,"Sum Op's"}</definedName>
    <definedName name="wrn.sum._.ops." localSheetId="14" hidden="1">{"schedule",#N/A,FALSE,"Sum Op's";"input area",#N/A,FALSE,"Sum Op's"}</definedName>
    <definedName name="wrn.sum._.ops." hidden="1">{"schedule",#N/A,FALSE,"Sum Op's";"input area",#N/A,FALSE,"Sum Op's"}</definedName>
    <definedName name="wrn.TAX._.PACKAGE._.REPORT." localSheetId="11" hidden="1">{#N/A,#N/A,TRUE,"Index";#N/A,#N/A,TRUE,"Sch 1";#N/A,#N/A,TRUE,"Sch 2A";#N/A,#N/A,TRUE,"Sch 2B";#N/A,#N/A,TRUE,"Sch 2C";#N/A,#N/A,TRUE,"Sch 3";#N/A,#N/A,TRUE,"Sch 4";#N/A,#N/A,TRUE,"Sch 5";#N/A,#N/A,TRUE,"Sch 6";#N/A,#N/A,TRUE,"Sch 7";#N/A,#N/A,TRUE,"Sch 8A";#N/A,#N/A,TRUE,"Sch 8B";#N/A,#N/A,TRUE,"Sch 9";#N/A,#N/A,TRUE,"Sch 10";#N/A,#N/A,TRUE,"Sch 11";#N/A,#N/A,TRUE,"Sch 12";#N/A,#N/A,TRUE,"Sch 13A";#N/A,#N/A,TRUE,"Sch 13B";#N/A,#N/A,TRUE,"Sch 13C";#N/A,#N/A,TRUE,"Sch 13D";#N/A,#N/A,TRUE,"Sch 14";#N/A,#N/A,TRUE,"Sch 15";#N/A,#N/A,TRUE,"Sch 16A";#N/A,#N/A,TRUE,"Sch 16B";#N/A,#N/A,TRUE,"Sch 17A, B, C, D";#N/A,#N/A,TRUE,"Sch 18A";#N/A,#N/A,TRUE,"Sch 18B";#N/A,#N/A,TRUE,"Sch 19";#N/A,#N/A,TRUE,"Sch 20";#N/A,#N/A,TRUE,"Sch 21"}</definedName>
    <definedName name="wrn.TAX._.PACKAGE._.REPORT." localSheetId="14" hidden="1">{#N/A,#N/A,TRUE,"Index";#N/A,#N/A,TRUE,"Sch 1";#N/A,#N/A,TRUE,"Sch 2A";#N/A,#N/A,TRUE,"Sch 2B";#N/A,#N/A,TRUE,"Sch 2C";#N/A,#N/A,TRUE,"Sch 3";#N/A,#N/A,TRUE,"Sch 4";#N/A,#N/A,TRUE,"Sch 5";#N/A,#N/A,TRUE,"Sch 6";#N/A,#N/A,TRUE,"Sch 7";#N/A,#N/A,TRUE,"Sch 8A";#N/A,#N/A,TRUE,"Sch 8B";#N/A,#N/A,TRUE,"Sch 9";#N/A,#N/A,TRUE,"Sch 10";#N/A,#N/A,TRUE,"Sch 11";#N/A,#N/A,TRUE,"Sch 12";#N/A,#N/A,TRUE,"Sch 13A";#N/A,#N/A,TRUE,"Sch 13B";#N/A,#N/A,TRUE,"Sch 13C";#N/A,#N/A,TRUE,"Sch 13D";#N/A,#N/A,TRUE,"Sch 14";#N/A,#N/A,TRUE,"Sch 15";#N/A,#N/A,TRUE,"Sch 16A";#N/A,#N/A,TRUE,"Sch 16B";#N/A,#N/A,TRUE,"Sch 17A, B, C, D";#N/A,#N/A,TRUE,"Sch 18A";#N/A,#N/A,TRUE,"Sch 18B";#N/A,#N/A,TRUE,"Sch 19";#N/A,#N/A,TRUE,"Sch 20";#N/A,#N/A,TRUE,"Sch 21"}</definedName>
    <definedName name="wrn.TAX._.PACKAGE._.REPORT." hidden="1">{#N/A,#N/A,TRUE,"Index";#N/A,#N/A,TRUE,"Sch 1";#N/A,#N/A,TRUE,"Sch 2A";#N/A,#N/A,TRUE,"Sch 2B";#N/A,#N/A,TRUE,"Sch 2C";#N/A,#N/A,TRUE,"Sch 3";#N/A,#N/A,TRUE,"Sch 4";#N/A,#N/A,TRUE,"Sch 5";#N/A,#N/A,TRUE,"Sch 6";#N/A,#N/A,TRUE,"Sch 7";#N/A,#N/A,TRUE,"Sch 8A";#N/A,#N/A,TRUE,"Sch 8B";#N/A,#N/A,TRUE,"Sch 9";#N/A,#N/A,TRUE,"Sch 10";#N/A,#N/A,TRUE,"Sch 11";#N/A,#N/A,TRUE,"Sch 12";#N/A,#N/A,TRUE,"Sch 13A";#N/A,#N/A,TRUE,"Sch 13B";#N/A,#N/A,TRUE,"Sch 13C";#N/A,#N/A,TRUE,"Sch 13D";#N/A,#N/A,TRUE,"Sch 14";#N/A,#N/A,TRUE,"Sch 15";#N/A,#N/A,TRUE,"Sch 16A";#N/A,#N/A,TRUE,"Sch 16B";#N/A,#N/A,TRUE,"Sch 17A, B, C, D";#N/A,#N/A,TRUE,"Sch 18A";#N/A,#N/A,TRUE,"Sch 18B";#N/A,#N/A,TRUE,"Sch 19";#N/A,#N/A,TRUE,"Sch 20";#N/A,#N/A,TRUE,"Sch 21"}</definedName>
    <definedName name="wrn.Three." localSheetId="11" hidden="1">{#N/A,#N/A,FALSE,"Intl Mo Syn"}</definedName>
    <definedName name="wrn.Three." localSheetId="14" hidden="1">{#N/A,#N/A,FALSE,"Intl Mo Syn"}</definedName>
    <definedName name="wrn.Three." hidden="1">{#N/A,#N/A,FALSE,"Intl Mo Syn"}</definedName>
    <definedName name="wrn.TUNE._.Model." localSheetId="11" hidden="1">{#N/A,#N/A,FALSE,"IS";#N/A,#N/A,FALSE,"One pager";#N/A,#N/A,FALSE,"Revenue Detail"}</definedName>
    <definedName name="wrn.TUNE._.Model." localSheetId="14" hidden="1">{#N/A,#N/A,FALSE,"IS";#N/A,#N/A,FALSE,"One pager";#N/A,#N/A,FALSE,"Revenue Detail"}</definedName>
    <definedName name="wrn.TUNE._.Model." hidden="1">{#N/A,#N/A,FALSE,"IS";#N/A,#N/A,FALSE,"One pager";#N/A,#N/A,FALSE,"Revenue Detail"}</definedName>
    <definedName name="wrn.TUNE._.Model._1" localSheetId="11" hidden="1">{#N/A,#N/A,FALSE,"IS";#N/A,#N/A,FALSE,"One pager";#N/A,#N/A,FALSE,"Revenue Detail"}</definedName>
    <definedName name="wrn.TUNE._.Model._1" localSheetId="14" hidden="1">{#N/A,#N/A,FALSE,"IS";#N/A,#N/A,FALSE,"One pager";#N/A,#N/A,FALSE,"Revenue Detail"}</definedName>
    <definedName name="wrn.TUNE._.Model._1" hidden="1">{#N/A,#N/A,FALSE,"IS";#N/A,#N/A,FALSE,"One pager";#N/A,#N/A,FALSE,"Revenue Detail"}</definedName>
    <definedName name="wrn.TUNE._.Model._2" localSheetId="11" hidden="1">{#N/A,#N/A,FALSE,"IS";#N/A,#N/A,FALSE,"One pager";#N/A,#N/A,FALSE,"Revenue Detail"}</definedName>
    <definedName name="wrn.TUNE._.Model._2" localSheetId="14" hidden="1">{#N/A,#N/A,FALSE,"IS";#N/A,#N/A,FALSE,"One pager";#N/A,#N/A,FALSE,"Revenue Detail"}</definedName>
    <definedName name="wrn.TUNE._.Model._2" hidden="1">{#N/A,#N/A,FALSE,"IS";#N/A,#N/A,FALSE,"One pager";#N/A,#N/A,FALSE,"Revenue Detail"}</definedName>
    <definedName name="wrn.TUNE._.Model._3" localSheetId="11" hidden="1">{#N/A,#N/A,FALSE,"IS";#N/A,#N/A,FALSE,"One pager";#N/A,#N/A,FALSE,"Revenue Detail"}</definedName>
    <definedName name="wrn.TUNE._.Model._3" localSheetId="14" hidden="1">{#N/A,#N/A,FALSE,"IS";#N/A,#N/A,FALSE,"One pager";#N/A,#N/A,FALSE,"Revenue Detail"}</definedName>
    <definedName name="wrn.TUNE._.Model._3" hidden="1">{#N/A,#N/A,FALSE,"IS";#N/A,#N/A,FALSE,"One pager";#N/A,#N/A,FALSE,"Revenue Detail"}</definedName>
    <definedName name="wrn.Two." localSheetId="11" hidden="1">{#N/A,#N/A,FALSE,"Intl Mo Syn"}</definedName>
    <definedName name="wrn.Two." localSheetId="14" hidden="1">{#N/A,#N/A,FALSE,"Intl Mo Syn"}</definedName>
    <definedName name="wrn.Two." hidden="1">{#N/A,#N/A,FALSE,"Intl Mo Syn"}</definedName>
    <definedName name="wry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y" localSheetId="1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y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ww" localSheetId="11" hidden="1">{"'xls'!$A$71:$A$78","'xls'!$A$1:$J$77"}</definedName>
    <definedName name="www" localSheetId="14" hidden="1">{"'xls'!$A$71:$A$78","'xls'!$A$1:$J$77"}</definedName>
    <definedName name="www" hidden="1">{"'xls'!$A$71:$A$78","'xls'!$A$1:$J$77"}</definedName>
    <definedName name="www_1" localSheetId="11" hidden="1">{"'xls'!$A$71:$A$78","'xls'!$A$1:$J$77"}</definedName>
    <definedName name="www_1" localSheetId="14" hidden="1">{"'xls'!$A$71:$A$78","'xls'!$A$1:$J$77"}</definedName>
    <definedName name="www_1" hidden="1">{"'xls'!$A$71:$A$78","'xls'!$A$1:$J$77"}</definedName>
    <definedName name="www_2" localSheetId="11" hidden="1">{"'xls'!$A$71:$A$78","'xls'!$A$1:$J$77"}</definedName>
    <definedName name="www_2" localSheetId="14" hidden="1">{"'xls'!$A$71:$A$78","'xls'!$A$1:$J$77"}</definedName>
    <definedName name="www_2" hidden="1">{"'xls'!$A$71:$A$78","'xls'!$A$1:$J$77"}</definedName>
    <definedName name="www_3" localSheetId="11" hidden="1">{"'xls'!$A$71:$A$78","'xls'!$A$1:$J$77"}</definedName>
    <definedName name="www_3" localSheetId="14" hidden="1">{"'xls'!$A$71:$A$78","'xls'!$A$1:$J$77"}</definedName>
    <definedName name="www_3" hidden="1">{"'xls'!$A$71:$A$78","'xls'!$A$1:$J$77"}</definedName>
    <definedName name="xde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xde" localSheetId="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xde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XRefActiveRow" hidden="1">#REF!</definedName>
    <definedName name="XRefColumnsCount" hidden="1">1</definedName>
    <definedName name="XRefCopy1Row" hidden="1">#REF!</definedName>
    <definedName name="XRefCopyRangeCount" hidden="1">1</definedName>
    <definedName name="XRefPaste1Row" hidden="1">#REF!</definedName>
    <definedName name="XRefPasteRangeCount" hidden="1">1</definedName>
    <definedName name="xx" localSheetId="11" hidden="1">{"schedule",#N/A,FALSE,"Sum Op's";"input area",#N/A,FALSE,"Sum Op's"}</definedName>
    <definedName name="xx" localSheetId="14" hidden="1">{"schedule",#N/A,FALSE,"Sum Op's";"input area",#N/A,FALSE,"Sum Op's"}</definedName>
    <definedName name="xx" hidden="1">{"schedule",#N/A,FALSE,"Sum Op's";"input area",#N/A,FALSE,"Sum Op's"}</definedName>
    <definedName name="xxxxxxxxxxxxx" hidden="1">#REF!</definedName>
    <definedName name="YESSSSSSS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YESSSSSSS" localSheetId="1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YESSSSSSS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_26E4ACCE_8141_45F4_B979_606B4CDDD08F_.wvu.FilterData" hidden="1">#REF!</definedName>
    <definedName name="Z_26E4ACCE_8141_45F4_B979_606B4CDDD08F_.wvu.PrintTitles" hidden="1">#REF!</definedName>
    <definedName name="Z_F9E43FEB_4DEF_4205_AE90_72F680CF0AC2_.wvu.Cols" hidden="1">#REF!,#REF!,#REF!</definedName>
    <definedName name="Z_F9E43FEB_4DEF_4205_AE90_72F680CF0AC2_.wvu.Rows" hidden="1">#REF!</definedName>
    <definedName name="zfy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fy" localSheetId="14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fy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テスト" localSheetId="11" hidden="1">{"schedule",#N/A,FALSE,"Sum Op's";"input area",#N/A,FALSE,"Sum Op's"}</definedName>
    <definedName name="テスト" localSheetId="14" hidden="1">{"schedule",#N/A,FALSE,"Sum Op's";"input area",#N/A,FALSE,"Sum Op's"}</definedName>
    <definedName name="テスト" hidden="1">{"schedule",#N/A,FALSE,"Sum Op's";"input area",#N/A,FALSE,"Sum Op's"}</definedName>
  </definedNames>
  <calcPr calcId="191029"/>
  <pivotCaches>
    <pivotCache cacheId="0" r:id="rId16"/>
    <pivotCache cacheId="1" r:id="rId17"/>
    <pivotCache cacheId="2" r:id="rId18"/>
    <pivotCache cacheId="3" r:id="rId19"/>
    <pivotCache cacheId="4" r:id="rId2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R43" i="1" l="1"/>
  <c r="BQ43" i="1"/>
  <c r="BR42" i="1"/>
  <c r="BQ42" i="1"/>
  <c r="BR41" i="1"/>
  <c r="BQ41" i="1"/>
  <c r="BR40" i="1"/>
  <c r="BQ40" i="1"/>
  <c r="BR39" i="1"/>
  <c r="BQ39" i="1"/>
  <c r="BR38" i="1"/>
  <c r="BQ38" i="1"/>
  <c r="BR37" i="1"/>
  <c r="BQ37" i="1"/>
  <c r="BR36" i="1"/>
  <c r="BQ36" i="1"/>
  <c r="BR35" i="1"/>
  <c r="BQ35" i="1"/>
  <c r="BR34" i="1"/>
  <c r="BQ34" i="1"/>
  <c r="BR33" i="1"/>
  <c r="BQ33" i="1"/>
  <c r="A43" i="1"/>
  <c r="BP43" i="1" s="1"/>
  <c r="A42" i="1"/>
  <c r="BP42" i="1" s="1"/>
  <c r="A41" i="1"/>
  <c r="BP41" i="1" s="1"/>
  <c r="A40" i="1"/>
  <c r="BP40" i="1" s="1"/>
  <c r="A39" i="1"/>
  <c r="BP39" i="1" s="1"/>
  <c r="A38" i="1"/>
  <c r="BP38" i="1" s="1"/>
  <c r="A37" i="1"/>
  <c r="BP37" i="1" s="1"/>
  <c r="A36" i="1"/>
  <c r="BP36" i="1" s="1"/>
  <c r="A35" i="1"/>
  <c r="BP35" i="1" s="1"/>
  <c r="A34" i="1"/>
  <c r="BP34" i="1" s="1"/>
  <c r="A33" i="1"/>
  <c r="BP33" i="1" s="1"/>
  <c r="E6" i="10"/>
  <c r="E5" i="10"/>
  <c r="E4" i="10"/>
  <c r="J6" i="26"/>
  <c r="K6" i="26" s="1"/>
  <c r="E53" i="23"/>
  <c r="E2" i="23"/>
  <c r="A18" i="2"/>
  <c r="F18" i="2"/>
  <c r="O18" i="2"/>
  <c r="A5" i="27"/>
  <c r="A4" i="27"/>
  <c r="A3" i="27"/>
  <c r="A2" i="27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BR32" i="1"/>
  <c r="BQ32" i="1"/>
  <c r="BR25" i="1"/>
  <c r="BQ25" i="1"/>
  <c r="I6" i="26"/>
  <c r="O5" i="2" l="1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7" i="2"/>
  <c r="O16" i="2"/>
  <c r="O15" i="2"/>
  <c r="O14" i="2"/>
  <c r="O13" i="2"/>
  <c r="O12" i="2"/>
  <c r="O11" i="2"/>
  <c r="O10" i="2"/>
  <c r="O9" i="2"/>
  <c r="O8" i="2"/>
  <c r="O7" i="2"/>
  <c r="O6" i="2"/>
  <c r="O4" i="2"/>
  <c r="BR31" i="1"/>
  <c r="BQ31" i="1"/>
  <c r="BR30" i="1"/>
  <c r="BQ30" i="1"/>
  <c r="BR29" i="1"/>
  <c r="BQ29" i="1"/>
  <c r="BR28" i="1"/>
  <c r="BQ28" i="1"/>
  <c r="BR27" i="1"/>
  <c r="BQ27" i="1"/>
  <c r="BR26" i="1"/>
  <c r="BQ26" i="1"/>
  <c r="BR24" i="1"/>
  <c r="BQ24" i="1"/>
  <c r="BR23" i="1"/>
  <c r="BQ23" i="1"/>
  <c r="BR22" i="1"/>
  <c r="BQ22" i="1"/>
  <c r="BR21" i="1"/>
  <c r="BQ21" i="1"/>
  <c r="BR20" i="1"/>
  <c r="BQ20" i="1"/>
  <c r="BR19" i="1"/>
  <c r="BQ19" i="1"/>
  <c r="BR18" i="1"/>
  <c r="BQ18" i="1"/>
  <c r="BR17" i="1"/>
  <c r="BQ17" i="1"/>
  <c r="BR16" i="1"/>
  <c r="BQ16" i="1"/>
  <c r="BR15" i="1"/>
  <c r="BQ15" i="1"/>
  <c r="BR14" i="1"/>
  <c r="BQ14" i="1"/>
  <c r="BR13" i="1"/>
  <c r="BQ13" i="1"/>
  <c r="BR12" i="1"/>
  <c r="BQ12" i="1"/>
  <c r="BR11" i="1"/>
  <c r="BQ11" i="1"/>
  <c r="BR10" i="1"/>
  <c r="BQ10" i="1"/>
  <c r="BR9" i="1"/>
  <c r="BQ9" i="1"/>
  <c r="BR8" i="1"/>
  <c r="BQ8" i="1"/>
  <c r="BR7" i="1"/>
  <c r="BQ7" i="1"/>
  <c r="BR6" i="1"/>
  <c r="BQ6" i="1"/>
  <c r="BR5" i="1"/>
  <c r="BQ5" i="1"/>
  <c r="BR4" i="1"/>
  <c r="BQ4" i="1"/>
  <c r="BR3" i="1"/>
  <c r="BQ3" i="1"/>
  <c r="N30" i="23" l="1"/>
  <c r="K30" i="23"/>
  <c r="N29" i="23"/>
  <c r="K29" i="23"/>
  <c r="N28" i="23"/>
  <c r="K28" i="23"/>
  <c r="N27" i="23"/>
  <c r="K27" i="23"/>
  <c r="N26" i="23"/>
  <c r="K26" i="23"/>
  <c r="N25" i="23"/>
  <c r="K25" i="23"/>
  <c r="N24" i="23"/>
  <c r="K24" i="23"/>
  <c r="N23" i="23"/>
  <c r="K23" i="23"/>
  <c r="N22" i="23"/>
  <c r="K22" i="23"/>
  <c r="N21" i="23"/>
  <c r="K21" i="23"/>
  <c r="N20" i="23"/>
  <c r="K20" i="23"/>
  <c r="N19" i="23"/>
  <c r="K19" i="23"/>
  <c r="N18" i="23"/>
  <c r="K18" i="23"/>
  <c r="N17" i="23"/>
  <c r="K17" i="23"/>
  <c r="N16" i="23"/>
  <c r="K16" i="23"/>
  <c r="N15" i="23"/>
  <c r="K15" i="23"/>
  <c r="N14" i="23"/>
  <c r="K14" i="23"/>
  <c r="N13" i="23"/>
  <c r="K13" i="23"/>
  <c r="N12" i="23"/>
  <c r="K12" i="23"/>
  <c r="N11" i="23"/>
  <c r="K11" i="23"/>
  <c r="N10" i="23"/>
  <c r="K10" i="23"/>
  <c r="N9" i="23"/>
  <c r="K9" i="23"/>
  <c r="N8" i="23"/>
  <c r="K8" i="23"/>
  <c r="N7" i="23"/>
  <c r="K7" i="23"/>
  <c r="N6" i="23"/>
  <c r="K6" i="23"/>
  <c r="N5" i="23"/>
  <c r="K5" i="23"/>
  <c r="N4" i="23"/>
  <c r="K4" i="23"/>
  <c r="N3" i="23"/>
  <c r="K3" i="23"/>
  <c r="E67" i="23"/>
  <c r="B67" i="23"/>
  <c r="E66" i="23"/>
  <c r="B66" i="23"/>
  <c r="E65" i="23"/>
  <c r="B65" i="23"/>
  <c r="E64" i="23"/>
  <c r="B64" i="23"/>
  <c r="E63" i="23"/>
  <c r="B63" i="23"/>
  <c r="E62" i="23"/>
  <c r="B62" i="23"/>
  <c r="E61" i="23"/>
  <c r="B61" i="23"/>
  <c r="E60" i="23"/>
  <c r="B60" i="23"/>
  <c r="E59" i="23"/>
  <c r="B59" i="23"/>
  <c r="E58" i="23"/>
  <c r="B58" i="23"/>
  <c r="E57" i="23"/>
  <c r="B57" i="23"/>
  <c r="E56" i="23"/>
  <c r="B56" i="23"/>
  <c r="E55" i="23"/>
  <c r="B55" i="23"/>
  <c r="E54" i="23"/>
  <c r="B54" i="23"/>
  <c r="B53" i="23"/>
  <c r="E52" i="23"/>
  <c r="B52" i="23"/>
  <c r="E51" i="23"/>
  <c r="B51" i="23"/>
  <c r="E50" i="23"/>
  <c r="B50" i="23"/>
  <c r="E49" i="23"/>
  <c r="B49" i="23"/>
  <c r="E48" i="23"/>
  <c r="B48" i="23"/>
  <c r="E47" i="23"/>
  <c r="B47" i="23"/>
  <c r="E46" i="23"/>
  <c r="B46" i="23"/>
  <c r="E45" i="23"/>
  <c r="B45" i="23"/>
  <c r="E44" i="23"/>
  <c r="B44" i="23"/>
  <c r="E43" i="23"/>
  <c r="B43" i="23"/>
  <c r="E42" i="23"/>
  <c r="B42" i="23"/>
  <c r="E41" i="23"/>
  <c r="B41" i="23"/>
  <c r="E40" i="23"/>
  <c r="B40" i="23"/>
  <c r="E39" i="23"/>
  <c r="B39" i="23"/>
  <c r="E38" i="23"/>
  <c r="B38" i="23"/>
  <c r="E37" i="23"/>
  <c r="B37" i="23"/>
  <c r="E36" i="23"/>
  <c r="B36" i="23"/>
  <c r="E35" i="23"/>
  <c r="B35" i="23"/>
  <c r="E34" i="23"/>
  <c r="B34" i="23"/>
  <c r="E33" i="23"/>
  <c r="B33" i="23"/>
  <c r="E32" i="23"/>
  <c r="B32" i="23"/>
  <c r="E31" i="23"/>
  <c r="B31" i="23"/>
  <c r="E30" i="23"/>
  <c r="B30" i="23"/>
  <c r="E29" i="23"/>
  <c r="B29" i="23"/>
  <c r="E28" i="23"/>
  <c r="B28" i="23"/>
  <c r="E27" i="23"/>
  <c r="B27" i="23"/>
  <c r="E26" i="23"/>
  <c r="B26" i="23"/>
  <c r="E25" i="23"/>
  <c r="B25" i="23"/>
  <c r="E24" i="23"/>
  <c r="B24" i="23"/>
  <c r="E23" i="23"/>
  <c r="B23" i="23"/>
  <c r="E22" i="23"/>
  <c r="B22" i="23"/>
  <c r="E21" i="23"/>
  <c r="B21" i="23"/>
  <c r="E20" i="23"/>
  <c r="B20" i="23"/>
  <c r="E19" i="23"/>
  <c r="B19" i="23"/>
  <c r="E18" i="23"/>
  <c r="B18" i="23"/>
  <c r="E17" i="23"/>
  <c r="B17" i="23"/>
  <c r="E16" i="23"/>
  <c r="B16" i="23"/>
  <c r="E15" i="23"/>
  <c r="B15" i="23"/>
  <c r="E14" i="23"/>
  <c r="B14" i="23"/>
  <c r="E13" i="23"/>
  <c r="B13" i="23"/>
  <c r="E12" i="23"/>
  <c r="B12" i="23"/>
  <c r="E11" i="23"/>
  <c r="B11" i="23"/>
  <c r="E10" i="23"/>
  <c r="B10" i="23"/>
  <c r="E9" i="23"/>
  <c r="B9" i="23"/>
  <c r="E8" i="23"/>
  <c r="B8" i="23"/>
  <c r="E7" i="23"/>
  <c r="B7" i="23"/>
  <c r="E6" i="23"/>
  <c r="B6" i="23"/>
  <c r="E5" i="23"/>
  <c r="B5" i="23"/>
  <c r="E4" i="23"/>
  <c r="B4" i="23"/>
  <c r="E3" i="23"/>
  <c r="B3" i="23"/>
  <c r="B2" i="23"/>
  <c r="K2" i="23"/>
  <c r="N2" i="23"/>
  <c r="A32" i="1" l="1"/>
  <c r="BP32" i="1" s="1"/>
  <c r="F31" i="2" l="1"/>
  <c r="F30" i="2"/>
  <c r="F29" i="2"/>
  <c r="F28" i="2"/>
  <c r="F27" i="2"/>
  <c r="F26" i="2"/>
  <c r="F25" i="2"/>
  <c r="F24" i="2"/>
  <c r="F23" i="2"/>
  <c r="F22" i="2"/>
  <c r="F21" i="2"/>
  <c r="F20" i="2"/>
  <c r="F19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A31" i="1" l="1"/>
  <c r="BP31" i="1" s="1"/>
  <c r="A30" i="1" l="1"/>
  <c r="BP30" i="1" s="1"/>
  <c r="A29" i="1"/>
  <c r="BP29" i="1" s="1"/>
  <c r="A28" i="1"/>
  <c r="BP28" i="1" s="1"/>
  <c r="A27" i="1"/>
  <c r="BP27" i="1" s="1"/>
  <c r="A26" i="1"/>
  <c r="BP26" i="1" s="1"/>
  <c r="A25" i="1"/>
  <c r="BP25" i="1" s="1"/>
  <c r="A24" i="1" l="1"/>
  <c r="BP24" i="1" s="1"/>
  <c r="A23" i="1" l="1"/>
  <c r="BP23" i="1" s="1"/>
  <c r="A22" i="1"/>
  <c r="BP22" i="1" s="1"/>
  <c r="A21" i="1"/>
  <c r="BP21" i="1" s="1"/>
  <c r="A20" i="1"/>
  <c r="BP20" i="1" s="1"/>
  <c r="A19" i="1"/>
  <c r="BP19" i="1" s="1"/>
  <c r="A18" i="1"/>
  <c r="BP18" i="1" s="1"/>
  <c r="A17" i="1"/>
  <c r="BP17" i="1" s="1"/>
  <c r="A16" i="1"/>
  <c r="BP16" i="1" s="1"/>
  <c r="A15" i="1"/>
  <c r="BP15" i="1" s="1"/>
  <c r="A14" i="1"/>
  <c r="BP14" i="1" s="1"/>
  <c r="A13" i="1"/>
  <c r="BP13" i="1" s="1"/>
  <c r="A12" i="1"/>
  <c r="BP12" i="1" s="1"/>
  <c r="A11" i="1"/>
  <c r="BP11" i="1" s="1"/>
  <c r="A10" i="1"/>
  <c r="BP10" i="1" s="1"/>
  <c r="A9" i="1"/>
  <c r="BP9" i="1" s="1"/>
  <c r="A8" i="1"/>
  <c r="BP8" i="1" s="1"/>
  <c r="A7" i="1"/>
  <c r="BP7" i="1" s="1"/>
  <c r="A6" i="1"/>
  <c r="BP6" i="1" s="1"/>
  <c r="A5" i="1"/>
  <c r="BP5" i="1" s="1"/>
  <c r="A4" i="1"/>
  <c r="BP4" i="1" s="1"/>
  <c r="A3" i="1"/>
  <c r="BP3" i="1" s="1"/>
  <c r="K18" i="2" l="1"/>
  <c r="G18" i="2"/>
  <c r="H18" i="2"/>
  <c r="L18" i="2" s="1"/>
  <c r="I18" i="2"/>
  <c r="J18" i="2"/>
  <c r="G23" i="2"/>
  <c r="K23" i="2"/>
  <c r="J23" i="2"/>
  <c r="K27" i="2"/>
  <c r="J27" i="2"/>
  <c r="I27" i="2"/>
  <c r="H27" i="2"/>
  <c r="L27" i="2" s="1"/>
  <c r="G27" i="2"/>
  <c r="K26" i="2"/>
  <c r="J26" i="2"/>
  <c r="I26" i="2"/>
  <c r="H26" i="2"/>
  <c r="L26" i="2" s="1"/>
  <c r="G26" i="2"/>
  <c r="K25" i="2"/>
  <c r="G25" i="2"/>
  <c r="J25" i="2"/>
  <c r="I25" i="2"/>
  <c r="H25" i="2"/>
  <c r="L25" i="2" s="1"/>
  <c r="K24" i="2"/>
  <c r="J24" i="2"/>
  <c r="I24" i="2"/>
  <c r="H24" i="2"/>
  <c r="L24" i="2" s="1"/>
  <c r="M24" i="2" s="1"/>
  <c r="G24" i="2"/>
  <c r="I23" i="2"/>
  <c r="H23" i="2"/>
  <c r="L23" i="2" s="1"/>
  <c r="K16" i="2"/>
  <c r="K22" i="2"/>
  <c r="J22" i="2"/>
  <c r="I22" i="2"/>
  <c r="H22" i="2"/>
  <c r="L22" i="2" s="1"/>
  <c r="G22" i="2"/>
  <c r="G21" i="2"/>
  <c r="K21" i="2"/>
  <c r="J21" i="2"/>
  <c r="I21" i="2"/>
  <c r="H21" i="2"/>
  <c r="L21" i="2" s="1"/>
  <c r="G20" i="2"/>
  <c r="H20" i="2"/>
  <c r="L20" i="2" s="1"/>
  <c r="I20" i="2"/>
  <c r="K20" i="2"/>
  <c r="J20" i="2"/>
  <c r="K19" i="2"/>
  <c r="I19" i="2"/>
  <c r="H19" i="2"/>
  <c r="L19" i="2" s="1"/>
  <c r="J19" i="2"/>
  <c r="G19" i="2"/>
  <c r="J17" i="2"/>
  <c r="K17" i="2"/>
  <c r="I17" i="2"/>
  <c r="H17" i="2"/>
  <c r="L17" i="2" s="1"/>
  <c r="G17" i="2"/>
  <c r="J16" i="2"/>
  <c r="I16" i="2"/>
  <c r="H16" i="2"/>
  <c r="L16" i="2" s="1"/>
  <c r="G16" i="2"/>
  <c r="K15" i="2"/>
  <c r="J15" i="2"/>
  <c r="I15" i="2"/>
  <c r="H15" i="2"/>
  <c r="L15" i="2" s="1"/>
  <c r="G15" i="2"/>
  <c r="K14" i="2"/>
  <c r="J14" i="2"/>
  <c r="I14" i="2"/>
  <c r="H14" i="2"/>
  <c r="L14" i="2" s="1"/>
  <c r="G14" i="2"/>
  <c r="K13" i="2"/>
  <c r="J13" i="2"/>
  <c r="I13" i="2"/>
  <c r="H13" i="2"/>
  <c r="L13" i="2" s="1"/>
  <c r="G13" i="2"/>
  <c r="K12" i="2"/>
  <c r="J12" i="2"/>
  <c r="I12" i="2"/>
  <c r="H12" i="2"/>
  <c r="L12" i="2" s="1"/>
  <c r="G12" i="2"/>
  <c r="K11" i="2"/>
  <c r="J11" i="2"/>
  <c r="I11" i="2"/>
  <c r="H11" i="2"/>
  <c r="L11" i="2" s="1"/>
  <c r="G11" i="2"/>
  <c r="K10" i="2"/>
  <c r="J10" i="2"/>
  <c r="I10" i="2"/>
  <c r="H10" i="2"/>
  <c r="L10" i="2" s="1"/>
  <c r="G10" i="2"/>
  <c r="K9" i="2"/>
  <c r="I9" i="2"/>
  <c r="J9" i="2"/>
  <c r="H9" i="2"/>
  <c r="L9" i="2" s="1"/>
  <c r="G9" i="2"/>
  <c r="K8" i="2"/>
  <c r="J8" i="2"/>
  <c r="I8" i="2"/>
  <c r="H8" i="2"/>
  <c r="L8" i="2" s="1"/>
  <c r="G8" i="2"/>
  <c r="K7" i="2"/>
  <c r="J7" i="2"/>
  <c r="I7" i="2"/>
  <c r="H7" i="2"/>
  <c r="L7" i="2" s="1"/>
  <c r="G7" i="2"/>
  <c r="K6" i="2"/>
  <c r="J6" i="2"/>
  <c r="I6" i="2"/>
  <c r="H6" i="2"/>
  <c r="L6" i="2" s="1"/>
  <c r="G6" i="2"/>
  <c r="K5" i="2"/>
  <c r="J5" i="2"/>
  <c r="I5" i="2"/>
  <c r="H5" i="2"/>
  <c r="L5" i="2" s="1"/>
  <c r="G5" i="2"/>
  <c r="I30" i="2"/>
  <c r="K29" i="2"/>
  <c r="I29" i="2"/>
  <c r="J28" i="2"/>
  <c r="H4" i="2"/>
  <c r="L4" i="2" s="1"/>
  <c r="K4" i="2"/>
  <c r="G4" i="2"/>
  <c r="J4" i="2"/>
  <c r="I4" i="2"/>
  <c r="G30" i="2"/>
  <c r="J29" i="2"/>
  <c r="G28" i="2"/>
  <c r="H29" i="2"/>
  <c r="L29" i="2" s="1"/>
  <c r="K28" i="2"/>
  <c r="H28" i="2"/>
  <c r="L28" i="2" s="1"/>
  <c r="K31" i="2"/>
  <c r="J31" i="2"/>
  <c r="I31" i="2"/>
  <c r="H31" i="2"/>
  <c r="L31" i="2" s="1"/>
  <c r="G31" i="2"/>
  <c r="K30" i="2"/>
  <c r="J30" i="2"/>
  <c r="H30" i="2"/>
  <c r="L30" i="2" s="1"/>
  <c r="G29" i="2"/>
  <c r="I28" i="2"/>
  <c r="M19" i="2" l="1"/>
  <c r="M27" i="2"/>
  <c r="M5" i="2"/>
  <c r="M13" i="2"/>
  <c r="M6" i="2"/>
  <c r="M16" i="2"/>
  <c r="M23" i="2"/>
  <c r="M21" i="2"/>
  <c r="M12" i="2"/>
  <c r="M11" i="2"/>
  <c r="M8" i="2"/>
  <c r="M25" i="2"/>
  <c r="P18" i="2"/>
  <c r="Q18" i="2" s="1"/>
  <c r="M18" i="2"/>
  <c r="M22" i="2"/>
  <c r="M15" i="2"/>
  <c r="M7" i="2"/>
  <c r="M9" i="2"/>
  <c r="P16" i="2"/>
  <c r="Q16" i="2" s="1"/>
  <c r="M26" i="2"/>
  <c r="M10" i="2"/>
  <c r="M31" i="2"/>
  <c r="M17" i="2"/>
  <c r="M28" i="2"/>
  <c r="M14" i="2"/>
  <c r="M29" i="2"/>
  <c r="M20" i="2"/>
  <c r="M4" i="2"/>
  <c r="M30" i="2"/>
  <c r="P19" i="2"/>
  <c r="Q19" i="2" s="1"/>
  <c r="P5" i="2"/>
  <c r="Q5" i="2" s="1"/>
  <c r="P31" i="2"/>
  <c r="Q31" i="2" s="1"/>
  <c r="P30" i="2"/>
  <c r="Q30" i="2" s="1"/>
  <c r="P10" i="2"/>
  <c r="Q10" i="2" s="1"/>
  <c r="P25" i="2"/>
  <c r="Q25" i="2" s="1"/>
  <c r="P28" i="2"/>
  <c r="Q28" i="2" s="1"/>
  <c r="P21" i="2"/>
  <c r="Q21" i="2" s="1"/>
  <c r="P23" i="2"/>
  <c r="Q23" i="2" s="1"/>
  <c r="P7" i="2"/>
  <c r="Q7" i="2" s="1"/>
  <c r="P17" i="2"/>
  <c r="Q17" i="2" s="1"/>
  <c r="P29" i="2"/>
  <c r="Q29" i="2" s="1"/>
  <c r="P13" i="2"/>
  <c r="Q13" i="2" s="1"/>
  <c r="P24" i="2"/>
  <c r="Q24" i="2" s="1"/>
  <c r="P20" i="2"/>
  <c r="Q20" i="2" s="1"/>
  <c r="P27" i="2"/>
  <c r="Q27" i="2" s="1"/>
  <c r="P11" i="2"/>
  <c r="Q11" i="2" s="1"/>
  <c r="P26" i="2"/>
  <c r="Q26" i="2" s="1"/>
  <c r="P12" i="2"/>
  <c r="Q12" i="2" s="1"/>
  <c r="P6" i="2"/>
  <c r="Q6" i="2" s="1"/>
  <c r="P22" i="2"/>
  <c r="Q22" i="2" s="1"/>
  <c r="P8" i="2"/>
  <c r="Q8" i="2" s="1"/>
  <c r="P4" i="2"/>
  <c r="Q4" i="2" s="1"/>
  <c r="P14" i="2"/>
  <c r="Q14" i="2" s="1"/>
  <c r="P15" i="2"/>
  <c r="Q15" i="2" s="1"/>
  <c r="P9" i="2"/>
  <c r="Q9" i="2" s="1"/>
  <c r="B1" i="1"/>
  <c r="C1" i="1" s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l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l="1"/>
  <c r="AY1" i="1" s="1"/>
  <c r="C66" i="23"/>
  <c r="F66" i="23" s="1"/>
  <c r="C62" i="23"/>
  <c r="F62" i="23" s="1"/>
  <c r="C58" i="23"/>
  <c r="F58" i="23" s="1"/>
  <c r="C54" i="23"/>
  <c r="F54" i="23" s="1"/>
  <c r="C50" i="23"/>
  <c r="F50" i="23" s="1"/>
  <c r="C46" i="23"/>
  <c r="F46" i="23" s="1"/>
  <c r="C42" i="23"/>
  <c r="F42" i="23" s="1"/>
  <c r="C38" i="23"/>
  <c r="F38" i="23" s="1"/>
  <c r="C34" i="23"/>
  <c r="F34" i="23" s="1"/>
  <c r="C30" i="23"/>
  <c r="F30" i="23" s="1"/>
  <c r="C26" i="23"/>
  <c r="F26" i="23" s="1"/>
  <c r="C22" i="23"/>
  <c r="F22" i="23" s="1"/>
  <c r="C18" i="23"/>
  <c r="F18" i="23" s="1"/>
  <c r="C14" i="23"/>
  <c r="F14" i="23" s="1"/>
  <c r="C10" i="23"/>
  <c r="F10" i="23" s="1"/>
  <c r="C6" i="23"/>
  <c r="F6" i="23" s="1"/>
  <c r="C64" i="23"/>
  <c r="F64" i="23" s="1"/>
  <c r="C51" i="23"/>
  <c r="F51" i="23" s="1"/>
  <c r="C29" i="23"/>
  <c r="F29" i="23" s="1"/>
  <c r="C16" i="23"/>
  <c r="F16" i="23" s="1"/>
  <c r="C3" i="23"/>
  <c r="F3" i="23" s="1"/>
  <c r="C55" i="23"/>
  <c r="F55" i="23" s="1"/>
  <c r="C33" i="23"/>
  <c r="F33" i="23" s="1"/>
  <c r="C20" i="23"/>
  <c r="F20" i="23" s="1"/>
  <c r="C7" i="23"/>
  <c r="F7" i="23" s="1"/>
  <c r="C59" i="23"/>
  <c r="F59" i="23" s="1"/>
  <c r="C37" i="23"/>
  <c r="F37" i="23" s="1"/>
  <c r="C24" i="23"/>
  <c r="F24" i="23" s="1"/>
  <c r="C11" i="23"/>
  <c r="F11" i="23" s="1"/>
  <c r="C63" i="23"/>
  <c r="F63" i="23" s="1"/>
  <c r="C41" i="23"/>
  <c r="F41" i="23" s="1"/>
  <c r="C28" i="23"/>
  <c r="F28" i="23" s="1"/>
  <c r="C15" i="23"/>
  <c r="F15" i="23" s="1"/>
  <c r="C67" i="23"/>
  <c r="F67" i="23" s="1"/>
  <c r="C45" i="23"/>
  <c r="F45" i="23" s="1"/>
  <c r="C32" i="23"/>
  <c r="F32" i="23" s="1"/>
  <c r="C19" i="23"/>
  <c r="F19" i="23" s="1"/>
  <c r="C53" i="23"/>
  <c r="F53" i="23" s="1"/>
  <c r="C39" i="23"/>
  <c r="F39" i="23" s="1"/>
  <c r="C4" i="23"/>
  <c r="F4" i="23" s="1"/>
  <c r="C48" i="23"/>
  <c r="F48" i="23" s="1"/>
  <c r="C65" i="23"/>
  <c r="F65" i="23" s="1"/>
  <c r="C36" i="23"/>
  <c r="F36" i="23" s="1"/>
  <c r="C21" i="23"/>
  <c r="F21" i="23" s="1"/>
  <c r="C2" i="23"/>
  <c r="F2" i="23" s="1"/>
  <c r="C25" i="23"/>
  <c r="F25" i="23" s="1"/>
  <c r="C49" i="23"/>
  <c r="F49" i="23" s="1"/>
  <c r="C9" i="23"/>
  <c r="F9" i="23" s="1"/>
  <c r="C13" i="23"/>
  <c r="F13" i="23" s="1"/>
  <c r="C60" i="23"/>
  <c r="F60" i="23" s="1"/>
  <c r="C31" i="23"/>
  <c r="F31" i="23" s="1"/>
  <c r="C40" i="23"/>
  <c r="F40" i="23" s="1"/>
  <c r="C5" i="23"/>
  <c r="F5" i="23" s="1"/>
  <c r="C35" i="23"/>
  <c r="F35" i="23" s="1"/>
  <c r="C44" i="23"/>
  <c r="F44" i="23" s="1"/>
  <c r="C57" i="23"/>
  <c r="F57" i="23" s="1"/>
  <c r="C43" i="23"/>
  <c r="F43" i="23" s="1"/>
  <c r="C23" i="23"/>
  <c r="F23" i="23" s="1"/>
  <c r="C8" i="23"/>
  <c r="F8" i="23" s="1"/>
  <c r="C52" i="23"/>
  <c r="F52" i="23" s="1"/>
  <c r="C61" i="23"/>
  <c r="F61" i="23" s="1"/>
  <c r="C47" i="23"/>
  <c r="F47" i="23" s="1"/>
  <c r="C27" i="23"/>
  <c r="F27" i="23" s="1"/>
  <c r="C17" i="23"/>
  <c r="F17" i="23" s="1"/>
  <c r="C12" i="23"/>
  <c r="F12" i="23" s="1"/>
  <c r="C56" i="23"/>
  <c r="F56" i="23" s="1"/>
  <c r="AZ1" i="1" l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L30" i="23"/>
  <c r="O30" i="23" s="1"/>
  <c r="L26" i="23"/>
  <c r="O26" i="23" s="1"/>
  <c r="L22" i="23"/>
  <c r="O22" i="23" s="1"/>
  <c r="L18" i="23"/>
  <c r="O18" i="23" s="1"/>
  <c r="L14" i="23"/>
  <c r="O14" i="23" s="1"/>
  <c r="L10" i="23"/>
  <c r="O10" i="23" s="1"/>
  <c r="L6" i="23"/>
  <c r="O6" i="23" s="1"/>
  <c r="L20" i="23"/>
  <c r="O20" i="23" s="1"/>
  <c r="L7" i="23"/>
  <c r="O7" i="23" s="1"/>
  <c r="L24" i="23"/>
  <c r="O24" i="23" s="1"/>
  <c r="L11" i="23"/>
  <c r="O11" i="23" s="1"/>
  <c r="L28" i="23"/>
  <c r="O28" i="23" s="1"/>
  <c r="L15" i="23"/>
  <c r="O15" i="23" s="1"/>
  <c r="L19" i="23"/>
  <c r="O19" i="23" s="1"/>
  <c r="L23" i="23"/>
  <c r="O23" i="23" s="1"/>
  <c r="L2" i="23"/>
  <c r="O2" i="23" s="1"/>
  <c r="L27" i="23"/>
  <c r="O27" i="23" s="1"/>
  <c r="L5" i="23"/>
  <c r="O5" i="23" s="1"/>
  <c r="L9" i="23"/>
  <c r="O9" i="23" s="1"/>
  <c r="L4" i="23"/>
  <c r="O4" i="23" s="1"/>
  <c r="L21" i="23"/>
  <c r="O21" i="23" s="1"/>
  <c r="L25" i="23"/>
  <c r="O25" i="23" s="1"/>
  <c r="L29" i="23"/>
  <c r="O29" i="23" s="1"/>
  <c r="L16" i="23"/>
  <c r="O16" i="23" s="1"/>
  <c r="L13" i="23"/>
  <c r="O13" i="23" s="1"/>
  <c r="L8" i="23"/>
  <c r="O8" i="23" s="1"/>
  <c r="L3" i="23"/>
  <c r="O3" i="23" s="1"/>
  <c r="L17" i="23"/>
  <c r="O17" i="23" s="1"/>
  <c r="L12" i="23"/>
  <c r="O12" i="23" s="1"/>
</calcChain>
</file>

<file path=xl/sharedStrings.xml><?xml version="1.0" encoding="utf-8"?>
<sst xmlns="http://schemas.openxmlformats.org/spreadsheetml/2006/main" count="5036" uniqueCount="1049">
  <si>
    <t>Year</t>
  </si>
  <si>
    <t>Line Month</t>
  </si>
  <si>
    <t>Posting Period</t>
  </si>
  <si>
    <t>Finance Date</t>
  </si>
  <si>
    <t>Line ID</t>
  </si>
  <si>
    <t>Line Product Number</t>
  </si>
  <si>
    <t>Type of Line</t>
  </si>
  <si>
    <t>Status</t>
  </si>
  <si>
    <t>Order Line Status</t>
  </si>
  <si>
    <t>Company To Invoice Legal Name</t>
  </si>
  <si>
    <t>Product Business Unit</t>
  </si>
  <si>
    <t>Sales UOM</t>
  </si>
  <si>
    <t>Purchase UOM</t>
  </si>
  <si>
    <t>Billing Currency</t>
  </si>
  <si>
    <t>Purchase Currency</t>
  </si>
  <si>
    <t>Publisher PO ID</t>
  </si>
  <si>
    <t>Qualified Sales Quantity</t>
  </si>
  <si>
    <t>Qualified Purchase Quantity</t>
  </si>
  <si>
    <t>Gross Discounted</t>
  </si>
  <si>
    <t>Gross Sales Price</t>
  </si>
  <si>
    <t>Net Sales Price</t>
  </si>
  <si>
    <t>Gross Purchase Price</t>
  </si>
  <si>
    <t>Net Purchase Price</t>
  </si>
  <si>
    <t>Client Discount</t>
  </si>
  <si>
    <t>Agency Commission</t>
  </si>
  <si>
    <t>Delivered Sales Quantity</t>
  </si>
  <si>
    <t>Delivered Purchase Quantity</t>
  </si>
  <si>
    <t>Net Budget Delivered (Billing Currency)</t>
  </si>
  <si>
    <t>Net Cost Delivered (Buying Currency)</t>
  </si>
  <si>
    <t>Net Cost Delivered w/o Tax (Buying Curr)</t>
  </si>
  <si>
    <t>Activation Exchange Rate</t>
  </si>
  <si>
    <t>Total Net Budget (Delivered) (converted)</t>
  </si>
  <si>
    <t>Total Net Cost (Delivered) (converted)</t>
  </si>
  <si>
    <t>Margin Delivered (Billing Currency)</t>
  </si>
  <si>
    <t>Margin Amount (Delivered)</t>
  </si>
  <si>
    <t>Margin Amount (Delivered) (converted)</t>
  </si>
  <si>
    <t>Margin % (Delivered)</t>
  </si>
  <si>
    <t>Sales Order Number</t>
  </si>
  <si>
    <t>SO Status</t>
  </si>
  <si>
    <t>Purchase Order Number</t>
  </si>
  <si>
    <t>PO Status</t>
  </si>
  <si>
    <t>Invoice Description</t>
  </si>
  <si>
    <t>Line Description</t>
  </si>
  <si>
    <t>Billing Exchange Rate</t>
  </si>
  <si>
    <t>Project Name</t>
  </si>
  <si>
    <t>Company To Invoice Tax Id</t>
  </si>
  <si>
    <t>End Date</t>
  </si>
  <si>
    <t>Branding/Performance</t>
  </si>
  <si>
    <t>Sales Channel</t>
  </si>
  <si>
    <t>Standard</t>
  </si>
  <si>
    <t>Activated</t>
  </si>
  <si>
    <t>CRITEO CORP. United States of America</t>
  </si>
  <si>
    <t>Criteo</t>
  </si>
  <si>
    <t/>
  </si>
  <si>
    <t>GLOBAL</t>
  </si>
  <si>
    <t>Mexico</t>
  </si>
  <si>
    <t>Dynamic Ads</t>
  </si>
  <si>
    <t>Auction / Budget</t>
  </si>
  <si>
    <t>USD</t>
  </si>
  <si>
    <t>30 days</t>
  </si>
  <si>
    <t>Client Performance Driven (ROI)</t>
  </si>
  <si>
    <t>Traditional (Local Team)</t>
  </si>
  <si>
    <t>Aleph USA</t>
  </si>
  <si>
    <t>Aleph Mexico</t>
  </si>
  <si>
    <t>Peru</t>
  </si>
  <si>
    <t>Aleph Peru</t>
  </si>
  <si>
    <t>Andrea Burga</t>
  </si>
  <si>
    <t>60 days</t>
  </si>
  <si>
    <t>00240205</t>
  </si>
  <si>
    <t>PE00276252</t>
  </si>
  <si>
    <t>EL PACIFICO VIDA CIA DE SEGUROS Y REASEGUROS S.A.</t>
  </si>
  <si>
    <t>QUAL MEDIA S.A.C.</t>
  </si>
  <si>
    <t>QUAL MEDIA S.A.C., Peru</t>
  </si>
  <si>
    <t>20509867560</t>
  </si>
  <si>
    <t>75 days</t>
  </si>
  <si>
    <t>00240223</t>
  </si>
  <si>
    <t>PE00277713</t>
  </si>
  <si>
    <t>NESSUS HOTELES PERU S.A.</t>
  </si>
  <si>
    <t>20505670443</t>
  </si>
  <si>
    <t>MXN</t>
  </si>
  <si>
    <t>Argentina</t>
  </si>
  <si>
    <t>ARS</t>
  </si>
  <si>
    <t>Chile</t>
  </si>
  <si>
    <t>Colombia</t>
  </si>
  <si>
    <t>Aleph Colombia</t>
  </si>
  <si>
    <t>COP</t>
  </si>
  <si>
    <t>Paola Reina</t>
  </si>
  <si>
    <t>Cost</t>
  </si>
  <si>
    <t>Currency</t>
  </si>
  <si>
    <t>Comments</t>
  </si>
  <si>
    <t>Criteo report</t>
  </si>
  <si>
    <t>Salesforce</t>
  </si>
  <si>
    <t>Billing currency</t>
  </si>
  <si>
    <t>Revenue</t>
  </si>
  <si>
    <t>CLP</t>
  </si>
  <si>
    <t>Etiquetas de fila</t>
  </si>
  <si>
    <t>Total general</t>
  </si>
  <si>
    <t>Dif Report - SF</t>
  </si>
  <si>
    <t>OK</t>
  </si>
  <si>
    <t>Cuenta de Advertiser id</t>
  </si>
  <si>
    <t>Panama</t>
  </si>
  <si>
    <t>SONY LATIN AMERICA INC. United States of America</t>
  </si>
  <si>
    <t>Country</t>
  </si>
  <si>
    <t>CRITEO</t>
  </si>
  <si>
    <t>BRL</t>
  </si>
  <si>
    <t>Net amount</t>
  </si>
  <si>
    <t>IMEX</t>
  </si>
  <si>
    <t>COGS USD</t>
  </si>
  <si>
    <t>EOM</t>
  </si>
  <si>
    <t>United States</t>
  </si>
  <si>
    <t>EUR</t>
  </si>
  <si>
    <t>Eurozone</t>
  </si>
  <si>
    <t>Brazil</t>
  </si>
  <si>
    <t>UYU</t>
  </si>
  <si>
    <t>Uruguay</t>
  </si>
  <si>
    <t>GBP</t>
  </si>
  <si>
    <t>United Kingdom</t>
  </si>
  <si>
    <t>PEN</t>
  </si>
  <si>
    <t>GTQ</t>
  </si>
  <si>
    <t>Guatemala</t>
  </si>
  <si>
    <t>CRC</t>
  </si>
  <si>
    <t>Costa Rica</t>
  </si>
  <si>
    <t>BGN</t>
  </si>
  <si>
    <t>Bulgaria</t>
  </si>
  <si>
    <t>CZK</t>
  </si>
  <si>
    <t>Czech Republic</t>
  </si>
  <si>
    <t>HKD</t>
  </si>
  <si>
    <t>Hong Kong</t>
  </si>
  <si>
    <t>INR</t>
  </si>
  <si>
    <t>India</t>
  </si>
  <si>
    <t>MKD</t>
  </si>
  <si>
    <t>North Macedonia</t>
  </si>
  <si>
    <t>PLN</t>
  </si>
  <si>
    <t>Poland</t>
  </si>
  <si>
    <t>RON</t>
  </si>
  <si>
    <t>Romania</t>
  </si>
  <si>
    <t>RUB</t>
  </si>
  <si>
    <t>Russia</t>
  </si>
  <si>
    <t>RSD</t>
  </si>
  <si>
    <t>Serbia</t>
  </si>
  <si>
    <t>UAH</t>
  </si>
  <si>
    <t>Ukraine</t>
  </si>
  <si>
    <t>HUF</t>
  </si>
  <si>
    <t>Hungary</t>
  </si>
  <si>
    <t>MYR</t>
  </si>
  <si>
    <t>Malaysia</t>
  </si>
  <si>
    <t>HRK</t>
  </si>
  <si>
    <t>Croatia</t>
  </si>
  <si>
    <t>AED</t>
  </si>
  <si>
    <t>United Arab Emirates</t>
  </si>
  <si>
    <t>IDR</t>
  </si>
  <si>
    <t>Indonesia</t>
  </si>
  <si>
    <t>CHF</t>
  </si>
  <si>
    <t>Switzerland</t>
  </si>
  <si>
    <t>SGD</t>
  </si>
  <si>
    <t>Singapore</t>
  </si>
  <si>
    <t>ILS</t>
  </si>
  <si>
    <t>Israel</t>
  </si>
  <si>
    <t>CNY</t>
  </si>
  <si>
    <t>China</t>
  </si>
  <si>
    <t>JPY</t>
  </si>
  <si>
    <t>Japan</t>
  </si>
  <si>
    <t>BAM</t>
  </si>
  <si>
    <t>Bosnia and Herzegovina</t>
  </si>
  <si>
    <t>BDT</t>
  </si>
  <si>
    <t>Bangladesh</t>
  </si>
  <si>
    <t>DKK</t>
  </si>
  <si>
    <t>Denmark</t>
  </si>
  <si>
    <t>KHR</t>
  </si>
  <si>
    <t>Cambodia</t>
  </si>
  <si>
    <t>LAK</t>
  </si>
  <si>
    <t>Laos</t>
  </si>
  <si>
    <t>MMK</t>
  </si>
  <si>
    <t>Myanmar</t>
  </si>
  <si>
    <t>NOK</t>
  </si>
  <si>
    <t>Norway</t>
  </si>
  <si>
    <t>SEK</t>
  </si>
  <si>
    <t>Sweden</t>
  </si>
  <si>
    <t>CAD</t>
  </si>
  <si>
    <t>Canada</t>
  </si>
  <si>
    <t>AUD</t>
  </si>
  <si>
    <t>Australia</t>
  </si>
  <si>
    <t>KZT</t>
  </si>
  <si>
    <t>Kazakhstan</t>
  </si>
  <si>
    <t>BYN</t>
  </si>
  <si>
    <t>Belarus</t>
  </si>
  <si>
    <t>NGN</t>
  </si>
  <si>
    <t>Nigeria</t>
  </si>
  <si>
    <t>ZAR</t>
  </si>
  <si>
    <t>South Africa</t>
  </si>
  <si>
    <t>KES</t>
  </si>
  <si>
    <t>Kenya</t>
  </si>
  <si>
    <t>MNT</t>
  </si>
  <si>
    <t>Mongolia</t>
  </si>
  <si>
    <t>THB</t>
  </si>
  <si>
    <t>Thailand</t>
  </si>
  <si>
    <t>TRY</t>
  </si>
  <si>
    <t>Turkey</t>
  </si>
  <si>
    <t>SAR</t>
  </si>
  <si>
    <t>Saudi Arabia</t>
  </si>
  <si>
    <t>EGP</t>
  </si>
  <si>
    <t>Egypt</t>
  </si>
  <si>
    <t>TWD</t>
  </si>
  <si>
    <t>Taiwan</t>
  </si>
  <si>
    <t>NPR</t>
  </si>
  <si>
    <t>Nepal</t>
  </si>
  <si>
    <t>KGS</t>
  </si>
  <si>
    <t>Kyrgyzstan</t>
  </si>
  <si>
    <t>PAB</t>
  </si>
  <si>
    <t>UZS</t>
  </si>
  <si>
    <t>Uzbekistan</t>
  </si>
  <si>
    <t>QAR</t>
  </si>
  <si>
    <t>Qatar</t>
  </si>
  <si>
    <t>ALL</t>
  </si>
  <si>
    <t>Albania</t>
  </si>
  <si>
    <t>Montenegro</t>
  </si>
  <si>
    <t>MDL</t>
  </si>
  <si>
    <t>Moldova</t>
  </si>
  <si>
    <t>MAD</t>
  </si>
  <si>
    <t>Morocco</t>
  </si>
  <si>
    <t>IQD</t>
  </si>
  <si>
    <t>Iraq</t>
  </si>
  <si>
    <t>VND</t>
  </si>
  <si>
    <t>Vietnam</t>
  </si>
  <si>
    <t>PHP</t>
  </si>
  <si>
    <t>Philippines</t>
  </si>
  <si>
    <t>DOP</t>
  </si>
  <si>
    <t>Dominican Republic</t>
  </si>
  <si>
    <t>BOB</t>
  </si>
  <si>
    <t>Bolivia</t>
  </si>
  <si>
    <t>PYG</t>
  </si>
  <si>
    <t>Paraguay</t>
  </si>
  <si>
    <t>Puerto Rico</t>
  </si>
  <si>
    <t>PKR</t>
  </si>
  <si>
    <t>Pakistan</t>
  </si>
  <si>
    <t>KRW</t>
  </si>
  <si>
    <t>South Korea</t>
  </si>
  <si>
    <t>ISK</t>
  </si>
  <si>
    <t>Iceland</t>
  </si>
  <si>
    <t>NZD</t>
  </si>
  <si>
    <t>New Zealand</t>
  </si>
  <si>
    <t>HNL</t>
  </si>
  <si>
    <t>Honduras</t>
  </si>
  <si>
    <t>LKR</t>
  </si>
  <si>
    <t>Sri Lanka</t>
  </si>
  <si>
    <t>AZN</t>
  </si>
  <si>
    <t>Azerbaijan</t>
  </si>
  <si>
    <t>Ecuador</t>
  </si>
  <si>
    <t>El Salvador</t>
  </si>
  <si>
    <t>Advertiser name</t>
  </si>
  <si>
    <t>Bill Start</t>
  </si>
  <si>
    <t>Bill To</t>
  </si>
  <si>
    <t>Bill Type</t>
  </si>
  <si>
    <t>Bill Status</t>
  </si>
  <si>
    <t>Criteo company</t>
  </si>
  <si>
    <t>BP</t>
  </si>
  <si>
    <t>BP Name</t>
  </si>
  <si>
    <t>Brand Name</t>
  </si>
  <si>
    <t>Arajet Dominican Republic</t>
  </si>
  <si>
    <t>Arajet S.A.</t>
  </si>
  <si>
    <t>131094376</t>
  </si>
  <si>
    <t>00265916</t>
  </si>
  <si>
    <t>PE00314814</t>
  </si>
  <si>
    <t>AP LATAM HOLDINGS, LLC United States of America</t>
  </si>
  <si>
    <t>AP LATAM HOLDINGS, LLC</t>
  </si>
  <si>
    <t>815181325</t>
  </si>
  <si>
    <t>Prepaid</t>
  </si>
  <si>
    <t>DIF USD</t>
  </si>
  <si>
    <t>concatenate</t>
  </si>
  <si>
    <t>103986</t>
  </si>
  <si>
    <t>74346</t>
  </si>
  <si>
    <t>107799</t>
  </si>
  <si>
    <t>99591</t>
  </si>
  <si>
    <t>31764</t>
  </si>
  <si>
    <t>Supply Deal</t>
  </si>
  <si>
    <t>Invoice</t>
  </si>
  <si>
    <t>INVOICED</t>
  </si>
  <si>
    <t>Criteo Corp</t>
  </si>
  <si>
    <t>Aleph CO</t>
  </si>
  <si>
    <t>PE</t>
  </si>
  <si>
    <t>Sony Store PE</t>
  </si>
  <si>
    <t>MX</t>
  </si>
  <si>
    <t>Aleph AR</t>
  </si>
  <si>
    <t>Aleph PE</t>
  </si>
  <si>
    <t>Nexo Inmobiliario PE</t>
  </si>
  <si>
    <t>Casa Andina PE</t>
  </si>
  <si>
    <t>USMP PE</t>
  </si>
  <si>
    <t>GT</t>
  </si>
  <si>
    <t>Pacifico Seguros PE</t>
  </si>
  <si>
    <t>BANCO BBVA PERU</t>
  </si>
  <si>
    <t>20100130204</t>
  </si>
  <si>
    <t>Group M Worldwide LLC DBA EssenceMediacom Miami</t>
  </si>
  <si>
    <t>IMM Internet Media México, S. de R.L. de C.V.</t>
  </si>
  <si>
    <t>Promart PE</t>
  </si>
  <si>
    <t>Oechsle PE</t>
  </si>
  <si>
    <t>Plaza Vea PE</t>
  </si>
  <si>
    <t>TIENDAS PERUANAS SA</t>
  </si>
  <si>
    <t>41643</t>
  </si>
  <si>
    <t>20493020618</t>
  </si>
  <si>
    <t>55367</t>
  </si>
  <si>
    <t>20608300393</t>
  </si>
  <si>
    <t>HOMECENTERS PERUANOS S.A.</t>
  </si>
  <si>
    <t>39798</t>
  </si>
  <si>
    <t>20536557858</t>
  </si>
  <si>
    <t>Media Analytics S.A.C.</t>
  </si>
  <si>
    <t>Media Analytics Perú</t>
  </si>
  <si>
    <t>20606271744</t>
  </si>
  <si>
    <t>Brand Objectives</t>
  </si>
  <si>
    <t>13</t>
  </si>
  <si>
    <t>Diana Campos</t>
  </si>
  <si>
    <t>PE_USMP_CRITEO_MAYO 2025</t>
  </si>
  <si>
    <t>00246193</t>
  </si>
  <si>
    <t>PE00287203</t>
  </si>
  <si>
    <t>PE_ASEI NEXO_CRITEO_ABRIL MAYO 2025</t>
  </si>
  <si>
    <t>20552213832</t>
  </si>
  <si>
    <t>Factura Mayo</t>
  </si>
  <si>
    <t>00270878</t>
  </si>
  <si>
    <t>PE00322629</t>
  </si>
  <si>
    <t>JOINNUS SAC Peru</t>
  </si>
  <si>
    <t>JOINNUS SAC</t>
  </si>
  <si>
    <t>73548</t>
  </si>
  <si>
    <t>PE_JOINNUS_CRITEO_MAYO 2025</t>
  </si>
  <si>
    <t>20555387785</t>
  </si>
  <si>
    <t>PE_CRITEO_PACIFICO SEGUROS_2025_MAYO</t>
  </si>
  <si>
    <t>PE_CRITEO_CASA ANDINA_2025_MAYO</t>
  </si>
  <si>
    <t>Joinn Us PE</t>
  </si>
  <si>
    <t>98889</t>
  </si>
  <si>
    <t>Arajet PE</t>
  </si>
  <si>
    <t>114667</t>
  </si>
  <si>
    <t>UCSUR PE</t>
  </si>
  <si>
    <t>00289572</t>
  </si>
  <si>
    <t>PE00349925</t>
  </si>
  <si>
    <t>UNIVERSIDAD CIENTIFICA DEL SUR S.A.C.</t>
  </si>
  <si>
    <t>PE_CRITEO_UCSUR_JUNIO 2025</t>
  </si>
  <si>
    <t>204031493</t>
  </si>
  <si>
    <t>CONFEDERACION DE DESARROLLADORES INMOBILIARIOS DEL PERU- CODIPPeru</t>
  </si>
  <si>
    <t>CONFEDERACION DE DESARROLLADORES INMOBILIARIOS DEL PERU- CODIP</t>
  </si>
  <si>
    <t>ESTILOS S.R.L. Peru</t>
  </si>
  <si>
    <t>ESTILOS S.R.L.</t>
  </si>
  <si>
    <t>63589</t>
  </si>
  <si>
    <t>20100199158</t>
  </si>
  <si>
    <t>00295095</t>
  </si>
  <si>
    <t>PE00357033</t>
  </si>
  <si>
    <t>PC Factory CHILE</t>
  </si>
  <si>
    <t>116497</t>
  </si>
  <si>
    <t>PE_CRITEO_PC FACTORY JULIO 2025</t>
  </si>
  <si>
    <t>PC FACTORY PE</t>
  </si>
  <si>
    <t>Estilos PE</t>
  </si>
  <si>
    <t>Suma de Net Budget Delivered (Billing Currency)</t>
  </si>
  <si>
    <t>Rodrigo Aldecoa</t>
  </si>
  <si>
    <t>Apuesta Total Perú</t>
  </si>
  <si>
    <t>Attachmedia S.A.C.</t>
  </si>
  <si>
    <t>117067</t>
  </si>
  <si>
    <t>20505601808</t>
  </si>
  <si>
    <t>BANCO INTERNACIONAL DEL PERU (Interbank)</t>
  </si>
  <si>
    <t>29652</t>
  </si>
  <si>
    <t>20100053455</t>
  </si>
  <si>
    <t>IN</t>
  </si>
  <si>
    <t>Interbank PE</t>
  </si>
  <si>
    <t>APUESTA TOTAL PE</t>
  </si>
  <si>
    <t>116982</t>
  </si>
  <si>
    <t>Financiera Oh PE</t>
  </si>
  <si>
    <t>94854</t>
  </si>
  <si>
    <t>Hiraoka PE</t>
  </si>
  <si>
    <t>Aleph Spain</t>
  </si>
  <si>
    <t>Financiera Oh SA Perú</t>
  </si>
  <si>
    <t>Financiera Oh SA</t>
  </si>
  <si>
    <t>20522291201</t>
  </si>
  <si>
    <t>IMPORTACIONES HIRAOKA S.A.C</t>
  </si>
  <si>
    <t>20100016681</t>
  </si>
  <si>
    <t>!X COMPAÑIA FOOD RETAIL S.A.C.</t>
  </si>
  <si>
    <t>59227</t>
  </si>
  <si>
    <t>00314444</t>
  </si>
  <si>
    <t>PE00386377</t>
  </si>
  <si>
    <t>ONCOSALUD S.A.C.</t>
  </si>
  <si>
    <t>118854</t>
  </si>
  <si>
    <t>Criteo_NOV25_Oncosalud PE</t>
  </si>
  <si>
    <t>COMPAÑIA FOOD RETAIL Perú</t>
  </si>
  <si>
    <t>Oncosalud PE</t>
  </si>
  <si>
    <t>Interseguro PE</t>
  </si>
  <si>
    <t>Off.Doc.Number</t>
  </si>
  <si>
    <t>Document Type</t>
  </si>
  <si>
    <t>Document date</t>
  </si>
  <si>
    <t>Advertiser Country</t>
  </si>
  <si>
    <t>Advertiser ID</t>
  </si>
  <si>
    <t>Reversal Reason</t>
  </si>
  <si>
    <t>Criteo company code</t>
  </si>
  <si>
    <t>BP Country</t>
  </si>
  <si>
    <t>Gross amount</t>
  </si>
  <si>
    <t>Tax amount</t>
  </si>
  <si>
    <t>Suma de Net amount</t>
  </si>
  <si>
    <t>Salesforce Project Number</t>
  </si>
  <si>
    <t>Project : Opportunity : Aleph Campaign ID</t>
  </si>
  <si>
    <t>Company Name (Know as + Country)</t>
  </si>
  <si>
    <t>Vendor</t>
  </si>
  <si>
    <t>Reporting Country</t>
  </si>
  <si>
    <t>Billing Country</t>
  </si>
  <si>
    <t>Delivery Country</t>
  </si>
  <si>
    <t>Billing Entity</t>
  </si>
  <si>
    <t>Purchase Country</t>
  </si>
  <si>
    <t>Product</t>
  </si>
  <si>
    <t>Purchase Entity</t>
  </si>
  <si>
    <t>Company to invoice</t>
  </si>
  <si>
    <t>Sales Manager</t>
  </si>
  <si>
    <t>Trade Deal</t>
  </si>
  <si>
    <t>Project : Company to invoice : Payment condition</t>
  </si>
  <si>
    <t>00301812</t>
  </si>
  <si>
    <t>Criteo MEA FZ-LLC</t>
  </si>
  <si>
    <t>HN_CRITEO_FARMACIASIMAN_AGOST_2025</t>
  </si>
  <si>
    <t>100220759300003</t>
  </si>
  <si>
    <t>00301813</t>
  </si>
  <si>
    <t>NI_CRITEO_FARMACOSTO_AGOST_2025</t>
  </si>
  <si>
    <t>00301814</t>
  </si>
  <si>
    <t>GT_CRITEO_FARMACOSTO_AGOST_2025</t>
  </si>
  <si>
    <t>REV USD</t>
  </si>
  <si>
    <t>MG</t>
  </si>
  <si>
    <t>Suma de Net amount (USD)</t>
  </si>
  <si>
    <t>Net amount (USD)</t>
  </si>
  <si>
    <t>PO STATUS</t>
  </si>
  <si>
    <t>SO STATUS</t>
  </si>
  <si>
    <t>SOIPE-000007234</t>
  </si>
  <si>
    <t>POIME-000026121</t>
  </si>
  <si>
    <t>SOIPE-000006663</t>
  </si>
  <si>
    <t>POIME-000025299</t>
  </si>
  <si>
    <t>SOIPE-000008334</t>
  </si>
  <si>
    <t>POIME-000027193</t>
  </si>
  <si>
    <t>SOIUS-000002116</t>
  </si>
  <si>
    <t>POIME-000021070</t>
  </si>
  <si>
    <t>SOIPE-000003644</t>
  </si>
  <si>
    <t>POIME-000016807</t>
  </si>
  <si>
    <t>SOIPE-000003676</t>
  </si>
  <si>
    <t>POIME-000019588</t>
  </si>
  <si>
    <t>SOIPE-000003641</t>
  </si>
  <si>
    <t>POIME-000018208</t>
  </si>
  <si>
    <t>SOIPE-000009862</t>
  </si>
  <si>
    <t>POIME-000030616</t>
  </si>
  <si>
    <t>IPER</t>
  </si>
  <si>
    <t>ICOL</t>
  </si>
  <si>
    <t>Current</t>
  </si>
  <si>
    <t>Sales - packing slip revenue</t>
  </si>
  <si>
    <t>Sales order revenue</t>
  </si>
  <si>
    <t>COGS</t>
  </si>
  <si>
    <t>Admin</t>
  </si>
  <si>
    <t>Representation</t>
  </si>
  <si>
    <t>5101011200</t>
  </si>
  <si>
    <t>Purchase expenditure, un-invoiced</t>
  </si>
  <si>
    <t>REV</t>
  </si>
  <si>
    <t>4101011200</t>
  </si>
  <si>
    <t>roman.villanueva</t>
  </si>
  <si>
    <t>ext_vanessa.ortiz</t>
  </si>
  <si>
    <t>antonio.ynurrigarro</t>
  </si>
  <si>
    <t>IUSA</t>
  </si>
  <si>
    <t>BU</t>
  </si>
  <si>
    <t>ACCOUNT</t>
  </si>
  <si>
    <t>ENTITY</t>
  </si>
  <si>
    <t>Created by</t>
  </si>
  <si>
    <t>Posting layer</t>
  </si>
  <si>
    <t>Amount in reporting currency</t>
  </si>
  <si>
    <t>Amount</t>
  </si>
  <si>
    <t>Amount in transaction currency</t>
  </si>
  <si>
    <t>Account name</t>
  </si>
  <si>
    <t>Main account</t>
  </si>
  <si>
    <t>Ledger account2</t>
  </si>
  <si>
    <t>Voucher</t>
  </si>
  <si>
    <t>Journal number</t>
  </si>
  <si>
    <t>Ledger account</t>
  </si>
  <si>
    <t>SO / PO</t>
  </si>
  <si>
    <t>Description</t>
  </si>
  <si>
    <t>Vendor account</t>
  </si>
  <si>
    <t>Vendor name</t>
  </si>
  <si>
    <t>Customer account</t>
  </si>
  <si>
    <t>Customer name</t>
  </si>
  <si>
    <t>Date</t>
  </si>
  <si>
    <t>Posting type</t>
  </si>
  <si>
    <t>Journal Entry Created By</t>
  </si>
  <si>
    <t>Creation Date Time (UTC)</t>
  </si>
  <si>
    <t>Number of Items</t>
  </si>
  <si>
    <t>Journal Entry Item Text</t>
  </si>
  <si>
    <t>Segment</t>
  </si>
  <si>
    <t>Profit Center</t>
  </si>
  <si>
    <t>Clearing Journal Entry</t>
  </si>
  <si>
    <t>Tax Code</t>
  </si>
  <si>
    <t>Posting Key</t>
  </si>
  <si>
    <t>Journal Entry Type</t>
  </si>
  <si>
    <t>Journal Entry</t>
  </si>
  <si>
    <t>Assignment Reference</t>
  </si>
  <si>
    <t>Amount in Global Currency</t>
  </si>
  <si>
    <t>Amount in Company Code Currency</t>
  </si>
  <si>
    <t>Company Code Currency</t>
  </si>
  <si>
    <t>Amount in Transaction Currency</t>
  </si>
  <si>
    <t>Transaction Currency</t>
  </si>
  <si>
    <t>WBS Element</t>
  </si>
  <si>
    <t>G/L Account</t>
  </si>
  <si>
    <t>Purchasing Document</t>
  </si>
  <si>
    <t>Sales Document</t>
  </si>
  <si>
    <t>Name of Customer</t>
  </si>
  <si>
    <t>Customer</t>
  </si>
  <si>
    <t>Posting Date</t>
  </si>
  <si>
    <t>Company Code</t>
  </si>
  <si>
    <t>∆</t>
  </si>
  <si>
    <t>CRM PREV_M</t>
  </si>
  <si>
    <t>CRM AD</t>
  </si>
  <si>
    <t>ERP</t>
  </si>
  <si>
    <t>Rev. Act. FX / Closing FX</t>
  </si>
  <si>
    <t>Suma de Rev. Act. FX / Closing FX</t>
  </si>
  <si>
    <t>SF</t>
  </si>
  <si>
    <t>Margin</t>
  </si>
  <si>
    <t>Net Revenue</t>
  </si>
  <si>
    <t>MEXICO</t>
  </si>
  <si>
    <t>4101011200-Criteo-ALL-ICOL-COL-Rep</t>
  </si>
  <si>
    <t>5101011200-Criteo-ALL-ICOL-COL-Rep</t>
  </si>
  <si>
    <t>5101011200-Criteo-ALL-IUSA-COL-Rep</t>
  </si>
  <si>
    <t>5101011200-Criteo-ALL-IESP-ARG-Rep</t>
  </si>
  <si>
    <t>5101011200-Criteo-ALL-IPER-PER-Rep</t>
  </si>
  <si>
    <t>POIME-000030616, 0AWJPBBCLJ</t>
  </si>
  <si>
    <t>POIME-000027193, 0AWJPBBCLJ</t>
  </si>
  <si>
    <t>POIME-000026121, 0AWJPBBCLJ</t>
  </si>
  <si>
    <t>POIME-000025299, 0AWJPBBCLJ</t>
  </si>
  <si>
    <t>5101011200-Criteo-ALL-IUSA-PER-Rep</t>
  </si>
  <si>
    <t>POIME-000021070, 0AWJPBBCLJ</t>
  </si>
  <si>
    <t>POIME-000019588, 0AWJPBBCLJ</t>
  </si>
  <si>
    <t>POIME-000018208, 0AWJPBBCLJ</t>
  </si>
  <si>
    <t>4101011200-Criteo-ALL-IPER-PER-Rep</t>
  </si>
  <si>
    <t>SOIPE-000009862, 20606271744</t>
  </si>
  <si>
    <t>SOIPE-000008334, 20606271744</t>
  </si>
  <si>
    <t>SOIPE-000007234, 20509867560</t>
  </si>
  <si>
    <t>SOIPE-000006663, 7YFI1MY30V</t>
  </si>
  <si>
    <t>SOIPE-000003641, 20505670443</t>
  </si>
  <si>
    <t>SOIPE-000003676, VRK905HFAA</t>
  </si>
  <si>
    <t>NESSUS HOTELES PERU SA</t>
  </si>
  <si>
    <t>7YFI1MY30V</t>
  </si>
  <si>
    <t>SOIPE-000006663, 7YFI1MY30V, JOINNUS SAC</t>
  </si>
  <si>
    <t>SOIPE-000003641, 20505670443, NESSUS HOTELES PERU SA</t>
  </si>
  <si>
    <t>VRK905HFAA</t>
  </si>
  <si>
    <t>SOIPE-000003676, VRK905HFAA, CONFEDERACION DE DESARROLLADORES INMOBILIARIOS DEL PERU- CODIP</t>
  </si>
  <si>
    <t>4101011200-Criteo-ALL-IESP-ARG-Rep</t>
  </si>
  <si>
    <t>IESP</t>
  </si>
  <si>
    <t>4101011200-Criteo-ALL-IUSA-COL-Rep</t>
  </si>
  <si>
    <t>4101011200-Criteo-ALL-IUSA-PER-Rep</t>
  </si>
  <si>
    <t>SOIUS-000002116, NDG0RNDCWW</t>
  </si>
  <si>
    <t>NDG0RNDCWW</t>
  </si>
  <si>
    <t>SOIUS-000002116, NDG0RNDCWW, AP LATAM HOLDINGS, LLC</t>
  </si>
  <si>
    <t>COGS Act. FX / Closing FX</t>
  </si>
  <si>
    <t>Suma de COGS Act. FX / Closing FX</t>
  </si>
  <si>
    <t>Comm.</t>
  </si>
  <si>
    <t>Net COGS</t>
  </si>
  <si>
    <t>Advertisement fee- Criteo - Dec2025</t>
  </si>
  <si>
    <t>115210</t>
  </si>
  <si>
    <t>TIENDAS MASS PE</t>
  </si>
  <si>
    <t>119907</t>
  </si>
  <si>
    <t>SISE PE</t>
  </si>
  <si>
    <t>44368</t>
  </si>
  <si>
    <t>BCP PE</t>
  </si>
  <si>
    <t>106852</t>
  </si>
  <si>
    <t>MAKRO PE</t>
  </si>
  <si>
    <t>110594</t>
  </si>
  <si>
    <t>DIVEMOTOR PE</t>
  </si>
  <si>
    <t>Shared</t>
  </si>
  <si>
    <t>2026</t>
  </si>
  <si>
    <t>00303820</t>
  </si>
  <si>
    <t>Criteo Direct</t>
  </si>
  <si>
    <t>PE00369584</t>
  </si>
  <si>
    <t>FARMACIAS SIMAN HONDURAS</t>
  </si>
  <si>
    <t>111236</t>
  </si>
  <si>
    <t>PE00369587</t>
  </si>
  <si>
    <t>111235</t>
  </si>
  <si>
    <t>PE00369580</t>
  </si>
  <si>
    <t>86037</t>
  </si>
  <si>
    <t>00324209</t>
  </si>
  <si>
    <t>PE00398904</t>
  </si>
  <si>
    <t>BCP Peru</t>
  </si>
  <si>
    <t>PE - CRITEO - OMD - BCP - ENE - 2026</t>
  </si>
  <si>
    <t>00324625</t>
  </si>
  <si>
    <t>PE00399888</t>
  </si>
  <si>
    <t>COMPAÑIA HARD DISCOUNT S.A.C.</t>
  </si>
  <si>
    <t>PE_CRITEO_TIENDAS MASS_ENE 2026</t>
  </si>
  <si>
    <t>20608280333</t>
  </si>
  <si>
    <t>Makro Supermayorista SA</t>
  </si>
  <si>
    <t>20492092313</t>
  </si>
  <si>
    <t>00326928</t>
  </si>
  <si>
    <t>PE00403309</t>
  </si>
  <si>
    <t>DIVEMOTOR Perú</t>
  </si>
  <si>
    <t>PE_CRITEO_DIVEMOTOR ENE 2026</t>
  </si>
  <si>
    <t>Maria Candela Lirio</t>
  </si>
  <si>
    <t>00323897</t>
  </si>
  <si>
    <t>PE00398043</t>
  </si>
  <si>
    <t>SISE</t>
  </si>
  <si>
    <t>MEDIAWISE S.A.C</t>
  </si>
  <si>
    <t>PE_SISE_CRITEO_ENE_26</t>
  </si>
  <si>
    <t>MEDIAWISE S.A.C, Peru</t>
  </si>
  <si>
    <t>20550082722</t>
  </si>
  <si>
    <t>More rev/cogs than partner report</t>
  </si>
  <si>
    <t>Less rev/cogs than partner report</t>
  </si>
  <si>
    <t>SOIPE-000010171</t>
  </si>
  <si>
    <t>POIME-000032243</t>
  </si>
  <si>
    <t>SOIPE-000010175</t>
  </si>
  <si>
    <t>POIME-000032235</t>
  </si>
  <si>
    <t>SOIPE-000010176</t>
  </si>
  <si>
    <t>POIME-000032240</t>
  </si>
  <si>
    <t>SOIPE-000010173</t>
  </si>
  <si>
    <t>POIME-000032214</t>
  </si>
  <si>
    <t>POIME-000032243, 0AWJPBBCLJ</t>
  </si>
  <si>
    <t>POIME-000032240, 0AWJPBBCLJ</t>
  </si>
  <si>
    <t>POIME-000032235, 0AWJPBBCLJ</t>
  </si>
  <si>
    <t>POIME-000032214, 0AWJPBBCLJ</t>
  </si>
  <si>
    <t>SOIPE-000010176, 20606271744</t>
  </si>
  <si>
    <t>SOIPE-000010175, 20608280333</t>
  </si>
  <si>
    <t>SOIPE-000010173, 20550082722</t>
  </si>
  <si>
    <t>SOIPE-000010171, 20509867560</t>
  </si>
  <si>
    <t>SOIPE-000009862, 20606271744, Media Analytics S.A.C.</t>
  </si>
  <si>
    <t>SOIPE-000008334, 20606271744, Media Analytics S.A.C.</t>
  </si>
  <si>
    <t>(Todas)</t>
  </si>
  <si>
    <t>IO</t>
  </si>
  <si>
    <t>PO</t>
  </si>
  <si>
    <t>CRE1-GRW-SAL-LOCL-CT</t>
  </si>
  <si>
    <t>B13ZZ12602005743</t>
  </si>
  <si>
    <t>120332</t>
  </si>
  <si>
    <t>Velez PE</t>
  </si>
  <si>
    <t>B13ZZ12602005745</t>
  </si>
  <si>
    <t>B13ZZ12602005746</t>
  </si>
  <si>
    <t>107434</t>
  </si>
  <si>
    <t>120258</t>
  </si>
  <si>
    <t>Pepsico PE</t>
  </si>
  <si>
    <t>120764</t>
  </si>
  <si>
    <t>Natura PE</t>
  </si>
  <si>
    <t>February</t>
  </si>
  <si>
    <t>February/2026</t>
  </si>
  <si>
    <t>28/2/2026</t>
  </si>
  <si>
    <t>802Um00000EjgCj</t>
  </si>
  <si>
    <t>AR00372251</t>
  </si>
  <si>
    <t>0004993495</t>
  </si>
  <si>
    <t>Aleph Rep Dominicana</t>
  </si>
  <si>
    <t>115957</t>
  </si>
  <si>
    <t>BR_CRITEO_ARAJET_AGO_2025</t>
  </si>
  <si>
    <t>Pending Changes Approval Needed</t>
  </si>
  <si>
    <t>802Uj00000OKBcd</t>
  </si>
  <si>
    <t>0004746267</t>
  </si>
  <si>
    <t>802Uj00000OKFpu</t>
  </si>
  <si>
    <t>0004746240</t>
  </si>
  <si>
    <t>802Uj00000OKGKY</t>
  </si>
  <si>
    <t>0004746284</t>
  </si>
  <si>
    <t>802Uj00000ILwke</t>
  </si>
  <si>
    <t>0004188108</t>
  </si>
  <si>
    <t>802Uj00000IM33I</t>
  </si>
  <si>
    <t>0004185982</t>
  </si>
  <si>
    <t>802Uj00000O9ALb</t>
  </si>
  <si>
    <t>0004721846</t>
  </si>
  <si>
    <t>802Uj00000PmHY2</t>
  </si>
  <si>
    <t>0004890443</t>
  </si>
  <si>
    <t>802Uj00000PrZr9</t>
  </si>
  <si>
    <t>0004892401</t>
  </si>
  <si>
    <t>00326088</t>
  </si>
  <si>
    <t>802Um00000DRqRF</t>
  </si>
  <si>
    <t>PE00401676</t>
  </si>
  <si>
    <t>0004908031</t>
  </si>
  <si>
    <t>Pepsico Perú</t>
  </si>
  <si>
    <t>PE - CRITEO - OMD - PEPSICO - FEB &amp; MAR - 2026</t>
  </si>
  <si>
    <t>802Um00000DePtm</t>
  </si>
  <si>
    <t>0004917062</t>
  </si>
  <si>
    <t>00327579</t>
  </si>
  <si>
    <t>802Um00000Dlouj</t>
  </si>
  <si>
    <t>PE00392766</t>
  </si>
  <si>
    <t>0004938057</t>
  </si>
  <si>
    <t>PE_CRITEO_ESTILOS_FEB 2026 PIPE</t>
  </si>
  <si>
    <t>00327580</t>
  </si>
  <si>
    <t>802Um00000Dlp61</t>
  </si>
  <si>
    <t>PE00392769</t>
  </si>
  <si>
    <t>0004938058</t>
  </si>
  <si>
    <t>CRITEO_PE_FINANCIERA OH-FEB-2026</t>
  </si>
  <si>
    <t>00327581</t>
  </si>
  <si>
    <t>802Um00000DlpFh</t>
  </si>
  <si>
    <t>PE00392772</t>
  </si>
  <si>
    <t>0004938061</t>
  </si>
  <si>
    <t>Criteo_FEB.2026_Hiraoka</t>
  </si>
  <si>
    <t>00327582</t>
  </si>
  <si>
    <t>802Um00000DlpXR</t>
  </si>
  <si>
    <t>PE00392775</t>
  </si>
  <si>
    <t>0004938062</t>
  </si>
  <si>
    <t>PE_CRITEO_INTERBANK_FEB 2026 PIPE</t>
  </si>
  <si>
    <t>00327584</t>
  </si>
  <si>
    <t>802Um00000DlqQH</t>
  </si>
  <si>
    <t>PE00392790</t>
  </si>
  <si>
    <t>0004938065</t>
  </si>
  <si>
    <t>PE_CRITEO_PROMART_2026_FE PIPE</t>
  </si>
  <si>
    <t>00328599</t>
  </si>
  <si>
    <t>802Um00000Dzg7h</t>
  </si>
  <si>
    <t>PE00392783</t>
  </si>
  <si>
    <t>0004953692</t>
  </si>
  <si>
    <t>PE_CRITEO_MAKRO_FEB 2026</t>
  </si>
  <si>
    <t>00329429</t>
  </si>
  <si>
    <t>802Um00000EDiXp</t>
  </si>
  <si>
    <t>PE00406819</t>
  </si>
  <si>
    <t>0004959901</t>
  </si>
  <si>
    <t>PE_CRITEO_TIENDAS MASS_FEB 2026</t>
  </si>
  <si>
    <t>00330128</t>
  </si>
  <si>
    <t>802Um00000EPiYs</t>
  </si>
  <si>
    <t>PE00392787</t>
  </si>
  <si>
    <t>0004966080</t>
  </si>
  <si>
    <t>PE_CRITEO_PLAZAVEA_2026_FEB PIPE</t>
  </si>
  <si>
    <t>00330129</t>
  </si>
  <si>
    <t>802Um00000EPjjR</t>
  </si>
  <si>
    <t>PE00392763</t>
  </si>
  <si>
    <t>0004966081</t>
  </si>
  <si>
    <t>BANCO BBVA PERÚ PERÚ</t>
  </si>
  <si>
    <t>BANCO BBVA PERÚ SA</t>
  </si>
  <si>
    <t>PE_CRITEO_BBVA_FEB_2026</t>
  </si>
  <si>
    <t>00330147</t>
  </si>
  <si>
    <t>802Um00000EPpvJ</t>
  </si>
  <si>
    <t>PE00392779</t>
  </si>
  <si>
    <t>0004966290</t>
  </si>
  <si>
    <t>PE_CRITEO_OECHSLE_2026_FEB PIPE</t>
  </si>
  <si>
    <t>00330819</t>
  </si>
  <si>
    <t>802Um00000EXosP</t>
  </si>
  <si>
    <t>PE00408816</t>
  </si>
  <si>
    <t>0004972522</t>
  </si>
  <si>
    <t>PE_Criteo__FEB 2026_APUESTA TOTAL_ATTACH P2</t>
  </si>
  <si>
    <t>00331504</t>
  </si>
  <si>
    <t>802Um00000EfmLm</t>
  </si>
  <si>
    <t>PE00409587</t>
  </si>
  <si>
    <t>0004988974</t>
  </si>
  <si>
    <t>PE_CRITEO_PLAZAVEA_2026_FEB 2</t>
  </si>
  <si>
    <t>00331503</t>
  </si>
  <si>
    <t>802Um00000EfsM9</t>
  </si>
  <si>
    <t>PE00409589</t>
  </si>
  <si>
    <t>0004988972</t>
  </si>
  <si>
    <t>PE_CRITEO_PROMART_2026_FEB 2</t>
  </si>
  <si>
    <t>00331315</t>
  </si>
  <si>
    <t>AR00408210</t>
  </si>
  <si>
    <t>AR_CRITEO_ARAJET_FEB_2026</t>
  </si>
  <si>
    <t>802Um00000EfEF8</t>
  </si>
  <si>
    <t>0004987349</t>
  </si>
  <si>
    <t>802Uj00000ILzgz</t>
  </si>
  <si>
    <t>0004184060</t>
  </si>
  <si>
    <t>802Uj00000IM3Hb</t>
  </si>
  <si>
    <t>0004186494</t>
  </si>
  <si>
    <t>802Uj00000IM4K0</t>
  </si>
  <si>
    <t>0004188518</t>
  </si>
  <si>
    <t>802Uj00000Jcyfu</t>
  </si>
  <si>
    <t>0004248624</t>
  </si>
  <si>
    <t>802Uj00000OKEiZ</t>
  </si>
  <si>
    <t>0004746208</t>
  </si>
  <si>
    <t>802Um00000Djl0J</t>
  </si>
  <si>
    <t>0004930416</t>
  </si>
  <si>
    <t>00327517</t>
  </si>
  <si>
    <t>CO00391696</t>
  </si>
  <si>
    <t>COL_CRITEO_MEDIACOM MIAMI_SONY ALON_FEBRERO 2026</t>
  </si>
  <si>
    <t>802Um00000DkpJO</t>
  </si>
  <si>
    <t>0004932626</t>
  </si>
  <si>
    <t>00328627</t>
  </si>
  <si>
    <t>802Um00000E0KBZ</t>
  </si>
  <si>
    <t>CO00373095</t>
  </si>
  <si>
    <t>0004953815</t>
  </si>
  <si>
    <t>Cueros Velez Colombia</t>
  </si>
  <si>
    <t>SISTEMAS COLOMBIA S A S</t>
  </si>
  <si>
    <t>COL_CRITEO_ADBID_VELEZ PE_FEBRERO 2026</t>
  </si>
  <si>
    <t>SISTEMAS COLOMBIA COLOMBIA</t>
  </si>
  <si>
    <t>9002185787</t>
  </si>
  <si>
    <t>n/a</t>
  </si>
  <si>
    <t>Under Review</t>
  </si>
  <si>
    <t>March/2026</t>
  </si>
  <si>
    <t>31/3/2026</t>
  </si>
  <si>
    <t>00332895</t>
  </si>
  <si>
    <t>802Um00000EvhRZ</t>
  </si>
  <si>
    <t>PE00410816</t>
  </si>
  <si>
    <t>0005002605</t>
  </si>
  <si>
    <t>NATURA COSMETICOS S.A. Peru</t>
  </si>
  <si>
    <t>Especialidades Digitales Internacionales SAC</t>
  </si>
  <si>
    <t>PE - CRITEO - HAVAS - NATURA - FEB y MAR - 2026</t>
  </si>
  <si>
    <t>Especialidades Digitales Internacionales PERU</t>
  </si>
  <si>
    <t>20600995031</t>
  </si>
  <si>
    <t>B13HN12602005657</t>
  </si>
  <si>
    <t>HN</t>
  </si>
  <si>
    <t>Farmacia Siman HN</t>
  </si>
  <si>
    <t>Súper Farmacia Simán S. A.</t>
  </si>
  <si>
    <t>B20BR12602000864</t>
  </si>
  <si>
    <t>BR</t>
  </si>
  <si>
    <t>Arajet BR</t>
  </si>
  <si>
    <t>20</t>
  </si>
  <si>
    <t>Criteo do Brasil</t>
  </si>
  <si>
    <t>ARAJET S.A.</t>
  </si>
  <si>
    <t>B13NI12602004917</t>
  </si>
  <si>
    <t>NI</t>
  </si>
  <si>
    <t>Farma Costo NI</t>
  </si>
  <si>
    <t>Inversiones Madison Nicaragua S.A</t>
  </si>
  <si>
    <t>B13GT12602004918</t>
  </si>
  <si>
    <t>Farma Costo GT</t>
  </si>
  <si>
    <t>INVERSIONES MADISON SOCIEDAD ANONIMA</t>
  </si>
  <si>
    <t>SO READY TO EXPORT</t>
  </si>
  <si>
    <t>PO READY TO EXPORT</t>
  </si>
  <si>
    <t>SO Exported to ERP</t>
  </si>
  <si>
    <t>PO Exported to ERP</t>
  </si>
  <si>
    <t>SOIPE-000010268</t>
  </si>
  <si>
    <t>POIME-000032884</t>
  </si>
  <si>
    <t>SOIPE-000010270</t>
  </si>
  <si>
    <t>POIME-000032891</t>
  </si>
  <si>
    <t>SOIPE-000010269</t>
  </si>
  <si>
    <t>POIME-000032895</t>
  </si>
  <si>
    <t>SOIPE-000010266</t>
  </si>
  <si>
    <t>POIME-000032893</t>
  </si>
  <si>
    <t>SOIPE-000010265</t>
  </si>
  <si>
    <t>POIME-000032897</t>
  </si>
  <si>
    <t>SOIPE-000010277</t>
  </si>
  <si>
    <t>POIME-000032898</t>
  </si>
  <si>
    <t>SOIPE-000010267</t>
  </si>
  <si>
    <t>POIME-000032905</t>
  </si>
  <si>
    <t>SOIPE-000010278</t>
  </si>
  <si>
    <t>POIME-000032904</t>
  </si>
  <si>
    <t>SOIPE-000010276</t>
  </si>
  <si>
    <t>POIME-000032919</t>
  </si>
  <si>
    <t>SOIPE-000010274</t>
  </si>
  <si>
    <t>POIME-000032918</t>
  </si>
  <si>
    <t>SOIPE-000010275</t>
  </si>
  <si>
    <t>POIME-000032917</t>
  </si>
  <si>
    <t>SOIPE-000010273</t>
  </si>
  <si>
    <t>POIME-000032928</t>
  </si>
  <si>
    <t>SOIPE-000010271</t>
  </si>
  <si>
    <t>POIME-000032936</t>
  </si>
  <si>
    <t>SOIPE-000010272</t>
  </si>
  <si>
    <t>POIME-000032934</t>
  </si>
  <si>
    <t>SOIES-000001011</t>
  </si>
  <si>
    <t>POIME-000032930</t>
  </si>
  <si>
    <t>SOIUS-000002996</t>
  </si>
  <si>
    <t>POIME-000032887</t>
  </si>
  <si>
    <t>SOICO-000004001</t>
  </si>
  <si>
    <t>POIME-000032902</t>
  </si>
  <si>
    <t>daniela.alonso</t>
  </si>
  <si>
    <t>SOICO-000004001, 4K1WUL1GXX</t>
  </si>
  <si>
    <t>GJT080755</t>
  </si>
  <si>
    <t>PS006476</t>
  </si>
  <si>
    <t>POIME-000032936, 0AWJPBBCLJ</t>
  </si>
  <si>
    <t>GJT380839</t>
  </si>
  <si>
    <t>PR070789</t>
  </si>
  <si>
    <t>POIME-000032934, 0AWJPBBCLJ</t>
  </si>
  <si>
    <t>GJT380837</t>
  </si>
  <si>
    <t>PR070787</t>
  </si>
  <si>
    <t>POIME-000032930, 0AWJPBBCLJ</t>
  </si>
  <si>
    <t>GJT380833</t>
  </si>
  <si>
    <t>PR070783</t>
  </si>
  <si>
    <t>POIME-000032928, 0AWJPBBCLJ</t>
  </si>
  <si>
    <t>GJT380831</t>
  </si>
  <si>
    <t>PR070781</t>
  </si>
  <si>
    <t>POIME-000032919, 0AWJPBBCLJ</t>
  </si>
  <si>
    <t>GJT380822</t>
  </si>
  <si>
    <t>PR070772</t>
  </si>
  <si>
    <t>POIME-000032918, 0AWJPBBCLJ</t>
  </si>
  <si>
    <t>GJT380821</t>
  </si>
  <si>
    <t>PR070771</t>
  </si>
  <si>
    <t>POIME-000032917, 0AWJPBBCLJ</t>
  </si>
  <si>
    <t>GJT380820</t>
  </si>
  <si>
    <t>PR070770</t>
  </si>
  <si>
    <t>POIME-000032905, 0AWJPBBCLJ</t>
  </si>
  <si>
    <t>GJT380808</t>
  </si>
  <si>
    <t>PR070758</t>
  </si>
  <si>
    <t>POIME-000032904, 0AWJPBBCLJ</t>
  </si>
  <si>
    <t>GJT380807</t>
  </si>
  <si>
    <t>PR070757</t>
  </si>
  <si>
    <t>POIME-000032902, 0AWJPBBCLJ</t>
  </si>
  <si>
    <t>GJT380805</t>
  </si>
  <si>
    <t>PR070755</t>
  </si>
  <si>
    <t>POIME-000032898, 0AWJPBBCLJ</t>
  </si>
  <si>
    <t>GJT380801</t>
  </si>
  <si>
    <t>PR070751</t>
  </si>
  <si>
    <t>POIME-000032897, 0AWJPBBCLJ</t>
  </si>
  <si>
    <t>GJT380800</t>
  </si>
  <si>
    <t>PR070750</t>
  </si>
  <si>
    <t>POIME-000032895, 0AWJPBBCLJ</t>
  </si>
  <si>
    <t>GJT380798</t>
  </si>
  <si>
    <t>PR070748</t>
  </si>
  <si>
    <t>POIME-000032893, 0AWJPBBCLJ</t>
  </si>
  <si>
    <t>GJT380796</t>
  </si>
  <si>
    <t>PR070746</t>
  </si>
  <si>
    <t>POIME-000032891, 0AWJPBBCLJ</t>
  </si>
  <si>
    <t>GJT380794</t>
  </si>
  <si>
    <t>PR070744</t>
  </si>
  <si>
    <t>POIME-000032887, 0AWJPBBCLJ</t>
  </si>
  <si>
    <t>GJT380790</t>
  </si>
  <si>
    <t>PR070740</t>
  </si>
  <si>
    <t>POIME-000032884, 0AWJPBBCLJ</t>
  </si>
  <si>
    <t>GJT380787</t>
  </si>
  <si>
    <t>PR070737</t>
  </si>
  <si>
    <t>GJT380785</t>
  </si>
  <si>
    <t>PR070735</t>
  </si>
  <si>
    <t>GJT380784</t>
  </si>
  <si>
    <t>PR070734</t>
  </si>
  <si>
    <t>GJT380783</t>
  </si>
  <si>
    <t>PR070733</t>
  </si>
  <si>
    <t>GJT380782</t>
  </si>
  <si>
    <t>PR070732</t>
  </si>
  <si>
    <t>GJT380781</t>
  </si>
  <si>
    <t>PR070731</t>
  </si>
  <si>
    <t>GJT380773</t>
  </si>
  <si>
    <t>PR070723</t>
  </si>
  <si>
    <t>GJT380770</t>
  </si>
  <si>
    <t>PR070720</t>
  </si>
  <si>
    <t>GJT380768</t>
  </si>
  <si>
    <t>PR070718</t>
  </si>
  <si>
    <t>GJT380762</t>
  </si>
  <si>
    <t>PR070712</t>
  </si>
  <si>
    <t>GJT380761</t>
  </si>
  <si>
    <t>PR070711</t>
  </si>
  <si>
    <t>GJT380759</t>
  </si>
  <si>
    <t>PR070709</t>
  </si>
  <si>
    <t>POIME-000016807, 0AWJPBBCLJ</t>
  </si>
  <si>
    <t>GJT380758</t>
  </si>
  <si>
    <t>PR070708</t>
  </si>
  <si>
    <t>SOIPE-000010278, 20608280333</t>
  </si>
  <si>
    <t>GJT171657</t>
  </si>
  <si>
    <t>PS014996</t>
  </si>
  <si>
    <t>SOIPE-000010277, 20536557858</t>
  </si>
  <si>
    <t>GJT171656</t>
  </si>
  <si>
    <t>PS014995</t>
  </si>
  <si>
    <t>SOIPE-000010276, 20608300393</t>
  </si>
  <si>
    <t>GJT171655</t>
  </si>
  <si>
    <t>PS014994</t>
  </si>
  <si>
    <t>SOIPE-000010275, 20493020618</t>
  </si>
  <si>
    <t>GJT171654</t>
  </si>
  <si>
    <t>PS014993</t>
  </si>
  <si>
    <t>SOIPE-000010274, 20100130204</t>
  </si>
  <si>
    <t>GJT171653</t>
  </si>
  <si>
    <t>PS014992</t>
  </si>
  <si>
    <t>SOIPE-000010273, 20505601808</t>
  </si>
  <si>
    <t>GJT171652</t>
  </si>
  <si>
    <t>PS014991</t>
  </si>
  <si>
    <t>SOIPE-000010272, 20536557858</t>
  </si>
  <si>
    <t>GJT171651</t>
  </si>
  <si>
    <t>PS014990</t>
  </si>
  <si>
    <t>SOIPE-000010271, 20608300393</t>
  </si>
  <si>
    <t>GJT171650</t>
  </si>
  <si>
    <t>PS014989</t>
  </si>
  <si>
    <t>SOIPE-000010270, 7DNNM5RZEL</t>
  </si>
  <si>
    <t>GJT171649</t>
  </si>
  <si>
    <t>PS014988</t>
  </si>
  <si>
    <t>SOIPE-000010269, 20522291201</t>
  </si>
  <si>
    <t>GJT171648</t>
  </si>
  <si>
    <t>PS014987</t>
  </si>
  <si>
    <t>SOIPE-000010268, 20509867560</t>
  </si>
  <si>
    <t>GJT171647</t>
  </si>
  <si>
    <t>PS014986</t>
  </si>
  <si>
    <t>SOIPE-000010267, 20492092313</t>
  </si>
  <si>
    <t>GJT171646</t>
  </si>
  <si>
    <t>PS014985</t>
  </si>
  <si>
    <t>SOIPE-000010266, 20100016681</t>
  </si>
  <si>
    <t>GJT171645</t>
  </si>
  <si>
    <t>PS014984</t>
  </si>
  <si>
    <t>SOIPE-000010265, 20100053455</t>
  </si>
  <si>
    <t>GJT171644</t>
  </si>
  <si>
    <t>PS014983</t>
  </si>
  <si>
    <t>GJT171643</t>
  </si>
  <si>
    <t>PS014982</t>
  </si>
  <si>
    <t>GJT171642</t>
  </si>
  <si>
    <t>PS014981</t>
  </si>
  <si>
    <t>GJT171641</t>
  </si>
  <si>
    <t>PS014980</t>
  </si>
  <si>
    <t>GJT171640</t>
  </si>
  <si>
    <t>PS014979</t>
  </si>
  <si>
    <t>GJT171639</t>
  </si>
  <si>
    <t>PS014978</t>
  </si>
  <si>
    <t>GJT171638</t>
  </si>
  <si>
    <t>PS014977</t>
  </si>
  <si>
    <t>GJT171637</t>
  </si>
  <si>
    <t>PS014976</t>
  </si>
  <si>
    <t>GJT171636</t>
  </si>
  <si>
    <t>PS014975</t>
  </si>
  <si>
    <t>GJT171635</t>
  </si>
  <si>
    <t>PS014974</t>
  </si>
  <si>
    <t>SOIPE-000003644, 20509867560</t>
  </si>
  <si>
    <t>GJT171634</t>
  </si>
  <si>
    <t>PS014973</t>
  </si>
  <si>
    <t>GJT171633</t>
  </si>
  <si>
    <t>PS014972</t>
  </si>
  <si>
    <t>GJT169926</t>
  </si>
  <si>
    <t>CI00011265</t>
  </si>
  <si>
    <t>GJT169924</t>
  </si>
  <si>
    <t>CI00011263</t>
  </si>
  <si>
    <t>4101011200-Criteo--IPER-PER-Rep</t>
  </si>
  <si>
    <t>GJT169910</t>
  </si>
  <si>
    <t>CI00011254</t>
  </si>
  <si>
    <t>GJT169909</t>
  </si>
  <si>
    <t>CI00011253</t>
  </si>
  <si>
    <t>GJT169908</t>
  </si>
  <si>
    <t>CI00011252</t>
  </si>
  <si>
    <t>GJT169906</t>
  </si>
  <si>
    <t>CC00001500</t>
  </si>
  <si>
    <t>GJT169905</t>
  </si>
  <si>
    <t>CC00001499</t>
  </si>
  <si>
    <t>GJT169904</t>
  </si>
  <si>
    <t>PS014821</t>
  </si>
  <si>
    <t>SOIPE-000007234, 20509867560, MEDIAWISE S.A.C</t>
  </si>
  <si>
    <t>GJT169842</t>
  </si>
  <si>
    <t>CI00011249</t>
  </si>
  <si>
    <t>GJT168879</t>
  </si>
  <si>
    <t>CI00011161</t>
  </si>
  <si>
    <t>GJT168878</t>
  </si>
  <si>
    <t>CI00011160</t>
  </si>
  <si>
    <t>GJT168876</t>
  </si>
  <si>
    <t>CI00011158</t>
  </si>
  <si>
    <t>GJT168411</t>
  </si>
  <si>
    <t>CI00011106</t>
  </si>
  <si>
    <t>GJT167265</t>
  </si>
  <si>
    <t>CI00011054</t>
  </si>
  <si>
    <t>SOIES-000001011, 132407865</t>
  </si>
  <si>
    <t>GJT057009</t>
  </si>
  <si>
    <t>PS002010</t>
  </si>
  <si>
    <t>SOIUS-000002996, M15000002947</t>
  </si>
  <si>
    <t>GJT074456</t>
  </si>
  <si>
    <t>PS005445</t>
  </si>
  <si>
    <t>GJT074448</t>
  </si>
  <si>
    <t>PS005437</t>
  </si>
  <si>
    <t>GJT072614</t>
  </si>
  <si>
    <t>IUSA_CI_00004598</t>
  </si>
  <si>
    <t>Functional Area</t>
  </si>
  <si>
    <t>SOIME-000003598</t>
  </si>
  <si>
    <t>POIPE-000001099</t>
  </si>
  <si>
    <t>INT COGS CRITEO FEB26</t>
  </si>
  <si>
    <t>Advertisement cost- Criteo - 2026-02</t>
  </si>
  <si>
    <t>(en blanco)</t>
  </si>
  <si>
    <t>802Um00000EfEF3</t>
  </si>
  <si>
    <t>0004987344</t>
  </si>
  <si>
    <t>115741</t>
  </si>
  <si>
    <t>802Um00000EfEF4</t>
  </si>
  <si>
    <t>0004987345</t>
  </si>
  <si>
    <t>98890</t>
  </si>
  <si>
    <t>802Um00000EfEF5</t>
  </si>
  <si>
    <t>0004987346</t>
  </si>
  <si>
    <t>98888</t>
  </si>
  <si>
    <t>802Um00000EfEF6</t>
  </si>
  <si>
    <t>0004987347</t>
  </si>
  <si>
    <t>118620</t>
  </si>
  <si>
    <t>802Um00000EfEF7</t>
  </si>
  <si>
    <t>0004987348</t>
  </si>
  <si>
    <t>101280</t>
  </si>
  <si>
    <t>802Um00000EfEF9</t>
  </si>
  <si>
    <t>0004987350</t>
  </si>
  <si>
    <t>118622</t>
  </si>
  <si>
    <t>802Um00000EfEFA</t>
  </si>
  <si>
    <t>0004987351</t>
  </si>
  <si>
    <t>110436</t>
  </si>
  <si>
    <t>802Um00000DkpJN</t>
  </si>
  <si>
    <t>0004932625</t>
  </si>
  <si>
    <t>31762</t>
  </si>
  <si>
    <t>802Um00000DkpJP</t>
  </si>
  <si>
    <t>0004932627</t>
  </si>
  <si>
    <t>31763</t>
  </si>
  <si>
    <t>802Um00000DkpJQ</t>
  </si>
  <si>
    <t>0004932628</t>
  </si>
  <si>
    <t>36112</t>
  </si>
  <si>
    <t>802Um00000DkpJR</t>
  </si>
  <si>
    <t>0004932629</t>
  </si>
  <si>
    <t>31276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</si>
</sst>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3" formatCode="_-* #,##0.00_-;\-* #,##0.00_-;_-* &quot;-&quot;??_-;_-@_-"/>
    <numFmt numFmtId="164" formatCode="&quot;USD&quot;\ #,##0.000000;&quot;USD&quot;\ \-#,##0.000000"/>
    <numFmt numFmtId="165" formatCode="#,##0.00%"/>
    <numFmt numFmtId="166" formatCode="&quot;USD&quot;\ #,##0.00;&quot;USD&quot;\ \-#,##0.00"/>
    <numFmt numFmtId="167" formatCode="_(&quot;$&quot;* #,##0.00_);_(&quot;$&quot;* \(#,##0.00\);_(&quot;$&quot;* &quot;-&quot;??_);_(@_)"/>
    <numFmt numFmtId="168" formatCode="&quot;MXN&quot;\ #,##0.000000;&quot;MXN&quot;\ \-#,##0.000000"/>
    <numFmt numFmtId="169" formatCode="&quot;MXN&quot;\ #,##0.00;&quot;MXN&quot;\ \-#,##0.00"/>
    <numFmt numFmtId="170" formatCode="_(* #,##0.00_);_(* \(#,##0.00\);_(* &quot;-&quot;??_);_(@_)"/>
    <numFmt numFmtId="171" formatCode="#,##0.0000\ &quot;Pts&quot;;[Red]\-#,##0.0000\ &quot;Pts&quot;"/>
    <numFmt numFmtId="172" formatCode="_-* #,##0.00000_-;\-* #,##0.00000_-;_-* &quot;-&quot;??_-;_-@"/>
    <numFmt numFmtId="173" formatCode="_ * #,##0.00_)_ ;_ * \(#,##0.00\)_ ;_ * &quot;-&quot;??_)_ ;_ @_ "/>
    <numFmt numFmtId="174" formatCode="_-* #,##0_-;\-* #,##0_-;_-* &quot;-&quot;??_-;_-@_-"/>
    <numFmt numFmtId="175" formatCode="dd\.mm\.yyyy"/>
    <numFmt numFmtId="176" formatCode="* #,##0.00_0_0\ &quot;USD&quot;;* \-\ #,##0.00_0_0\ &quot;USD&quot;"/>
    <numFmt numFmtId="177" formatCode="* #,##0.00_0_0\ &quot;GTQ&quot;;* \-\ #,##0.00_0_0\ &quot;GTQ&quot;"/>
    <numFmt numFmtId="178" formatCode="dd\.mm\.yyyy\,\ hh:mm:ss"/>
    <numFmt numFmtId="179" formatCode="* #,##0.00_0_0\ &quot;CRC&quot;;* \-\ #,##0.00_0_0\ &quot;CRC&quot;"/>
  </numFmts>
  <fonts count="45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56585B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color rgb="FF56585B"/>
      <name val="Calibri"/>
      <family val="2"/>
    </font>
    <font>
      <b/>
      <sz val="11"/>
      <color indexed="8"/>
      <name val="Aptos Narrow"/>
      <family val="2"/>
      <scheme val="minor"/>
    </font>
    <font>
      <sz val="9"/>
      <color theme="1"/>
      <name val="Century Gothic"/>
      <family val="2"/>
    </font>
    <font>
      <i/>
      <sz val="9"/>
      <color theme="1"/>
      <name val="Century Gothic"/>
      <family val="2"/>
    </font>
    <font>
      <b/>
      <sz val="9"/>
      <color theme="1"/>
      <name val="Century Gothic"/>
      <family val="2"/>
    </font>
    <font>
      <b/>
      <sz val="9"/>
      <color theme="0"/>
      <name val="Century Gothic"/>
      <family val="2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0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rial"/>
      <family val="2"/>
    </font>
    <font>
      <sz val="10"/>
      <color rgb="FF000000"/>
      <name val="Aptos Narrow"/>
      <family val="2"/>
      <scheme val="minor"/>
    </font>
    <font>
      <b/>
      <sz val="14"/>
      <color theme="1"/>
      <name val="Aptos Narrow"/>
      <family val="2"/>
    </font>
    <font>
      <b/>
      <sz val="14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222222"/>
      <name val="Arial"/>
      <family val="2"/>
    </font>
    <font>
      <sz val="11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BFBFBF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D5D3D1"/>
      </left>
      <right style="thin">
        <color rgb="FFD5D3D1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2">
    <xf numFmtId="0" fontId="0" fillId="0" borderId="0"/>
    <xf numFmtId="43" fontId="20" fillId="0" borderId="0" applyFont="0" applyFill="0" applyBorder="0" applyAlignment="0" applyProtection="0"/>
    <xf numFmtId="0" fontId="15" fillId="0" borderId="0"/>
    <xf numFmtId="9" fontId="20" fillId="0" borderId="0" applyFont="0" applyFill="0" applyBorder="0" applyAlignment="0" applyProtection="0"/>
    <xf numFmtId="0" fontId="14" fillId="0" borderId="0"/>
    <xf numFmtId="0" fontId="13" fillId="0" borderId="0"/>
    <xf numFmtId="0" fontId="30" fillId="0" borderId="0"/>
    <xf numFmtId="43" fontId="12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9" fillId="0" borderId="0"/>
    <xf numFmtId="0" fontId="20" fillId="0" borderId="0"/>
    <xf numFmtId="0" fontId="34" fillId="0" borderId="0"/>
    <xf numFmtId="170" fontId="9" fillId="0" borderId="0" applyFont="0" applyFill="0" applyBorder="0" applyAlignment="0" applyProtection="0"/>
    <xf numFmtId="0" fontId="35" fillId="0" borderId="0"/>
    <xf numFmtId="173" fontId="9" fillId="0" borderId="0" applyFont="0" applyFill="0" applyBorder="0" applyAlignment="0" applyProtection="0"/>
    <xf numFmtId="0" fontId="37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4" fillId="0" borderId="0"/>
    <xf numFmtId="0" fontId="44" fillId="0" borderId="0"/>
  </cellStyleXfs>
  <cellXfs count="136">
    <xf numFmtId="0" fontId="0" fillId="0" borderId="0" xfId="0"/>
    <xf numFmtId="0" fontId="17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0" fontId="16" fillId="0" borderId="0" xfId="0" applyFont="1"/>
    <xf numFmtId="167" fontId="19" fillId="0" borderId="0" xfId="0" applyNumberFormat="1" applyFont="1" applyAlignment="1">
      <alignment horizontal="center" wrapText="1"/>
    </xf>
    <xf numFmtId="0" fontId="18" fillId="7" borderId="0" xfId="0" applyFont="1" applyFill="1" applyAlignment="1">
      <alignment horizontal="center"/>
    </xf>
    <xf numFmtId="43" fontId="21" fillId="0" borderId="0" xfId="1" applyFont="1"/>
    <xf numFmtId="4" fontId="21" fillId="0" borderId="0" xfId="1" applyNumberFormat="1" applyFont="1"/>
    <xf numFmtId="0" fontId="18" fillId="8" borderId="0" xfId="0" applyFont="1" applyFill="1" applyAlignment="1">
      <alignment horizontal="center"/>
    </xf>
    <xf numFmtId="0" fontId="17" fillId="2" borderId="2" xfId="0" applyFont="1" applyFill="1" applyBorder="1"/>
    <xf numFmtId="0" fontId="22" fillId="3" borderId="1" xfId="0" applyFont="1" applyFill="1" applyBorder="1" applyAlignment="1">
      <alignment horizontal="left"/>
    </xf>
    <xf numFmtId="0" fontId="21" fillId="0" borderId="0" xfId="0" applyFont="1"/>
    <xf numFmtId="0" fontId="23" fillId="3" borderId="1" xfId="0" applyFont="1" applyFill="1" applyBorder="1" applyAlignment="1">
      <alignment horizontal="left"/>
    </xf>
    <xf numFmtId="0" fontId="18" fillId="4" borderId="0" xfId="0" applyFont="1" applyFill="1" applyAlignment="1">
      <alignment horizontal="center"/>
    </xf>
    <xf numFmtId="43" fontId="0" fillId="0" borderId="0" xfId="1" applyFont="1"/>
    <xf numFmtId="0" fontId="18" fillId="0" borderId="3" xfId="0" applyFont="1" applyBorder="1"/>
    <xf numFmtId="4" fontId="16" fillId="0" borderId="0" xfId="0" applyNumberFormat="1" applyFont="1"/>
    <xf numFmtId="0" fontId="24" fillId="2" borderId="1" xfId="0" applyFont="1" applyFill="1" applyBorder="1"/>
    <xf numFmtId="0" fontId="25" fillId="0" borderId="0" xfId="0" applyFont="1"/>
    <xf numFmtId="0" fontId="26" fillId="0" borderId="0" xfId="0" applyFont="1" applyAlignment="1">
      <alignment horizontal="center"/>
    </xf>
    <xf numFmtId="0" fontId="26" fillId="0" borderId="0" xfId="0" applyFont="1"/>
    <xf numFmtId="14" fontId="27" fillId="0" borderId="0" xfId="0" applyNumberFormat="1" applyFont="1" applyAlignment="1">
      <alignment horizontal="center"/>
    </xf>
    <xf numFmtId="14" fontId="27" fillId="10" borderId="0" xfId="0" applyNumberFormat="1" applyFont="1" applyFill="1" applyAlignment="1">
      <alignment horizontal="right"/>
    </xf>
    <xf numFmtId="0" fontId="26" fillId="0" borderId="0" xfId="6" applyFont="1" applyAlignment="1">
      <alignment horizontal="center"/>
    </xf>
    <xf numFmtId="0" fontId="28" fillId="0" borderId="0" xfId="6" applyFont="1" applyAlignment="1">
      <alignment horizontal="center"/>
    </xf>
    <xf numFmtId="171" fontId="26" fillId="0" borderId="0" xfId="6" applyNumberFormat="1" applyFont="1" applyAlignment="1">
      <alignment horizontal="center" vertical="center"/>
    </xf>
    <xf numFmtId="0" fontId="18" fillId="6" borderId="4" xfId="0" applyFont="1" applyFill="1" applyBorder="1"/>
    <xf numFmtId="0" fontId="18" fillId="6" borderId="0" xfId="0" applyFont="1" applyFill="1"/>
    <xf numFmtId="43" fontId="24" fillId="2" borderId="1" xfId="1" applyFont="1" applyFill="1" applyBorder="1"/>
    <xf numFmtId="14" fontId="27" fillId="10" borderId="0" xfId="8" applyNumberFormat="1" applyFont="1" applyFill="1" applyAlignment="1">
      <alignment horizontal="center"/>
    </xf>
    <xf numFmtId="17" fontId="29" fillId="11" borderId="6" xfId="8" applyNumberFormat="1" applyFont="1" applyFill="1" applyBorder="1" applyAlignment="1">
      <alignment horizontal="center" vertical="center" wrapText="1"/>
    </xf>
    <xf numFmtId="172" fontId="26" fillId="0" borderId="7" xfId="8" applyNumberFormat="1" applyFont="1" applyBorder="1"/>
    <xf numFmtId="0" fontId="32" fillId="12" borderId="5" xfId="0" applyFont="1" applyFill="1" applyBorder="1"/>
    <xf numFmtId="0" fontId="31" fillId="0" borderId="0" xfId="0" applyFont="1" applyAlignment="1">
      <alignment vertical="top"/>
    </xf>
    <xf numFmtId="14" fontId="31" fillId="0" borderId="0" xfId="0" applyNumberFormat="1" applyFont="1" applyAlignment="1">
      <alignment vertical="top"/>
    </xf>
    <xf numFmtId="4" fontId="31" fillId="0" borderId="0" xfId="0" applyNumberFormat="1" applyFont="1" applyAlignment="1">
      <alignment vertical="top"/>
    </xf>
    <xf numFmtId="3" fontId="31" fillId="0" borderId="0" xfId="0" applyNumberFormat="1" applyFont="1" applyAlignment="1">
      <alignment vertical="top"/>
    </xf>
    <xf numFmtId="10" fontId="0" fillId="0" borderId="0" xfId="3" applyNumberFormat="1" applyFont="1"/>
    <xf numFmtId="0" fontId="33" fillId="3" borderId="1" xfId="0" applyFont="1" applyFill="1" applyBorder="1" applyAlignment="1">
      <alignment horizontal="left"/>
    </xf>
    <xf numFmtId="0" fontId="33" fillId="3" borderId="1" xfId="0" applyFont="1" applyFill="1" applyBorder="1" applyAlignment="1">
      <alignment horizontal="right"/>
    </xf>
    <xf numFmtId="164" fontId="33" fillId="3" borderId="1" xfId="0" applyNumberFormat="1" applyFont="1" applyFill="1" applyBorder="1" applyAlignment="1">
      <alignment horizontal="right"/>
    </xf>
    <xf numFmtId="165" fontId="33" fillId="3" borderId="1" xfId="0" applyNumberFormat="1" applyFont="1" applyFill="1" applyBorder="1" applyAlignment="1">
      <alignment horizontal="right"/>
    </xf>
    <xf numFmtId="0" fontId="33" fillId="3" borderId="1" xfId="0" applyFont="1" applyFill="1" applyBorder="1" applyAlignment="1">
      <alignment horizontal="center"/>
    </xf>
    <xf numFmtId="166" fontId="33" fillId="3" borderId="1" xfId="0" applyNumberFormat="1" applyFont="1" applyFill="1" applyBorder="1" applyAlignment="1">
      <alignment horizontal="right"/>
    </xf>
    <xf numFmtId="0" fontId="18" fillId="5" borderId="0" xfId="0" applyFont="1" applyFill="1" applyAlignment="1">
      <alignment horizontal="center"/>
    </xf>
    <xf numFmtId="167" fontId="10" fillId="0" borderId="0" xfId="0" applyNumberFormat="1" applyFont="1"/>
    <xf numFmtId="9" fontId="0" fillId="0" borderId="0" xfId="3" applyFont="1"/>
    <xf numFmtId="0" fontId="17" fillId="5" borderId="0" xfId="0" applyFont="1" applyFill="1"/>
    <xf numFmtId="4" fontId="33" fillId="3" borderId="1" xfId="0" applyNumberFormat="1" applyFont="1" applyFill="1" applyBorder="1" applyAlignment="1">
      <alignment horizontal="right"/>
    </xf>
    <xf numFmtId="0" fontId="9" fillId="0" borderId="0" xfId="10"/>
    <xf numFmtId="0" fontId="20" fillId="0" borderId="0" xfId="11"/>
    <xf numFmtId="49" fontId="9" fillId="0" borderId="0" xfId="10" applyNumberFormat="1" applyAlignment="1">
      <alignment horizontal="left"/>
    </xf>
    <xf numFmtId="0" fontId="18" fillId="0" borderId="0" xfId="10" applyFont="1"/>
    <xf numFmtId="0" fontId="18" fillId="13" borderId="0" xfId="10" applyFont="1" applyFill="1"/>
    <xf numFmtId="0" fontId="18" fillId="6" borderId="0" xfId="10" applyFont="1" applyFill="1"/>
    <xf numFmtId="0" fontId="35" fillId="0" borderId="0" xfId="14"/>
    <xf numFmtId="0" fontId="36" fillId="14" borderId="0" xfId="10" applyFont="1" applyFill="1"/>
    <xf numFmtId="173" fontId="0" fillId="0" borderId="0" xfId="15" applyFont="1"/>
    <xf numFmtId="0" fontId="37" fillId="0" borderId="0" xfId="16"/>
    <xf numFmtId="0" fontId="34" fillId="0" borderId="0" xfId="12"/>
    <xf numFmtId="0" fontId="38" fillId="0" borderId="0" xfId="10" applyFont="1" applyAlignment="1">
      <alignment horizontal="center"/>
    </xf>
    <xf numFmtId="0" fontId="39" fillId="0" borderId="0" xfId="10" applyFont="1" applyAlignment="1">
      <alignment horizontal="center"/>
    </xf>
    <xf numFmtId="0" fontId="23" fillId="3" borderId="1" xfId="10" applyFont="1" applyFill="1" applyBorder="1" applyAlignment="1">
      <alignment horizontal="left"/>
    </xf>
    <xf numFmtId="0" fontId="23" fillId="3" borderId="1" xfId="10" applyFont="1" applyFill="1" applyBorder="1" applyAlignment="1">
      <alignment horizontal="right"/>
    </xf>
    <xf numFmtId="0" fontId="23" fillId="3" borderId="1" xfId="10" applyFont="1" applyFill="1" applyBorder="1" applyAlignment="1">
      <alignment horizontal="center"/>
    </xf>
    <xf numFmtId="165" fontId="23" fillId="3" borderId="1" xfId="10" applyNumberFormat="1" applyFont="1" applyFill="1" applyBorder="1" applyAlignment="1">
      <alignment horizontal="right"/>
    </xf>
    <xf numFmtId="164" fontId="23" fillId="3" borderId="1" xfId="10" applyNumberFormat="1" applyFont="1" applyFill="1" applyBorder="1" applyAlignment="1">
      <alignment horizontal="right"/>
    </xf>
    <xf numFmtId="168" fontId="23" fillId="3" borderId="1" xfId="10" applyNumberFormat="1" applyFont="1" applyFill="1" applyBorder="1" applyAlignment="1">
      <alignment horizontal="right"/>
    </xf>
    <xf numFmtId="169" fontId="23" fillId="3" borderId="1" xfId="10" applyNumberFormat="1" applyFont="1" applyFill="1" applyBorder="1" applyAlignment="1">
      <alignment horizontal="right"/>
    </xf>
    <xf numFmtId="166" fontId="23" fillId="3" borderId="1" xfId="10" applyNumberFormat="1" applyFont="1" applyFill="1" applyBorder="1" applyAlignment="1">
      <alignment horizontal="right"/>
    </xf>
    <xf numFmtId="0" fontId="17" fillId="4" borderId="8" xfId="10" applyFont="1" applyFill="1" applyBorder="1"/>
    <xf numFmtId="0" fontId="17" fillId="2" borderId="1" xfId="10" applyFont="1" applyFill="1" applyBorder="1" applyAlignment="1">
      <alignment horizontal="center" vertical="center" wrapText="1"/>
    </xf>
    <xf numFmtId="0" fontId="17" fillId="4" borderId="1" xfId="10" applyFont="1" applyFill="1" applyBorder="1" applyAlignment="1">
      <alignment horizontal="center" vertical="center" wrapText="1"/>
    </xf>
    <xf numFmtId="43" fontId="0" fillId="0" borderId="0" xfId="17" applyFont="1"/>
    <xf numFmtId="0" fontId="40" fillId="0" borderId="0" xfId="10" applyFont="1"/>
    <xf numFmtId="174" fontId="0" fillId="0" borderId="0" xfId="17" applyNumberFormat="1" applyFont="1"/>
    <xf numFmtId="9" fontId="9" fillId="0" borderId="0" xfId="18" applyFont="1"/>
    <xf numFmtId="10" fontId="0" fillId="0" borderId="0" xfId="19" applyNumberFormat="1" applyFont="1" applyBorder="1"/>
    <xf numFmtId="3" fontId="9" fillId="0" borderId="0" xfId="10" applyNumberFormat="1"/>
    <xf numFmtId="10" fontId="34" fillId="0" borderId="0" xfId="18" applyNumberFormat="1" applyFont="1" applyAlignment="1">
      <alignment horizontal="center"/>
    </xf>
    <xf numFmtId="4" fontId="9" fillId="0" borderId="0" xfId="10" applyNumberFormat="1"/>
    <xf numFmtId="3" fontId="34" fillId="0" borderId="0" xfId="17" applyNumberFormat="1" applyFont="1"/>
    <xf numFmtId="10" fontId="41" fillId="0" borderId="0" xfId="18" applyNumberFormat="1" applyFont="1" applyAlignment="1">
      <alignment horizontal="center"/>
    </xf>
    <xf numFmtId="0" fontId="18" fillId="0" borderId="0" xfId="10" applyFont="1" applyAlignment="1">
      <alignment horizontal="center" vertical="center"/>
    </xf>
    <xf numFmtId="0" fontId="42" fillId="0" borderId="0" xfId="10" applyFont="1"/>
    <xf numFmtId="43" fontId="43" fillId="0" borderId="0" xfId="17" applyFont="1"/>
    <xf numFmtId="0" fontId="21" fillId="0" borderId="0" xfId="0" pivotButton="1" applyFont="1"/>
    <xf numFmtId="4" fontId="21" fillId="0" borderId="0" xfId="0" applyNumberFormat="1" applyFont="1"/>
    <xf numFmtId="43" fontId="0" fillId="0" borderId="0" xfId="0" applyNumberFormat="1"/>
    <xf numFmtId="0" fontId="32" fillId="9" borderId="3" xfId="14" applyFont="1" applyFill="1" applyBorder="1"/>
    <xf numFmtId="167" fontId="8" fillId="0" borderId="0" xfId="0" applyNumberFormat="1" applyFont="1"/>
    <xf numFmtId="0" fontId="7" fillId="0" borderId="0" xfId="10" applyFont="1"/>
    <xf numFmtId="0" fontId="18" fillId="9" borderId="3" xfId="0" applyFont="1" applyFill="1" applyBorder="1"/>
    <xf numFmtId="0" fontId="18" fillId="15" borderId="0" xfId="10" applyFont="1" applyFill="1" applyAlignment="1">
      <alignment horizontal="center" vertical="center"/>
    </xf>
    <xf numFmtId="3" fontId="9" fillId="15" borderId="0" xfId="10" applyNumberFormat="1" applyFill="1"/>
    <xf numFmtId="0" fontId="6" fillId="0" borderId="0" xfId="10" applyFont="1"/>
    <xf numFmtId="167" fontId="5" fillId="0" borderId="0" xfId="0" applyNumberFormat="1" applyFont="1"/>
    <xf numFmtId="0" fontId="31" fillId="16" borderId="0" xfId="20" applyFont="1" applyFill="1" applyAlignment="1">
      <alignment vertical="top"/>
    </xf>
    <xf numFmtId="0" fontId="31" fillId="17" borderId="0" xfId="20" applyFont="1" applyFill="1" applyAlignment="1">
      <alignment vertical="top"/>
    </xf>
    <xf numFmtId="0" fontId="4" fillId="0" borderId="0" xfId="20"/>
    <xf numFmtId="0" fontId="31" fillId="0" borderId="0" xfId="20" applyFont="1" applyAlignment="1">
      <alignment vertical="top"/>
    </xf>
    <xf numFmtId="14" fontId="31" fillId="0" borderId="0" xfId="20" applyNumberFormat="1" applyFont="1" applyAlignment="1">
      <alignment vertical="top"/>
    </xf>
    <xf numFmtId="0" fontId="4" fillId="0" borderId="0" xfId="20" applyAlignment="1">
      <alignment vertical="top"/>
    </xf>
    <xf numFmtId="4" fontId="31" fillId="0" borderId="0" xfId="20" applyNumberFormat="1" applyFont="1" applyAlignment="1">
      <alignment vertical="top"/>
    </xf>
    <xf numFmtId="3" fontId="31" fillId="0" borderId="0" xfId="20" applyNumberFormat="1" applyFont="1" applyAlignment="1">
      <alignment vertical="top"/>
    </xf>
    <xf numFmtId="0" fontId="31" fillId="18" borderId="0" xfId="20" applyFont="1" applyFill="1" applyAlignment="1">
      <alignment vertical="top"/>
    </xf>
    <xf numFmtId="167" fontId="4" fillId="0" borderId="0" xfId="0" applyNumberFormat="1" applyFont="1"/>
    <xf numFmtId="0" fontId="0" fillId="17" borderId="0" xfId="0" applyFill="1"/>
    <xf numFmtId="49" fontId="0" fillId="9" borderId="9" xfId="0" applyNumberFormat="1" applyFill="1" applyBorder="1" applyAlignment="1">
      <alignment horizontal="left"/>
    </xf>
    <xf numFmtId="14" fontId="0" fillId="9" borderId="10" xfId="0" applyNumberFormat="1" applyFill="1" applyBorder="1" applyAlignment="1">
      <alignment horizontal="left"/>
    </xf>
    <xf numFmtId="49" fontId="0" fillId="9" borderId="10" xfId="0" applyNumberFormat="1" applyFill="1" applyBorder="1" applyAlignment="1">
      <alignment horizontal="left"/>
    </xf>
    <xf numFmtId="4" fontId="0" fillId="9" borderId="10" xfId="0" applyNumberFormat="1" applyFill="1" applyBorder="1" applyAlignment="1">
      <alignment horizontal="left"/>
    </xf>
    <xf numFmtId="49" fontId="0" fillId="9" borderId="11" xfId="0" applyNumberFormat="1" applyFill="1" applyBorder="1" applyAlignment="1">
      <alignment horizontal="left"/>
    </xf>
    <xf numFmtId="49" fontId="0" fillId="0" borderId="9" xfId="0" applyNumberFormat="1" applyBorder="1" applyAlignment="1">
      <alignment horizontal="left"/>
    </xf>
    <xf numFmtId="14" fontId="0" fillId="0" borderId="10" xfId="0" applyNumberFormat="1" applyBorder="1" applyAlignment="1">
      <alignment horizontal="left"/>
    </xf>
    <xf numFmtId="49" fontId="0" fillId="0" borderId="10" xfId="0" applyNumberFormat="1" applyBorder="1" applyAlignment="1">
      <alignment horizontal="left"/>
    </xf>
    <xf numFmtId="4" fontId="0" fillId="0" borderId="10" xfId="0" applyNumberFormat="1" applyBorder="1" applyAlignment="1">
      <alignment horizontal="left"/>
    </xf>
    <xf numFmtId="49" fontId="0" fillId="0" borderId="11" xfId="0" applyNumberFormat="1" applyBorder="1" applyAlignment="1">
      <alignment horizontal="left"/>
    </xf>
    <xf numFmtId="0" fontId="44" fillId="0" borderId="0" xfId="21"/>
    <xf numFmtId="0" fontId="44" fillId="0" borderId="0" xfId="21" applyAlignment="1">
      <alignment horizontal="left"/>
    </xf>
    <xf numFmtId="175" fontId="44" fillId="0" borderId="0" xfId="21" applyNumberFormat="1" applyAlignment="1">
      <alignment horizontal="right"/>
    </xf>
    <xf numFmtId="176" fontId="44" fillId="0" borderId="0" xfId="21" applyNumberFormat="1"/>
    <xf numFmtId="177" fontId="44" fillId="0" borderId="0" xfId="21" applyNumberFormat="1"/>
    <xf numFmtId="178" fontId="44" fillId="0" borderId="0" xfId="21" applyNumberFormat="1" applyAlignment="1">
      <alignment horizontal="right"/>
    </xf>
    <xf numFmtId="179" fontId="44" fillId="0" borderId="0" xfId="21" applyNumberFormat="1"/>
    <xf numFmtId="0" fontId="36" fillId="14" borderId="0" xfId="21" applyFont="1" applyFill="1"/>
    <xf numFmtId="0" fontId="3" fillId="0" borderId="0" xfId="10" applyFont="1"/>
    <xf numFmtId="0" fontId="9" fillId="19" borderId="0" xfId="10" applyFill="1"/>
    <xf numFmtId="0" fontId="2" fillId="0" borderId="0" xfId="10" applyFont="1"/>
    <xf numFmtId="0" fontId="18" fillId="0" borderId="0" xfId="0" applyFont="1"/>
    <xf numFmtId="0" fontId="18" fillId="5" borderId="0" xfId="0" applyFont="1" applyFill="1" applyAlignment="1">
      <alignment horizontal="center"/>
    </xf>
    <xf numFmtId="0" fontId="18" fillId="5" borderId="4" xfId="0" applyFont="1" applyFill="1" applyBorder="1" applyAlignment="1">
      <alignment horizontal="center"/>
    </xf>
    <xf numFmtId="0" fontId="18" fillId="4" borderId="0" xfId="0" applyFont="1" applyFill="1" applyAlignment="1">
      <alignment horizontal="center"/>
    </xf>
    <xf numFmtId="0" fontId="1" fillId="0" borderId="0" xfId="10" applyFont="1"/>
  </cellXfs>
  <cellStyles count="22">
    <cellStyle name="Millares" xfId="1" builtinId="3"/>
    <cellStyle name="Millares 2" xfId="7" xr:uid="{93013F15-878B-4B3E-A70B-5C1FD2554F03}"/>
    <cellStyle name="Millares 2 2" xfId="15" xr:uid="{97520043-C2E9-4605-8CFC-65C7137BDE78}"/>
    <cellStyle name="Millares 2 2 2" xfId="17" xr:uid="{06205C82-5474-422E-9BC7-4E8BA233A832}"/>
    <cellStyle name="Millares 3" xfId="9" xr:uid="{AAFFD8F1-7A9F-40D7-883A-1BC5105DA1A1}"/>
    <cellStyle name="Millares 3 2" xfId="13" xr:uid="{79EFF416-B250-463A-B482-95B9FDB93F9D}"/>
    <cellStyle name="Normal" xfId="0" builtinId="0"/>
    <cellStyle name="Normal 2" xfId="2" xr:uid="{CF696EBD-2F60-4D56-A9DD-091429A479AB}"/>
    <cellStyle name="Normal 2 2" xfId="10" xr:uid="{683073F2-BA84-4826-B066-D63EE9A3A489}"/>
    <cellStyle name="Normal 3" xfId="4" xr:uid="{DFAC4C43-D4CE-4D0C-BE2A-39504F57490C}"/>
    <cellStyle name="Normal 3 2" xfId="11" xr:uid="{BC295427-06EC-4CBF-BA6D-D724457F65E4}"/>
    <cellStyle name="Normal 3 2 2" xfId="12" xr:uid="{9EEF550C-EBD3-4D2B-AADA-3FCC54B1085F}"/>
    <cellStyle name="Normal 4" xfId="5" xr:uid="{72BD36F5-4978-462C-98F3-3D5330A25D6D}"/>
    <cellStyle name="Normal 5" xfId="6" xr:uid="{18D1E9E1-3771-480C-8266-603E05A719AC}"/>
    <cellStyle name="Normal 5 2" xfId="16" xr:uid="{6456BA99-574E-481B-9B98-3BE808F5B441}"/>
    <cellStyle name="Normal 6" xfId="8" xr:uid="{4263535C-5354-42F3-9D0C-B5270AEA670B}"/>
    <cellStyle name="Normal 7" xfId="14" xr:uid="{912EE473-1DC9-4907-8588-2F09F1966EF0}"/>
    <cellStyle name="Normal 8" xfId="20" xr:uid="{172954C6-6037-45A1-B1DC-660E9C5BEFFE}"/>
    <cellStyle name="Normal 9" xfId="21" xr:uid="{44397B13-032B-4289-90EB-C15F40E03AF5}"/>
    <cellStyle name="Porcentaje" xfId="3" builtinId="5"/>
    <cellStyle name="Porcentaje 2" xfId="18" xr:uid="{633BA47A-4062-4EAE-97E7-27B1F5A570E0}"/>
    <cellStyle name="Porcentaje 3" xfId="19" xr:uid="{44BF6422-FBF4-4580-9E90-02E06D4AAD5B}"/>
  </cellStyles>
  <dxfs count="76">
    <dxf>
      <fill>
        <patternFill patternType="solid">
          <fgColor rgb="FFFF0000"/>
          <bgColor rgb="FFFF0000"/>
        </patternFill>
      </fill>
    </dxf>
    <dxf>
      <numFmt numFmtId="35" formatCode="_-* #,##0.00_-;\-* #,##0.00_-;_-* &quot;-&quot;??_-;_-@_-"/>
    </dxf>
    <dxf>
      <numFmt numFmtId="4" formatCode="#,##0.00"/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1"/>
          <bgColor theme="1"/>
        </patternFill>
      </fill>
    </dxf>
  </dxfs>
  <tableStyles count="22" defaultTableStyle="TableStyleMedium2" defaultPivotStyle="PivotStyleLight16">
    <tableStyle name="EU BANK 30JUN2024-style" pivot="0" count="3" xr9:uid="{1015D00D-6ED3-4F2A-A5BE-F2B25C76750B}">
      <tableStyleElement type="headerRow" dxfId="75"/>
      <tableStyleElement type="firstRowStripe" dxfId="74"/>
      <tableStyleElement type="secondRowStripe" dxfId="73"/>
    </tableStyle>
    <tableStyle name="EU BANK 30JUN2024-style 2" pivot="0" count="3" xr9:uid="{75C3F699-CC4A-4A22-BF9B-7D395E877EC1}">
      <tableStyleElement type="headerRow" dxfId="72"/>
      <tableStyleElement type="firstRowStripe" dxfId="71"/>
      <tableStyleElement type="secondRowStripe" dxfId="70"/>
    </tableStyle>
    <tableStyle name="EU BANK 31MAY2024-style" pivot="0" count="3" xr9:uid="{3AEB7F6B-5531-4B04-8694-A7A0C3B24C9A}">
      <tableStyleElement type="headerRow" dxfId="69"/>
      <tableStyleElement type="firstRowStripe" dxfId="68"/>
      <tableStyleElement type="secondRowStripe" dxfId="67"/>
    </tableStyle>
    <tableStyle name="EU BANK 31MAY2024-style 2" pivot="0" count="3" xr9:uid="{0215ED3E-A10B-49AD-9F92-9B1063038B7B}">
      <tableStyleElement type="headerRow" dxfId="66"/>
      <tableStyleElement type="firstRowStripe" dxfId="65"/>
      <tableStyleElement type="secondRowStripe" dxfId="64"/>
    </tableStyle>
    <tableStyle name="EU BANK 30APR2024-style" pivot="0" count="3" xr9:uid="{0FB9BB37-9FFA-46EE-B861-27F2F9A58B88}">
      <tableStyleElement type="headerRow" dxfId="63"/>
      <tableStyleElement type="firstRowStripe" dxfId="62"/>
      <tableStyleElement type="secondRowStripe" dxfId="61"/>
    </tableStyle>
    <tableStyle name="EU BANK 30APR2024-style 2" pivot="0" count="3" xr9:uid="{EB1B30F0-8C81-42D3-B9F4-FFD47072F005}">
      <tableStyleElement type="headerRow" dxfId="60"/>
      <tableStyleElement type="firstRowStripe" dxfId="59"/>
      <tableStyleElement type="secondRowStripe" dxfId="58"/>
    </tableStyle>
    <tableStyle name="EU BANK 31MAR2024-style" pivot="0" count="3" xr9:uid="{2BB87880-CF1C-4CC2-954B-CD89C3E1CDF0}">
      <tableStyleElement type="headerRow" dxfId="57"/>
      <tableStyleElement type="firstRowStripe" dxfId="56"/>
      <tableStyleElement type="secondRowStripe" dxfId="55"/>
    </tableStyle>
    <tableStyle name="EU BANK 31MAR2024-style 2" pivot="0" count="3" xr9:uid="{05728140-4951-4A7C-8BF2-D4B18FD86694}">
      <tableStyleElement type="headerRow" dxfId="54"/>
      <tableStyleElement type="firstRowStripe" dxfId="53"/>
      <tableStyleElement type="secondRowStripe" dxfId="52"/>
    </tableStyle>
    <tableStyle name="EU BANK 29FEB2024-style" pivot="0" count="3" xr9:uid="{177AA6E6-7548-41E5-88E2-43915EFB14A8}">
      <tableStyleElement type="headerRow" dxfId="51"/>
      <tableStyleElement type="firstRowStripe" dxfId="50"/>
      <tableStyleElement type="secondRowStripe" dxfId="49"/>
    </tableStyle>
    <tableStyle name="EU BANK 29FEB2024-style 2" pivot="0" count="3" xr9:uid="{B176E5E6-7960-4BA0-A718-CECA6613B83E}">
      <tableStyleElement type="headerRow" dxfId="48"/>
      <tableStyleElement type="firstRowStripe" dxfId="47"/>
      <tableStyleElement type="secondRowStripe" dxfId="46"/>
    </tableStyle>
    <tableStyle name="EU BANK 31JAN2024-style" pivot="0" count="3" xr9:uid="{359512C7-C9AB-4FAF-B092-277C874DCF74}">
      <tableStyleElement type="headerRow" dxfId="45"/>
      <tableStyleElement type="firstRowStripe" dxfId="44"/>
      <tableStyleElement type="secondRowStripe" dxfId="43"/>
    </tableStyle>
    <tableStyle name="EU BANK 31JAN2024-style 2" pivot="0" count="3" xr9:uid="{C8A2F842-08F7-4435-B63D-81CA7A24C545}">
      <tableStyleElement type="headerRow" dxfId="42"/>
      <tableStyleElement type="firstRowStripe" dxfId="41"/>
      <tableStyleElement type="secondRowStripe" dxfId="40"/>
    </tableStyle>
    <tableStyle name="EU BANK 31DEC2023-style" pivot="0" count="3" xr9:uid="{B81B941C-7ACC-46D0-8403-64F854DC6D0F}">
      <tableStyleElement type="headerRow" dxfId="39"/>
      <tableStyleElement type="firstRowStripe" dxfId="38"/>
      <tableStyleElement type="secondRowStripe" dxfId="37"/>
    </tableStyle>
    <tableStyle name="EU BANK 31DEC2023-style 2" pivot="0" count="3" xr9:uid="{6115C0E3-D128-4BF0-A20C-C4362CBD93FE}">
      <tableStyleElement type="headerRow" dxfId="36"/>
      <tableStyleElement type="firstRowStripe" dxfId="35"/>
      <tableStyleElement type="secondRowStripe" dxfId="34"/>
    </tableStyle>
    <tableStyle name="EU BANK 30NOV2023-style" pivot="0" count="3" xr9:uid="{1B26DACA-705B-4A99-B740-F119697FE7FB}">
      <tableStyleElement type="headerRow" dxfId="33"/>
      <tableStyleElement type="firstRowStripe" dxfId="32"/>
      <tableStyleElement type="secondRowStripe" dxfId="31"/>
    </tableStyle>
    <tableStyle name="EU BANK 30NOV2023-style 2" pivot="0" count="3" xr9:uid="{B72830E5-FD5A-4256-9E6F-276C901A3CD5}">
      <tableStyleElement type="headerRow" dxfId="30"/>
      <tableStyleElement type="firstRowStripe" dxfId="29"/>
      <tableStyleElement type="secondRowStripe" dxfId="28"/>
    </tableStyle>
    <tableStyle name="EU BANK 31OCT2023-style" pivot="0" count="3" xr9:uid="{03E040D0-A4C0-4C0C-B34E-EC07CD45F3C2}">
      <tableStyleElement type="headerRow" dxfId="27"/>
      <tableStyleElement type="firstRowStripe" dxfId="26"/>
      <tableStyleElement type="secondRowStripe" dxfId="25"/>
    </tableStyle>
    <tableStyle name="EU BANK 31OCT2023-style 2" pivot="0" count="3" xr9:uid="{805CDF03-D739-4F3C-A843-386492416C04}">
      <tableStyleElement type="headerRow" dxfId="24"/>
      <tableStyleElement type="firstRowStripe" dxfId="23"/>
      <tableStyleElement type="secondRowStripe" dxfId="22"/>
    </tableStyle>
    <tableStyle name="EU BANK 30SEP2023-style" pivot="0" count="3" xr9:uid="{F9895F01-187C-4E06-A3E1-FD370C862604}">
      <tableStyleElement type="headerRow" dxfId="21"/>
      <tableStyleElement type="firstRowStripe" dxfId="20"/>
      <tableStyleElement type="secondRowStripe" dxfId="19"/>
    </tableStyle>
    <tableStyle name="EU BANK 30SEP2023-style 2" pivot="0" count="3" xr9:uid="{DA7CA990-4446-462D-8A07-D7637A6230A8}">
      <tableStyleElement type="headerRow" dxfId="18"/>
      <tableStyleElement type="firstRowStripe" dxfId="17"/>
      <tableStyleElement type="secondRowStripe" dxfId="16"/>
    </tableStyle>
    <tableStyle name="EU BANK 31AUG2023-style" pivot="0" count="3" xr9:uid="{2185E34F-17C3-4D1E-BD9E-0BDBECD1C4A6}">
      <tableStyleElement type="headerRow" dxfId="15"/>
      <tableStyleElement type="firstRowStripe" dxfId="14"/>
      <tableStyleElement type="secondRowStripe" dxfId="13"/>
    </tableStyle>
    <tableStyle name="EU BANK 31AUG2023-style 2" pivot="0" count="3" xr9:uid="{9EC8A158-96BC-4E3C-90AD-DC9E9C52B45E}"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pivotCacheDefinition" Target="pivotCache/pivotCacheDefinition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Ferrauti" refreshedDate="46101.745469328707" createdVersion="8" refreshedVersion="8" minRefreshableVersion="3" recordCount="30" xr:uid="{5B8AB4C4-4B20-470E-A52A-B8711B2BF2E4}">
  <cacheSource type="worksheet">
    <worksheetSource ref="A2:BP32" sheet="Salesforce"/>
  </cacheSource>
  <cacheFields count="68">
    <cacheField name="Publisher PO ID" numFmtId="0">
      <sharedItems/>
    </cacheField>
    <cacheField name="Year" numFmtId="0">
      <sharedItems/>
    </cacheField>
    <cacheField name="Line Month" numFmtId="0">
      <sharedItems/>
    </cacheField>
    <cacheField name="Posting Period" numFmtId="0">
      <sharedItems/>
    </cacheField>
    <cacheField name="Finance Date" numFmtId="0">
      <sharedItems/>
    </cacheField>
    <cacheField name="Salesforce Project Number" numFmtId="0">
      <sharedItems count="106">
        <s v="00270878"/>
        <s v="00295095"/>
        <s v="00314444"/>
        <s v="00324625"/>
        <s v="00324209"/>
        <s v="00326088"/>
        <s v="00326928"/>
        <s v="00327579"/>
        <s v="00327580"/>
        <s v="00327581"/>
        <s v="00327582"/>
        <s v="00327584"/>
        <s v="00328599"/>
        <s v="00329429"/>
        <s v="00330128"/>
        <s v="00330129"/>
        <s v="00330147"/>
        <s v="00330819"/>
        <s v="00331504"/>
        <s v="00331503"/>
        <s v="00332895"/>
        <s v="00331315"/>
        <s v="00265916"/>
        <s v="00289572"/>
        <s v="00240205"/>
        <s v="00246193"/>
        <s v="00240223"/>
        <s v="00323897"/>
        <s v="00327517"/>
        <s v="00328627"/>
        <s v="00303820" u="1"/>
        <s v="00291791" u="1"/>
        <s v="00320319" u="1"/>
        <s v="00326645" u="1"/>
        <s v="00326648" u="1"/>
        <s v="00316300" u="1"/>
        <s v="00301813" u="1"/>
        <s v="00301814" u="1"/>
        <s v="00301812" u="1"/>
        <s v="00309937" u="1"/>
        <s v="00309938" u="1"/>
        <s v="00311787" u="1"/>
        <s v="00323733" u="1"/>
        <s v="00323728" u="1"/>
        <s v="00323729" u="1"/>
        <s v="00323730" u="1"/>
        <s v="00323731" u="1"/>
        <s v="00323732" u="1"/>
        <s v="00324326" u="1"/>
        <s v="00324627" u="1"/>
        <s v="00326084" u="1"/>
        <s v="00327318" u="1"/>
        <s v="00327317" u="1"/>
        <s v="00328022" u="1"/>
        <s v="00326419" u="1"/>
        <s v="00326421" u="1"/>
        <s v="00326435" u="1"/>
        <s v="00326441" u="1"/>
        <s v="00326635" u="1"/>
        <s v="00326641" u="1"/>
        <s v="00327224" u="1"/>
        <s v="00291484" u="1"/>
        <s v="00302698" u="1"/>
        <s v="00325188" u="1"/>
        <s v="00325189" u="1"/>
        <s v="00325191" u="1"/>
        <s v="00325195" u="1"/>
        <s v="00325213" u="1"/>
        <s v="00326095" u="1"/>
        <s v="00326097" u="1"/>
        <s v="00326666" u="1"/>
        <s v="00326670" u="1"/>
        <s v="00326805" u="1"/>
        <s v="00326801" u="1"/>
        <s v="00326804" u="1"/>
        <s v="00327545" u="1"/>
        <s v="00327546" u="1"/>
        <s v="00328426" u="1"/>
        <s v="00265917" u="1"/>
        <s v="00283308" u="1"/>
        <s v="00265915" u="1"/>
        <s v="00247503" u="1"/>
        <s v="00270881" u="1"/>
        <s v="00267836" u="1"/>
        <s v="00268820" u="1"/>
        <s v="00241937" u="1"/>
        <s v="00268824" u="1"/>
        <s v="00296251" u="1"/>
        <s v="00302845" u="1"/>
        <s v="00303696" u="1"/>
        <s v="00303695" u="1"/>
        <s v="00303169" u="1"/>
        <s v="00314451" u="1"/>
        <s v="00322734" u="1"/>
        <s v="00323330" u="1"/>
        <s v="00323339" u="1"/>
        <s v="00323906" u="1"/>
        <s v="00323933" u="1"/>
        <s v="00324039" u="1"/>
        <s v="00324040" u="1"/>
        <s v="00324341" u="1"/>
        <s v="00325989" u="1"/>
        <s v="00326018" u="1"/>
        <s v="00326080" u="1"/>
        <s v="00318793" u="1"/>
        <s v="00326690" u="1"/>
      </sharedItems>
    </cacheField>
    <cacheField name="Line ID" numFmtId="0">
      <sharedItems/>
    </cacheField>
    <cacheField name="Project : Opportunity : Aleph Campaign ID" numFmtId="0">
      <sharedItems/>
    </cacheField>
    <cacheField name="Line Product Number" numFmtId="0">
      <sharedItems/>
    </cacheField>
    <cacheField name="Type of Line" numFmtId="0">
      <sharedItems count="2">
        <s v="Standard"/>
        <s v="Adjustment" u="1"/>
      </sharedItems>
    </cacheField>
    <cacheField name="Status" numFmtId="0">
      <sharedItems/>
    </cacheField>
    <cacheField name="Order Line Status" numFmtId="0">
      <sharedItems/>
    </cacheField>
    <cacheField name="Company Name (Know as + Country)" numFmtId="0">
      <sharedItems/>
    </cacheField>
    <cacheField name="Company To Invoice Legal Name" numFmtId="0">
      <sharedItems/>
    </cacheField>
    <cacheField name="Vendor" numFmtId="0">
      <sharedItems/>
    </cacheField>
    <cacheField name="Product Business Unit" numFmtId="0">
      <sharedItems/>
    </cacheField>
    <cacheField name="Reporting Country" numFmtId="0">
      <sharedItems/>
    </cacheField>
    <cacheField name="Billing Country" numFmtId="0">
      <sharedItems/>
    </cacheField>
    <cacheField name="Delivery Country" numFmtId="0">
      <sharedItems/>
    </cacheField>
    <cacheField name="Billing Entity" numFmtId="0">
      <sharedItems/>
    </cacheField>
    <cacheField name="Purchase Country" numFmtId="0">
      <sharedItems/>
    </cacheField>
    <cacheField name="Product" numFmtId="0">
      <sharedItems/>
    </cacheField>
    <cacheField name="Sales UOM" numFmtId="0">
      <sharedItems/>
    </cacheField>
    <cacheField name="Purchase UOM" numFmtId="0">
      <sharedItems/>
    </cacheField>
    <cacheField name="Billing Currency" numFmtId="0">
      <sharedItems/>
    </cacheField>
    <cacheField name="Purchase Currency" numFmtId="0">
      <sharedItems/>
    </cacheField>
    <cacheField name="Publisher PO ID2" numFmtId="0">
      <sharedItems/>
    </cacheField>
    <cacheField name="Qualified Sales Quantity" numFmtId="0">
      <sharedItems containsSemiMixedTypes="0" containsString="0" containsNumber="1" minValue="180.05" maxValue="16105.49"/>
    </cacheField>
    <cacheField name="Qualified Purchase Quantity" numFmtId="0">
      <sharedItems containsSemiMixedTypes="0" containsString="0" containsNumber="1" minValue="180.05" maxValue="16105.49"/>
    </cacheField>
    <cacheField name="Gross Discounted" numFmtId="164">
      <sharedItems containsSemiMixedTypes="0" containsString="0" containsNumber="1" containsInteger="1" minValue="1" maxValue="1"/>
    </cacheField>
    <cacheField name="Gross Sales Price" numFmtId="164">
      <sharedItems containsSemiMixedTypes="0" containsString="0" containsNumber="1" containsInteger="1" minValue="1" maxValue="1"/>
    </cacheField>
    <cacheField name="Net Sales Price" numFmtId="164">
      <sharedItems containsSemiMixedTypes="0" containsString="0" containsNumber="1" containsInteger="1" minValue="1" maxValue="1"/>
    </cacheField>
    <cacheField name="Gross Purchase Price" numFmtId="0">
      <sharedItems containsSemiMixedTypes="0" containsString="0" containsNumber="1" minValue="0.85" maxValue="0.91"/>
    </cacheField>
    <cacheField name="Net Purchase Price" numFmtId="0">
      <sharedItems containsSemiMixedTypes="0" containsString="0" containsNumber="1" minValue="0.85" maxValue="1"/>
    </cacheField>
    <cacheField name="Client Discount" numFmtId="165">
      <sharedItems containsSemiMixedTypes="0" containsString="0" containsNumber="1" containsInteger="1" minValue="0" maxValue="0"/>
    </cacheField>
    <cacheField name="Agency Commission" numFmtId="0">
      <sharedItems containsNonDate="0" containsString="0" containsBlank="1"/>
    </cacheField>
    <cacheField name="Delivered Sales Quantity" numFmtId="0">
      <sharedItems containsSemiMixedTypes="0" containsString="0" containsNumber="1" minValue="180.05" maxValue="16105.49"/>
    </cacheField>
    <cacheField name="Delivered Purchase Quantity" numFmtId="0">
      <sharedItems containsSemiMixedTypes="0" containsString="0" containsNumber="1" minValue="180.05" maxValue="16105.49"/>
    </cacheField>
    <cacheField name="Net Budget Delivered (Billing Currency)" numFmtId="4">
      <sharedItems containsSemiMixedTypes="0" containsString="0" containsNumber="1" minValue="180.05" maxValue="7953137.5"/>
    </cacheField>
    <cacheField name="Net Cost Delivered (Buying Currency)" numFmtId="4">
      <sharedItems containsSemiMixedTypes="0" containsString="0" containsNumber="1" minValue="180.05" maxValue="16105.49"/>
    </cacheField>
    <cacheField name="Net Cost Delivered w/o Tax (Buying Curr)" numFmtId="0">
      <sharedItems containsSemiMixedTypes="0" containsString="0" containsNumber="1" minValue="180.05" maxValue="16105.49"/>
    </cacheField>
    <cacheField name="Activation Exchange Rate" numFmtId="0">
      <sharedItems containsString="0" containsBlank="1" containsNumber="1" containsInteger="1" minValue="3850" maxValue="3850"/>
    </cacheField>
    <cacheField name="Total Net Budget (Delivered) (converted)" numFmtId="164">
      <sharedItems containsSemiMixedTypes="0" containsString="0" containsNumber="1" minValue="180.05" maxValue="78847.45"/>
    </cacheField>
    <cacheField name="Total Net Cost (Delivered) (converted)" numFmtId="164">
      <sharedItems containsSemiMixedTypes="0" containsString="0" containsNumber="1" minValue="180.05" maxValue="16105.49"/>
    </cacheField>
    <cacheField name="Margin Delivered (Billing Currency)" numFmtId="0">
      <sharedItems containsSemiMixedTypes="0" containsString="0" containsNumber="1" minValue="0" maxValue="172903.27499999999"/>
    </cacheField>
    <cacheField name="Margin Amount (Delivered)" numFmtId="164">
      <sharedItems containsSemiMixedTypes="0" containsString="0" containsNumber="1" minValue="0" maxValue="39.863999999999997"/>
    </cacheField>
    <cacheField name="Margin Amount (Delivered) (converted)" numFmtId="164">
      <sharedItems containsSemiMixedTypes="0" containsString="0" containsNumber="1" minValue="0" maxValue="39.863999999999997"/>
    </cacheField>
    <cacheField name="Margin % (Delivered)" numFmtId="165">
      <sharedItems containsSemiMixedTypes="0" containsString="0" containsNumber="1" minValue="0" maxValue="0.15"/>
    </cacheField>
    <cacheField name="Sales Order Number" numFmtId="0">
      <sharedItems/>
    </cacheField>
    <cacheField name="SO Status" numFmtId="0">
      <sharedItems/>
    </cacheField>
    <cacheField name="Purchase Order Number" numFmtId="0">
      <sharedItems/>
    </cacheField>
    <cacheField name="PO Status" numFmtId="0">
      <sharedItems/>
    </cacheField>
    <cacheField name="Invoice Description" numFmtId="0">
      <sharedItems containsNonDate="0" containsString="0" containsBlank="1"/>
    </cacheField>
    <cacheField name="Line Description" numFmtId="0">
      <sharedItems/>
    </cacheField>
    <cacheField name="Purchase Entity" numFmtId="0">
      <sharedItems/>
    </cacheField>
    <cacheField name="Billing Exchange Rate" numFmtId="0">
      <sharedItems containsSemiMixedTypes="0" containsString="0" containsNumber="1" minValue="1" maxValue="3766.3"/>
    </cacheField>
    <cacheField name="Project Name" numFmtId="0">
      <sharedItems/>
    </cacheField>
    <cacheField name="Company to invoice" numFmtId="0">
      <sharedItems/>
    </cacheField>
    <cacheField name="Company To Invoice Tax Id" numFmtId="0">
      <sharedItems/>
    </cacheField>
    <cacheField name="Sales Manager" numFmtId="0">
      <sharedItems/>
    </cacheField>
    <cacheField name="Trade Deal" numFmtId="0">
      <sharedItems count="1">
        <s v=""/>
      </sharedItems>
    </cacheField>
    <cacheField name="Branding/Performance" numFmtId="0">
      <sharedItems/>
    </cacheField>
    <cacheField name="Sales Channel" numFmtId="0">
      <sharedItems/>
    </cacheField>
    <cacheField name="End Date" numFmtId="0">
      <sharedItems/>
    </cacheField>
    <cacheField name="Project : Company to invoice : Payment condition" numFmtId="0">
      <sharedItems/>
    </cacheField>
    <cacheField name="Branding/Performance2" numFmtId="0">
      <sharedItems containsNonDate="0" containsString="0" containsBlank="1"/>
    </cacheField>
    <cacheField name="Sales Channel2" numFmtId="0">
      <sharedItems containsSemiMixedTypes="0" containsString="0" containsNumber="1" containsInteger="1" minValue="1" maxValue="28"/>
    </cacheField>
    <cacheField name="Status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Ferrauti" refreshedDate="46101.751771643518" createdVersion="8" refreshedVersion="8" minRefreshableVersion="3" recordCount="28" xr:uid="{366B48C5-E367-499E-9915-11FE57DFFEAE}">
  <cacheSource type="worksheet">
    <worksheetSource ref="A1:U29" sheet="Criteo Report"/>
  </cacheSource>
  <cacheFields count="21">
    <cacheField name="Off.Doc.Number" numFmtId="0">
      <sharedItems/>
    </cacheField>
    <cacheField name="Document Type" numFmtId="0">
      <sharedItems/>
    </cacheField>
    <cacheField name="Document date" numFmtId="14">
      <sharedItems containsSemiMixedTypes="0" containsNonDate="0" containsDate="1" containsString="0" minDate="2026-02-28T00:00:00" maxDate="2026-03-01T00:00:00"/>
    </cacheField>
    <cacheField name="Bill Start" numFmtId="14">
      <sharedItems containsSemiMixedTypes="0" containsNonDate="0" containsDate="1" containsString="0" minDate="2026-02-01T00:00:00" maxDate="2026-02-28T00:00:00"/>
    </cacheField>
    <cacheField name="Bill To" numFmtId="14">
      <sharedItems containsSemiMixedTypes="0" containsNonDate="0" containsDate="1" containsString="0" minDate="2026-02-01T00:00:00" maxDate="2026-03-01T00:00:00"/>
    </cacheField>
    <cacheField name="Bill Type" numFmtId="0">
      <sharedItems/>
    </cacheField>
    <cacheField name="Bill Status" numFmtId="0">
      <sharedItems/>
    </cacheField>
    <cacheField name="Advertiser Country" numFmtId="0">
      <sharedItems/>
    </cacheField>
    <cacheField name="Advertiser ID" numFmtId="0">
      <sharedItems containsMixedTypes="1" containsNumber="1" containsInteger="1" minValue="4941" maxValue="119061" count="143">
        <s v="31764"/>
        <s v="120332"/>
        <s v="98889"/>
        <s v="110594"/>
        <s v="107799"/>
        <s v="107434"/>
        <s v="106852"/>
        <s v="114667"/>
        <s v="115210"/>
        <s v="116497"/>
        <s v="103986"/>
        <s v="116982"/>
        <s v="117067"/>
        <s v="118854"/>
        <s v="119907"/>
        <s v="99591"/>
        <s v="94854"/>
        <s v="74346"/>
        <s v="73548"/>
        <s v="63589"/>
        <s v="59227"/>
        <s v="55367"/>
        <s v="120258"/>
        <s v="120764"/>
        <s v="29652"/>
        <s v="39798"/>
        <s v="41643"/>
        <s v="44368"/>
        <n v="21867" u="1"/>
        <n v="24439" u="1"/>
        <n v="24438" u="1"/>
        <n v="19950" u="1"/>
        <n v="17741" u="1"/>
        <n v="88473" u="1"/>
        <n v="118510" u="1"/>
        <n v="75639" u="1"/>
        <n v="118465" u="1"/>
        <n v="62125" u="1"/>
        <n v="117742" u="1"/>
        <n v="57692" u="1"/>
        <n v="55183" u="1"/>
        <n v="117469" u="1"/>
        <n v="4941" u="1"/>
        <n v="117353" u="1"/>
        <n v="115329" u="1"/>
        <n v="36112" u="1"/>
        <n v="31764" u="1"/>
        <n v="31763" u="1"/>
        <n v="115151" u="1"/>
        <n v="109836" u="1"/>
        <n v="90576" u="1"/>
        <n v="88822" u="1"/>
        <n v="31762" u="1"/>
        <n v="31276" u="1"/>
        <n v="26646" u="1"/>
        <n v="26531" u="1"/>
        <n v="72193" u="1"/>
        <n v="69172" u="1"/>
        <n v="49136" u="1"/>
        <n v="103034" u="1"/>
        <n v="103028" u="1"/>
        <n v="98890" u="1"/>
        <n v="98889" u="1"/>
        <n v="98888" u="1"/>
        <n v="47380" u="1"/>
        <n v="44025" u="1"/>
        <n v="41197" u="1"/>
        <n v="41051" u="1"/>
        <n v="118622" u="1"/>
        <n v="115741" u="1"/>
        <n v="110436" u="1"/>
        <n v="101280" u="1"/>
        <n v="53204" u="1"/>
        <n v="55367" u="1"/>
        <n v="56041" u="1"/>
        <n v="59227" u="1"/>
        <n v="99592" u="1"/>
        <n v="99591" u="1"/>
        <n v="94854" u="1"/>
        <n v="89466" u="1"/>
        <n v="89465" u="1"/>
        <n v="79022" u="1"/>
        <n v="74346" u="1"/>
        <n v="73548" u="1"/>
        <n v="71487" u="1"/>
        <n v="64693" u="1"/>
        <n v="63589" u="1"/>
        <n v="117095" u="1"/>
        <n v="117067" u="1"/>
        <n v="116982" u="1"/>
        <n v="116497" u="1"/>
        <n v="114987" u="1"/>
        <n v="114667" u="1"/>
        <n v="107992" u="1"/>
        <n v="107799" u="1"/>
        <n v="107434" u="1"/>
        <n v="103986" u="1"/>
        <n v="103105" u="1"/>
        <n v="118023" u="1"/>
        <n v="118168" u="1"/>
        <n v="118256" u="1"/>
        <n v="118546" u="1"/>
        <n v="118854" u="1"/>
        <n v="119061" u="1"/>
        <n v="29652" u="1"/>
        <n v="39798" u="1"/>
        <n v="41643" u="1"/>
        <n v="86958" u="1"/>
        <n v="108419" u="1"/>
        <n v="108142" u="1"/>
        <n v="86957" u="1"/>
        <n v="83379" u="1"/>
        <n v="55347" u="1"/>
        <n v="54822" u="1"/>
        <n v="5300" u="1"/>
        <n v="52172" u="1"/>
        <n v="37961" u="1"/>
        <n v="35231" u="1"/>
        <n v="27737" u="1"/>
        <n v="26457" u="1"/>
        <n v="23120" u="1"/>
        <n v="14138" u="1"/>
        <n v="118655" u="1"/>
        <n v="117859" u="1"/>
        <n v="115408" u="1"/>
        <n v="115294" u="1"/>
        <n v="115293" u="1"/>
        <n v="109858" u="1"/>
        <n v="109973" u="1"/>
        <n v="109857" u="1"/>
        <n v="11354" u="1"/>
        <n v="115285" u="1"/>
        <n v="87452" u="1"/>
        <n v="87519" u="1"/>
        <n v="88160" u="1"/>
        <n v="96692" u="1"/>
        <n v="109856" u="1"/>
        <n v="94572" u="1"/>
        <n v="90673" u="1"/>
        <n v="62836" u="1"/>
        <n v="56334" u="1"/>
        <n v="117410" u="1"/>
        <n v="118620" u="1"/>
      </sharedItems>
    </cacheField>
    <cacheField name="Advertiser name" numFmtId="0">
      <sharedItems count="127">
        <s v="Sony Store PE"/>
        <s v="Velez PE"/>
        <s v="Arajet PE"/>
        <s v="DIVEMOTOR PE"/>
        <s v="Nexo Inmobiliario PE"/>
        <s v="BANCO BBVA PERU"/>
        <s v="MAKRO PE"/>
        <s v="UCSUR PE"/>
        <s v="TIENDAS MASS PE"/>
        <s v="PC FACTORY PE"/>
        <s v="Casa Andina PE"/>
        <s v="Financiera Oh PE"/>
        <s v="APUESTA TOTAL PE"/>
        <s v="Oncosalud PE"/>
        <s v="SISE PE"/>
        <s v="USMP PE"/>
        <s v="Hiraoka PE"/>
        <s v="Pacifico Seguros PE"/>
        <s v="Joinn Us PE"/>
        <s v="Estilos PE"/>
        <s v="Interseguro PE"/>
        <s v="Plaza Vea PE"/>
        <s v="Pepsico PE"/>
        <s v="Natura PE"/>
        <s v="Interbank PE"/>
        <s v="Promart PE"/>
        <s v="Oechsle PE"/>
        <s v="BCP PE"/>
        <s v="Arturo Calle CO" u="1"/>
        <s v="Buscalibre CO" u="1"/>
        <s v="Maaji US" u="1"/>
        <s v="Buscalibre MX" u="1"/>
        <s v="Nike CO" u="1"/>
        <s v="ATMOS CO" u="1"/>
        <s v="Ostu CO" u="1"/>
        <s v="Virgin Mobile MX" u="1"/>
        <s v="Dislicores CO" u="1"/>
        <s v="STIRPE CO" u="1"/>
        <s v="Pilatos CO" u="1"/>
        <s v="BUSCALIBRE USA" u="1"/>
        <s v="Mario Hernandez CO" u="1"/>
        <s v="Dafiti CO" u="1"/>
        <s v="Sony Store EC" u="1"/>
        <s v="Sony Store CL" u="1"/>
        <s v="Sony Store AR" u="1"/>
        <s v="Sony Store MX" u="1"/>
        <s v="Easy CO" u="1"/>
        <s v="Under Armour MX" u="1"/>
        <s v="PatPrimo CO" u="1"/>
        <s v="Seven Seven CO" u="1"/>
        <s v="Buscalibre CL" u="1"/>
        <s v="Jumbo CO" u="1"/>
        <s v="Sam's Club MXN" u="1"/>
        <s v="Walmart MXN" u="1"/>
        <s v="Privalia MX (MXN)" u="1"/>
        <s v="SAMSUNG MXN" u="1"/>
        <s v="Nike MX" u="1"/>
        <s v="Arajet CL" u="1"/>
        <s v="Arajet US" u="1"/>
        <s v="Arajet Centro América" u="1"/>
        <s v="Arajet AR" u="1"/>
        <s v="JBL AR" u="1"/>
        <s v="Natura AR" u="1"/>
        <s v="Renova Tu Vestidor AR" u="1"/>
        <s v="Renueva Tu Closet CL" u="1"/>
        <s v="Argenprop AR" u="1"/>
        <s v="Arajet CO" u="1"/>
        <s v="Arajet MX" u="1"/>
        <s v="UDLA EC" u="1"/>
        <s v="Novex CR" u="1"/>
        <s v="UDEM MX" u="1"/>
        <s v="Anahuac MX" u="1"/>
        <s v="Novex GT" u="1"/>
        <s v="iCon CR" u="1"/>
        <s v="Tiendamia UY" u="1"/>
        <s v="Amorossa DO" u="1"/>
        <s v="TiendaMIA AR" u="1"/>
        <s v="Almacenes Vidri ELS" u="1"/>
        <s v="Moon Palace The Grand US" u="1"/>
        <s v="Moon Palace Cancun US" u="1"/>
        <s v="American Eagle MX" u="1"/>
        <s v="BITSO MX" u="1"/>
        <s v="Moon Palace Jamaica US" u="1"/>
        <s v="Innvictus MX" u="1"/>
        <s v="Innovasport MX" u="1"/>
        <s v="Cozumel Palace" u="1"/>
        <s v="Sun Palace" u="1"/>
        <s v="Inmuebles24 MX" u="1"/>
        <s v="CABO GARZA BLANCA US" u="1"/>
        <s v="CANCUN GARZA BLANCA US" u="1"/>
        <s v="Puerto Vallarta GARZA BLANCA US" u="1"/>
        <s v="Abea MX" u="1"/>
        <s v="Marsbet MX" u="1"/>
        <s v="Puerto Vallarta HOTEL MOUSAI US" u="1"/>
        <s v="Le Blanc Los Cabos" u="1"/>
        <s v="Abasteo MX" u="1"/>
        <s v="KUESKI MX" u="1"/>
        <s v="Luuna" u="1"/>
        <s v="Home Depot MX" u="1"/>
        <s v="Cimaco" u="1"/>
        <s v="Le Blanc Cancún" u="1"/>
        <s v="Sorteos Tec MX" u="1"/>
        <s v="Shasa MX" u="1"/>
        <s v="Cyberpuerta MX" u="1"/>
        <s v="PayClip MX" u="1"/>
        <s v="Villa de Palmar Cancún US" u="1"/>
        <s v="The Excellence Collection" u="1"/>
        <s v="Unimart CR" u="1"/>
        <s v="LATAM CL" u="1"/>
        <s v="Kitchen Center CL" u="1"/>
        <s v="Arajet CA" u="1"/>
        <s v="Banco Guayaquil EC" u="1"/>
        <s v="Paris CL" u="1"/>
        <s v="Natura CO" u="1"/>
        <s v="Tienda Movistar CO" u="1"/>
        <s v="Casa Andina CL" u="1"/>
        <s v="Magitech PE" u="1"/>
        <s v="Walmart CR" u="1"/>
        <s v="Walmart GT" u="1"/>
        <s v="Natura MX" u="1"/>
        <s v="TE APUESTO PE" u="1"/>
        <s v="ARUMA PE" u="1"/>
        <s v="Primax PE" u="1"/>
        <s v="Perfumerias Unidas PE" u="1"/>
        <s v="UPN PE" u="1"/>
        <s v="Baglioni Hotels US" u="1"/>
        <s v="AeroMexico ES" u="1"/>
      </sharedItems>
    </cacheField>
    <cacheField name="Reversal Reason" numFmtId="0">
      <sharedItems/>
    </cacheField>
    <cacheField name="Criteo company code" numFmtId="0">
      <sharedItems/>
    </cacheField>
    <cacheField name="Criteo company" numFmtId="0">
      <sharedItems/>
    </cacheField>
    <cacheField name="BP" numFmtId="0">
      <sharedItems containsSemiMixedTypes="0" containsString="0" containsNumber="1" containsInteger="1" minValue="2100001461" maxValue="2100001966"/>
    </cacheField>
    <cacheField name="BP Name" numFmtId="0">
      <sharedItems/>
    </cacheField>
    <cacheField name="Brand Name" numFmtId="0">
      <sharedItems/>
    </cacheField>
    <cacheField name="BP Country" numFmtId="0">
      <sharedItems/>
    </cacheField>
    <cacheField name="Currency" numFmtId="0">
      <sharedItems count="3">
        <s v="USD"/>
        <s v="MXN" u="1"/>
        <s v="EUR" u="1"/>
      </sharedItems>
    </cacheField>
    <cacheField name="Gross amount" numFmtId="4">
      <sharedItems containsSemiMixedTypes="0" containsString="0" containsNumber="1" minValue="0.05" maxValue="16105.49"/>
    </cacheField>
    <cacheField name="Net amount" numFmtId="4">
      <sharedItems containsSemiMixedTypes="0" containsString="0" containsNumber="1" minValue="0.05" maxValue="16105.49"/>
    </cacheField>
    <cacheField name="Tax amount" numFmtId="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Ferrauti" refreshedDate="46101.759003356485" createdVersion="8" refreshedVersion="8" minRefreshableVersion="3" recordCount="30" xr:uid="{D3DED502-AD74-4CC4-8B07-E07BEA8BC1D2}">
  <cacheSource type="worksheet">
    <worksheetSource ref="B2:BP32" sheet="Salesforce"/>
  </cacheSource>
  <cacheFields count="67">
    <cacheField name="Year" numFmtId="0">
      <sharedItems/>
    </cacheField>
    <cacheField name="Line Month" numFmtId="0">
      <sharedItems/>
    </cacheField>
    <cacheField name="Posting Period" numFmtId="0">
      <sharedItems/>
    </cacheField>
    <cacheField name="Finance Date" numFmtId="0">
      <sharedItems/>
    </cacheField>
    <cacheField name="Salesforce Project Number" numFmtId="0">
      <sharedItems count="86">
        <s v="00270878"/>
        <s v="00295095"/>
        <s v="00314444"/>
        <s v="00324625"/>
        <s v="00324209"/>
        <s v="00326088"/>
        <s v="00326928"/>
        <s v="00327579"/>
        <s v="00327580"/>
        <s v="00327581"/>
        <s v="00327582"/>
        <s v="00327584"/>
        <s v="00328599"/>
        <s v="00329429"/>
        <s v="00330128"/>
        <s v="00330129"/>
        <s v="00330147"/>
        <s v="00330819"/>
        <s v="00331504"/>
        <s v="00331503"/>
        <s v="00332895"/>
        <s v="00331315"/>
        <s v="00265916"/>
        <s v="00289572"/>
        <s v="00240205"/>
        <s v="00246193"/>
        <s v="00240223"/>
        <s v="00323897"/>
        <s v="00327517"/>
        <s v="00328627"/>
        <s v="00291791" u="1"/>
        <s v="00329929" u="1"/>
        <s v="00309938" u="1"/>
        <s v="00327788" u="1"/>
        <s v="00327789" u="1"/>
        <s v="00327990" u="1"/>
        <s v="00329932" u="1"/>
        <s v="00330149" u="1"/>
        <s v="00326695" u="1"/>
        <s v="00329419" u="1"/>
        <s v="00330319" u="1"/>
        <s v="00330317" u="1"/>
        <s v="00330321" u="1"/>
        <s v="00330329" u="1"/>
        <s v="00330834" u="1"/>
        <s v="00331120" u="1"/>
        <s v="00331629" u="1"/>
        <s v="00291484" u="1"/>
        <s v="00302698" u="1"/>
        <s v="00329452" u="1"/>
        <s v="00329622" u="1"/>
        <s v="00329661" u="1"/>
        <s v="00329660" u="1"/>
        <s v="00329662" u="1"/>
        <s v="00329722" u="1"/>
        <s v="00329725" u="1"/>
        <s v="00329728" u="1"/>
        <s v="00330334" u="1"/>
        <s v="00330337" u="1"/>
        <s v="00330338" u="1"/>
        <s v="00331505" u="1"/>
        <s v="00331884" u="1"/>
        <s v="00331963" u="1"/>
        <s v="00332223" u="1"/>
        <s v="00265917" u="1"/>
        <s v="00283308" u="1"/>
        <s v="00265915" u="1"/>
        <s v="00267836" u="1"/>
        <s v="00268820" u="1"/>
        <s v="00296251" u="1"/>
        <s v="00241937" u="1"/>
        <s v="00268824" u="1"/>
        <s v="00302845" u="1"/>
        <s v="00303696" u="1"/>
        <s v="00303695" u="1"/>
        <s v="00303169" u="1"/>
        <s v="00326457" u="1"/>
        <s v="00326661" u="1"/>
        <s v="00327514" u="1"/>
        <s v="00327519" u="1"/>
        <s v="00327532" u="1"/>
        <s v="00327533" u="1"/>
        <s v="00328442" u="1"/>
        <s v="00328750" u="1"/>
        <s v="00327756" u="1"/>
        <s v="00330333" u="1"/>
      </sharedItems>
    </cacheField>
    <cacheField name="Line ID" numFmtId="0">
      <sharedItems/>
    </cacheField>
    <cacheField name="Project : Opportunity : Aleph Campaign ID" numFmtId="0">
      <sharedItems/>
    </cacheField>
    <cacheField name="Line Product Number" numFmtId="0">
      <sharedItems/>
    </cacheField>
    <cacheField name="Type of Line" numFmtId="0">
      <sharedItems count="1">
        <s v="Standard"/>
      </sharedItems>
    </cacheField>
    <cacheField name="Status" numFmtId="0">
      <sharedItems/>
    </cacheField>
    <cacheField name="Order Line Status" numFmtId="0">
      <sharedItems/>
    </cacheField>
    <cacheField name="Company Name (Know as + Country)" numFmtId="0">
      <sharedItems/>
    </cacheField>
    <cacheField name="Company To Invoice Legal Name" numFmtId="0">
      <sharedItems count="67">
        <s v="JOINNUS SAC"/>
        <s v="Media Analytics S.A.C."/>
        <s v="COMPAÑIA HARD DISCOUNT S.A.C."/>
        <s v="QUAL MEDIA S.A.C."/>
        <s v="ESTILOS S.R.L."/>
        <s v="Financiera Oh SA"/>
        <s v="IMPORTACIONES HIRAOKA S.A.C"/>
        <s v="BANCO INTERNACIONAL DEL PERU (Interbank)"/>
        <s v="HOMECENTERS PERUANOS S.A."/>
        <s v="Makro Supermayorista SA"/>
        <s v="!X COMPAÑIA FOOD RETAIL S.A.C."/>
        <s v="BANCO BBVA PERÚ SA"/>
        <s v="TIENDAS PERUANAS SA"/>
        <s v="Attachmedia S.A.C."/>
        <s v="Especialidades Digitales Internacionales SAC"/>
        <s v="Arajet S.A."/>
        <s v="AP LATAM HOLDINGS, LLC"/>
        <s v="CONFEDERACION DE DESARROLLADORES INMOBILIARIOS DEL PERU- CODIP"/>
        <s v="NESSUS HOTELES PERU S.A."/>
        <s v="MEDIAWISE S.A.C"/>
        <s v="Group M Worldwide LLC DBA EssenceMediacom Miami"/>
        <s v="SISTEMAS COLOMBIA S A S"/>
        <s v="MERMAID BLISS INC." u="1"/>
        <s v="NOVEX, SOCIEDAD ANONIMA" u="1"/>
        <s v="Golden Link SRL" u="1"/>
        <s v="XIPRON, INC." u="1"/>
        <s v="SABESA S A DE C V SOCIEDAD ANONIMA" u="1"/>
        <s v="ALMACENES VIDRI S.A. DE C.V." u="1"/>
        <s v="PUNTO NET PUBLICIDAD SRL" u="1"/>
        <s v="HAVAS PLUS S.A." u="1"/>
        <s v="Renova tu Vestidor" u="1"/>
        <s v="RENOVA TU VESTIDOR SPA" u="1"/>
        <s v="Arte Grafico Editorial Argentino S.A." u="1"/>
        <s v="!X MOOVMEDIA GROUP SRL" u="1"/>
        <s v="Kickads SRL" u="1"/>
        <s v="STARCOM WORLDWIDE SA DE CV" u="1"/>
        <s v="MOOVMEDIA SPA" u="1"/>
        <s v="AMERICAN EAGLE MEXICO RETAIL" u="1"/>
        <s v="DRIDCO MEXICO SA DE CV" u="1"/>
        <s v="Compañía Comercial Cimaco" u="1"/>
        <s v="CYBERPUERTA SA DE CV" u="1"/>
        <s v="GRUPO RICORPE SA de CV" u="1"/>
        <s v="Nueva Walmart de México" u="1"/>
        <s v="KUESKI, S.A.P.I. DE C.V. SOFOM, E.N.R." u="1"/>
        <s v="KSMV CAPITAL SAPI DE CV" u="1"/>
        <s v="PR Global Reservations LLC" u="1"/>
        <s v="PAYCLIP" u="1"/>
        <s v="Servicios Shasa S DE RL DE CV" u="1"/>
        <s v="ENSENANZA E INVESTIGACION SUPERIOR" u="1"/>
        <s v="AMERICAN SABIO LLC" u="1"/>
        <s v="BITSO SAPI de CV" u="1"/>
        <s v="ALKEMY LATAM S.A. DE C.V" u="1"/>
        <s v="PRIVALIA VENTA DIRECTA SA DE CV" u="1"/>
        <s v="INDUSTRIAS DE COMPUTACION NACIONAL SOCIEDAD ANONIMA" u="1"/>
        <s v="BAGUER S A S" u="1"/>
        <s v="P A S H SAS" u="1"/>
        <s v="BIGFOOT COLOMBIA SAS" u="1"/>
        <s v="DISTRIBUIDORA DE VINOS Y LICORES S.A.S." u="1"/>
        <s v="BUSCALIBRE S.A" u="1"/>
        <s v="ASYLUM MARKETING S A S" u="1"/>
        <s v="BUENTIPO INTERNACIONAL SA" u="1"/>
        <s v="DEEPLOY S A S" u="1"/>
        <s v="UNIVERSAL MCCAN SERVICIOS DE MEDIOS LTDA" u="1"/>
        <s v="Latam Digital Marketing Inc" u="1"/>
        <s v="ADSMURAI SAS" u="1"/>
        <s v="HOME DEPOT MEXICO" u="1"/>
        <s v="NIKE DE MEXICO S DE RL DE CV" u="1"/>
      </sharedItems>
    </cacheField>
    <cacheField name="Vendor" numFmtId="0">
      <sharedItems/>
    </cacheField>
    <cacheField name="Product Business Unit" numFmtId="0">
      <sharedItems/>
    </cacheField>
    <cacheField name="Reporting Country" numFmtId="0">
      <sharedItems/>
    </cacheField>
    <cacheField name="Billing Country" numFmtId="0">
      <sharedItems/>
    </cacheField>
    <cacheField name="Delivery Country" numFmtId="0">
      <sharedItems/>
    </cacheField>
    <cacheField name="Billing Entity" numFmtId="0">
      <sharedItems count="10">
        <s v="Aleph Peru"/>
        <s v="Aleph Spain"/>
        <s v="Aleph USA"/>
        <s v="Aleph Colombia"/>
        <s v="Aleph Guatemala" u="1"/>
        <s v="Entravision Costa Rica" u="1"/>
        <s v="Aleph Argentina" u="1"/>
        <s v="Aleph Chile" u="1"/>
        <s v="Aleph Mexico" u="1"/>
        <s v="Aleph Panama" u="1"/>
      </sharedItems>
    </cacheField>
    <cacheField name="Purchase Country" numFmtId="0">
      <sharedItems/>
    </cacheField>
    <cacheField name="Product" numFmtId="0">
      <sharedItems/>
    </cacheField>
    <cacheField name="Sales UOM" numFmtId="0">
      <sharedItems/>
    </cacheField>
    <cacheField name="Purchase UOM" numFmtId="0">
      <sharedItems/>
    </cacheField>
    <cacheField name="Billing Currency" numFmtId="0">
      <sharedItems count="5">
        <s v="USD"/>
        <s v="COP"/>
        <s v="ARS" u="1"/>
        <s v="CLP" u="1"/>
        <s v="MXN" u="1"/>
      </sharedItems>
    </cacheField>
    <cacheField name="Purchase Currency" numFmtId="0">
      <sharedItems/>
    </cacheField>
    <cacheField name="Publisher PO ID" numFmtId="0">
      <sharedItems/>
    </cacheField>
    <cacheField name="Qualified Sales Quantity" numFmtId="0">
      <sharedItems containsSemiMixedTypes="0" containsString="0" containsNumber="1" minValue="180.05" maxValue="16105.49"/>
    </cacheField>
    <cacheField name="Qualified Purchase Quantity" numFmtId="0">
      <sharedItems containsSemiMixedTypes="0" containsString="0" containsNumber="1" minValue="180.05" maxValue="16105.49"/>
    </cacheField>
    <cacheField name="Gross Discounted" numFmtId="164">
      <sharedItems containsSemiMixedTypes="0" containsString="0" containsNumber="1" containsInteger="1" minValue="1" maxValue="1"/>
    </cacheField>
    <cacheField name="Gross Sales Price" numFmtId="164">
      <sharedItems containsSemiMixedTypes="0" containsString="0" containsNumber="1" containsInteger="1" minValue="1" maxValue="1"/>
    </cacheField>
    <cacheField name="Net Sales Price" numFmtId="164">
      <sharedItems containsSemiMixedTypes="0" containsString="0" containsNumber="1" containsInteger="1" minValue="1" maxValue="1"/>
    </cacheField>
    <cacheField name="Gross Purchase Price" numFmtId="0">
      <sharedItems containsSemiMixedTypes="0" containsString="0" containsNumber="1" minValue="0.85" maxValue="0.91"/>
    </cacheField>
    <cacheField name="Net Purchase Price" numFmtId="0">
      <sharedItems containsSemiMixedTypes="0" containsString="0" containsNumber="1" minValue="0.85" maxValue="1"/>
    </cacheField>
    <cacheField name="Client Discount" numFmtId="165">
      <sharedItems containsSemiMixedTypes="0" containsString="0" containsNumber="1" containsInteger="1" minValue="0" maxValue="0"/>
    </cacheField>
    <cacheField name="Agency Commission" numFmtId="0">
      <sharedItems containsNonDate="0" containsString="0" containsBlank="1"/>
    </cacheField>
    <cacheField name="Delivered Sales Quantity" numFmtId="0">
      <sharedItems containsSemiMixedTypes="0" containsString="0" containsNumber="1" minValue="180.05" maxValue="16105.49"/>
    </cacheField>
    <cacheField name="Delivered Purchase Quantity" numFmtId="0">
      <sharedItems containsSemiMixedTypes="0" containsString="0" containsNumber="1" minValue="180.05" maxValue="16105.49"/>
    </cacheField>
    <cacheField name="Net Budget Delivered (Billing Currency)" numFmtId="4">
      <sharedItems containsSemiMixedTypes="0" containsString="0" containsNumber="1" minValue="180.05" maxValue="7953137.5"/>
    </cacheField>
    <cacheField name="Net Cost Delivered (Buying Currency)" numFmtId="4">
      <sharedItems containsSemiMixedTypes="0" containsString="0" containsNumber="1" minValue="180.05" maxValue="16105.49"/>
    </cacheField>
    <cacheField name="Net Cost Delivered w/o Tax (Buying Curr)" numFmtId="0">
      <sharedItems containsSemiMixedTypes="0" containsString="0" containsNumber="1" minValue="180.05" maxValue="16105.49"/>
    </cacheField>
    <cacheField name="Activation Exchange Rate" numFmtId="0">
      <sharedItems containsString="0" containsBlank="1" containsNumber="1" containsInteger="1" minValue="3850" maxValue="3850"/>
    </cacheField>
    <cacheField name="Total Net Budget (Delivered) (converted)" numFmtId="164">
      <sharedItems containsSemiMixedTypes="0" containsString="0" containsNumber="1" minValue="180.05" maxValue="78847.45"/>
    </cacheField>
    <cacheField name="Total Net Cost (Delivered) (converted)" numFmtId="164">
      <sharedItems containsSemiMixedTypes="0" containsString="0" containsNumber="1" minValue="180.05" maxValue="16105.49"/>
    </cacheField>
    <cacheField name="Margin Delivered (Billing Currency)" numFmtId="0">
      <sharedItems containsSemiMixedTypes="0" containsString="0" containsNumber="1" minValue="0" maxValue="172903.27499999999"/>
    </cacheField>
    <cacheField name="Margin Amount (Delivered)" numFmtId="164">
      <sharedItems containsSemiMixedTypes="0" containsString="0" containsNumber="1" minValue="0" maxValue="39.863999999999997"/>
    </cacheField>
    <cacheField name="Margin Amount (Delivered) (converted)" numFmtId="164">
      <sharedItems containsSemiMixedTypes="0" containsString="0" containsNumber="1" minValue="0" maxValue="39.863999999999997"/>
    </cacheField>
    <cacheField name="Margin % (Delivered)" numFmtId="165">
      <sharedItems containsSemiMixedTypes="0" containsString="0" containsNumber="1" minValue="0" maxValue="0.15"/>
    </cacheField>
    <cacheField name="Sales Order Number" numFmtId="0">
      <sharedItems containsBlank="1" count="87">
        <s v="SOIPE-000006663"/>
        <s v="SOIPE-000008334"/>
        <s v="SOIPE-000009862"/>
        <s v="SOIPE-000010175"/>
        <s v="SOIPE-000010171"/>
        <s v="SOIPE-000010268"/>
        <s v="SOIPE-000010176"/>
        <s v="SOIPE-000010270"/>
        <s v="SOIPE-000010269"/>
        <s v="SOIPE-000010266"/>
        <s v="SOIPE-000010265"/>
        <s v="SOIPE-000010277"/>
        <s v="SOIPE-000010267"/>
        <s v="SOIPE-000010278"/>
        <s v="SOIPE-000010276"/>
        <s v="SOIPE-000010274"/>
        <s v="SOIPE-000010275"/>
        <s v="SOIPE-000010273"/>
        <s v="SOIPE-000010271"/>
        <s v="SOIPE-000010272"/>
        <m/>
        <s v="SOIES-000001011"/>
        <s v="SOIUS-000002116"/>
        <s v="SOIPE-000007234"/>
        <s v="SOIPE-000003644"/>
        <s v="SOIPE-000003676"/>
        <s v="SOIPE-000003641"/>
        <s v="SOIPE-000010173"/>
        <s v="SOIUS-000002996"/>
        <s v="SOICO-000004001"/>
        <s v="SOIUS-000002520" u="1"/>
        <s v="2GT0000653" u="1"/>
        <s v="SOIES-000000799" u="1"/>
        <s v="SOIUS-000002993" u="1"/>
        <s v="SOIUS-000002999" u="1"/>
        <s v="SOIUS-000002998" u="1"/>
        <s v="1CR0000951" u="1"/>
        <s v="SOIES-000001012" u="1"/>
        <e v="#N/A" u="1"/>
        <s v="SOIAR-000015916" u="1"/>
        <s v="SOIAR-000017143" u="1"/>
        <s v="SOIAR-000017145" u="1"/>
        <s v="SOICH-000010155" u="1"/>
        <s v="SOIAR-000017142" u="1"/>
        <s v="1CR0000950" u="1"/>
        <s v="SOIAR-000017144" u="1"/>
        <s v="SOIME-000003567" u="1"/>
        <s v="SOICH-000010154" u="1"/>
        <s v="SOIME-000002747" u="1"/>
        <s v="SOIME-000002963" u="1"/>
        <s v="SOIME-000003562" u="1"/>
        <s v="SOIME-000003560" u="1"/>
        <s v="SOIME-000003557" u="1"/>
        <s v="SOIME-000003558" u="1"/>
        <s v="SOIME-000003563" u="1"/>
        <s v="SOIME-000003569" u="1"/>
        <s v="SOIME-000003566" u="1"/>
        <s v="SOIUS-000002994" u="1"/>
        <s v="SOIME-000003561" u="1"/>
        <s v="SOIME-000003559" u="1"/>
        <s v="SOIME-000003568" u="1"/>
        <s v="SOIUS-000002997" u="1"/>
        <s v="SOIME-000003564" u="1"/>
        <s v="SOIUS-000002995" u="1"/>
        <s v="SOIME-000003570" u="1"/>
        <s v="SOIUS-000002176" u="1"/>
        <s v="1CR0000236" u="1"/>
        <s v="SOIUS-000002115" u="1"/>
        <s v="SOICO-000002718" u="1"/>
        <s v="SOICO-000002876" u="1"/>
        <s v="SOICO-000003205" u="1"/>
        <s v="SOICO-000002293" u="1"/>
        <s v="SOICO-000002879" u="1"/>
        <s v="SOIUS-000002649" u="1"/>
        <s v="SOICO-000003450" u="1"/>
        <s v="SOICO-000003452" u="1"/>
        <s v="SOICH-000009290" u="1"/>
        <s v="SOICO-000003932" u="1"/>
        <s v="SOICO-000003850" u="1"/>
        <s v="SOIUS-000002992" u="1"/>
        <s v="SOICO-000004000" u="1"/>
        <s v="SOICO-000004003" u="1"/>
        <s v="SOICO-000004002" u="1"/>
        <s v="SOIPA-000002076" u="1"/>
        <s v="SOICO-000004004" u="1"/>
        <s v="SOIME-000003556" u="1"/>
        <s v="SOIME-000003565" u="1"/>
      </sharedItems>
    </cacheField>
    <cacheField name="SO Status" numFmtId="0">
      <sharedItems containsBlank="1"/>
    </cacheField>
    <cacheField name="Purchase Order Number" numFmtId="0">
      <sharedItems containsBlank="1"/>
    </cacheField>
    <cacheField name="PO Status" numFmtId="0">
      <sharedItems containsBlank="1"/>
    </cacheField>
    <cacheField name="Invoice Description" numFmtId="0">
      <sharedItems containsNonDate="0" containsString="0" containsBlank="1"/>
    </cacheField>
    <cacheField name="Line Description" numFmtId="0">
      <sharedItems/>
    </cacheField>
    <cacheField name="Purchase Entity" numFmtId="0">
      <sharedItems/>
    </cacheField>
    <cacheField name="Billing Exchange Rate" numFmtId="0">
      <sharedItems containsSemiMixedTypes="0" containsString="0" containsNumber="1" minValue="1" maxValue="3766.3" count="5">
        <n v="1"/>
        <n v="3766.3"/>
        <n v="1397" u="1"/>
        <n v="861.19" u="1"/>
        <n v="17.2563" u="1"/>
      </sharedItems>
    </cacheField>
    <cacheField name="Project Name" numFmtId="0">
      <sharedItems count="86">
        <s v="PE_JOINNUS_CRITEO_MAYO 2025"/>
        <s v="PE_CRITEO_PC FACTORY JULIO 2025"/>
        <s v="Criteo_NOV25_Oncosalud PE"/>
        <s v="PE_CRITEO_TIENDAS MASS_ENE 2026"/>
        <s v="PE - CRITEO - OMD - BCP - ENE - 2026"/>
        <s v="PE - CRITEO - OMD - PEPSICO - FEB &amp; MAR - 2026"/>
        <s v="PE_CRITEO_DIVEMOTOR ENE 2026"/>
        <s v="PE_CRITEO_ESTILOS_FEB 2026 PIPE"/>
        <s v="CRITEO_PE_FINANCIERA OH-FEB-2026"/>
        <s v="Criteo_FEB.2026_Hiraoka"/>
        <s v="PE_CRITEO_INTERBANK_FEB 2026 PIPE"/>
        <s v="PE_CRITEO_PROMART_2026_FE PIPE"/>
        <s v="PE_CRITEO_MAKRO_FEB 2026"/>
        <s v="PE_CRITEO_TIENDAS MASS_FEB 2026"/>
        <s v="PE_CRITEO_PLAZAVEA_2026_FEB PIPE"/>
        <s v="PE_CRITEO_BBVA_FEB_2026"/>
        <s v="PE_CRITEO_OECHSLE_2026_FEB PIPE"/>
        <s v="PE_Criteo__FEB 2026_APUESTA TOTAL_ATTACH P2"/>
        <s v="PE_CRITEO_PLAZAVEA_2026_FEB 2"/>
        <s v="PE_CRITEO_PROMART_2026_FEB 2"/>
        <s v="PE - CRITEO - HAVAS - NATURA - FEB y MAR - 2026"/>
        <s v="AR_CRITEO_ARAJET_FEB_2026"/>
        <s v="PE_USMP_CRITEO_MAYO 2025"/>
        <s v="PE_CRITEO_UCSUR_JUNIO 2025"/>
        <s v="PE_CRITEO_PACIFICO SEGUROS_2025_MAYO"/>
        <s v="PE_ASEI NEXO_CRITEO_ABRIL MAYO 2025"/>
        <s v="PE_CRITEO_CASA ANDINA_2025_MAYO"/>
        <s v="PE_SISE_CRITEO_ENE_26"/>
        <s v="COL_CRITEO_MEDIACOM MIAMI_SONY ALON_FEBRERO 2026"/>
        <s v="COL_CRITEO_ADBID_VELEZ PE_FEBRERO 2026"/>
        <s v="COL_CRITEO_MAAJI_JULIO_2025" u="1"/>
        <s v="CRITEO_NOVEX GT" u="1"/>
        <s v="PE_CRITEO_AMOROSSA_OCT_ 2025" u="1"/>
        <s v="AR_TIENDA MIA_CRITEO_FEB 2026" u="1"/>
        <s v="UY_TIENDA MIA_CRITEO FEB 2026" u="1"/>
        <s v="MX_UDEM CRITEO_FEB 2026PE" u="1"/>
        <s v="CRITEO_NOVEX CR" u="1"/>
        <s v="ELS_ALMACENES VIDRI_CRITEO" u="1"/>
        <s v="AR_CRITEO_JBL_FEB_2026" u="1"/>
        <s v="AR_CRITEO_NATURA_FEB_2026" u="1"/>
        <s v="AR_CRITEO_RENOVATUVESTIDOR_FEB_2026" u="1"/>
        <s v="CL_CRITEO_RENUEVATUCLOSET_FEB_2026" u="1"/>
        <s v="AR_CRITEO_ARGENPROP_FEB_2026" u="1"/>
        <s v="CL_CRITEO_MOOVMEDIA_UNIMART_CR_FEB_2026" u="1"/>
        <s v="CRITEO_MARSBET_FEB_2026" u="1"/>
        <s v="MX_CRITEO_SAMSUNG_FEB_2026_" u="1"/>
        <s v="CL_CRITEO_METRIX_KITCHENCENTER_FEB_2026" u="1"/>
        <s v="CRITEO_AMERICAN EAGLE_JULIO25" u="1"/>
        <s v="CRITEO_INMUEBLES24MX_SEP25" u="1"/>
        <s v="MX_CRITEO_ CIMACO_FEB26" u="1"/>
        <s v="MX_CRITEO_Cyberpuerta&amp;Abasteo_FEB26" u="1"/>
        <s v="MX_CRITEO_INNOVASPORT_FEB26" u="1"/>
        <s v="MX_CRITEO_GRUPO WALMART_FEB26 MXN" u="1"/>
        <s v="MX_CRITEO_INNVICTUS_FEB26" u="1"/>
        <s v="MX_CRITEO_KUESKI MX_Feb26" u="1"/>
        <s v="MX_CRITEO_LUUNA_FEB26" u="1"/>
        <s v="MX_CRITEO_PALACERESORTS_FEB26" u="1"/>
        <s v="MX_CRITEO_PAYCLIP_FEB26" u="1"/>
        <s v="MX_CRITEO_ShasaMX_FEB26" u="1"/>
        <s v="MX_CRITEO_SORTEOSTEC_FEB26" u="1"/>
        <s v="CRITEO_GRUPOTAFER_FEB_26" u="1"/>
        <s v="MX_CRITEO_BITSOMX_FEB_2026" u="1"/>
        <s v="MX_CRITEO_THEEXCELLENCECOLLECTION_FEB26" u="1"/>
        <s v="MX_CRITEO_PRIVALIA_FEB26 MXN" u="1"/>
        <s v="EC_UDLA_CRITEO_MAYO 2025" u="1"/>
        <s v="CR_CRITEO_ ICON CR_MAY_ 2025" u="1"/>
        <s v="MX_ANAHUAC_CRITEO_MAYO 2025PE" u="1"/>
        <s v="COL_CRITEO_STIRPE_2025" u="1"/>
        <s v="COL_CRITEO_GRUPOPASH_SEVEN SEVEN_2025" u="1"/>
        <s v="COL_CRITEO_DAFITI_JULIO_2025" u="1"/>
        <s v="COL_CRITEO_DISLICORES_2024" u="1"/>
        <s v="COL_CRITEO_GRUPOPASH_PAT PRIMO_2025" u="1"/>
        <s v="COL_CRITEO_MEDIACOM MIAMI_SONY PARLANTES_SEP 2025-MARZO 2026" u="1"/>
        <s v="COL_CRITEO_GRUPOPASH_OSTU_2025" u="1"/>
        <s v="COL_CRITEO_GRUPOPASH_ATMOS_2025" u="1"/>
        <s v="COL_CRITEO_BUSCALIBRE COL-MX-USA-CHILE_SEPTIEMBRE_2025" u="1"/>
        <s v="COL_CRITEO_ASYLUM_ARTURO CALLE_FEBRERO 2026" u="1"/>
        <s v="COL_CRITEO_ASYLUM_PILATOS_FEBRERO 2026" u="1"/>
        <s v="COL_CRITEO_BUEN TIPO_UNDER ARMOUR_FEBRERO 2026" u="1"/>
        <s v="COL_CRITEO_MARIO HERNANDEZ_FEBRERO 2026" u="1"/>
        <s v="COL_CRITEO_IPG_EASY_FEBRERO 2026" u="1"/>
        <s v="COL_CRITEO_IPG_JUMBO_FEBRERO 2026" u="1"/>
        <s v="COL_CRITEO_NIKE_FEBRERO_2026" u="1"/>
        <s v="COL_CRITEO_VIRGIN MOBILE MX_FEBRERO_2026" u="1"/>
        <s v="MX_CRITEO_THEHOMEDEPOT_FEB26" u="1"/>
        <s v="MX_CRITEO_NIKE_FEB26 MXN" u="1"/>
      </sharedItems>
    </cacheField>
    <cacheField name="Company to invoice" numFmtId="0">
      <sharedItems/>
    </cacheField>
    <cacheField name="Company To Invoice Tax Id" numFmtId="0">
      <sharedItems count="67">
        <s v="20555387785"/>
        <s v="20606271744"/>
        <s v="20608280333"/>
        <s v="20509867560"/>
        <s v="20100199158"/>
        <s v="20522291201"/>
        <s v="20100016681"/>
        <s v="20100053455"/>
        <s v="20536557858"/>
        <s v="20492092313"/>
        <s v="20608300393"/>
        <s v="20100130204"/>
        <s v="20493020618"/>
        <s v="20505601808"/>
        <s v="20600995031"/>
        <s v="131094376"/>
        <s v="815181325"/>
        <s v="20552213832"/>
        <s v="20505670443"/>
        <s v="20550082722"/>
        <s v="204031493"/>
        <s v="9002185787"/>
        <s v="833667826" u="1"/>
        <s v="25917579" u="1"/>
        <s v="131541755" u="1"/>
        <s v="651034016" u="1"/>
        <s v="3101726679" u="1"/>
        <s v="02101911710016" u="1"/>
        <s v="33717977489" u="1"/>
        <s v="30714504149" u="1"/>
        <s v="30714611948" u="1"/>
        <s v="764302834" u="1"/>
        <s v="30500124152" u="1"/>
        <s v="3102851346" u="1"/>
        <s v="30714474150" u="1"/>
        <s v="SWO981211PJ7" u="1"/>
        <s v="76214946K" u="1"/>
        <s v="AEM120605663" u="1"/>
        <s v="DME080825AX6" u="1"/>
        <s v="CCI8111293TA" u="1"/>
        <s v="CYB080602JSA" u="1"/>
        <s v="GRI2008119N0" u="1"/>
        <s v="NWM9709244W4" u="1"/>
        <s v="KUE121210RN5" u="1"/>
        <s v="KCA150708KVA" u="1"/>
        <s v="852647364" u="1"/>
        <s v="BLI120726UF6" u="1"/>
        <s v="SSH9608016NA" u="1"/>
        <s v="EIS430714ER6" u="1"/>
        <s v="881818156" u="1"/>
        <s v="BIT140123U70" u="1"/>
        <s v="OIS121030RB8" u="1"/>
        <s v="PVD091120Q79" u="1"/>
        <s v="3101088093" u="1"/>
        <s v="8040066010" u="1"/>
        <s v="8605031591" u="1"/>
        <s v="9004692306" u="1"/>
        <s v="8909165754" u="1"/>
        <s v="760237132" u="1"/>
        <s v="9003240195" u="1"/>
        <s v="16572601676889DV97" u="1"/>
        <s v="9009531715" u="1"/>
        <s v="9002060279" u="1"/>
        <s v="20508161747987DV39" u="1"/>
        <s v="9008935021" u="1"/>
        <s v="HDM001017AS1" u="1"/>
        <s v="NME920220KL4" u="1"/>
      </sharedItems>
    </cacheField>
    <cacheField name="Sales Manager" numFmtId="0">
      <sharedItems/>
    </cacheField>
    <cacheField name="Trade Deal" numFmtId="0">
      <sharedItems/>
    </cacheField>
    <cacheField name="Branding/Performance" numFmtId="0">
      <sharedItems/>
    </cacheField>
    <cacheField name="Sales Channel" numFmtId="0">
      <sharedItems/>
    </cacheField>
    <cacheField name="End Date" numFmtId="0">
      <sharedItems/>
    </cacheField>
    <cacheField name="Project : Company to invoice : Payment condition" numFmtId="0">
      <sharedItems/>
    </cacheField>
    <cacheField name="Branding/Performance2" numFmtId="0">
      <sharedItems containsNonDate="0" containsString="0" containsBlank="1"/>
    </cacheField>
    <cacheField name="Sales Channel2" numFmtId="0">
      <sharedItems/>
    </cacheField>
    <cacheField name="Status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Ferrauti" refreshedDate="46101.75910625" createdVersion="8" refreshedVersion="8" minRefreshableVersion="3" recordCount="30" xr:uid="{28C931C4-FE4E-474F-8275-7F6ACDDAAB5A}">
  <cacheSource type="worksheet">
    <worksheetSource ref="B2:BR32" sheet="Salesforce"/>
  </cacheSource>
  <cacheFields count="69">
    <cacheField name="Year" numFmtId="0">
      <sharedItems/>
    </cacheField>
    <cacheField name="Line Month" numFmtId="0">
      <sharedItems/>
    </cacheField>
    <cacheField name="Posting Period" numFmtId="0">
      <sharedItems/>
    </cacheField>
    <cacheField name="Finance Date" numFmtId="0">
      <sharedItems/>
    </cacheField>
    <cacheField name="Salesforce Project Number" numFmtId="0">
      <sharedItems/>
    </cacheField>
    <cacheField name="Line ID" numFmtId="0">
      <sharedItems/>
    </cacheField>
    <cacheField name="Project : Opportunity : Aleph Campaign ID" numFmtId="0">
      <sharedItems/>
    </cacheField>
    <cacheField name="Line Product Number" numFmtId="0">
      <sharedItems/>
    </cacheField>
    <cacheField name="Type of Line" numFmtId="0">
      <sharedItems count="1">
        <s v="Standard"/>
      </sharedItems>
    </cacheField>
    <cacheField name="Status" numFmtId="0">
      <sharedItems/>
    </cacheField>
    <cacheField name="Order Line Status" numFmtId="0">
      <sharedItems count="1">
        <s v="Under Review"/>
      </sharedItems>
    </cacheField>
    <cacheField name="Company Name (Know as + Country)" numFmtId="0">
      <sharedItems/>
    </cacheField>
    <cacheField name="Company To Invoice Legal Name" numFmtId="0">
      <sharedItems/>
    </cacheField>
    <cacheField name="Vendor" numFmtId="0">
      <sharedItems/>
    </cacheField>
    <cacheField name="Product Business Unit" numFmtId="0">
      <sharedItems count="1">
        <s v="Criteo"/>
      </sharedItems>
    </cacheField>
    <cacheField name="Reporting Country" numFmtId="0">
      <sharedItems/>
    </cacheField>
    <cacheField name="Billing Country" numFmtId="0">
      <sharedItems/>
    </cacheField>
    <cacheField name="Delivery Country" numFmtId="0">
      <sharedItems/>
    </cacheField>
    <cacheField name="Billing Entity" numFmtId="0">
      <sharedItems count="10">
        <s v="Aleph Peru"/>
        <s v="Aleph Spain"/>
        <s v="Aleph USA"/>
        <s v="Aleph Colombia"/>
        <s v="Aleph Guatemala" u="1"/>
        <s v="Entravision Costa Rica" u="1"/>
        <s v="Aleph Argentina" u="1"/>
        <s v="Aleph Chile" u="1"/>
        <s v="Aleph Mexico" u="1"/>
        <s v="Aleph Panama" u="1"/>
      </sharedItems>
    </cacheField>
    <cacheField name="Purchase Country" numFmtId="0">
      <sharedItems/>
    </cacheField>
    <cacheField name="Product" numFmtId="0">
      <sharedItems/>
    </cacheField>
    <cacheField name="Sales UOM" numFmtId="0">
      <sharedItems/>
    </cacheField>
    <cacheField name="Purchase UOM" numFmtId="0">
      <sharedItems/>
    </cacheField>
    <cacheField name="Billing Currency" numFmtId="0">
      <sharedItems/>
    </cacheField>
    <cacheField name="Purchase Currency" numFmtId="0">
      <sharedItems/>
    </cacheField>
    <cacheField name="Publisher PO ID" numFmtId="0">
      <sharedItems/>
    </cacheField>
    <cacheField name="Qualified Sales Quantity" numFmtId="0">
      <sharedItems containsSemiMixedTypes="0" containsString="0" containsNumber="1" minValue="180.05" maxValue="16105.49"/>
    </cacheField>
    <cacheField name="Qualified Purchase Quantity" numFmtId="0">
      <sharedItems containsSemiMixedTypes="0" containsString="0" containsNumber="1" minValue="180.05" maxValue="16105.49"/>
    </cacheField>
    <cacheField name="Gross Discounted" numFmtId="164">
      <sharedItems containsSemiMixedTypes="0" containsString="0" containsNumber="1" containsInteger="1" minValue="1" maxValue="1"/>
    </cacheField>
    <cacheField name="Gross Sales Price" numFmtId="164">
      <sharedItems containsSemiMixedTypes="0" containsString="0" containsNumber="1" containsInteger="1" minValue="1" maxValue="1"/>
    </cacheField>
    <cacheField name="Net Sales Price" numFmtId="164">
      <sharedItems containsSemiMixedTypes="0" containsString="0" containsNumber="1" containsInteger="1" minValue="1" maxValue="1"/>
    </cacheField>
    <cacheField name="Gross Purchase Price" numFmtId="0">
      <sharedItems containsSemiMixedTypes="0" containsString="0" containsNumber="1" minValue="0.85" maxValue="0.91"/>
    </cacheField>
    <cacheField name="Net Purchase Price" numFmtId="0">
      <sharedItems containsSemiMixedTypes="0" containsString="0" containsNumber="1" minValue="0.85" maxValue="1"/>
    </cacheField>
    <cacheField name="Client Discount" numFmtId="165">
      <sharedItems containsSemiMixedTypes="0" containsString="0" containsNumber="1" containsInteger="1" minValue="0" maxValue="0"/>
    </cacheField>
    <cacheField name="Agency Commission" numFmtId="0">
      <sharedItems containsNonDate="0" containsString="0" containsBlank="1"/>
    </cacheField>
    <cacheField name="Delivered Sales Quantity" numFmtId="0">
      <sharedItems containsSemiMixedTypes="0" containsString="0" containsNumber="1" minValue="180.05" maxValue="16105.49"/>
    </cacheField>
    <cacheField name="Delivered Purchase Quantity" numFmtId="0">
      <sharedItems containsSemiMixedTypes="0" containsString="0" containsNumber="1" minValue="180.05" maxValue="16105.49"/>
    </cacheField>
    <cacheField name="Net Budget Delivered (Billing Currency)" numFmtId="4">
      <sharedItems containsSemiMixedTypes="0" containsString="0" containsNumber="1" minValue="180.05" maxValue="7953137.5"/>
    </cacheField>
    <cacheField name="Net Cost Delivered (Buying Currency)" numFmtId="4">
      <sharedItems containsSemiMixedTypes="0" containsString="0" containsNumber="1" minValue="180.05" maxValue="16105.49"/>
    </cacheField>
    <cacheField name="Net Cost Delivered w/o Tax (Buying Curr)" numFmtId="0">
      <sharedItems containsSemiMixedTypes="0" containsString="0" containsNumber="1" minValue="180.05" maxValue="16105.49"/>
    </cacheField>
    <cacheField name="Activation Exchange Rate" numFmtId="0">
      <sharedItems containsString="0" containsBlank="1" containsNumber="1" containsInteger="1" minValue="3850" maxValue="3850"/>
    </cacheField>
    <cacheField name="Total Net Budget (Delivered) (converted)" numFmtId="164">
      <sharedItems containsSemiMixedTypes="0" containsString="0" containsNumber="1" minValue="180.05" maxValue="78847.45"/>
    </cacheField>
    <cacheField name="Total Net Cost (Delivered) (converted)" numFmtId="164">
      <sharedItems containsSemiMixedTypes="0" containsString="0" containsNumber="1" minValue="180.05" maxValue="16105.49"/>
    </cacheField>
    <cacheField name="Margin Delivered (Billing Currency)" numFmtId="0">
      <sharedItems containsSemiMixedTypes="0" containsString="0" containsNumber="1" minValue="0" maxValue="172903.27499999999"/>
    </cacheField>
    <cacheField name="Margin Amount (Delivered)" numFmtId="164">
      <sharedItems containsSemiMixedTypes="0" containsString="0" containsNumber="1" minValue="0" maxValue="39.863999999999997"/>
    </cacheField>
    <cacheField name="Margin Amount (Delivered) (converted)" numFmtId="164">
      <sharedItems containsSemiMixedTypes="0" containsString="0" containsNumber="1" minValue="0" maxValue="39.863999999999997"/>
    </cacheField>
    <cacheField name="Margin % (Delivered)" numFmtId="165">
      <sharedItems containsSemiMixedTypes="0" containsString="0" containsNumber="1" minValue="0" maxValue="0.15"/>
    </cacheField>
    <cacheField name="Sales Order Number" numFmtId="0">
      <sharedItems containsBlank="1"/>
    </cacheField>
    <cacheField name="SO Status" numFmtId="0">
      <sharedItems containsBlank="1"/>
    </cacheField>
    <cacheField name="Purchase Order Number" numFmtId="0">
      <sharedItems containsBlank="1"/>
    </cacheField>
    <cacheField name="PO Status" numFmtId="0">
      <sharedItems containsBlank="1"/>
    </cacheField>
    <cacheField name="Invoice Description" numFmtId="0">
      <sharedItems containsNonDate="0" containsString="0" containsBlank="1"/>
    </cacheField>
    <cacheField name="Line Description" numFmtId="0">
      <sharedItems/>
    </cacheField>
    <cacheField name="Purchase Entity" numFmtId="0">
      <sharedItems count="1">
        <s v="Aleph Mexico"/>
      </sharedItems>
    </cacheField>
    <cacheField name="Billing Exchange Rate" numFmtId="0">
      <sharedItems containsSemiMixedTypes="0" containsString="0" containsNumber="1" minValue="1" maxValue="3766.3"/>
    </cacheField>
    <cacheField name="Project Name" numFmtId="0">
      <sharedItems/>
    </cacheField>
    <cacheField name="Company to invoice" numFmtId="0">
      <sharedItems/>
    </cacheField>
    <cacheField name="Company To Invoice Tax Id" numFmtId="0">
      <sharedItems/>
    </cacheField>
    <cacheField name="Sales Manager" numFmtId="0">
      <sharedItems/>
    </cacheField>
    <cacheField name="Trade Deal" numFmtId="0">
      <sharedItems/>
    </cacheField>
    <cacheField name="Branding/Performance" numFmtId="0">
      <sharedItems/>
    </cacheField>
    <cacheField name="Sales Channel" numFmtId="0">
      <sharedItems/>
    </cacheField>
    <cacheField name="End Date" numFmtId="0">
      <sharedItems/>
    </cacheField>
    <cacheField name="Project : Company to invoice : Payment condition" numFmtId="0">
      <sharedItems/>
    </cacheField>
    <cacheField name="Branding/Performance2" numFmtId="0">
      <sharedItems containsNonDate="0" containsString="0" containsBlank="1"/>
    </cacheField>
    <cacheField name="Sales Channel2" numFmtId="0">
      <sharedItems/>
    </cacheField>
    <cacheField name="Status2" numFmtId="0">
      <sharedItems/>
    </cacheField>
    <cacheField name="Rev. Act. FX / Closing FX" numFmtId="4">
      <sharedItems containsSemiMixedTypes="0" containsString="0" containsNumber="1" minValue="180.05" maxValue="16105.49"/>
    </cacheField>
    <cacheField name="COGS Act. FX / Closing FX" numFmtId="4">
      <sharedItems containsSemiMixedTypes="0" containsString="0" containsNumber="1" minValue="180.05" maxValue="16105.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Ferrauti" refreshedDate="46101.763801851848" createdVersion="8" refreshedVersion="8" minRefreshableVersion="3" recordCount="28" xr:uid="{4CCE0D42-87C1-406C-A2F0-046E6082C13F}">
  <cacheSource type="worksheet">
    <worksheetSource ref="B3:O31" sheet="Summary"/>
  </cacheSource>
  <cacheFields count="14">
    <cacheField name="Advertiser ID" numFmtId="0">
      <sharedItems/>
    </cacheField>
    <cacheField name="Advertiser name" numFmtId="0">
      <sharedItems/>
    </cacheField>
    <cacheField name="Currency" numFmtId="0">
      <sharedItems/>
    </cacheField>
    <cacheField name="Suma de Net amount" numFmtId="4">
      <sharedItems containsSemiMixedTypes="0" containsString="0" containsNumber="1" minValue="0.05" maxValue="16105.49"/>
    </cacheField>
    <cacheField name="Net amount (USD)" numFmtId="4">
      <sharedItems containsSemiMixedTypes="0" containsString="0" containsNumber="1" minValue="0.05" maxValue="16105.49"/>
    </cacheField>
    <cacheField name="Status" numFmtId="0">
      <sharedItems/>
    </cacheField>
    <cacheField name="Cost" numFmtId="43">
      <sharedItems containsSemiMixedTypes="0" containsString="0" containsNumber="1" minValue="0" maxValue="16105.49"/>
    </cacheField>
    <cacheField name="Purchase Currency" numFmtId="0">
      <sharedItems/>
    </cacheField>
    <cacheField name="Revenue" numFmtId="4">
      <sharedItems containsSemiMixedTypes="0" containsString="0" containsNumber="1" minValue="0" maxValue="7953137.5"/>
    </cacheField>
    <cacheField name="Billing currency" numFmtId="0">
      <sharedItems/>
    </cacheField>
    <cacheField name="Dif Report - SF" numFmtId="4">
      <sharedItems containsSemiMixedTypes="0" containsString="0" containsNumber="1" minValue="0" maxValue="39.864000000000004"/>
    </cacheField>
    <cacheField name="DIF USD" numFmtId="4">
      <sharedItems containsMixedTypes="1" containsNumber="1" minValue="0" maxValue="39.864000000000004"/>
    </cacheField>
    <cacheField name="Comments" numFmtId="167">
      <sharedItems count="7">
        <s v="OK"/>
        <s v="n/a"/>
        <s v="Less rev/cogs than partner report"/>
        <s v="Missing in SF" u="1"/>
        <s v="Less COGS than partner report" u="1"/>
        <s v="More COGS than partner report" u="1"/>
        <s v="Wrong purchase currency" u="1"/>
      </sharedItems>
    </cacheField>
    <cacheField name="COGS USD" numFmtId="43">
      <sharedItems containsSemiMixedTypes="0" containsString="0" containsNumber="1" minValue="0.05" maxValue="16105.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73548-February"/>
    <s v="2026"/>
    <s v="February"/>
    <s v="February/2026"/>
    <s v="28/2/2026"/>
    <x v="0"/>
    <s v="802Uj00000ILwke"/>
    <s v="PE00322629"/>
    <s v="0004188108"/>
    <x v="0"/>
    <s v="Activated"/>
    <s v="Under Review"/>
    <s v="JOINNUS SAC Peru"/>
    <s v="JOINNUS SAC"/>
    <s v="CRITEO CORP. United States of America"/>
    <s v="Criteo"/>
    <s v="Peru"/>
    <s v=""/>
    <s v="GLOBAL"/>
    <s v="Aleph Peru"/>
    <s v="Mexico"/>
    <s v="Dynamic Ads"/>
    <s v="Auction / Budget"/>
    <s v="Auction / Budget"/>
    <s v="USD"/>
    <s v="USD"/>
    <s v="73548"/>
    <n v="1800"/>
    <n v="1800"/>
    <n v="1"/>
    <n v="1"/>
    <n v="1"/>
    <n v="0.91"/>
    <n v="1"/>
    <n v="0"/>
    <m/>
    <n v="1800"/>
    <n v="1800"/>
    <n v="1800"/>
    <n v="1800"/>
    <n v="1800"/>
    <m/>
    <n v="18459.689999999999"/>
    <n v="1800"/>
    <n v="0"/>
    <n v="0"/>
    <n v="0"/>
    <n v="0"/>
    <s v="SOIPE-000006663"/>
    <s v="SO Exported to ERP"/>
    <s v="POIME-000025299"/>
    <s v="PO Exported to ERP"/>
    <m/>
    <s v=""/>
    <s v="Aleph Mexico"/>
    <n v="1"/>
    <s v="PE_JOINNUS_CRITEO_MAYO 2025"/>
    <s v="JOINNUS SAC Peru"/>
    <s v="20555387785"/>
    <s v="Rodrigo Aldecoa"/>
    <x v="0"/>
    <s v="Client Performance Driven (ROI)"/>
    <s v="Traditional (Local Team)"/>
    <s v="28/2/2026"/>
    <s v="30 days"/>
    <m/>
    <n v="22"/>
    <s v="OK"/>
  </r>
  <r>
    <s v="116497-February"/>
    <s v="2026"/>
    <s v="February"/>
    <s v="February/2026"/>
    <s v="28/2/2026"/>
    <x v="1"/>
    <s v="802Uj00000IM33I"/>
    <s v="PE00357033"/>
    <s v="0004185982"/>
    <x v="0"/>
    <s v="Activated"/>
    <s v="Under Review"/>
    <s v="PC Factory CHILE"/>
    <s v="Media Analytics S.A.C."/>
    <s v="CRITEO CORP. United States of America"/>
    <s v="Criteo"/>
    <s v="Peru"/>
    <s v=""/>
    <s v="GLOBAL"/>
    <s v="Aleph Peru"/>
    <s v="Mexico"/>
    <s v="Dynamic Ads"/>
    <s v="Auction / Budget"/>
    <s v="Auction / Budget"/>
    <s v="USD"/>
    <s v="USD"/>
    <s v="116497"/>
    <n v="1999.95"/>
    <n v="1999.95"/>
    <n v="1"/>
    <n v="1"/>
    <n v="1"/>
    <n v="0.85"/>
    <n v="1"/>
    <n v="0"/>
    <m/>
    <n v="1999.95"/>
    <n v="1999.95"/>
    <n v="1999.95"/>
    <n v="1999.95"/>
    <n v="1999.95"/>
    <m/>
    <n v="15499.96"/>
    <n v="1999.95"/>
    <n v="0"/>
    <n v="0"/>
    <n v="0"/>
    <n v="0"/>
    <s v="SOIPE-000008334"/>
    <s v="SO Exported to ERP"/>
    <s v="POIME-000027193"/>
    <s v="PO Exported to ERP"/>
    <m/>
    <s v=""/>
    <s v="Aleph Mexico"/>
    <n v="1"/>
    <s v="PE_CRITEO_PC FACTORY JULIO 2025"/>
    <s v="Media Analytics Perú"/>
    <s v="20606271744"/>
    <s v="Rodrigo Aldecoa"/>
    <x v="0"/>
    <s v="Client Performance Driven (ROI)"/>
    <s v="Traditional (Local Team)"/>
    <s v="28/2/2026"/>
    <s v="30 days"/>
    <m/>
    <n v="5"/>
    <s v="OK"/>
  </r>
  <r>
    <s v="118854-February"/>
    <s v="2026"/>
    <s v="February"/>
    <s v="February/2026"/>
    <s v="28/2/2026"/>
    <x v="2"/>
    <s v="802Uj00000O9ALb"/>
    <s v="PE00386377"/>
    <s v="0004721846"/>
    <x v="0"/>
    <s v="Activated"/>
    <s v="Under Review"/>
    <s v="ONCOSALUD S.A.C."/>
    <s v="Media Analytics S.A.C."/>
    <s v="CRITEO CORP. United States of America"/>
    <s v="Criteo"/>
    <s v="Peru"/>
    <s v=""/>
    <s v="GLOBAL"/>
    <s v="Aleph Peru"/>
    <s v="Mexico"/>
    <s v="Dynamic Ads"/>
    <s v="Auction / Budget"/>
    <s v="Auction / Budget"/>
    <s v="USD"/>
    <s v="USD"/>
    <s v="118854"/>
    <n v="912.96"/>
    <n v="912.96"/>
    <n v="1"/>
    <n v="1"/>
    <n v="1"/>
    <n v="0.85"/>
    <n v="1"/>
    <n v="0"/>
    <m/>
    <n v="912.96"/>
    <n v="912.96"/>
    <n v="912.96"/>
    <n v="912.96"/>
    <n v="912.96"/>
    <m/>
    <n v="3499.99"/>
    <n v="912.96"/>
    <n v="0"/>
    <n v="0"/>
    <n v="0"/>
    <n v="0"/>
    <s v="SOIPE-000009862"/>
    <s v="SO Exported to ERP"/>
    <s v="POIME-000030616"/>
    <s v="PO Exported to ERP"/>
    <m/>
    <s v=""/>
    <s v="Aleph Mexico"/>
    <n v="1"/>
    <s v="Criteo_NOV25_Oncosalud PE"/>
    <s v="Media Analytics Perú"/>
    <s v="20606271744"/>
    <s v="Rodrigo Aldecoa"/>
    <x v="0"/>
    <s v="Client Performance Driven (ROI)"/>
    <s v="Traditional (Local Team)"/>
    <s v="28/2/2026"/>
    <s v="30 days"/>
    <m/>
    <n v="8"/>
    <s v="OK"/>
  </r>
  <r>
    <s v="115210-February"/>
    <s v="2026"/>
    <s v="February"/>
    <s v="February/2026"/>
    <s v="28/2/2026"/>
    <x v="3"/>
    <s v="802Uj00000PmHY2"/>
    <s v="PE00399888"/>
    <s v="0004890443"/>
    <x v="0"/>
    <s v="Activated"/>
    <s v="Under Review"/>
    <s v="COMPAÑIA HARD DISCOUNT S.A.C."/>
    <s v="COMPAÑIA HARD DISCOUNT S.A.C."/>
    <s v="CRITEO CORP. United States of America"/>
    <s v="Criteo"/>
    <s v="Peru"/>
    <s v=""/>
    <s v="GLOBAL"/>
    <s v="Aleph Peru"/>
    <s v="Mexico"/>
    <s v="Dynamic Ads"/>
    <s v="Auction / Budget"/>
    <s v="Auction / Budget"/>
    <s v="USD"/>
    <s v="USD"/>
    <s v="115210"/>
    <n v="1027.45"/>
    <n v="1027.45"/>
    <n v="1"/>
    <n v="1"/>
    <n v="1"/>
    <n v="0.91"/>
    <n v="1"/>
    <n v="0"/>
    <m/>
    <n v="1027.45"/>
    <n v="1027.45"/>
    <n v="1027.45"/>
    <n v="1027.45"/>
    <n v="1027.45"/>
    <m/>
    <n v="6000.1"/>
    <n v="1027.45"/>
    <n v="0"/>
    <n v="0"/>
    <n v="0"/>
    <n v="0"/>
    <s v="SOIPE-000010175"/>
    <s v="SO Exported to ERP"/>
    <s v="POIME-000032235"/>
    <s v="PO Exported to ERP"/>
    <m/>
    <s v=""/>
    <s v="Aleph Mexico"/>
    <n v="1"/>
    <s v="PE_CRITEO_TIENDAS MASS_ENE 2026"/>
    <s v="COMPAÑIA HARD DISCOUNT S.A.C."/>
    <s v="20608280333"/>
    <s v="Rodrigo Aldecoa"/>
    <x v="0"/>
    <s v="Client Performance Driven (ROI)"/>
    <s v="Traditional (Local Team)"/>
    <s v="28/2/2026"/>
    <s v="30 days"/>
    <m/>
    <n v="4"/>
    <s v="OK"/>
  </r>
  <r>
    <s v="44368-February"/>
    <s v="2026"/>
    <s v="February"/>
    <s v="February/2026"/>
    <s v="28/2/2026"/>
    <x v="4"/>
    <s v="802Uj00000PrZr9"/>
    <s v="PE00398904"/>
    <s v="0004892401"/>
    <x v="0"/>
    <s v="Activated"/>
    <s v="Under Review"/>
    <s v="BCP Peru"/>
    <s v="QUAL MEDIA S.A.C."/>
    <s v="CRITEO CORP. United States of America"/>
    <s v="Criteo"/>
    <s v="Peru"/>
    <s v=""/>
    <s v="GLOBAL"/>
    <s v="Aleph Peru"/>
    <s v="Mexico"/>
    <s v="Dynamic Ads"/>
    <s v="Auction / Budget"/>
    <s v="Auction / Budget"/>
    <s v="USD"/>
    <s v="USD"/>
    <s v="44368"/>
    <n v="9029.1299999999992"/>
    <n v="9029.1299999999992"/>
    <n v="1"/>
    <n v="1"/>
    <n v="1"/>
    <n v="0.85"/>
    <n v="1"/>
    <n v="0"/>
    <m/>
    <n v="9029.1299999999992"/>
    <n v="9029.1299999999992"/>
    <n v="9029.1299999999992"/>
    <n v="9029.1299999999992"/>
    <n v="9029.1299999999992"/>
    <m/>
    <n v="10968.49"/>
    <n v="9029.1299999999992"/>
    <n v="0"/>
    <n v="0"/>
    <n v="0"/>
    <n v="0"/>
    <s v="SOIPE-000010171"/>
    <s v="SO Exported to ERP"/>
    <s v="POIME-000032243"/>
    <s v="PO Exported to ERP"/>
    <m/>
    <s v=""/>
    <s v="Aleph Mexico"/>
    <n v="1"/>
    <s v="PE - CRITEO - OMD - BCP - ENE - 2026"/>
    <s v="QUAL MEDIA S.A.C., Peru"/>
    <s v="20509867560"/>
    <s v="Rodrigo Aldecoa"/>
    <x v="0"/>
    <s v="Brand Objectives"/>
    <s v="Traditional (Local Team)"/>
    <s v="28/2/2026"/>
    <s v="75 days"/>
    <m/>
    <n v="13"/>
    <s v="OK"/>
  </r>
  <r>
    <s v="120258-February"/>
    <s v="2026"/>
    <s v="February"/>
    <s v="February/2026"/>
    <s v="28/2/2026"/>
    <x v="5"/>
    <s v="802Um00000DRqRF"/>
    <s v="PE00401676"/>
    <s v="0004908031"/>
    <x v="0"/>
    <s v="Activated"/>
    <s v="Under Review"/>
    <s v="Pepsico Perú"/>
    <s v="QUAL MEDIA S.A.C."/>
    <s v="CRITEO CORP. United States of America"/>
    <s v="Criteo"/>
    <s v="Peru"/>
    <s v=""/>
    <s v="GLOBAL"/>
    <s v="Aleph Peru"/>
    <s v="Mexico"/>
    <s v="Dynamic Ads"/>
    <s v="Auction / Budget"/>
    <s v="Auction / Budget"/>
    <s v="USD"/>
    <s v="USD"/>
    <s v="120258"/>
    <n v="2500"/>
    <n v="2500"/>
    <n v="1"/>
    <n v="1"/>
    <n v="1"/>
    <n v="0.85"/>
    <n v="1"/>
    <n v="0"/>
    <m/>
    <n v="2500"/>
    <n v="2500"/>
    <n v="2500"/>
    <n v="2500"/>
    <n v="2500"/>
    <m/>
    <n v="2500"/>
    <n v="2500"/>
    <n v="0"/>
    <n v="0"/>
    <n v="0"/>
    <n v="0"/>
    <s v="SOIPE-000010268"/>
    <s v="SO Exported to ERP"/>
    <s v="POIME-000032884"/>
    <s v="PO Exported to ERP"/>
    <m/>
    <s v=""/>
    <s v="Aleph Mexico"/>
    <n v="1"/>
    <s v="PE - CRITEO - OMD - PEPSICO - FEB &amp; MAR - 2026"/>
    <s v="QUAL MEDIA S.A.C., Peru"/>
    <s v="20509867560"/>
    <s v="Rodrigo Aldecoa"/>
    <x v="0"/>
    <s v="Brand Objectives"/>
    <s v="Traditional (Local Team)"/>
    <s v="28/2/2026"/>
    <s v="75 days"/>
    <m/>
    <n v="27"/>
    <s v="OK"/>
  </r>
  <r>
    <s v="110594-February"/>
    <s v="2026"/>
    <s v="February"/>
    <s v="February/2026"/>
    <s v="28/2/2026"/>
    <x v="6"/>
    <s v="802Um00000DePtm"/>
    <s v="PE00403309"/>
    <s v="0004917062"/>
    <x v="0"/>
    <s v="Activated"/>
    <s v="Under Review"/>
    <s v="DIVEMOTOR Perú"/>
    <s v="Media Analytics S.A.C."/>
    <s v="CRITEO CORP. United States of America"/>
    <s v="Criteo"/>
    <s v="Peru"/>
    <s v=""/>
    <s v="GLOBAL"/>
    <s v="Aleph Peru"/>
    <s v="Mexico"/>
    <s v="Dynamic Ads"/>
    <s v="Auction / Budget"/>
    <s v="Auction / Budget"/>
    <s v="USD"/>
    <s v="USD"/>
    <s v="110594"/>
    <n v="999.97"/>
    <n v="999.97"/>
    <n v="1"/>
    <n v="1"/>
    <n v="1"/>
    <n v="0.85"/>
    <n v="1"/>
    <n v="0"/>
    <m/>
    <n v="999.97"/>
    <n v="999.97"/>
    <n v="999.97"/>
    <n v="999.97"/>
    <n v="999.97"/>
    <m/>
    <n v="1999.97"/>
    <n v="999.97"/>
    <n v="0"/>
    <n v="0"/>
    <n v="0"/>
    <n v="0"/>
    <s v="SOIPE-000010176"/>
    <s v="SO Exported to ERP"/>
    <s v="POIME-000032240"/>
    <s v="PO Exported to ERP"/>
    <m/>
    <s v=""/>
    <s v="Aleph Mexico"/>
    <n v="1"/>
    <s v="PE_CRITEO_DIVEMOTOR ENE 2026"/>
    <s v="Media Analytics Perú"/>
    <s v="20606271744"/>
    <s v="Rodrigo Aldecoa"/>
    <x v="0"/>
    <s v="Client Performance Driven (ROI)"/>
    <s v="Traditional (Local Team)"/>
    <s v="28/2/2026"/>
    <s v="30 days"/>
    <m/>
    <n v="24"/>
    <s v="OK"/>
  </r>
  <r>
    <s v="63589-February"/>
    <s v="2026"/>
    <s v="February"/>
    <s v="February/2026"/>
    <s v="28/2/2026"/>
    <x v="7"/>
    <s v="802Um00000Dlouj"/>
    <s v="PE00392766"/>
    <s v="0004938057"/>
    <x v="0"/>
    <s v="Activated"/>
    <s v="Under Review"/>
    <s v="ESTILOS S.R.L. Peru"/>
    <s v="ESTILOS S.R.L."/>
    <s v="CRITEO CORP. United States of America"/>
    <s v="Criteo"/>
    <s v="Peru"/>
    <s v=""/>
    <s v="GLOBAL"/>
    <s v="Aleph Peru"/>
    <s v="Mexico"/>
    <s v="Dynamic Ads"/>
    <s v="Auction / Budget"/>
    <s v="Auction / Budget"/>
    <s v="USD"/>
    <s v="USD"/>
    <s v="63589"/>
    <n v="2991.08"/>
    <n v="2991.08"/>
    <n v="1"/>
    <n v="1"/>
    <n v="1"/>
    <n v="0.85"/>
    <n v="1"/>
    <n v="0"/>
    <m/>
    <n v="2991.08"/>
    <n v="2991.08"/>
    <n v="2991.08"/>
    <n v="2991.08"/>
    <n v="2991.08"/>
    <m/>
    <n v="2991.08"/>
    <n v="2991.08"/>
    <n v="0"/>
    <n v="0"/>
    <n v="0"/>
    <n v="0"/>
    <s v="SOIPE-000010270"/>
    <s v="SO Exported to ERP"/>
    <s v="POIME-000032891"/>
    <s v="PO Exported to ERP"/>
    <m/>
    <s v=""/>
    <s v="Aleph Mexico"/>
    <n v="1"/>
    <s v="PE_CRITEO_ESTILOS_FEB 2026 PIPE"/>
    <s v="ESTILOS S.R.L. Peru"/>
    <s v="20100199158"/>
    <s v="Rodrigo Aldecoa"/>
    <x v="0"/>
    <s v="Client Performance Driven (ROI)"/>
    <s v="Traditional (Local Team)"/>
    <s v="28/2/2026"/>
    <s v="30 days"/>
    <m/>
    <n v="16"/>
    <s v="OK"/>
  </r>
  <r>
    <s v="116982-February"/>
    <s v="2026"/>
    <s v="February"/>
    <s v="February/2026"/>
    <s v="28/2/2026"/>
    <x v="8"/>
    <s v="802Um00000Dlp61"/>
    <s v="PE00392769"/>
    <s v="0004938058"/>
    <x v="0"/>
    <s v="Activated"/>
    <s v="Under Review"/>
    <s v="Financiera Oh SA Perú"/>
    <s v="Financiera Oh SA"/>
    <s v="CRITEO CORP. United States of America"/>
    <s v="Criteo"/>
    <s v="Peru"/>
    <s v=""/>
    <s v="GLOBAL"/>
    <s v="Aleph Peru"/>
    <s v="Mexico"/>
    <s v="Dynamic Ads"/>
    <s v="Auction / Budget"/>
    <s v="Auction / Budget"/>
    <s v="USD"/>
    <s v="USD"/>
    <s v="116982"/>
    <n v="2398.79"/>
    <n v="2398.79"/>
    <n v="1"/>
    <n v="1"/>
    <n v="1"/>
    <n v="0.85"/>
    <n v="1"/>
    <n v="0"/>
    <m/>
    <n v="2398.79"/>
    <n v="2398.79"/>
    <n v="2398.79"/>
    <n v="2398.79"/>
    <n v="2398.79"/>
    <m/>
    <n v="2398.79"/>
    <n v="2398.79"/>
    <n v="0"/>
    <n v="0"/>
    <n v="0"/>
    <n v="0"/>
    <s v="SOIPE-000010269"/>
    <s v="SO Exported to ERP"/>
    <s v="POIME-000032895"/>
    <s v="PO Exported to ERP"/>
    <m/>
    <s v=""/>
    <s v="Aleph Mexico"/>
    <n v="1"/>
    <s v="CRITEO_PE_FINANCIERA OH-FEB-2026"/>
    <s v="Financiera Oh SA Perú"/>
    <s v="20522291201"/>
    <s v="Rodrigo Aldecoa"/>
    <x v="0"/>
    <s v="Brand Objectives"/>
    <s v="Traditional (Local Team)"/>
    <s v="28/2/2026"/>
    <s v="30 days"/>
    <m/>
    <n v="6"/>
    <s v="OK"/>
  </r>
  <r>
    <s v="94854-February"/>
    <s v="2026"/>
    <s v="February"/>
    <s v="February/2026"/>
    <s v="28/2/2026"/>
    <x v="9"/>
    <s v="802Um00000DlpFh"/>
    <s v="PE00392772"/>
    <s v="0004938061"/>
    <x v="0"/>
    <s v="Activated"/>
    <s v="Under Review"/>
    <s v="IMPORTACIONES HIRAOKA S.A.C"/>
    <s v="IMPORTACIONES HIRAOKA S.A.C"/>
    <s v="CRITEO CORP. United States of America"/>
    <s v="Criteo"/>
    <s v="Peru"/>
    <s v=""/>
    <s v="GLOBAL"/>
    <s v="Aleph Peru"/>
    <s v="Mexico"/>
    <s v="Dynamic Ads"/>
    <s v="Auction / Budget"/>
    <s v="Auction / Budget"/>
    <s v="USD"/>
    <s v="USD"/>
    <s v="94854"/>
    <n v="2019.13"/>
    <n v="2019.13"/>
    <n v="1"/>
    <n v="1"/>
    <n v="1"/>
    <n v="0.85"/>
    <n v="1"/>
    <n v="0"/>
    <m/>
    <n v="2019.13"/>
    <n v="2019.13"/>
    <n v="2019.13"/>
    <n v="2019.13"/>
    <n v="2019.13"/>
    <m/>
    <n v="2019.13"/>
    <n v="2019.13"/>
    <n v="0"/>
    <n v="0"/>
    <n v="0"/>
    <n v="0"/>
    <s v="SOIPE-000010266"/>
    <s v="SO Exported to ERP"/>
    <s v="POIME-000032893"/>
    <s v="PO Exported to ERP"/>
    <m/>
    <s v=""/>
    <s v="Aleph Mexico"/>
    <n v="1"/>
    <s v="Criteo_FEB.2026_Hiraoka"/>
    <s v="IMPORTACIONES HIRAOKA S.A.C"/>
    <s v="20100016681"/>
    <s v="Rodrigo Aldecoa"/>
    <x v="0"/>
    <s v="Client Performance Driven (ROI)"/>
    <s v="Traditional (Local Team)"/>
    <s v="28/2/2026"/>
    <s v="30 days"/>
    <m/>
    <n v="20"/>
    <s v="OK"/>
  </r>
  <r>
    <s v="29652-February"/>
    <s v="2026"/>
    <s v="February"/>
    <s v="February/2026"/>
    <s v="28/2/2026"/>
    <x v="10"/>
    <s v="802Um00000DlpXR"/>
    <s v="PE00392775"/>
    <s v="0004938062"/>
    <x v="0"/>
    <s v="Activated"/>
    <s v="Under Review"/>
    <s v="BANCO INTERNACIONAL DEL PERU (Interbank)"/>
    <s v="BANCO INTERNACIONAL DEL PERU (Interbank)"/>
    <s v="CRITEO CORP. United States of America"/>
    <s v="Criteo"/>
    <s v="Peru"/>
    <s v=""/>
    <s v="GLOBAL"/>
    <s v="Aleph Peru"/>
    <s v="Mexico"/>
    <s v="Dynamic Ads"/>
    <s v="Auction / Budget"/>
    <s v="Auction / Budget"/>
    <s v="USD"/>
    <s v="USD"/>
    <s v="29652"/>
    <n v="998.79"/>
    <n v="998.79"/>
    <n v="1"/>
    <n v="1"/>
    <n v="1"/>
    <n v="0.85"/>
    <n v="1"/>
    <n v="0"/>
    <m/>
    <n v="998.79"/>
    <n v="998.79"/>
    <n v="998.79"/>
    <n v="998.79"/>
    <n v="998.79"/>
    <m/>
    <n v="998.79"/>
    <n v="998.79"/>
    <n v="0"/>
    <n v="0"/>
    <n v="0"/>
    <n v="0"/>
    <s v="SOIPE-000010265"/>
    <s v="SO Exported to ERP"/>
    <s v="POIME-000032897"/>
    <s v="PO Exported to ERP"/>
    <m/>
    <s v=""/>
    <s v="Aleph Mexico"/>
    <n v="1"/>
    <s v="PE_CRITEO_INTERBANK_FEB 2026 PIPE"/>
    <s v="BANCO INTERNACIONAL DEL PERU (Interbank)"/>
    <s v="20100053455"/>
    <s v="Rodrigo Aldecoa"/>
    <x v="0"/>
    <s v="Client Performance Driven (ROI)"/>
    <s v="Traditional (Local Team)"/>
    <s v="28/2/2026"/>
    <s v="30 days"/>
    <m/>
    <n v="10"/>
    <s v="OK"/>
  </r>
  <r>
    <s v="39798-February"/>
    <s v="2026"/>
    <s v="February"/>
    <s v="February/2026"/>
    <s v="28/2/2026"/>
    <x v="11"/>
    <s v="802Um00000DlqQH"/>
    <s v="PE00392790"/>
    <s v="0004938065"/>
    <x v="0"/>
    <s v="Activated"/>
    <s v="Under Review"/>
    <s v="HOMECENTERS PERUANOS S.A."/>
    <s v="HOMECENTERS PERUANOS S.A."/>
    <s v="CRITEO CORP. United States of America"/>
    <s v="Criteo"/>
    <s v="Peru"/>
    <s v=""/>
    <s v="GLOBAL"/>
    <s v="Aleph Peru"/>
    <s v="Mexico"/>
    <s v="Dynamic Ads"/>
    <s v="Auction / Budget"/>
    <s v="Auction / Budget"/>
    <s v="USD"/>
    <s v="USD"/>
    <s v="39798"/>
    <n v="993"/>
    <n v="993"/>
    <n v="1"/>
    <n v="1"/>
    <n v="1"/>
    <n v="0.85"/>
    <n v="1"/>
    <n v="0"/>
    <m/>
    <n v="993"/>
    <n v="993"/>
    <n v="993"/>
    <n v="993"/>
    <n v="993"/>
    <m/>
    <n v="993"/>
    <n v="993"/>
    <n v="0"/>
    <n v="0"/>
    <n v="0"/>
    <n v="0"/>
    <s v="SOIPE-000010277"/>
    <s v="SO Exported to ERP"/>
    <s v="POIME-000032898"/>
    <s v="PO Exported to ERP"/>
    <m/>
    <s v=""/>
    <s v="Aleph Mexico"/>
    <n v="1"/>
    <s v="PE_CRITEO_PROMART_2026_FE PIPE"/>
    <s v="HOMECENTERS PERUANOS S.A."/>
    <s v="20536557858"/>
    <s v="Rodrigo Aldecoa"/>
    <x v="0"/>
    <s v="Client Performance Driven (ROI)"/>
    <s v="Traditional (Local Team)"/>
    <s v="28/2/2026"/>
    <s v="30 days"/>
    <m/>
    <n v="11"/>
    <s v="OK"/>
  </r>
  <r>
    <s v="106852-February"/>
    <s v="2026"/>
    <s v="February"/>
    <s v="February/2026"/>
    <s v="28/2/2026"/>
    <x v="12"/>
    <s v="802Um00000Dzg7h"/>
    <s v="PE00392783"/>
    <s v="0004953692"/>
    <x v="0"/>
    <s v="Activated"/>
    <s v="Under Review"/>
    <s v="Makro Supermayorista SA"/>
    <s v="Makro Supermayorista SA"/>
    <s v="CRITEO CORP. United States of America"/>
    <s v="Criteo"/>
    <s v="Peru"/>
    <s v=""/>
    <s v="GLOBAL"/>
    <s v="Aleph Peru"/>
    <s v="Mexico"/>
    <s v="Dynamic Ads"/>
    <s v="Auction / Budget"/>
    <s v="Auction / Budget"/>
    <s v="USD"/>
    <s v="USD"/>
    <s v="106852"/>
    <n v="2000"/>
    <n v="2000"/>
    <n v="1"/>
    <n v="1"/>
    <n v="1"/>
    <n v="0.85"/>
    <n v="1"/>
    <n v="0"/>
    <m/>
    <n v="2000"/>
    <n v="2000"/>
    <n v="2000"/>
    <n v="2000"/>
    <n v="2000"/>
    <m/>
    <n v="2000"/>
    <n v="2000"/>
    <n v="0"/>
    <n v="0"/>
    <n v="0"/>
    <n v="0"/>
    <s v="SOIPE-000010267"/>
    <s v="SO Exported to ERP"/>
    <s v="POIME-000032905"/>
    <s v="PO Exported to ERP"/>
    <m/>
    <s v=""/>
    <s v="Aleph Mexico"/>
    <n v="1"/>
    <s v="PE_CRITEO_MAKRO_FEB 2026"/>
    <s v="Makro Supermayorista SA"/>
    <s v="20492092313"/>
    <s v="Rodrigo Aldecoa"/>
    <x v="0"/>
    <s v="Client Performance Driven (ROI)"/>
    <s v="Traditional (Local Team)"/>
    <s v="28/2/2026"/>
    <s v="30 days"/>
    <m/>
    <n v="18"/>
    <s v="OK"/>
  </r>
  <r>
    <s v="115210-February"/>
    <s v="2026"/>
    <s v="February"/>
    <s v="February/2026"/>
    <s v="28/2/2026"/>
    <x v="13"/>
    <s v="802Um00000EDiXp"/>
    <s v="PE00406819"/>
    <s v="0004959901"/>
    <x v="0"/>
    <s v="Activated"/>
    <s v="Under Review"/>
    <s v="COMPAÑIA HARD DISCOUNT S.A.C."/>
    <s v="COMPAÑIA HARD DISCOUNT S.A.C."/>
    <s v="CRITEO CORP. United States of America"/>
    <s v="Criteo"/>
    <s v="Peru"/>
    <s v=""/>
    <s v="GLOBAL"/>
    <s v="Aleph Peru"/>
    <s v="Mexico"/>
    <s v="Dynamic Ads"/>
    <s v="Auction / Budget"/>
    <s v="Auction / Budget"/>
    <s v="USD"/>
    <s v="USD"/>
    <s v="115210"/>
    <n v="3000"/>
    <n v="3000"/>
    <n v="1"/>
    <n v="1"/>
    <n v="1"/>
    <n v="0.91"/>
    <n v="1"/>
    <n v="0"/>
    <m/>
    <n v="3000"/>
    <n v="3000"/>
    <n v="3000"/>
    <n v="3000"/>
    <n v="3000"/>
    <m/>
    <n v="3000"/>
    <n v="3000"/>
    <n v="0"/>
    <n v="0"/>
    <n v="0"/>
    <n v="0"/>
    <s v="SOIPE-000010278"/>
    <s v="SO Exported to ERP"/>
    <s v="POIME-000032904"/>
    <s v="PO Exported to ERP"/>
    <m/>
    <s v=""/>
    <s v="Aleph Mexico"/>
    <n v="1"/>
    <s v="PE_CRITEO_TIENDAS MASS_FEB 2026"/>
    <s v="COMPAÑIA HARD DISCOUNT S.A.C."/>
    <s v="20608280333"/>
    <s v="Rodrigo Aldecoa"/>
    <x v="0"/>
    <s v="Client Performance Driven (ROI)"/>
    <s v="Traditional (Local Team)"/>
    <s v="28/2/2026"/>
    <s v="30 days"/>
    <m/>
    <n v="4"/>
    <s v="OK"/>
  </r>
  <r>
    <s v="55367-February"/>
    <s v="2026"/>
    <s v="February"/>
    <s v="February/2026"/>
    <s v="28/2/2026"/>
    <x v="14"/>
    <s v="802Um00000EPiYs"/>
    <s v="PE00392787"/>
    <s v="0004966080"/>
    <x v="0"/>
    <s v="Activated"/>
    <s v="Under Review"/>
    <s v="COMPAÑIA FOOD RETAIL Perú"/>
    <s v="!X COMPAÑIA FOOD RETAIL S.A.C."/>
    <s v="CRITEO CORP. United States of America"/>
    <s v="Criteo"/>
    <s v="Peru"/>
    <s v=""/>
    <s v="GLOBAL"/>
    <s v="Aleph Peru"/>
    <s v="Mexico"/>
    <s v="Dynamic Ads"/>
    <s v="Auction / Budget"/>
    <s v="Auction / Budget"/>
    <s v="USD"/>
    <s v="USD"/>
    <s v="55367"/>
    <n v="6300"/>
    <n v="6300"/>
    <n v="1"/>
    <n v="1"/>
    <n v="1"/>
    <n v="0.85"/>
    <n v="1"/>
    <n v="0"/>
    <m/>
    <n v="6300"/>
    <n v="6300"/>
    <n v="6300"/>
    <n v="6300"/>
    <n v="6300"/>
    <m/>
    <n v="6300"/>
    <n v="6300"/>
    <n v="0"/>
    <n v="0"/>
    <n v="0"/>
    <n v="0"/>
    <s v="SOIPE-000010276"/>
    <s v="SO Exported to ERP"/>
    <s v="POIME-000032919"/>
    <s v="PO Exported to ERP"/>
    <m/>
    <s v=""/>
    <s v="Aleph Mexico"/>
    <n v="1"/>
    <s v="PE_CRITEO_PLAZAVEA_2026_FEB PIPE"/>
    <s v="COMPAÑIA FOOD RETAIL Perú"/>
    <s v="20608300393"/>
    <s v="Rodrigo Aldecoa"/>
    <x v="0"/>
    <s v="Client Performance Driven (ROI)"/>
    <s v="Traditional (Local Team)"/>
    <s v="28/2/2026"/>
    <s v="30 days"/>
    <m/>
    <n v="14"/>
    <s v="OK"/>
  </r>
  <r>
    <s v="107434-February"/>
    <s v="2026"/>
    <s v="February"/>
    <s v="February/2026"/>
    <s v="28/2/2026"/>
    <x v="15"/>
    <s v="802Um00000EPjjR"/>
    <s v="PE00392763"/>
    <s v="0004966081"/>
    <x v="0"/>
    <s v="Activated"/>
    <s v="Under Review"/>
    <s v="BANCO BBVA PERÚ PERÚ"/>
    <s v="BANCO BBVA PERÚ SA"/>
    <s v="CRITEO CORP. United States of America"/>
    <s v="Criteo"/>
    <s v="Peru"/>
    <s v=""/>
    <s v="GLOBAL"/>
    <s v="Aleph Peru"/>
    <s v="Mexico"/>
    <s v="Dynamic Ads"/>
    <s v="Auction / Budget"/>
    <s v="Auction / Budget"/>
    <s v="USD"/>
    <s v="USD"/>
    <s v="107434"/>
    <n v="848.2"/>
    <n v="848.2"/>
    <n v="1"/>
    <n v="1"/>
    <n v="1"/>
    <n v="0.85"/>
    <n v="1"/>
    <n v="0"/>
    <m/>
    <n v="848.2"/>
    <n v="848.2"/>
    <n v="848.2"/>
    <n v="848.2"/>
    <n v="848.2"/>
    <m/>
    <n v="848.2"/>
    <n v="848.2"/>
    <n v="0"/>
    <n v="0"/>
    <n v="0"/>
    <n v="0"/>
    <s v="SOIPE-000010274"/>
    <s v="SO Exported to ERP"/>
    <s v="POIME-000032918"/>
    <s v="PO Exported to ERP"/>
    <m/>
    <s v=""/>
    <s v="Aleph Mexico"/>
    <n v="1"/>
    <s v="PE_CRITEO_BBVA_FEB_2026"/>
    <s v="BANCO BBVA PERÚ PERÚ"/>
    <s v="20100130204"/>
    <s v="Rodrigo Aldecoa"/>
    <x v="0"/>
    <s v="Client Performance Driven (ROI)"/>
    <s v="Traditional (Local Team)"/>
    <s v="28/2/2026"/>
    <s v="30 days"/>
    <m/>
    <n v="26"/>
    <s v="OK"/>
  </r>
  <r>
    <s v="41643-February"/>
    <s v="2026"/>
    <s v="February"/>
    <s v="February/2026"/>
    <s v="28/2/2026"/>
    <x v="16"/>
    <s v="802Um00000EPpvJ"/>
    <s v="PE00392779"/>
    <s v="0004966290"/>
    <x v="0"/>
    <s v="Activated"/>
    <s v="Under Review"/>
    <s v="TIENDAS PERUANAS SA"/>
    <s v="TIENDAS PERUANAS SA"/>
    <s v="CRITEO CORP. United States of America"/>
    <s v="Criteo"/>
    <s v="Peru"/>
    <s v=""/>
    <s v="GLOBAL"/>
    <s v="Aleph Peru"/>
    <s v="Mexico"/>
    <s v="Dynamic Ads"/>
    <s v="Auction / Budget"/>
    <s v="Auction / Budget"/>
    <s v="USD"/>
    <s v="USD"/>
    <s v="41643"/>
    <n v="2771.71"/>
    <n v="2771.71"/>
    <n v="1"/>
    <n v="1"/>
    <n v="1"/>
    <n v="0.85"/>
    <n v="1"/>
    <n v="0"/>
    <m/>
    <n v="2771.71"/>
    <n v="2771.71"/>
    <n v="2771.71"/>
    <n v="2771.71"/>
    <n v="2771.71"/>
    <m/>
    <n v="2771.71"/>
    <n v="2771.71"/>
    <n v="0"/>
    <n v="0"/>
    <n v="0"/>
    <n v="0"/>
    <s v="SOIPE-000010275"/>
    <s v="SO Exported to ERP"/>
    <s v="POIME-000032917"/>
    <s v="PO Exported to ERP"/>
    <m/>
    <s v=""/>
    <s v="Aleph Mexico"/>
    <n v="1"/>
    <s v="PE_CRITEO_OECHSLE_2026_FEB PIPE"/>
    <s v="TIENDAS PERUANAS SA"/>
    <s v="20493020618"/>
    <s v="Rodrigo Aldecoa"/>
    <x v="0"/>
    <s v="Client Performance Driven (ROI)"/>
    <s v="Traditional (Local Team)"/>
    <s v="28/2/2026"/>
    <s v="30 days"/>
    <m/>
    <n v="12"/>
    <s v="OK"/>
  </r>
  <r>
    <s v="117067-February"/>
    <s v="2026"/>
    <s v="February"/>
    <s v="February/2026"/>
    <s v="28/2/2026"/>
    <x v="17"/>
    <s v="802Um00000EXosP"/>
    <s v="PE00408816"/>
    <s v="0004972522"/>
    <x v="0"/>
    <s v="Activated"/>
    <s v="Under Review"/>
    <s v="Apuesta Total Perú"/>
    <s v="Attachmedia S.A.C."/>
    <s v="CRITEO CORP. United States of America"/>
    <s v="Criteo"/>
    <s v="Peru"/>
    <s v=""/>
    <s v="GLOBAL"/>
    <s v="Aleph Peru"/>
    <s v="Mexico"/>
    <s v="Dynamic Ads"/>
    <s v="Auction / Budget"/>
    <s v="Auction / Budget"/>
    <s v="USD"/>
    <s v="USD"/>
    <s v="117067"/>
    <n v="5184.83"/>
    <n v="5184.83"/>
    <n v="1"/>
    <n v="1"/>
    <n v="1"/>
    <n v="0.91"/>
    <n v="1"/>
    <n v="0"/>
    <m/>
    <n v="5184.83"/>
    <n v="5184.83"/>
    <n v="5184.83"/>
    <n v="5184.83"/>
    <n v="5184.83"/>
    <m/>
    <n v="5184.83"/>
    <n v="5184.83"/>
    <n v="0"/>
    <n v="0"/>
    <n v="0"/>
    <n v="0"/>
    <s v="SOIPE-000010273"/>
    <s v="SO Exported to ERP"/>
    <s v="POIME-000032928"/>
    <s v="PO Exported to ERP"/>
    <m/>
    <s v=""/>
    <s v="Aleph Mexico"/>
    <n v="1"/>
    <s v="PE_Criteo__FEB 2026_APUESTA TOTAL_ATTACH P2"/>
    <s v="Attachmedia S.A.C."/>
    <s v="20505601808"/>
    <s v="Rodrigo Aldecoa"/>
    <x v="0"/>
    <s v="Client Performance Driven (ROI)"/>
    <s v="Traditional (Local Team)"/>
    <s v="28/2/2026"/>
    <s v="30 days"/>
    <m/>
    <n v="7"/>
    <s v="OK"/>
  </r>
  <r>
    <s v="55367-February"/>
    <s v="2026"/>
    <s v="February"/>
    <s v="February/2026"/>
    <s v="28/2/2026"/>
    <x v="18"/>
    <s v="802Um00000EfmLm"/>
    <s v="PE00409587"/>
    <s v="0004988974"/>
    <x v="0"/>
    <s v="Activated"/>
    <s v="Under Review"/>
    <s v="COMPAÑIA FOOD RETAIL Perú"/>
    <s v="!X COMPAÑIA FOOD RETAIL S.A.C."/>
    <s v="CRITEO CORP. United States of America"/>
    <s v="Criteo"/>
    <s v="Peru"/>
    <s v=""/>
    <s v="GLOBAL"/>
    <s v="Aleph Peru"/>
    <s v="Mexico"/>
    <s v="Dynamic Ads"/>
    <s v="Auction / Budget"/>
    <s v="Auction / Budget"/>
    <s v="USD"/>
    <s v="USD"/>
    <s v="55367"/>
    <n v="379.94"/>
    <n v="379.94"/>
    <n v="1"/>
    <n v="1"/>
    <n v="1"/>
    <n v="0.91"/>
    <n v="1"/>
    <n v="0"/>
    <m/>
    <n v="379.94"/>
    <n v="379.94"/>
    <n v="379.94"/>
    <n v="379.94"/>
    <n v="379.94"/>
    <m/>
    <n v="379.94"/>
    <n v="379.94"/>
    <n v="0"/>
    <n v="0"/>
    <n v="0"/>
    <n v="0"/>
    <s v="SOIPE-000010271"/>
    <s v="SO Exported to ERP"/>
    <s v="POIME-000032936"/>
    <s v="PO Exported to ERP"/>
    <m/>
    <s v=""/>
    <s v="Aleph Mexico"/>
    <n v="1"/>
    <s v="PE_CRITEO_PLAZAVEA_2026_FEB 2"/>
    <s v="COMPAÑIA FOOD RETAIL Perú"/>
    <s v="20608300393"/>
    <s v="Rodrigo Aldecoa"/>
    <x v="0"/>
    <s v="Client Performance Driven (ROI)"/>
    <s v="Traditional (Local Team)"/>
    <s v="28/2/2026"/>
    <s v="30 days"/>
    <m/>
    <n v="14"/>
    <s v="OK"/>
  </r>
  <r>
    <s v="39798-February"/>
    <s v="2026"/>
    <s v="February"/>
    <s v="February/2026"/>
    <s v="28/2/2026"/>
    <x v="19"/>
    <s v="802Um00000EfsM9"/>
    <s v="PE00409589"/>
    <s v="0004988972"/>
    <x v="0"/>
    <s v="Activated"/>
    <s v="Under Review"/>
    <s v="HOMECENTERS PERUANOS S.A."/>
    <s v="HOMECENTERS PERUANOS S.A."/>
    <s v="CRITEO CORP. United States of America"/>
    <s v="Criteo"/>
    <s v="Peru"/>
    <s v=""/>
    <s v="GLOBAL"/>
    <s v="Aleph Peru"/>
    <s v="Mexico"/>
    <s v="Dynamic Ads"/>
    <s v="Auction / Budget"/>
    <s v="Auction / Budget"/>
    <s v="USD"/>
    <s v="USD"/>
    <s v="39798"/>
    <n v="180.05"/>
    <n v="180.05"/>
    <n v="1"/>
    <n v="1"/>
    <n v="1"/>
    <n v="0.91"/>
    <n v="1"/>
    <n v="0"/>
    <m/>
    <n v="180.05"/>
    <n v="180.05"/>
    <n v="180.05"/>
    <n v="180.05"/>
    <n v="180.05"/>
    <m/>
    <n v="180.05"/>
    <n v="180.05"/>
    <n v="0"/>
    <n v="0"/>
    <n v="0"/>
    <n v="0"/>
    <s v="SOIPE-000010272"/>
    <s v="SO Exported to ERP"/>
    <s v="POIME-000032934"/>
    <s v="PO Exported to ERP"/>
    <m/>
    <s v=""/>
    <s v="Aleph Mexico"/>
    <n v="1"/>
    <s v="PE_CRITEO_PROMART_2026_FEB 2"/>
    <s v="HOMECENTERS PERUANOS S.A."/>
    <s v="20536557858"/>
    <s v="Rodrigo Aldecoa"/>
    <x v="0"/>
    <s v="Client Performance Driven (ROI)"/>
    <s v="Traditional (Local Team)"/>
    <s v="28/2/2026"/>
    <s v="30 days"/>
    <m/>
    <n v="11"/>
    <s v="OK"/>
  </r>
  <r>
    <s v="120764-February"/>
    <s v="2026"/>
    <s v="February"/>
    <s v="March/2026"/>
    <s v="31/3/2026"/>
    <x v="20"/>
    <s v="802Um00000EvhRZ"/>
    <s v="PE00410816"/>
    <s v="0005002605"/>
    <x v="0"/>
    <s v="Pending Changes Approval Needed"/>
    <s v="Under Review"/>
    <s v="NATURA COSMETICOS S.A. Peru"/>
    <s v="Especialidades Digitales Internacionales SAC"/>
    <s v="CRITEO CORP. United States of America"/>
    <s v="Criteo"/>
    <s v="Peru"/>
    <s v=""/>
    <s v="GLOBAL"/>
    <s v="Aleph Peru"/>
    <s v="Mexico"/>
    <s v="Dynamic Ads"/>
    <s v="Auction / Budget"/>
    <s v="Auction / Budget"/>
    <s v="USD"/>
    <s v="USD"/>
    <s v="120764"/>
    <n v="265.76"/>
    <n v="265.76"/>
    <n v="1"/>
    <n v="1"/>
    <n v="1"/>
    <n v="0.85"/>
    <n v="0.85"/>
    <n v="0"/>
    <m/>
    <n v="265.76"/>
    <n v="265.76"/>
    <n v="265.76"/>
    <n v="225.89599999999999"/>
    <n v="225.9"/>
    <m/>
    <n v="265.76"/>
    <n v="225.89599999999999"/>
    <n v="39.863999999999997"/>
    <n v="39.863999999999997"/>
    <n v="39.863999999999997"/>
    <n v="0.15"/>
    <e v="#N/A"/>
    <e v="#N/A"/>
    <e v="#N/A"/>
    <e v="#N/A"/>
    <m/>
    <s v=""/>
    <s v="Aleph Mexico"/>
    <n v="1"/>
    <s v="PE - CRITEO - HAVAS - NATURA - FEB y MAR - 2026"/>
    <s v="Especialidades Digitales Internacionales PERU"/>
    <s v="20600995031"/>
    <s v="Rodrigo Aldecoa"/>
    <x v="0"/>
    <s v="Client Performance Driven (ROI)"/>
    <s v="Traditional (Local Team)"/>
    <s v="28/2/2026"/>
    <s v="60 days"/>
    <m/>
    <n v="28"/>
    <s v="Less rev/cogs than partner report"/>
  </r>
  <r>
    <s v="98889-February"/>
    <s v="2026"/>
    <s v="February"/>
    <s v="February/2026"/>
    <s v="28/2/2026"/>
    <x v="21"/>
    <s v="802Um00000EfEF8"/>
    <s v="AR00408210"/>
    <s v="0004987349"/>
    <x v="0"/>
    <s v="Activated"/>
    <s v="Under Review"/>
    <s v="Arajet Dominican Republic"/>
    <s v="Arajet S.A."/>
    <s v="CRITEO CORP. United States of America"/>
    <s v="Criteo"/>
    <s v="Argentina"/>
    <s v=""/>
    <s v="GLOBAL"/>
    <s v="Aleph Spain"/>
    <s v="Mexico"/>
    <s v="Dynamic Ads"/>
    <s v="Auction / Budget"/>
    <s v="Auction / Budget"/>
    <s v="USD"/>
    <s v="USD"/>
    <s v="98889"/>
    <n v="1497.88"/>
    <n v="1497.88"/>
    <n v="1"/>
    <n v="1"/>
    <n v="1"/>
    <n v="0.91"/>
    <n v="1"/>
    <n v="0"/>
    <m/>
    <n v="1497.88"/>
    <n v="1497.88"/>
    <n v="1497.88"/>
    <n v="1497.88"/>
    <n v="1497.88"/>
    <m/>
    <n v="1497.88"/>
    <n v="1497.88"/>
    <n v="0"/>
    <n v="0"/>
    <n v="0"/>
    <n v="0"/>
    <s v="SOIES-000001011"/>
    <s v="SO Exported to ERP"/>
    <s v="POIME-000032930"/>
    <s v="PO Exported to ERP"/>
    <m/>
    <s v=""/>
    <s v="Aleph Mexico"/>
    <n v="1"/>
    <s v="AR_CRITEO_ARAJET_FEB_2026"/>
    <s v="Arajet Dominican Republic"/>
    <s v="131094376"/>
    <s v="Maria Candela Lirio"/>
    <x v="0"/>
    <s v="Client Performance Driven (ROI)"/>
    <s v="Traditional (Local Team)"/>
    <s v="28/2/2026"/>
    <s v="60 days"/>
    <m/>
    <n v="2"/>
    <s v="OK"/>
  </r>
  <r>
    <s v="99591-February"/>
    <s v="2026"/>
    <s v="February"/>
    <s v="February/2026"/>
    <s v="28/2/2026"/>
    <x v="22"/>
    <s v="802Uj00000ILzgz"/>
    <s v="PE00314814"/>
    <s v="0004184060"/>
    <x v="0"/>
    <s v="Activated"/>
    <s v="Under Review"/>
    <s v="AP LATAM HOLDINGS, LLC United States of America"/>
    <s v="AP LATAM HOLDINGS, LLC"/>
    <s v="CRITEO CORP. United States of America"/>
    <s v="Criteo"/>
    <s v="Peru"/>
    <s v=""/>
    <s v="GLOBAL"/>
    <s v="Aleph USA"/>
    <s v="Mexico"/>
    <s v="Dynamic Ads"/>
    <s v="Auction / Budget"/>
    <s v="Auction / Budget"/>
    <s v="USD"/>
    <s v="USD"/>
    <s v="99591"/>
    <n v="1998.87"/>
    <n v="1998.87"/>
    <n v="1"/>
    <n v="1"/>
    <n v="1"/>
    <n v="0.91"/>
    <n v="1"/>
    <n v="0"/>
    <m/>
    <n v="1998.87"/>
    <n v="1998.87"/>
    <n v="1998.87"/>
    <n v="1998.87"/>
    <n v="1998.87"/>
    <m/>
    <n v="20501.04"/>
    <n v="1998.87"/>
    <n v="0"/>
    <n v="0"/>
    <n v="0"/>
    <n v="0"/>
    <s v="SOIUS-000002116"/>
    <s v="SO Exported to ERP"/>
    <s v="POIME-000021070"/>
    <s v="PO Exported to ERP"/>
    <m/>
    <s v=""/>
    <s v="Aleph Mexico"/>
    <n v="1"/>
    <s v="PE_USMP_CRITEO_MAYO 2025"/>
    <s v="AP LATAM HOLDINGS, LLC United States of America"/>
    <s v="815181325"/>
    <s v="Andrea Burga"/>
    <x v="0"/>
    <s v="Client Performance Driven (ROI)"/>
    <s v="Traditional (Local Team)"/>
    <s v="28/2/2026"/>
    <s v="30 days"/>
    <m/>
    <n v="17"/>
    <s v="OK"/>
  </r>
  <r>
    <s v="114667-February"/>
    <s v="2026"/>
    <s v="February"/>
    <s v="February/2026"/>
    <s v="28/2/2026"/>
    <x v="23"/>
    <s v="802Uj00000IM3Hb"/>
    <s v="PE00349925"/>
    <s v="0004186494"/>
    <x v="0"/>
    <s v="Activated"/>
    <s v="Under Review"/>
    <s v="UNIVERSIDAD CIENTIFICA DEL SUR S.A.C."/>
    <s v="QUAL MEDIA S.A.C."/>
    <s v="CRITEO CORP. United States of America"/>
    <s v="Criteo"/>
    <s v="Peru"/>
    <s v=""/>
    <s v="GLOBAL"/>
    <s v="Aleph Peru"/>
    <s v="Mexico"/>
    <s v="Dynamic Ads"/>
    <s v="Auction / Budget"/>
    <s v="Auction / Budget"/>
    <s v="USD"/>
    <s v="USD"/>
    <s v="114667"/>
    <n v="16105.49"/>
    <n v="16105.49"/>
    <n v="1"/>
    <n v="1"/>
    <n v="1"/>
    <n v="0.85"/>
    <n v="1"/>
    <n v="0"/>
    <m/>
    <n v="16105.49"/>
    <n v="16105.49"/>
    <n v="16105.49"/>
    <n v="16105.49"/>
    <n v="16105.49"/>
    <m/>
    <n v="78847.45"/>
    <n v="16105.49"/>
    <n v="0"/>
    <n v="0"/>
    <n v="0"/>
    <n v="0"/>
    <s v="SOIPE-000007234"/>
    <s v="SO Exported to ERP"/>
    <s v="POIME-000026121"/>
    <s v="PO Exported to ERP"/>
    <m/>
    <s v=""/>
    <s v="Aleph Mexico"/>
    <n v="1"/>
    <s v="PE_CRITEO_UCSUR_JUNIO 2025"/>
    <s v="QUAL MEDIA S.A.C., Peru"/>
    <s v="20509867560"/>
    <s v="Andrea Burga"/>
    <x v="0"/>
    <s v="Client Performance Driven (ROI)"/>
    <s v="Traditional (Local Team)"/>
    <s v="28/2/2026"/>
    <s v="75 days"/>
    <m/>
    <n v="3"/>
    <s v="OK"/>
  </r>
  <r>
    <s v="74346-February"/>
    <s v="2026"/>
    <s v="February"/>
    <s v="February/2026"/>
    <s v="28/2/2026"/>
    <x v="24"/>
    <s v="802Uj00000IM4K0"/>
    <s v="PE00276252"/>
    <s v="0004188518"/>
    <x v="0"/>
    <s v="Activated"/>
    <s v="Under Review"/>
    <s v="EL PACIFICO VIDA CIA DE SEGUROS Y REASEGUROS S.A."/>
    <s v="QUAL MEDIA S.A.C."/>
    <s v="CRITEO CORP. United States of America"/>
    <s v="Criteo"/>
    <s v="Peru"/>
    <s v=""/>
    <s v="GLOBAL"/>
    <s v="Aleph Peru"/>
    <s v="Mexico"/>
    <s v="Dynamic Ads"/>
    <s v="Auction / Budget"/>
    <s v="Auction / Budget"/>
    <s v="USD"/>
    <s v="USD"/>
    <s v="74346"/>
    <n v="3699.53"/>
    <n v="3699.53"/>
    <n v="1"/>
    <n v="1"/>
    <n v="1"/>
    <n v="0.91"/>
    <n v="1"/>
    <n v="0"/>
    <m/>
    <n v="3699.53"/>
    <n v="3699.53"/>
    <n v="3699.53"/>
    <n v="3699.53"/>
    <n v="3699.53"/>
    <m/>
    <n v="55543.41"/>
    <n v="3699.53"/>
    <n v="0"/>
    <n v="0"/>
    <n v="0"/>
    <n v="0"/>
    <s v="SOIPE-000003644"/>
    <s v="SO Exported to ERP"/>
    <s v="POIME-000016807"/>
    <s v="PO Exported to ERP"/>
    <m/>
    <s v=""/>
    <s v="Aleph Mexico"/>
    <n v="1"/>
    <s v="PE_CRITEO_PACIFICO SEGUROS_2025_MAYO"/>
    <s v="QUAL MEDIA S.A.C., Peru"/>
    <s v="20509867560"/>
    <s v="Andrea Burga"/>
    <x v="0"/>
    <s v="Client Performance Driven (ROI)"/>
    <s v="Traditional (Local Team)"/>
    <s v="28/2/2026"/>
    <s v="75 days"/>
    <m/>
    <n v="21"/>
    <s v="OK"/>
  </r>
  <r>
    <s v="107799-February"/>
    <s v="2026"/>
    <s v="February"/>
    <s v="February/2026"/>
    <s v="28/2/2026"/>
    <x v="25"/>
    <s v="802Uj00000Jcyfu"/>
    <s v="PE00287203"/>
    <s v="0004248624"/>
    <x v="0"/>
    <s v="Activated"/>
    <s v="Under Review"/>
    <s v="CONFEDERACION DE DESARROLLADORES INMOBILIARIOS DEL PERU- CODIPPeru"/>
    <s v="CONFEDERACION DE DESARROLLADORES INMOBILIARIOS DEL PERU- CODIP"/>
    <s v="CRITEO CORP. United States of America"/>
    <s v="Criteo"/>
    <s v="Peru"/>
    <s v=""/>
    <s v="GLOBAL"/>
    <s v="Aleph Peru"/>
    <s v="Mexico"/>
    <s v="Dynamic Ads"/>
    <s v="Auction / Budget"/>
    <s v="Auction / Budget"/>
    <s v="USD"/>
    <s v="USD"/>
    <s v="107799"/>
    <n v="4773.92"/>
    <n v="4773.92"/>
    <n v="1"/>
    <n v="1"/>
    <n v="1"/>
    <n v="0.91"/>
    <n v="1"/>
    <n v="0"/>
    <m/>
    <n v="4773.92"/>
    <n v="4773.92"/>
    <n v="4773.92"/>
    <n v="4773.92"/>
    <n v="4773.92"/>
    <m/>
    <n v="44372.9"/>
    <n v="4773.92"/>
    <n v="0"/>
    <n v="0"/>
    <n v="0"/>
    <n v="0"/>
    <s v="SOIPE-000003676"/>
    <s v="SO Exported to ERP"/>
    <s v="POIME-000019588"/>
    <s v="PO Exported to ERP"/>
    <m/>
    <s v="Factura Mayo"/>
    <s v="Aleph Mexico"/>
    <n v="1"/>
    <s v="PE_ASEI NEXO_CRITEO_ABRIL MAYO 2025"/>
    <s v="CONFEDERACION DE DESARROLLADORES INMOBILIARIOS DEL PERU- CODIPPeru"/>
    <s v="20552213832"/>
    <s v="Andrea Burga"/>
    <x v="0"/>
    <s v="Client Performance Driven (ROI)"/>
    <s v="Traditional (Local Team)"/>
    <s v="28/2/2026"/>
    <s v="30 days"/>
    <m/>
    <n v="23"/>
    <s v="OK"/>
  </r>
  <r>
    <s v="103986-February"/>
    <s v="2026"/>
    <s v="February"/>
    <s v="February/2026"/>
    <s v="28/2/2026"/>
    <x v="26"/>
    <s v="802Uj00000OKEiZ"/>
    <s v="PE00277713"/>
    <s v="0004746208"/>
    <x v="0"/>
    <s v="Activated"/>
    <s v="Under Review"/>
    <s v="NESSUS HOTELES PERU S.A."/>
    <s v="NESSUS HOTELES PERU S.A."/>
    <s v="CRITEO CORP. United States of America"/>
    <s v="Criteo"/>
    <s v="Peru"/>
    <s v=""/>
    <s v="GLOBAL"/>
    <s v="Aleph Peru"/>
    <s v="Mexico"/>
    <s v="Dynamic Ads"/>
    <s v="Auction / Budget"/>
    <s v="Auction / Budget"/>
    <s v="USD"/>
    <s v="USD"/>
    <s v="103986"/>
    <n v="2986.68"/>
    <n v="2986.68"/>
    <n v="1"/>
    <n v="1"/>
    <n v="1"/>
    <n v="0.91"/>
    <n v="1"/>
    <n v="0"/>
    <m/>
    <n v="2986.68"/>
    <n v="2986.68"/>
    <n v="2986.68"/>
    <n v="2986.68"/>
    <n v="2986.68"/>
    <m/>
    <n v="25322.44"/>
    <n v="2986.68"/>
    <n v="0"/>
    <n v="0"/>
    <n v="0"/>
    <n v="0"/>
    <s v="SOIPE-000003641"/>
    <s v="SO Exported to ERP"/>
    <s v="POIME-000018208"/>
    <s v="PO Exported to ERP"/>
    <m/>
    <s v=""/>
    <s v="Aleph Mexico"/>
    <n v="1"/>
    <s v="PE_CRITEO_CASA ANDINA_2025_MAYO"/>
    <s v="NESSUS HOTELES PERU S.A."/>
    <s v="20505670443"/>
    <s v="Andrea Burga"/>
    <x v="0"/>
    <s v="Client Performance Driven (ROI)"/>
    <s v="Traditional (Local Team)"/>
    <s v="28/2/2026"/>
    <s v="30 days"/>
    <m/>
    <n v="19"/>
    <s v="OK"/>
  </r>
  <r>
    <s v="119907-February"/>
    <s v="2026"/>
    <s v="February"/>
    <s v="February/2026"/>
    <s v="28/2/2026"/>
    <x v="27"/>
    <s v="802Um00000Djl0J"/>
    <s v="PE00398043"/>
    <s v="0004930416"/>
    <x v="0"/>
    <s v="Activated"/>
    <s v="Under Review"/>
    <s v="SISE"/>
    <s v="MEDIAWISE S.A.C"/>
    <s v="CRITEO CORP. United States of America"/>
    <s v="Criteo"/>
    <s v="Peru"/>
    <s v=""/>
    <s v="GLOBAL"/>
    <s v="Aleph Peru"/>
    <s v="Mexico"/>
    <s v="Dynamic Ads"/>
    <s v="Auction / Budget"/>
    <s v="Auction / Budget"/>
    <s v="USD"/>
    <s v="USD"/>
    <s v="119907"/>
    <n v="8000"/>
    <n v="8000"/>
    <n v="1"/>
    <n v="1"/>
    <n v="1"/>
    <n v="0.91"/>
    <n v="1"/>
    <n v="0"/>
    <m/>
    <n v="8000"/>
    <n v="8000"/>
    <n v="8000"/>
    <n v="8000"/>
    <n v="8000"/>
    <m/>
    <n v="16823.87"/>
    <n v="8000"/>
    <n v="0"/>
    <n v="0"/>
    <n v="0"/>
    <n v="0"/>
    <s v="SOIPE-000010173"/>
    <s v="SO Exported to ERP"/>
    <s v="POIME-000032214"/>
    <s v="PO Exported to ERP"/>
    <m/>
    <s v=""/>
    <s v="Aleph Mexico"/>
    <n v="1"/>
    <s v="PE_SISE_CRITEO_ENE_26"/>
    <s v="MEDIAWISE S.A.C, Peru"/>
    <s v="20550082722"/>
    <s v="Andrea Burga"/>
    <x v="0"/>
    <s v="Client Performance Driven (ROI)"/>
    <s v="Traditional (Local Team)"/>
    <s v="28/2/2026"/>
    <s v="60 days"/>
    <m/>
    <n v="9"/>
    <s v="OK"/>
  </r>
  <r>
    <s v="31764-February"/>
    <s v="2026"/>
    <s v="February"/>
    <s v="February/2026"/>
    <s v="28/2/2026"/>
    <x v="28"/>
    <s v="802Um00000DkpJO"/>
    <s v="CO00391696"/>
    <s v="0004932626"/>
    <x v="0"/>
    <s v="Activated"/>
    <s v="Under Review"/>
    <s v="SONY LATIN AMERICA INC. United States of America"/>
    <s v="Group M Worldwide LLC DBA EssenceMediacom Miami"/>
    <s v="CRITEO CORP. United States of America"/>
    <s v="Criteo"/>
    <s v="Colombia"/>
    <s v=""/>
    <s v="GLOBAL"/>
    <s v="Aleph USA"/>
    <s v="Mexico"/>
    <s v="Dynamic Ads"/>
    <s v="Auction / Budget"/>
    <s v="Auction / Budget"/>
    <s v="USD"/>
    <s v="USD"/>
    <s v="31764"/>
    <n v="288.47000000000003"/>
    <n v="288.47000000000003"/>
    <n v="1"/>
    <n v="1"/>
    <n v="1"/>
    <n v="0.91"/>
    <n v="1"/>
    <n v="0"/>
    <m/>
    <n v="288.47000000000003"/>
    <n v="288.47000000000003"/>
    <n v="288.47000000000003"/>
    <n v="288.47000000000003"/>
    <n v="288.47000000000003"/>
    <m/>
    <n v="288.47000000000003"/>
    <n v="288.47000000000003"/>
    <n v="0"/>
    <n v="0"/>
    <n v="0"/>
    <n v="0"/>
    <s v="SOIUS-000002996"/>
    <s v="SO Exported to ERP"/>
    <s v="POIME-000032887"/>
    <s v="PO Exported to ERP"/>
    <m/>
    <s v=""/>
    <s v="Aleph Mexico"/>
    <n v="1"/>
    <s v="COL_CRITEO_MEDIACOM MIAMI_SONY ALON_FEBRERO 2026"/>
    <s v="Group M Worldwide LLC DBA EssenceMediacom Miami"/>
    <s v="204031493"/>
    <s v="Paola Reina"/>
    <x v="0"/>
    <s v="Client Performance Driven (ROI)"/>
    <s v="Traditional (Local Team)"/>
    <s v="28/2/2026"/>
    <s v="30 days"/>
    <m/>
    <n v="1"/>
    <s v="OK"/>
  </r>
  <r>
    <s v="120332-February"/>
    <s v="2026"/>
    <s v="February"/>
    <s v="February/2026"/>
    <s v="28/2/2026"/>
    <x v="29"/>
    <s v="802Um00000E0KBZ"/>
    <s v="CO00373095"/>
    <s v="0004953815"/>
    <x v="0"/>
    <s v="Activated"/>
    <s v="Under Review"/>
    <s v="Cueros Velez Colombia"/>
    <s v="SISTEMAS COLOMBIA S A S"/>
    <s v="CRITEO CORP. United States of America"/>
    <s v="Criteo"/>
    <s v="Colombia"/>
    <s v=""/>
    <s v="GLOBAL"/>
    <s v="Aleph Colombia"/>
    <s v="Mexico"/>
    <s v="Dynamic Ads"/>
    <s v="Auction / Budget"/>
    <s v="Auction / Budget"/>
    <s v="COP"/>
    <s v="USD"/>
    <s v="120332"/>
    <n v="2065.75"/>
    <n v="2065.75"/>
    <n v="1"/>
    <n v="1"/>
    <n v="1"/>
    <n v="0.85"/>
    <n v="1"/>
    <n v="0"/>
    <m/>
    <n v="2065.75"/>
    <n v="2065.75"/>
    <n v="7953137.5"/>
    <n v="2065.75"/>
    <n v="2065.75"/>
    <n v="3850"/>
    <n v="2065.75"/>
    <n v="2065.75"/>
    <n v="172903.27499999999"/>
    <n v="0"/>
    <n v="0"/>
    <n v="0"/>
    <s v="SOICO-000004001"/>
    <s v="SO Exported to ERP"/>
    <s v="POIME-000032902"/>
    <s v="PO Exported to ERP"/>
    <m/>
    <s v=""/>
    <s v="Aleph Mexico"/>
    <n v="3766.3"/>
    <s v="COL_CRITEO_ADBID_VELEZ PE_FEBRERO 2026"/>
    <s v="SISTEMAS COLOMBIA COLOMBIA"/>
    <s v="9002185787"/>
    <s v="Paola Reina"/>
    <x v="0"/>
    <s v="Client Performance Driven (ROI)"/>
    <s v="Traditional (Local Team)"/>
    <s v="28/2/2026"/>
    <s v="60 days"/>
    <m/>
    <n v="25"/>
    <s v="OK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B13ZZ12602005743"/>
    <s v="IN"/>
    <d v="2026-02-28T00:00:00"/>
    <d v="2026-02-01T00:00:00"/>
    <d v="2026-02-28T00:00:00"/>
    <s v="Invoice"/>
    <s v="INVOICED"/>
    <s v="PE"/>
    <x v="0"/>
    <x v="0"/>
    <s v=""/>
    <s v="13"/>
    <s v="Criteo Corp"/>
    <n v="2100001461"/>
    <s v="Aleph CO"/>
    <s v="IMM Internet Media México, S. de R.L. de C.V."/>
    <s v="MX"/>
    <x v="0"/>
    <n v="288.47000000000003"/>
    <n v="288.47000000000003"/>
    <n v="0"/>
  </r>
  <r>
    <s v="B13ZZ12602005743"/>
    <s v="IN"/>
    <d v="2026-02-28T00:00:00"/>
    <d v="2026-02-03T00:00:00"/>
    <d v="2026-02-28T00:00:00"/>
    <s v="Invoice"/>
    <s v="INVOICED"/>
    <s v="PE"/>
    <x v="1"/>
    <x v="1"/>
    <s v=""/>
    <s v="13"/>
    <s v="Criteo Corp"/>
    <n v="2100001461"/>
    <s v="Aleph CO"/>
    <s v="IMM Internet Media México, S. de R.L. de C.V."/>
    <s v="MX"/>
    <x v="0"/>
    <n v="2065.75"/>
    <n v="2065.75"/>
    <n v="0"/>
  </r>
  <r>
    <s v="B13ZZ12602005745"/>
    <s v="IN"/>
    <d v="2026-02-28T00:00:00"/>
    <d v="2026-02-01T00:00:00"/>
    <d v="2026-02-28T00:00:00"/>
    <s v="Invoice"/>
    <s v="INVOICED"/>
    <s v="PE"/>
    <x v="2"/>
    <x v="2"/>
    <s v=""/>
    <s v="13"/>
    <s v="Criteo Corp"/>
    <n v="2100001966"/>
    <s v="Aleph AR"/>
    <s v="IMM Internet Media México, S. de R.L. de C.V."/>
    <s v="MX"/>
    <x v="0"/>
    <n v="1497.88"/>
    <n v="1497.88"/>
    <n v="0"/>
  </r>
  <r>
    <s v="B13ZZ12602005746"/>
    <s v="IN"/>
    <d v="2026-02-28T00:00:00"/>
    <d v="2026-02-01T00:00:00"/>
    <d v="2026-02-28T00:00:00"/>
    <s v="Invoice"/>
    <s v="INVOICED"/>
    <s v="PE"/>
    <x v="3"/>
    <x v="3"/>
    <s v=""/>
    <s v="13"/>
    <s v="Criteo Corp"/>
    <n v="2100001899"/>
    <s v="Aleph PE"/>
    <s v="IMM Internet Media México, S. de R.L. de C.V."/>
    <s v="MX"/>
    <x v="0"/>
    <n v="999.97"/>
    <n v="999.97"/>
    <n v="0"/>
  </r>
  <r>
    <s v="B13ZZ12602005746"/>
    <s v="IN"/>
    <d v="2026-02-28T00:00:00"/>
    <d v="2026-02-01T00:00:00"/>
    <d v="2026-02-28T00:00:00"/>
    <s v="Invoice"/>
    <s v="INVOICED"/>
    <s v="PE"/>
    <x v="4"/>
    <x v="4"/>
    <s v=""/>
    <s v="13"/>
    <s v="Criteo Corp"/>
    <n v="2100001899"/>
    <s v="Aleph PE"/>
    <s v="IMM Internet Media México, S. de R.L. de C.V."/>
    <s v="MX"/>
    <x v="0"/>
    <n v="4773.92"/>
    <n v="4773.92"/>
    <n v="0"/>
  </r>
  <r>
    <s v="B13ZZ12602005746"/>
    <s v="IN"/>
    <d v="2026-02-28T00:00:00"/>
    <d v="2026-02-20T00:00:00"/>
    <d v="2026-02-28T00:00:00"/>
    <s v="Invoice"/>
    <s v="INVOICED"/>
    <s v="PE"/>
    <x v="5"/>
    <x v="5"/>
    <s v=""/>
    <s v="13"/>
    <s v="Criteo Corp"/>
    <n v="2100001899"/>
    <s v="Aleph PE"/>
    <s v="IMM Internet Media México, S. de R.L. de C.V."/>
    <s v="MX"/>
    <x v="0"/>
    <n v="848.2"/>
    <n v="848.2"/>
    <n v="0"/>
  </r>
  <r>
    <s v="B13ZZ12602005746"/>
    <s v="IN"/>
    <d v="2026-02-28T00:00:00"/>
    <d v="2026-02-12T00:00:00"/>
    <d v="2026-02-26T00:00:00"/>
    <s v="Invoice"/>
    <s v="INVOICED"/>
    <s v="PE"/>
    <x v="6"/>
    <x v="6"/>
    <s v=""/>
    <s v="13"/>
    <s v="Criteo Corp"/>
    <n v="2100001899"/>
    <s v="Aleph PE"/>
    <s v="IMM Internet Media México, S. de R.L. de C.V."/>
    <s v="MX"/>
    <x v="0"/>
    <n v="2000"/>
    <n v="2000"/>
    <n v="0"/>
  </r>
  <r>
    <s v="B13ZZ12602005746"/>
    <s v="IN"/>
    <d v="2026-02-28T00:00:00"/>
    <d v="2026-02-01T00:00:00"/>
    <d v="2026-02-28T00:00:00"/>
    <s v="Invoice"/>
    <s v="INVOICED"/>
    <s v="PE"/>
    <x v="7"/>
    <x v="7"/>
    <s v=""/>
    <s v="13"/>
    <s v="Criteo Corp"/>
    <n v="2100001899"/>
    <s v="Aleph PE"/>
    <s v="IMM Internet Media México, S. de R.L. de C.V."/>
    <s v="MX"/>
    <x v="0"/>
    <n v="16105.49"/>
    <n v="16105.49"/>
    <n v="0"/>
  </r>
  <r>
    <s v="B13ZZ12602005746"/>
    <s v="IN"/>
    <d v="2026-02-28T00:00:00"/>
    <d v="2026-02-01T00:00:00"/>
    <d v="2026-02-28T00:00:00"/>
    <s v="Invoice"/>
    <s v="INVOICED"/>
    <s v="PE"/>
    <x v="8"/>
    <x v="8"/>
    <s v=""/>
    <s v="13"/>
    <s v="Criteo Corp"/>
    <n v="2100001899"/>
    <s v="Aleph PE"/>
    <s v="IMM Internet Media México, S. de R.L. de C.V."/>
    <s v="MX"/>
    <x v="0"/>
    <n v="4027.45"/>
    <n v="4027.45"/>
    <n v="0"/>
  </r>
  <r>
    <s v="B13ZZ12602005746"/>
    <s v="IN"/>
    <d v="2026-02-28T00:00:00"/>
    <d v="2026-02-01T00:00:00"/>
    <d v="2026-02-28T00:00:00"/>
    <s v="Invoice"/>
    <s v="INVOICED"/>
    <s v="PE"/>
    <x v="9"/>
    <x v="9"/>
    <s v=""/>
    <s v="13"/>
    <s v="Criteo Corp"/>
    <n v="2100001899"/>
    <s v="Aleph PE"/>
    <s v="IMM Internet Media México, S. de R.L. de C.V."/>
    <s v="MX"/>
    <x v="0"/>
    <n v="1999.95"/>
    <n v="1999.95"/>
    <n v="0"/>
  </r>
  <r>
    <s v="B13ZZ12602005746"/>
    <s v="IN"/>
    <d v="2026-02-28T00:00:00"/>
    <d v="2026-02-01T00:00:00"/>
    <d v="2026-02-28T00:00:00"/>
    <s v="Invoice"/>
    <s v="INVOICED"/>
    <s v="PE"/>
    <x v="10"/>
    <x v="10"/>
    <s v=""/>
    <s v="13"/>
    <s v="Criteo Corp"/>
    <n v="2100001899"/>
    <s v="Aleph PE"/>
    <s v="IMM Internet Media México, S. de R.L. de C.V."/>
    <s v="MX"/>
    <x v="0"/>
    <n v="2986.68"/>
    <n v="2986.68"/>
    <n v="0"/>
  </r>
  <r>
    <s v="B13ZZ12602005746"/>
    <s v="IN"/>
    <d v="2026-02-28T00:00:00"/>
    <d v="2026-02-01T00:00:00"/>
    <d v="2026-02-28T00:00:00"/>
    <s v="Invoice"/>
    <s v="INVOICED"/>
    <s v="PE"/>
    <x v="11"/>
    <x v="11"/>
    <s v=""/>
    <s v="13"/>
    <s v="Criteo Corp"/>
    <n v="2100001899"/>
    <s v="Aleph PE"/>
    <s v="IMM Internet Media México, S. de R.L. de C.V."/>
    <s v="MX"/>
    <x v="0"/>
    <n v="2398.79"/>
    <n v="2398.79"/>
    <n v="0"/>
  </r>
  <r>
    <s v="B13ZZ12602005746"/>
    <s v="IN"/>
    <d v="2026-02-28T00:00:00"/>
    <d v="2026-02-01T00:00:00"/>
    <d v="2026-02-28T00:00:00"/>
    <s v="Invoice"/>
    <s v="INVOICED"/>
    <s v="PE"/>
    <x v="12"/>
    <x v="12"/>
    <s v=""/>
    <s v="13"/>
    <s v="Criteo Corp"/>
    <n v="2100001899"/>
    <s v="Aleph PE"/>
    <s v="IMM Internet Media México, S. de R.L. de C.V."/>
    <s v="MX"/>
    <x v="0"/>
    <n v="5184.83"/>
    <n v="5184.83"/>
    <n v="0"/>
  </r>
  <r>
    <s v="B13ZZ12602005746"/>
    <s v="IN"/>
    <d v="2026-02-28T00:00:00"/>
    <d v="2026-02-01T00:00:00"/>
    <d v="2026-02-25T00:00:00"/>
    <s v="Invoice"/>
    <s v="INVOICED"/>
    <s v="PE"/>
    <x v="13"/>
    <x v="13"/>
    <s v=""/>
    <s v="13"/>
    <s v="Criteo Corp"/>
    <n v="2100001899"/>
    <s v="Aleph PE"/>
    <s v="IMM Internet Media México, S. de R.L. de C.V."/>
    <s v="MX"/>
    <x v="0"/>
    <n v="912.96"/>
    <n v="912.96"/>
    <n v="0"/>
  </r>
  <r>
    <s v="B13ZZ12602005746"/>
    <s v="IN"/>
    <d v="2026-02-28T00:00:00"/>
    <d v="2026-02-01T00:00:00"/>
    <d v="2026-02-28T00:00:00"/>
    <s v="Invoice"/>
    <s v="INVOICED"/>
    <s v="PE"/>
    <x v="14"/>
    <x v="14"/>
    <s v=""/>
    <s v="13"/>
    <s v="Criteo Corp"/>
    <n v="2100001899"/>
    <s v="Aleph PE"/>
    <s v="IMM Internet Media México, S. de R.L. de C.V."/>
    <s v="MX"/>
    <x v="0"/>
    <n v="8000"/>
    <n v="8000"/>
    <n v="0"/>
  </r>
  <r>
    <s v="B13ZZ12602005746"/>
    <s v="IN"/>
    <d v="2026-02-28T00:00:00"/>
    <d v="2026-02-01T00:00:00"/>
    <d v="2026-02-28T00:00:00"/>
    <s v="Invoice"/>
    <s v="INVOICED"/>
    <s v="PE"/>
    <x v="15"/>
    <x v="15"/>
    <s v=""/>
    <s v="13"/>
    <s v="Criteo Corp"/>
    <n v="2100001899"/>
    <s v="Aleph PE"/>
    <s v="IMM Internet Media México, S. de R.L. de C.V."/>
    <s v="MX"/>
    <x v="0"/>
    <n v="1998.87"/>
    <n v="1998.87"/>
    <n v="0"/>
  </r>
  <r>
    <s v="B13ZZ12602005746"/>
    <s v="IN"/>
    <d v="2026-02-28T00:00:00"/>
    <d v="2026-02-01T00:00:00"/>
    <d v="2026-02-28T00:00:00"/>
    <s v="Invoice"/>
    <s v="INVOICED"/>
    <s v="PE"/>
    <x v="16"/>
    <x v="16"/>
    <s v=""/>
    <s v="13"/>
    <s v="Criteo Corp"/>
    <n v="2100001899"/>
    <s v="Aleph PE"/>
    <s v="IMM Internet Media México, S. de R.L. de C.V."/>
    <s v="MX"/>
    <x v="0"/>
    <n v="2019.13"/>
    <n v="2019.13"/>
    <n v="0"/>
  </r>
  <r>
    <s v="B13ZZ12602005746"/>
    <s v="IN"/>
    <d v="2026-02-28T00:00:00"/>
    <d v="2026-02-01T00:00:00"/>
    <d v="2026-02-28T00:00:00"/>
    <s v="Invoice"/>
    <s v="INVOICED"/>
    <s v="PE"/>
    <x v="17"/>
    <x v="17"/>
    <s v=""/>
    <s v="13"/>
    <s v="Criteo Corp"/>
    <n v="2100001899"/>
    <s v="Aleph PE"/>
    <s v="IMM Internet Media México, S. de R.L. de C.V."/>
    <s v="MX"/>
    <x v="0"/>
    <n v="3699.53"/>
    <n v="3699.53"/>
    <n v="0"/>
  </r>
  <r>
    <s v="B13ZZ12602005746"/>
    <s v="IN"/>
    <d v="2026-02-28T00:00:00"/>
    <d v="2026-02-01T00:00:00"/>
    <d v="2026-02-28T00:00:00"/>
    <s v="Invoice"/>
    <s v="INVOICED"/>
    <s v="PE"/>
    <x v="18"/>
    <x v="18"/>
    <s v=""/>
    <s v="13"/>
    <s v="Criteo Corp"/>
    <n v="2100001899"/>
    <s v="Aleph PE"/>
    <s v="IMM Internet Media México, S. de R.L. de C.V."/>
    <s v="MX"/>
    <x v="0"/>
    <n v="1800"/>
    <n v="1800"/>
    <n v="0"/>
  </r>
  <r>
    <s v="B13ZZ12602005746"/>
    <s v="IN"/>
    <d v="2026-02-28T00:00:00"/>
    <d v="2026-02-01T00:00:00"/>
    <d v="2026-02-28T00:00:00"/>
    <s v="Invoice"/>
    <s v="INVOICED"/>
    <s v="PE"/>
    <x v="19"/>
    <x v="19"/>
    <s v=""/>
    <s v="13"/>
    <s v="Criteo Corp"/>
    <n v="2100001899"/>
    <s v="Aleph PE"/>
    <s v="IMM Internet Media México, S. de R.L. de C.V."/>
    <s v="MX"/>
    <x v="0"/>
    <n v="2991.08"/>
    <n v="2991.08"/>
    <n v="0"/>
  </r>
  <r>
    <s v="B13ZZ12602005746"/>
    <s v="IN"/>
    <d v="2026-02-28T00:00:00"/>
    <d v="2026-02-01T00:00:00"/>
    <d v="2026-02-01T00:00:00"/>
    <s v="Invoice"/>
    <s v="INVOICED"/>
    <s v="PE"/>
    <x v="20"/>
    <x v="20"/>
    <s v=""/>
    <s v="13"/>
    <s v="Criteo Corp"/>
    <n v="2100001899"/>
    <s v="Aleph PE"/>
    <s v="IMM Internet Media México, S. de R.L. de C.V."/>
    <s v="MX"/>
    <x v="0"/>
    <n v="0.05"/>
    <n v="0.05"/>
    <n v="0"/>
  </r>
  <r>
    <s v="B13ZZ12602005746"/>
    <s v="IN"/>
    <d v="2026-02-28T00:00:00"/>
    <d v="2026-02-01T00:00:00"/>
    <d v="2026-02-28T00:00:00"/>
    <s v="Invoice"/>
    <s v="INVOICED"/>
    <s v="PE"/>
    <x v="21"/>
    <x v="21"/>
    <s v=""/>
    <s v="13"/>
    <s v="Criteo Corp"/>
    <n v="2100001899"/>
    <s v="Aleph PE"/>
    <s v="IMM Internet Media México, S. de R.L. de C.V."/>
    <s v="MX"/>
    <x v="0"/>
    <n v="6679.94"/>
    <n v="6679.94"/>
    <n v="0"/>
  </r>
  <r>
    <s v="B13ZZ12602005746"/>
    <s v="IN"/>
    <d v="2026-02-28T00:00:00"/>
    <d v="2026-02-12T00:00:00"/>
    <d v="2026-02-28T00:00:00"/>
    <s v="Invoice"/>
    <s v="INVOICED"/>
    <s v="PE"/>
    <x v="22"/>
    <x v="22"/>
    <s v=""/>
    <s v="13"/>
    <s v="Criteo Corp"/>
    <n v="2100001899"/>
    <s v="Aleph PE"/>
    <s v="IMM Internet Media México, S. de R.L. de C.V."/>
    <s v="MX"/>
    <x v="0"/>
    <n v="2500"/>
    <n v="2500"/>
    <n v="0"/>
  </r>
  <r>
    <s v="B13ZZ12602005746"/>
    <s v="IN"/>
    <d v="2026-02-28T00:00:00"/>
    <d v="2026-02-27T00:00:00"/>
    <d v="2026-02-28T00:00:00"/>
    <s v="Invoice"/>
    <s v="INVOICED"/>
    <s v="PE"/>
    <x v="23"/>
    <x v="23"/>
    <s v=""/>
    <s v="13"/>
    <s v="Criteo Corp"/>
    <n v="2100001899"/>
    <s v="Aleph PE"/>
    <s v="IMM Internet Media México, S. de R.L. de C.V."/>
    <s v="MX"/>
    <x v="0"/>
    <n v="265.76"/>
    <n v="265.76"/>
    <n v="0"/>
  </r>
  <r>
    <s v="B13ZZ12602005746"/>
    <s v="IN"/>
    <d v="2026-02-28T00:00:00"/>
    <d v="2026-02-01T00:00:00"/>
    <d v="2026-02-28T00:00:00"/>
    <s v="Invoice"/>
    <s v="INVOICED"/>
    <s v="PE"/>
    <x v="24"/>
    <x v="24"/>
    <s v=""/>
    <s v="13"/>
    <s v="Criteo Corp"/>
    <n v="2100001899"/>
    <s v="Aleph PE"/>
    <s v="IMM Internet Media México, S. de R.L. de C.V."/>
    <s v="MX"/>
    <x v="0"/>
    <n v="998.79"/>
    <n v="998.79"/>
    <n v="0"/>
  </r>
  <r>
    <s v="B13ZZ12602005746"/>
    <s v="IN"/>
    <d v="2026-02-28T00:00:00"/>
    <d v="2026-02-01T00:00:00"/>
    <d v="2026-02-28T00:00:00"/>
    <s v="Invoice"/>
    <s v="INVOICED"/>
    <s v="PE"/>
    <x v="25"/>
    <x v="25"/>
    <s v=""/>
    <s v="13"/>
    <s v="Criteo Corp"/>
    <n v="2100001899"/>
    <s v="Aleph PE"/>
    <s v="IMM Internet Media México, S. de R.L. de C.V."/>
    <s v="MX"/>
    <x v="0"/>
    <n v="1173.05"/>
    <n v="1173.05"/>
    <n v="0"/>
  </r>
  <r>
    <s v="B13ZZ12602005746"/>
    <s v="IN"/>
    <d v="2026-02-28T00:00:00"/>
    <d v="2026-02-01T00:00:00"/>
    <d v="2026-02-28T00:00:00"/>
    <s v="Invoice"/>
    <s v="INVOICED"/>
    <s v="PE"/>
    <x v="26"/>
    <x v="26"/>
    <s v=""/>
    <s v="13"/>
    <s v="Criteo Corp"/>
    <n v="2100001899"/>
    <s v="Aleph PE"/>
    <s v="IMM Internet Media México, S. de R.L. de C.V."/>
    <s v="MX"/>
    <x v="0"/>
    <n v="2771.71"/>
    <n v="2771.71"/>
    <n v="0"/>
  </r>
  <r>
    <s v="B13ZZ12602005746"/>
    <s v="IN"/>
    <d v="2026-02-28T00:00:00"/>
    <d v="2026-02-01T00:00:00"/>
    <d v="2026-02-28T00:00:00"/>
    <s v="Invoice"/>
    <s v="INVOICED"/>
    <s v="PE"/>
    <x v="27"/>
    <x v="27"/>
    <s v=""/>
    <s v="13"/>
    <s v="Criteo Corp"/>
    <n v="2100001899"/>
    <s v="Aleph PE"/>
    <s v="IMM Internet Media México, S. de R.L. de C.V."/>
    <s v="MX"/>
    <x v="0"/>
    <n v="9029.1299999999992"/>
    <n v="9029.1299999999992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2026"/>
    <s v="February"/>
    <s v="February/2026"/>
    <s v="28/2/2026"/>
    <x v="0"/>
    <s v="802Uj00000ILwke"/>
    <s v="PE00322629"/>
    <s v="0004188108"/>
    <x v="0"/>
    <s v="Activated"/>
    <s v="Under Review"/>
    <s v="JOINNUS SAC Peru"/>
    <x v="0"/>
    <s v="CRITEO CORP. United States of America"/>
    <s v="Criteo"/>
    <s v="Peru"/>
    <s v=""/>
    <s v="GLOBAL"/>
    <x v="0"/>
    <s v="Mexico"/>
    <s v="Dynamic Ads"/>
    <s v="Auction / Budget"/>
    <s v="Auction / Budget"/>
    <x v="0"/>
    <s v="USD"/>
    <s v="73548"/>
    <n v="1800"/>
    <n v="1800"/>
    <n v="1"/>
    <n v="1"/>
    <n v="1"/>
    <n v="0.91"/>
    <n v="1"/>
    <n v="0"/>
    <m/>
    <n v="1800"/>
    <n v="1800"/>
    <n v="1800"/>
    <n v="1800"/>
    <n v="1800"/>
    <m/>
    <n v="18459.689999999999"/>
    <n v="1800"/>
    <n v="0"/>
    <n v="0"/>
    <n v="0"/>
    <n v="0"/>
    <x v="0"/>
    <s v="SO Exported to ERP"/>
    <s v="POIME-000025299"/>
    <s v="PO Exported to ERP"/>
    <m/>
    <s v=""/>
    <s v="Aleph Mexico"/>
    <x v="0"/>
    <x v="0"/>
    <s v="JOINNUS SAC Peru"/>
    <x v="0"/>
    <s v="Rodrigo Aldecoa"/>
    <s v=""/>
    <s v="Client Performance Driven (ROI)"/>
    <s v="Traditional (Local Team)"/>
    <s v="28/2/2026"/>
    <s v="30 days"/>
    <m/>
    <e v="#REF!"/>
    <s v="OK"/>
  </r>
  <r>
    <s v="2026"/>
    <s v="February"/>
    <s v="February/2026"/>
    <s v="28/2/2026"/>
    <x v="1"/>
    <s v="802Uj00000IM33I"/>
    <s v="PE00357033"/>
    <s v="0004185982"/>
    <x v="0"/>
    <s v="Activated"/>
    <s v="Under Review"/>
    <s v="PC Factory CHILE"/>
    <x v="1"/>
    <s v="CRITEO CORP. United States of America"/>
    <s v="Criteo"/>
    <s v="Peru"/>
    <s v=""/>
    <s v="GLOBAL"/>
    <x v="0"/>
    <s v="Mexico"/>
    <s v="Dynamic Ads"/>
    <s v="Auction / Budget"/>
    <s v="Auction / Budget"/>
    <x v="0"/>
    <s v="USD"/>
    <s v="116497"/>
    <n v="1999.95"/>
    <n v="1999.95"/>
    <n v="1"/>
    <n v="1"/>
    <n v="1"/>
    <n v="0.85"/>
    <n v="1"/>
    <n v="0"/>
    <m/>
    <n v="1999.95"/>
    <n v="1999.95"/>
    <n v="1999.95"/>
    <n v="1999.95"/>
    <n v="1999.95"/>
    <m/>
    <n v="15499.96"/>
    <n v="1999.95"/>
    <n v="0"/>
    <n v="0"/>
    <n v="0"/>
    <n v="0"/>
    <x v="1"/>
    <s v="SO Exported to ERP"/>
    <s v="POIME-000027193"/>
    <s v="PO Exported to ERP"/>
    <m/>
    <s v=""/>
    <s v="Aleph Mexico"/>
    <x v="0"/>
    <x v="1"/>
    <s v="Media Analytics Perú"/>
    <x v="1"/>
    <s v="Rodrigo Aldecoa"/>
    <s v=""/>
    <s v="Client Performance Driven (ROI)"/>
    <s v="Traditional (Local Team)"/>
    <s v="28/2/2026"/>
    <s v="30 days"/>
    <m/>
    <e v="#REF!"/>
    <s v="OK"/>
  </r>
  <r>
    <s v="2026"/>
    <s v="February"/>
    <s v="February/2026"/>
    <s v="28/2/2026"/>
    <x v="2"/>
    <s v="802Uj00000O9ALb"/>
    <s v="PE00386377"/>
    <s v="0004721846"/>
    <x v="0"/>
    <s v="Activated"/>
    <s v="Under Review"/>
    <s v="ONCOSALUD S.A.C."/>
    <x v="1"/>
    <s v="CRITEO CORP. United States of America"/>
    <s v="Criteo"/>
    <s v="Peru"/>
    <s v=""/>
    <s v="GLOBAL"/>
    <x v="0"/>
    <s v="Mexico"/>
    <s v="Dynamic Ads"/>
    <s v="Auction / Budget"/>
    <s v="Auction / Budget"/>
    <x v="0"/>
    <s v="USD"/>
    <s v="118854"/>
    <n v="912.96"/>
    <n v="912.96"/>
    <n v="1"/>
    <n v="1"/>
    <n v="1"/>
    <n v="0.85"/>
    <n v="1"/>
    <n v="0"/>
    <m/>
    <n v="912.96"/>
    <n v="912.96"/>
    <n v="912.96"/>
    <n v="912.96"/>
    <n v="912.96"/>
    <m/>
    <n v="3499.99"/>
    <n v="912.96"/>
    <n v="0"/>
    <n v="0"/>
    <n v="0"/>
    <n v="0"/>
    <x v="2"/>
    <s v="SO Exported to ERP"/>
    <s v="POIME-000030616"/>
    <s v="PO Exported to ERP"/>
    <m/>
    <s v=""/>
    <s v="Aleph Mexico"/>
    <x v="0"/>
    <x v="2"/>
    <s v="Media Analytics Perú"/>
    <x v="1"/>
    <s v="Rodrigo Aldecoa"/>
    <s v=""/>
    <s v="Client Performance Driven (ROI)"/>
    <s v="Traditional (Local Team)"/>
    <s v="28/2/2026"/>
    <s v="30 days"/>
    <m/>
    <e v="#REF!"/>
    <s v="OK"/>
  </r>
  <r>
    <s v="2026"/>
    <s v="February"/>
    <s v="February/2026"/>
    <s v="28/2/2026"/>
    <x v="3"/>
    <s v="802Uj00000PmHY2"/>
    <s v="PE00399888"/>
    <s v="0004890443"/>
    <x v="0"/>
    <s v="Activated"/>
    <s v="Under Review"/>
    <s v="COMPAÑIA HARD DISCOUNT S.A.C."/>
    <x v="2"/>
    <s v="CRITEO CORP. United States of America"/>
    <s v="Criteo"/>
    <s v="Peru"/>
    <s v=""/>
    <s v="GLOBAL"/>
    <x v="0"/>
    <s v="Mexico"/>
    <s v="Dynamic Ads"/>
    <s v="Auction / Budget"/>
    <s v="Auction / Budget"/>
    <x v="0"/>
    <s v="USD"/>
    <s v="115210"/>
    <n v="1027.45"/>
    <n v="1027.45"/>
    <n v="1"/>
    <n v="1"/>
    <n v="1"/>
    <n v="0.91"/>
    <n v="1"/>
    <n v="0"/>
    <m/>
    <n v="1027.45"/>
    <n v="1027.45"/>
    <n v="1027.45"/>
    <n v="1027.45"/>
    <n v="1027.45"/>
    <m/>
    <n v="6000.1"/>
    <n v="1027.45"/>
    <n v="0"/>
    <n v="0"/>
    <n v="0"/>
    <n v="0"/>
    <x v="3"/>
    <s v="SO Exported to ERP"/>
    <s v="POIME-000032235"/>
    <s v="PO Exported to ERP"/>
    <m/>
    <s v=""/>
    <s v="Aleph Mexico"/>
    <x v="0"/>
    <x v="3"/>
    <s v="COMPAÑIA HARD DISCOUNT S.A.C."/>
    <x v="2"/>
    <s v="Rodrigo Aldecoa"/>
    <s v=""/>
    <s v="Client Performance Driven (ROI)"/>
    <s v="Traditional (Local Team)"/>
    <s v="28/2/2026"/>
    <s v="30 days"/>
    <m/>
    <e v="#REF!"/>
    <s v="OK"/>
  </r>
  <r>
    <s v="2026"/>
    <s v="February"/>
    <s v="February/2026"/>
    <s v="28/2/2026"/>
    <x v="4"/>
    <s v="802Uj00000PrZr9"/>
    <s v="PE00398904"/>
    <s v="0004892401"/>
    <x v="0"/>
    <s v="Activated"/>
    <s v="Under Review"/>
    <s v="BCP Peru"/>
    <x v="3"/>
    <s v="CRITEO CORP. United States of America"/>
    <s v="Criteo"/>
    <s v="Peru"/>
    <s v=""/>
    <s v="GLOBAL"/>
    <x v="0"/>
    <s v="Mexico"/>
    <s v="Dynamic Ads"/>
    <s v="Auction / Budget"/>
    <s v="Auction / Budget"/>
    <x v="0"/>
    <s v="USD"/>
    <s v="44368"/>
    <n v="9029.1299999999992"/>
    <n v="9029.1299999999992"/>
    <n v="1"/>
    <n v="1"/>
    <n v="1"/>
    <n v="0.85"/>
    <n v="1"/>
    <n v="0"/>
    <m/>
    <n v="9029.1299999999992"/>
    <n v="9029.1299999999992"/>
    <n v="9029.1299999999992"/>
    <n v="9029.1299999999992"/>
    <n v="9029.1299999999992"/>
    <m/>
    <n v="10968.49"/>
    <n v="9029.1299999999992"/>
    <n v="0"/>
    <n v="0"/>
    <n v="0"/>
    <n v="0"/>
    <x v="4"/>
    <s v="SO Exported to ERP"/>
    <s v="POIME-000032243"/>
    <s v="PO Exported to ERP"/>
    <m/>
    <s v=""/>
    <s v="Aleph Mexico"/>
    <x v="0"/>
    <x v="4"/>
    <s v="QUAL MEDIA S.A.C., Peru"/>
    <x v="3"/>
    <s v="Rodrigo Aldecoa"/>
    <s v=""/>
    <s v="Brand Objectives"/>
    <s v="Traditional (Local Team)"/>
    <s v="28/2/2026"/>
    <s v="75 days"/>
    <m/>
    <e v="#REF!"/>
    <s v="OK"/>
  </r>
  <r>
    <s v="2026"/>
    <s v="February"/>
    <s v="February/2026"/>
    <s v="28/2/2026"/>
    <x v="5"/>
    <s v="802Um00000DRqRF"/>
    <s v="PE00401676"/>
    <s v="0004908031"/>
    <x v="0"/>
    <s v="Activated"/>
    <s v="Under Review"/>
    <s v="Pepsico Perú"/>
    <x v="3"/>
    <s v="CRITEO CORP. United States of America"/>
    <s v="Criteo"/>
    <s v="Peru"/>
    <s v=""/>
    <s v="GLOBAL"/>
    <x v="0"/>
    <s v="Mexico"/>
    <s v="Dynamic Ads"/>
    <s v="Auction / Budget"/>
    <s v="Auction / Budget"/>
    <x v="0"/>
    <s v="USD"/>
    <s v="120258"/>
    <n v="2500"/>
    <n v="2500"/>
    <n v="1"/>
    <n v="1"/>
    <n v="1"/>
    <n v="0.85"/>
    <n v="1"/>
    <n v="0"/>
    <m/>
    <n v="2500"/>
    <n v="2500"/>
    <n v="2500"/>
    <n v="2500"/>
    <n v="2500"/>
    <m/>
    <n v="2500"/>
    <n v="2500"/>
    <n v="0"/>
    <n v="0"/>
    <n v="0"/>
    <n v="0"/>
    <x v="5"/>
    <s v="SO Exported to ERP"/>
    <s v="POIME-000032884"/>
    <s v="PO Exported to ERP"/>
    <m/>
    <s v=""/>
    <s v="Aleph Mexico"/>
    <x v="0"/>
    <x v="5"/>
    <s v="QUAL MEDIA S.A.C., Peru"/>
    <x v="3"/>
    <s v="Rodrigo Aldecoa"/>
    <s v=""/>
    <s v="Brand Objectives"/>
    <s v="Traditional (Local Team)"/>
    <s v="28/2/2026"/>
    <s v="75 days"/>
    <m/>
    <e v="#REF!"/>
    <s v="OK"/>
  </r>
  <r>
    <s v="2026"/>
    <s v="February"/>
    <s v="February/2026"/>
    <s v="28/2/2026"/>
    <x v="6"/>
    <s v="802Um00000DePtm"/>
    <s v="PE00403309"/>
    <s v="0004917062"/>
    <x v="0"/>
    <s v="Activated"/>
    <s v="Under Review"/>
    <s v="DIVEMOTOR Perú"/>
    <x v="1"/>
    <s v="CRITEO CORP. United States of America"/>
    <s v="Criteo"/>
    <s v="Peru"/>
    <s v=""/>
    <s v="GLOBAL"/>
    <x v="0"/>
    <s v="Mexico"/>
    <s v="Dynamic Ads"/>
    <s v="Auction / Budget"/>
    <s v="Auction / Budget"/>
    <x v="0"/>
    <s v="USD"/>
    <s v="110594"/>
    <n v="999.97"/>
    <n v="999.97"/>
    <n v="1"/>
    <n v="1"/>
    <n v="1"/>
    <n v="0.85"/>
    <n v="1"/>
    <n v="0"/>
    <m/>
    <n v="999.97"/>
    <n v="999.97"/>
    <n v="999.97"/>
    <n v="999.97"/>
    <n v="999.97"/>
    <m/>
    <n v="1999.97"/>
    <n v="999.97"/>
    <n v="0"/>
    <n v="0"/>
    <n v="0"/>
    <n v="0"/>
    <x v="6"/>
    <s v="SO Exported to ERP"/>
    <s v="POIME-000032240"/>
    <s v="PO Exported to ERP"/>
    <m/>
    <s v=""/>
    <s v="Aleph Mexico"/>
    <x v="0"/>
    <x v="6"/>
    <s v="Media Analytics Perú"/>
    <x v="1"/>
    <s v="Rodrigo Aldecoa"/>
    <s v=""/>
    <s v="Client Performance Driven (ROI)"/>
    <s v="Traditional (Local Team)"/>
    <s v="28/2/2026"/>
    <s v="30 days"/>
    <m/>
    <e v="#REF!"/>
    <s v="OK"/>
  </r>
  <r>
    <s v="2026"/>
    <s v="February"/>
    <s v="February/2026"/>
    <s v="28/2/2026"/>
    <x v="7"/>
    <s v="802Um00000Dlouj"/>
    <s v="PE00392766"/>
    <s v="0004938057"/>
    <x v="0"/>
    <s v="Activated"/>
    <s v="Under Review"/>
    <s v="ESTILOS S.R.L. Peru"/>
    <x v="4"/>
    <s v="CRITEO CORP. United States of America"/>
    <s v="Criteo"/>
    <s v="Peru"/>
    <s v=""/>
    <s v="GLOBAL"/>
    <x v="0"/>
    <s v="Mexico"/>
    <s v="Dynamic Ads"/>
    <s v="Auction / Budget"/>
    <s v="Auction / Budget"/>
    <x v="0"/>
    <s v="USD"/>
    <s v="63589"/>
    <n v="2991.08"/>
    <n v="2991.08"/>
    <n v="1"/>
    <n v="1"/>
    <n v="1"/>
    <n v="0.85"/>
    <n v="1"/>
    <n v="0"/>
    <m/>
    <n v="2991.08"/>
    <n v="2991.08"/>
    <n v="2991.08"/>
    <n v="2991.08"/>
    <n v="2991.08"/>
    <m/>
    <n v="2991.08"/>
    <n v="2991.08"/>
    <n v="0"/>
    <n v="0"/>
    <n v="0"/>
    <n v="0"/>
    <x v="7"/>
    <s v="SO Exported to ERP"/>
    <s v="POIME-000032891"/>
    <s v="PO Exported to ERP"/>
    <m/>
    <s v=""/>
    <s v="Aleph Mexico"/>
    <x v="0"/>
    <x v="7"/>
    <s v="ESTILOS S.R.L. Peru"/>
    <x v="4"/>
    <s v="Rodrigo Aldecoa"/>
    <s v=""/>
    <s v="Client Performance Driven (ROI)"/>
    <s v="Traditional (Local Team)"/>
    <s v="28/2/2026"/>
    <s v="30 days"/>
    <m/>
    <e v="#REF!"/>
    <s v="OK"/>
  </r>
  <r>
    <s v="2026"/>
    <s v="February"/>
    <s v="February/2026"/>
    <s v="28/2/2026"/>
    <x v="8"/>
    <s v="802Um00000Dlp61"/>
    <s v="PE00392769"/>
    <s v="0004938058"/>
    <x v="0"/>
    <s v="Activated"/>
    <s v="Under Review"/>
    <s v="Financiera Oh SA Perú"/>
    <x v="5"/>
    <s v="CRITEO CORP. United States of America"/>
    <s v="Criteo"/>
    <s v="Peru"/>
    <s v=""/>
    <s v="GLOBAL"/>
    <x v="0"/>
    <s v="Mexico"/>
    <s v="Dynamic Ads"/>
    <s v="Auction / Budget"/>
    <s v="Auction / Budget"/>
    <x v="0"/>
    <s v="USD"/>
    <s v="116982"/>
    <n v="2398.79"/>
    <n v="2398.79"/>
    <n v="1"/>
    <n v="1"/>
    <n v="1"/>
    <n v="0.85"/>
    <n v="1"/>
    <n v="0"/>
    <m/>
    <n v="2398.79"/>
    <n v="2398.79"/>
    <n v="2398.79"/>
    <n v="2398.79"/>
    <n v="2398.79"/>
    <m/>
    <n v="2398.79"/>
    <n v="2398.79"/>
    <n v="0"/>
    <n v="0"/>
    <n v="0"/>
    <n v="0"/>
    <x v="8"/>
    <s v="SO Exported to ERP"/>
    <s v="POIME-000032895"/>
    <s v="PO Exported to ERP"/>
    <m/>
    <s v=""/>
    <s v="Aleph Mexico"/>
    <x v="0"/>
    <x v="8"/>
    <s v="Financiera Oh SA Perú"/>
    <x v="5"/>
    <s v="Rodrigo Aldecoa"/>
    <s v=""/>
    <s v="Brand Objectives"/>
    <s v="Traditional (Local Team)"/>
    <s v="28/2/2026"/>
    <s v="30 days"/>
    <m/>
    <e v="#REF!"/>
    <s v="OK"/>
  </r>
  <r>
    <s v="2026"/>
    <s v="February"/>
    <s v="February/2026"/>
    <s v="28/2/2026"/>
    <x v="9"/>
    <s v="802Um00000DlpFh"/>
    <s v="PE00392772"/>
    <s v="0004938061"/>
    <x v="0"/>
    <s v="Activated"/>
    <s v="Under Review"/>
    <s v="IMPORTACIONES HIRAOKA S.A.C"/>
    <x v="6"/>
    <s v="CRITEO CORP. United States of America"/>
    <s v="Criteo"/>
    <s v="Peru"/>
    <s v=""/>
    <s v="GLOBAL"/>
    <x v="0"/>
    <s v="Mexico"/>
    <s v="Dynamic Ads"/>
    <s v="Auction / Budget"/>
    <s v="Auction / Budget"/>
    <x v="0"/>
    <s v="USD"/>
    <s v="94854"/>
    <n v="2019.13"/>
    <n v="2019.13"/>
    <n v="1"/>
    <n v="1"/>
    <n v="1"/>
    <n v="0.85"/>
    <n v="1"/>
    <n v="0"/>
    <m/>
    <n v="2019.13"/>
    <n v="2019.13"/>
    <n v="2019.13"/>
    <n v="2019.13"/>
    <n v="2019.13"/>
    <m/>
    <n v="2019.13"/>
    <n v="2019.13"/>
    <n v="0"/>
    <n v="0"/>
    <n v="0"/>
    <n v="0"/>
    <x v="9"/>
    <s v="SO Exported to ERP"/>
    <s v="POIME-000032893"/>
    <s v="PO Exported to ERP"/>
    <m/>
    <s v=""/>
    <s v="Aleph Mexico"/>
    <x v="0"/>
    <x v="9"/>
    <s v="IMPORTACIONES HIRAOKA S.A.C"/>
    <x v="6"/>
    <s v="Rodrigo Aldecoa"/>
    <s v=""/>
    <s v="Client Performance Driven (ROI)"/>
    <s v="Traditional (Local Team)"/>
    <s v="28/2/2026"/>
    <s v="30 days"/>
    <m/>
    <e v="#REF!"/>
    <s v="OK"/>
  </r>
  <r>
    <s v="2026"/>
    <s v="February"/>
    <s v="February/2026"/>
    <s v="28/2/2026"/>
    <x v="10"/>
    <s v="802Um00000DlpXR"/>
    <s v="PE00392775"/>
    <s v="0004938062"/>
    <x v="0"/>
    <s v="Activated"/>
    <s v="Under Review"/>
    <s v="BANCO INTERNACIONAL DEL PERU (Interbank)"/>
    <x v="7"/>
    <s v="CRITEO CORP. United States of America"/>
    <s v="Criteo"/>
    <s v="Peru"/>
    <s v=""/>
    <s v="GLOBAL"/>
    <x v="0"/>
    <s v="Mexico"/>
    <s v="Dynamic Ads"/>
    <s v="Auction / Budget"/>
    <s v="Auction / Budget"/>
    <x v="0"/>
    <s v="USD"/>
    <s v="29652"/>
    <n v="998.79"/>
    <n v="998.79"/>
    <n v="1"/>
    <n v="1"/>
    <n v="1"/>
    <n v="0.85"/>
    <n v="1"/>
    <n v="0"/>
    <m/>
    <n v="998.79"/>
    <n v="998.79"/>
    <n v="998.79"/>
    <n v="998.79"/>
    <n v="998.79"/>
    <m/>
    <n v="998.79"/>
    <n v="998.79"/>
    <n v="0"/>
    <n v="0"/>
    <n v="0"/>
    <n v="0"/>
    <x v="10"/>
    <s v="SO Exported to ERP"/>
    <s v="POIME-000032897"/>
    <s v="PO Exported to ERP"/>
    <m/>
    <s v=""/>
    <s v="Aleph Mexico"/>
    <x v="0"/>
    <x v="10"/>
    <s v="BANCO INTERNACIONAL DEL PERU (Interbank)"/>
    <x v="7"/>
    <s v="Rodrigo Aldecoa"/>
    <s v=""/>
    <s v="Client Performance Driven (ROI)"/>
    <s v="Traditional (Local Team)"/>
    <s v="28/2/2026"/>
    <s v="30 days"/>
    <m/>
    <e v="#REF!"/>
    <s v="OK"/>
  </r>
  <r>
    <s v="2026"/>
    <s v="February"/>
    <s v="February/2026"/>
    <s v="28/2/2026"/>
    <x v="11"/>
    <s v="802Um00000DlqQH"/>
    <s v="PE00392790"/>
    <s v="0004938065"/>
    <x v="0"/>
    <s v="Activated"/>
    <s v="Under Review"/>
    <s v="HOMECENTERS PERUANOS S.A."/>
    <x v="8"/>
    <s v="CRITEO CORP. United States of America"/>
    <s v="Criteo"/>
    <s v="Peru"/>
    <s v=""/>
    <s v="GLOBAL"/>
    <x v="0"/>
    <s v="Mexico"/>
    <s v="Dynamic Ads"/>
    <s v="Auction / Budget"/>
    <s v="Auction / Budget"/>
    <x v="0"/>
    <s v="USD"/>
    <s v="39798"/>
    <n v="993"/>
    <n v="993"/>
    <n v="1"/>
    <n v="1"/>
    <n v="1"/>
    <n v="0.85"/>
    <n v="1"/>
    <n v="0"/>
    <m/>
    <n v="993"/>
    <n v="993"/>
    <n v="993"/>
    <n v="993"/>
    <n v="993"/>
    <m/>
    <n v="993"/>
    <n v="993"/>
    <n v="0"/>
    <n v="0"/>
    <n v="0"/>
    <n v="0"/>
    <x v="11"/>
    <s v="SO Exported to ERP"/>
    <s v="POIME-000032898"/>
    <s v="PO Exported to ERP"/>
    <m/>
    <s v=""/>
    <s v="Aleph Mexico"/>
    <x v="0"/>
    <x v="11"/>
    <s v="HOMECENTERS PERUANOS S.A."/>
    <x v="8"/>
    <s v="Rodrigo Aldecoa"/>
    <s v=""/>
    <s v="Client Performance Driven (ROI)"/>
    <s v="Traditional (Local Team)"/>
    <s v="28/2/2026"/>
    <s v="30 days"/>
    <m/>
    <e v="#REF!"/>
    <s v="OK"/>
  </r>
  <r>
    <s v="2026"/>
    <s v="February"/>
    <s v="February/2026"/>
    <s v="28/2/2026"/>
    <x v="12"/>
    <s v="802Um00000Dzg7h"/>
    <s v="PE00392783"/>
    <s v="0004953692"/>
    <x v="0"/>
    <s v="Activated"/>
    <s v="Under Review"/>
    <s v="Makro Supermayorista SA"/>
    <x v="9"/>
    <s v="CRITEO CORP. United States of America"/>
    <s v="Criteo"/>
    <s v="Peru"/>
    <s v=""/>
    <s v="GLOBAL"/>
    <x v="0"/>
    <s v="Mexico"/>
    <s v="Dynamic Ads"/>
    <s v="Auction / Budget"/>
    <s v="Auction / Budget"/>
    <x v="0"/>
    <s v="USD"/>
    <s v="106852"/>
    <n v="2000"/>
    <n v="2000"/>
    <n v="1"/>
    <n v="1"/>
    <n v="1"/>
    <n v="0.85"/>
    <n v="1"/>
    <n v="0"/>
    <m/>
    <n v="2000"/>
    <n v="2000"/>
    <n v="2000"/>
    <n v="2000"/>
    <n v="2000"/>
    <m/>
    <n v="2000"/>
    <n v="2000"/>
    <n v="0"/>
    <n v="0"/>
    <n v="0"/>
    <n v="0"/>
    <x v="12"/>
    <s v="SO Exported to ERP"/>
    <s v="POIME-000032905"/>
    <s v="PO Exported to ERP"/>
    <m/>
    <s v=""/>
    <s v="Aleph Mexico"/>
    <x v="0"/>
    <x v="12"/>
    <s v="Makro Supermayorista SA"/>
    <x v="9"/>
    <s v="Rodrigo Aldecoa"/>
    <s v=""/>
    <s v="Client Performance Driven (ROI)"/>
    <s v="Traditional (Local Team)"/>
    <s v="28/2/2026"/>
    <s v="30 days"/>
    <m/>
    <e v="#REF!"/>
    <s v="OK"/>
  </r>
  <r>
    <s v="2026"/>
    <s v="February"/>
    <s v="February/2026"/>
    <s v="28/2/2026"/>
    <x v="13"/>
    <s v="802Um00000EDiXp"/>
    <s v="PE00406819"/>
    <s v="0004959901"/>
    <x v="0"/>
    <s v="Activated"/>
    <s v="Under Review"/>
    <s v="COMPAÑIA HARD DISCOUNT S.A.C."/>
    <x v="2"/>
    <s v="CRITEO CORP. United States of America"/>
    <s v="Criteo"/>
    <s v="Peru"/>
    <s v=""/>
    <s v="GLOBAL"/>
    <x v="0"/>
    <s v="Mexico"/>
    <s v="Dynamic Ads"/>
    <s v="Auction / Budget"/>
    <s v="Auction / Budget"/>
    <x v="0"/>
    <s v="USD"/>
    <s v="115210"/>
    <n v="3000"/>
    <n v="3000"/>
    <n v="1"/>
    <n v="1"/>
    <n v="1"/>
    <n v="0.91"/>
    <n v="1"/>
    <n v="0"/>
    <m/>
    <n v="3000"/>
    <n v="3000"/>
    <n v="3000"/>
    <n v="3000"/>
    <n v="3000"/>
    <m/>
    <n v="3000"/>
    <n v="3000"/>
    <n v="0"/>
    <n v="0"/>
    <n v="0"/>
    <n v="0"/>
    <x v="13"/>
    <s v="SO Exported to ERP"/>
    <s v="POIME-000032904"/>
    <s v="PO Exported to ERP"/>
    <m/>
    <s v=""/>
    <s v="Aleph Mexico"/>
    <x v="0"/>
    <x v="13"/>
    <s v="COMPAÑIA HARD DISCOUNT S.A.C."/>
    <x v="2"/>
    <s v="Rodrigo Aldecoa"/>
    <s v=""/>
    <s v="Client Performance Driven (ROI)"/>
    <s v="Traditional (Local Team)"/>
    <s v="28/2/2026"/>
    <s v="30 days"/>
    <m/>
    <e v="#REF!"/>
    <s v="OK"/>
  </r>
  <r>
    <s v="2026"/>
    <s v="February"/>
    <s v="February/2026"/>
    <s v="28/2/2026"/>
    <x v="14"/>
    <s v="802Um00000EPiYs"/>
    <s v="PE00392787"/>
    <s v="0004966080"/>
    <x v="0"/>
    <s v="Activated"/>
    <s v="Under Review"/>
    <s v="COMPAÑIA FOOD RETAIL Perú"/>
    <x v="10"/>
    <s v="CRITEO CORP. United States of America"/>
    <s v="Criteo"/>
    <s v="Peru"/>
    <s v=""/>
    <s v="GLOBAL"/>
    <x v="0"/>
    <s v="Mexico"/>
    <s v="Dynamic Ads"/>
    <s v="Auction / Budget"/>
    <s v="Auction / Budget"/>
    <x v="0"/>
    <s v="USD"/>
    <s v="55367"/>
    <n v="6300"/>
    <n v="6300"/>
    <n v="1"/>
    <n v="1"/>
    <n v="1"/>
    <n v="0.85"/>
    <n v="1"/>
    <n v="0"/>
    <m/>
    <n v="6300"/>
    <n v="6300"/>
    <n v="6300"/>
    <n v="6300"/>
    <n v="6300"/>
    <m/>
    <n v="6300"/>
    <n v="6300"/>
    <n v="0"/>
    <n v="0"/>
    <n v="0"/>
    <n v="0"/>
    <x v="14"/>
    <s v="SO Exported to ERP"/>
    <s v="POIME-000032919"/>
    <s v="PO Exported to ERP"/>
    <m/>
    <s v=""/>
    <s v="Aleph Mexico"/>
    <x v="0"/>
    <x v="14"/>
    <s v="COMPAÑIA FOOD RETAIL Perú"/>
    <x v="10"/>
    <s v="Rodrigo Aldecoa"/>
    <s v=""/>
    <s v="Client Performance Driven (ROI)"/>
    <s v="Traditional (Local Team)"/>
    <s v="28/2/2026"/>
    <s v="30 days"/>
    <m/>
    <e v="#REF!"/>
    <s v="OK"/>
  </r>
  <r>
    <s v="2026"/>
    <s v="February"/>
    <s v="February/2026"/>
    <s v="28/2/2026"/>
    <x v="15"/>
    <s v="802Um00000EPjjR"/>
    <s v="PE00392763"/>
    <s v="0004966081"/>
    <x v="0"/>
    <s v="Activated"/>
    <s v="Under Review"/>
    <s v="BANCO BBVA PERÚ PERÚ"/>
    <x v="11"/>
    <s v="CRITEO CORP. United States of America"/>
    <s v="Criteo"/>
    <s v="Peru"/>
    <s v=""/>
    <s v="GLOBAL"/>
    <x v="0"/>
    <s v="Mexico"/>
    <s v="Dynamic Ads"/>
    <s v="Auction / Budget"/>
    <s v="Auction / Budget"/>
    <x v="0"/>
    <s v="USD"/>
    <s v="107434"/>
    <n v="848.2"/>
    <n v="848.2"/>
    <n v="1"/>
    <n v="1"/>
    <n v="1"/>
    <n v="0.85"/>
    <n v="1"/>
    <n v="0"/>
    <m/>
    <n v="848.2"/>
    <n v="848.2"/>
    <n v="848.2"/>
    <n v="848.2"/>
    <n v="848.2"/>
    <m/>
    <n v="848.2"/>
    <n v="848.2"/>
    <n v="0"/>
    <n v="0"/>
    <n v="0"/>
    <n v="0"/>
    <x v="15"/>
    <s v="SO Exported to ERP"/>
    <s v="POIME-000032918"/>
    <s v="PO Exported to ERP"/>
    <m/>
    <s v=""/>
    <s v="Aleph Mexico"/>
    <x v="0"/>
    <x v="15"/>
    <s v="BANCO BBVA PERÚ PERÚ"/>
    <x v="11"/>
    <s v="Rodrigo Aldecoa"/>
    <s v=""/>
    <s v="Client Performance Driven (ROI)"/>
    <s v="Traditional (Local Team)"/>
    <s v="28/2/2026"/>
    <s v="30 days"/>
    <m/>
    <e v="#REF!"/>
    <s v="OK"/>
  </r>
  <r>
    <s v="2026"/>
    <s v="February"/>
    <s v="February/2026"/>
    <s v="28/2/2026"/>
    <x v="16"/>
    <s v="802Um00000EPpvJ"/>
    <s v="PE00392779"/>
    <s v="0004966290"/>
    <x v="0"/>
    <s v="Activated"/>
    <s v="Under Review"/>
    <s v="TIENDAS PERUANAS SA"/>
    <x v="12"/>
    <s v="CRITEO CORP. United States of America"/>
    <s v="Criteo"/>
    <s v="Peru"/>
    <s v=""/>
    <s v="GLOBAL"/>
    <x v="0"/>
    <s v="Mexico"/>
    <s v="Dynamic Ads"/>
    <s v="Auction / Budget"/>
    <s v="Auction / Budget"/>
    <x v="0"/>
    <s v="USD"/>
    <s v="41643"/>
    <n v="2771.71"/>
    <n v="2771.71"/>
    <n v="1"/>
    <n v="1"/>
    <n v="1"/>
    <n v="0.85"/>
    <n v="1"/>
    <n v="0"/>
    <m/>
    <n v="2771.71"/>
    <n v="2771.71"/>
    <n v="2771.71"/>
    <n v="2771.71"/>
    <n v="2771.71"/>
    <m/>
    <n v="2771.71"/>
    <n v="2771.71"/>
    <n v="0"/>
    <n v="0"/>
    <n v="0"/>
    <n v="0"/>
    <x v="16"/>
    <s v="SO Exported to ERP"/>
    <s v="POIME-000032917"/>
    <s v="PO Exported to ERP"/>
    <m/>
    <s v=""/>
    <s v="Aleph Mexico"/>
    <x v="0"/>
    <x v="16"/>
    <s v="TIENDAS PERUANAS SA"/>
    <x v="12"/>
    <s v="Rodrigo Aldecoa"/>
    <s v=""/>
    <s v="Client Performance Driven (ROI)"/>
    <s v="Traditional (Local Team)"/>
    <s v="28/2/2026"/>
    <s v="30 days"/>
    <m/>
    <e v="#REF!"/>
    <s v="OK"/>
  </r>
  <r>
    <s v="2026"/>
    <s v="February"/>
    <s v="February/2026"/>
    <s v="28/2/2026"/>
    <x v="17"/>
    <s v="802Um00000EXosP"/>
    <s v="PE00408816"/>
    <s v="0004972522"/>
    <x v="0"/>
    <s v="Activated"/>
    <s v="Under Review"/>
    <s v="Apuesta Total Perú"/>
    <x v="13"/>
    <s v="CRITEO CORP. United States of America"/>
    <s v="Criteo"/>
    <s v="Peru"/>
    <s v=""/>
    <s v="GLOBAL"/>
    <x v="0"/>
    <s v="Mexico"/>
    <s v="Dynamic Ads"/>
    <s v="Auction / Budget"/>
    <s v="Auction / Budget"/>
    <x v="0"/>
    <s v="USD"/>
    <s v="117067"/>
    <n v="5184.83"/>
    <n v="5184.83"/>
    <n v="1"/>
    <n v="1"/>
    <n v="1"/>
    <n v="0.91"/>
    <n v="1"/>
    <n v="0"/>
    <m/>
    <n v="5184.83"/>
    <n v="5184.83"/>
    <n v="5184.83"/>
    <n v="5184.83"/>
    <n v="5184.83"/>
    <m/>
    <n v="5184.83"/>
    <n v="5184.83"/>
    <n v="0"/>
    <n v="0"/>
    <n v="0"/>
    <n v="0"/>
    <x v="17"/>
    <s v="SO Exported to ERP"/>
    <s v="POIME-000032928"/>
    <s v="PO Exported to ERP"/>
    <m/>
    <s v=""/>
    <s v="Aleph Mexico"/>
    <x v="0"/>
    <x v="17"/>
    <s v="Attachmedia S.A.C."/>
    <x v="13"/>
    <s v="Rodrigo Aldecoa"/>
    <s v=""/>
    <s v="Client Performance Driven (ROI)"/>
    <s v="Traditional (Local Team)"/>
    <s v="28/2/2026"/>
    <s v="30 days"/>
    <m/>
    <e v="#REF!"/>
    <s v="OK"/>
  </r>
  <r>
    <s v="2026"/>
    <s v="February"/>
    <s v="February/2026"/>
    <s v="28/2/2026"/>
    <x v="18"/>
    <s v="802Um00000EfmLm"/>
    <s v="PE00409587"/>
    <s v="0004988974"/>
    <x v="0"/>
    <s v="Activated"/>
    <s v="Under Review"/>
    <s v="COMPAÑIA FOOD RETAIL Perú"/>
    <x v="10"/>
    <s v="CRITEO CORP. United States of America"/>
    <s v="Criteo"/>
    <s v="Peru"/>
    <s v=""/>
    <s v="GLOBAL"/>
    <x v="0"/>
    <s v="Mexico"/>
    <s v="Dynamic Ads"/>
    <s v="Auction / Budget"/>
    <s v="Auction / Budget"/>
    <x v="0"/>
    <s v="USD"/>
    <s v="55367"/>
    <n v="379.94"/>
    <n v="379.94"/>
    <n v="1"/>
    <n v="1"/>
    <n v="1"/>
    <n v="0.91"/>
    <n v="1"/>
    <n v="0"/>
    <m/>
    <n v="379.94"/>
    <n v="379.94"/>
    <n v="379.94"/>
    <n v="379.94"/>
    <n v="379.94"/>
    <m/>
    <n v="379.94"/>
    <n v="379.94"/>
    <n v="0"/>
    <n v="0"/>
    <n v="0"/>
    <n v="0"/>
    <x v="18"/>
    <s v="SO Exported to ERP"/>
    <s v="POIME-000032936"/>
    <s v="PO Exported to ERP"/>
    <m/>
    <s v=""/>
    <s v="Aleph Mexico"/>
    <x v="0"/>
    <x v="18"/>
    <s v="COMPAÑIA FOOD RETAIL Perú"/>
    <x v="10"/>
    <s v="Rodrigo Aldecoa"/>
    <s v=""/>
    <s v="Client Performance Driven (ROI)"/>
    <s v="Traditional (Local Team)"/>
    <s v="28/2/2026"/>
    <s v="30 days"/>
    <m/>
    <e v="#REF!"/>
    <s v="OK"/>
  </r>
  <r>
    <s v="2026"/>
    <s v="February"/>
    <s v="February/2026"/>
    <s v="28/2/2026"/>
    <x v="19"/>
    <s v="802Um00000EfsM9"/>
    <s v="PE00409589"/>
    <s v="0004988972"/>
    <x v="0"/>
    <s v="Activated"/>
    <s v="Under Review"/>
    <s v="HOMECENTERS PERUANOS S.A."/>
    <x v="8"/>
    <s v="CRITEO CORP. United States of America"/>
    <s v="Criteo"/>
    <s v="Peru"/>
    <s v=""/>
    <s v="GLOBAL"/>
    <x v="0"/>
    <s v="Mexico"/>
    <s v="Dynamic Ads"/>
    <s v="Auction / Budget"/>
    <s v="Auction / Budget"/>
    <x v="0"/>
    <s v="USD"/>
    <s v="39798"/>
    <n v="180.05"/>
    <n v="180.05"/>
    <n v="1"/>
    <n v="1"/>
    <n v="1"/>
    <n v="0.91"/>
    <n v="1"/>
    <n v="0"/>
    <m/>
    <n v="180.05"/>
    <n v="180.05"/>
    <n v="180.05"/>
    <n v="180.05"/>
    <n v="180.05"/>
    <m/>
    <n v="180.05"/>
    <n v="180.05"/>
    <n v="0"/>
    <n v="0"/>
    <n v="0"/>
    <n v="0"/>
    <x v="19"/>
    <s v="SO Exported to ERP"/>
    <s v="POIME-000032934"/>
    <s v="PO Exported to ERP"/>
    <m/>
    <s v=""/>
    <s v="Aleph Mexico"/>
    <x v="0"/>
    <x v="19"/>
    <s v="HOMECENTERS PERUANOS S.A."/>
    <x v="8"/>
    <s v="Rodrigo Aldecoa"/>
    <s v=""/>
    <s v="Client Performance Driven (ROI)"/>
    <s v="Traditional (Local Team)"/>
    <s v="28/2/2026"/>
    <s v="30 days"/>
    <m/>
    <e v="#REF!"/>
    <s v="OK"/>
  </r>
  <r>
    <s v="2026"/>
    <s v="February"/>
    <s v="March/2026"/>
    <s v="31/3/2026"/>
    <x v="20"/>
    <s v="802Um00000EvhRZ"/>
    <s v="PE00410816"/>
    <s v="0005002605"/>
    <x v="0"/>
    <s v="Pending Changes Approval Needed"/>
    <s v="Under Review"/>
    <s v="NATURA COSMETICOS S.A. Peru"/>
    <x v="14"/>
    <s v="CRITEO CORP. United States of America"/>
    <s v="Criteo"/>
    <s v="Peru"/>
    <s v=""/>
    <s v="GLOBAL"/>
    <x v="0"/>
    <s v="Mexico"/>
    <s v="Dynamic Ads"/>
    <s v="Auction / Budget"/>
    <s v="Auction / Budget"/>
    <x v="0"/>
    <s v="USD"/>
    <s v="120764"/>
    <n v="265.76"/>
    <n v="265.76"/>
    <n v="1"/>
    <n v="1"/>
    <n v="1"/>
    <n v="0.85"/>
    <n v="0.85"/>
    <n v="0"/>
    <m/>
    <n v="265.76"/>
    <n v="265.76"/>
    <n v="265.76"/>
    <n v="225.89599999999999"/>
    <n v="225.9"/>
    <m/>
    <n v="265.76"/>
    <n v="225.89599999999999"/>
    <n v="39.863999999999997"/>
    <n v="39.863999999999997"/>
    <n v="39.863999999999997"/>
    <n v="0.15"/>
    <x v="20"/>
    <m/>
    <m/>
    <m/>
    <m/>
    <s v=""/>
    <s v="Aleph Mexico"/>
    <x v="0"/>
    <x v="20"/>
    <s v="Especialidades Digitales Internacionales PERU"/>
    <x v="14"/>
    <s v="Rodrigo Aldecoa"/>
    <s v=""/>
    <s v="Client Performance Driven (ROI)"/>
    <s v="Traditional (Local Team)"/>
    <s v="28/2/2026"/>
    <s v="60 days"/>
    <m/>
    <e v="#REF!"/>
    <s v="Less rev/cogs than partner report"/>
  </r>
  <r>
    <s v="2026"/>
    <s v="February"/>
    <s v="February/2026"/>
    <s v="28/2/2026"/>
    <x v="21"/>
    <s v="802Um00000EfEF8"/>
    <s v="AR00408210"/>
    <s v="0004987349"/>
    <x v="0"/>
    <s v="Activated"/>
    <s v="Under Review"/>
    <s v="Arajet Dominican Republic"/>
    <x v="15"/>
    <s v="CRITEO CORP. United States of America"/>
    <s v="Criteo"/>
    <s v="Argentina"/>
    <s v=""/>
    <s v="GLOBAL"/>
    <x v="1"/>
    <s v="Mexico"/>
    <s v="Dynamic Ads"/>
    <s v="Auction / Budget"/>
    <s v="Auction / Budget"/>
    <x v="0"/>
    <s v="USD"/>
    <s v="98889"/>
    <n v="1497.88"/>
    <n v="1497.88"/>
    <n v="1"/>
    <n v="1"/>
    <n v="1"/>
    <n v="0.91"/>
    <n v="1"/>
    <n v="0"/>
    <m/>
    <n v="1497.88"/>
    <n v="1497.88"/>
    <n v="1497.88"/>
    <n v="1497.88"/>
    <n v="1497.88"/>
    <m/>
    <n v="1497.88"/>
    <n v="1497.88"/>
    <n v="0"/>
    <n v="0"/>
    <n v="0"/>
    <n v="0"/>
    <x v="21"/>
    <s v="SO Exported to ERP"/>
    <s v="POIME-000032930"/>
    <s v="PO Exported to ERP"/>
    <m/>
    <s v=""/>
    <s v="Aleph Mexico"/>
    <x v="0"/>
    <x v="21"/>
    <s v="Arajet Dominican Republic"/>
    <x v="15"/>
    <s v="Maria Candela Lirio"/>
    <s v=""/>
    <s v="Client Performance Driven (ROI)"/>
    <s v="Traditional (Local Team)"/>
    <s v="28/2/2026"/>
    <s v="60 days"/>
    <m/>
    <e v="#REF!"/>
    <s v="OK"/>
  </r>
  <r>
    <s v="2026"/>
    <s v="February"/>
    <s v="February/2026"/>
    <s v="28/2/2026"/>
    <x v="22"/>
    <s v="802Uj00000ILzgz"/>
    <s v="PE00314814"/>
    <s v="0004184060"/>
    <x v="0"/>
    <s v="Activated"/>
    <s v="Under Review"/>
    <s v="AP LATAM HOLDINGS, LLC United States of America"/>
    <x v="16"/>
    <s v="CRITEO CORP. United States of America"/>
    <s v="Criteo"/>
    <s v="Peru"/>
    <s v=""/>
    <s v="GLOBAL"/>
    <x v="2"/>
    <s v="Mexico"/>
    <s v="Dynamic Ads"/>
    <s v="Auction / Budget"/>
    <s v="Auction / Budget"/>
    <x v="0"/>
    <s v="USD"/>
    <s v="99591"/>
    <n v="1998.87"/>
    <n v="1998.87"/>
    <n v="1"/>
    <n v="1"/>
    <n v="1"/>
    <n v="0.91"/>
    <n v="1"/>
    <n v="0"/>
    <m/>
    <n v="1998.87"/>
    <n v="1998.87"/>
    <n v="1998.87"/>
    <n v="1998.87"/>
    <n v="1998.87"/>
    <m/>
    <n v="20501.04"/>
    <n v="1998.87"/>
    <n v="0"/>
    <n v="0"/>
    <n v="0"/>
    <n v="0"/>
    <x v="22"/>
    <s v="SO Exported to ERP"/>
    <s v="POIME-000021070"/>
    <s v="PO Exported to ERP"/>
    <m/>
    <s v=""/>
    <s v="Aleph Mexico"/>
    <x v="0"/>
    <x v="22"/>
    <s v="AP LATAM HOLDINGS, LLC United States of America"/>
    <x v="16"/>
    <s v="Andrea Burga"/>
    <s v=""/>
    <s v="Client Performance Driven (ROI)"/>
    <s v="Traditional (Local Team)"/>
    <s v="28/2/2026"/>
    <s v="30 days"/>
    <m/>
    <e v="#REF!"/>
    <s v="OK"/>
  </r>
  <r>
    <s v="2026"/>
    <s v="February"/>
    <s v="February/2026"/>
    <s v="28/2/2026"/>
    <x v="23"/>
    <s v="802Uj00000IM3Hb"/>
    <s v="PE00349925"/>
    <s v="0004186494"/>
    <x v="0"/>
    <s v="Activated"/>
    <s v="Under Review"/>
    <s v="UNIVERSIDAD CIENTIFICA DEL SUR S.A.C."/>
    <x v="3"/>
    <s v="CRITEO CORP. United States of America"/>
    <s v="Criteo"/>
    <s v="Peru"/>
    <s v=""/>
    <s v="GLOBAL"/>
    <x v="0"/>
    <s v="Mexico"/>
    <s v="Dynamic Ads"/>
    <s v="Auction / Budget"/>
    <s v="Auction / Budget"/>
    <x v="0"/>
    <s v="USD"/>
    <s v="114667"/>
    <n v="16105.49"/>
    <n v="16105.49"/>
    <n v="1"/>
    <n v="1"/>
    <n v="1"/>
    <n v="0.85"/>
    <n v="1"/>
    <n v="0"/>
    <m/>
    <n v="16105.49"/>
    <n v="16105.49"/>
    <n v="16105.49"/>
    <n v="16105.49"/>
    <n v="16105.49"/>
    <m/>
    <n v="78847.45"/>
    <n v="16105.49"/>
    <n v="0"/>
    <n v="0"/>
    <n v="0"/>
    <n v="0"/>
    <x v="23"/>
    <s v="SO Exported to ERP"/>
    <s v="POIME-000026121"/>
    <s v="PO Exported to ERP"/>
    <m/>
    <s v=""/>
    <s v="Aleph Mexico"/>
    <x v="0"/>
    <x v="23"/>
    <s v="QUAL MEDIA S.A.C., Peru"/>
    <x v="3"/>
    <s v="Andrea Burga"/>
    <s v=""/>
    <s v="Client Performance Driven (ROI)"/>
    <s v="Traditional (Local Team)"/>
    <s v="28/2/2026"/>
    <s v="75 days"/>
    <m/>
    <e v="#REF!"/>
    <s v="OK"/>
  </r>
  <r>
    <s v="2026"/>
    <s v="February"/>
    <s v="February/2026"/>
    <s v="28/2/2026"/>
    <x v="24"/>
    <s v="802Uj00000IM4K0"/>
    <s v="PE00276252"/>
    <s v="0004188518"/>
    <x v="0"/>
    <s v="Activated"/>
    <s v="Under Review"/>
    <s v="EL PACIFICO VIDA CIA DE SEGUROS Y REASEGUROS S.A."/>
    <x v="3"/>
    <s v="CRITEO CORP. United States of America"/>
    <s v="Criteo"/>
    <s v="Peru"/>
    <s v=""/>
    <s v="GLOBAL"/>
    <x v="0"/>
    <s v="Mexico"/>
    <s v="Dynamic Ads"/>
    <s v="Auction / Budget"/>
    <s v="Auction / Budget"/>
    <x v="0"/>
    <s v="USD"/>
    <s v="74346"/>
    <n v="3699.53"/>
    <n v="3699.53"/>
    <n v="1"/>
    <n v="1"/>
    <n v="1"/>
    <n v="0.91"/>
    <n v="1"/>
    <n v="0"/>
    <m/>
    <n v="3699.53"/>
    <n v="3699.53"/>
    <n v="3699.53"/>
    <n v="3699.53"/>
    <n v="3699.53"/>
    <m/>
    <n v="55543.41"/>
    <n v="3699.53"/>
    <n v="0"/>
    <n v="0"/>
    <n v="0"/>
    <n v="0"/>
    <x v="24"/>
    <s v="SO Exported to ERP"/>
    <s v="POIME-000016807"/>
    <s v="PO Exported to ERP"/>
    <m/>
    <s v=""/>
    <s v="Aleph Mexico"/>
    <x v="0"/>
    <x v="24"/>
    <s v="QUAL MEDIA S.A.C., Peru"/>
    <x v="3"/>
    <s v="Andrea Burga"/>
    <s v=""/>
    <s v="Client Performance Driven (ROI)"/>
    <s v="Traditional (Local Team)"/>
    <s v="28/2/2026"/>
    <s v="75 days"/>
    <m/>
    <e v="#REF!"/>
    <s v="OK"/>
  </r>
  <r>
    <s v="2026"/>
    <s v="February"/>
    <s v="February/2026"/>
    <s v="28/2/2026"/>
    <x v="25"/>
    <s v="802Uj00000Jcyfu"/>
    <s v="PE00287203"/>
    <s v="0004248624"/>
    <x v="0"/>
    <s v="Activated"/>
    <s v="Under Review"/>
    <s v="CONFEDERACION DE DESARROLLADORES INMOBILIARIOS DEL PERU- CODIPPeru"/>
    <x v="17"/>
    <s v="CRITEO CORP. United States of America"/>
    <s v="Criteo"/>
    <s v="Peru"/>
    <s v=""/>
    <s v="GLOBAL"/>
    <x v="0"/>
    <s v="Mexico"/>
    <s v="Dynamic Ads"/>
    <s v="Auction / Budget"/>
    <s v="Auction / Budget"/>
    <x v="0"/>
    <s v="USD"/>
    <s v="107799"/>
    <n v="4773.92"/>
    <n v="4773.92"/>
    <n v="1"/>
    <n v="1"/>
    <n v="1"/>
    <n v="0.91"/>
    <n v="1"/>
    <n v="0"/>
    <m/>
    <n v="4773.92"/>
    <n v="4773.92"/>
    <n v="4773.92"/>
    <n v="4773.92"/>
    <n v="4773.92"/>
    <m/>
    <n v="44372.9"/>
    <n v="4773.92"/>
    <n v="0"/>
    <n v="0"/>
    <n v="0"/>
    <n v="0"/>
    <x v="25"/>
    <s v="SO Exported to ERP"/>
    <s v="POIME-000019588"/>
    <s v="PO Exported to ERP"/>
    <m/>
    <s v="Factura Mayo"/>
    <s v="Aleph Mexico"/>
    <x v="0"/>
    <x v="25"/>
    <s v="CONFEDERACION DE DESARROLLADORES INMOBILIARIOS DEL PERU- CODIPPeru"/>
    <x v="17"/>
    <s v="Andrea Burga"/>
    <s v=""/>
    <s v="Client Performance Driven (ROI)"/>
    <s v="Traditional (Local Team)"/>
    <s v="28/2/2026"/>
    <s v="30 days"/>
    <m/>
    <e v="#REF!"/>
    <s v="OK"/>
  </r>
  <r>
    <s v="2026"/>
    <s v="February"/>
    <s v="February/2026"/>
    <s v="28/2/2026"/>
    <x v="26"/>
    <s v="802Uj00000OKEiZ"/>
    <s v="PE00277713"/>
    <s v="0004746208"/>
    <x v="0"/>
    <s v="Activated"/>
    <s v="Under Review"/>
    <s v="NESSUS HOTELES PERU S.A."/>
    <x v="18"/>
    <s v="CRITEO CORP. United States of America"/>
    <s v="Criteo"/>
    <s v="Peru"/>
    <s v=""/>
    <s v="GLOBAL"/>
    <x v="0"/>
    <s v="Mexico"/>
    <s v="Dynamic Ads"/>
    <s v="Auction / Budget"/>
    <s v="Auction / Budget"/>
    <x v="0"/>
    <s v="USD"/>
    <s v="103986"/>
    <n v="2986.68"/>
    <n v="2986.68"/>
    <n v="1"/>
    <n v="1"/>
    <n v="1"/>
    <n v="0.91"/>
    <n v="1"/>
    <n v="0"/>
    <m/>
    <n v="2986.68"/>
    <n v="2986.68"/>
    <n v="2986.68"/>
    <n v="2986.68"/>
    <n v="2986.68"/>
    <m/>
    <n v="25322.44"/>
    <n v="2986.68"/>
    <n v="0"/>
    <n v="0"/>
    <n v="0"/>
    <n v="0"/>
    <x v="26"/>
    <s v="SO Exported to ERP"/>
    <s v="POIME-000018208"/>
    <s v="PO Exported to ERP"/>
    <m/>
    <s v=""/>
    <s v="Aleph Mexico"/>
    <x v="0"/>
    <x v="26"/>
    <s v="NESSUS HOTELES PERU S.A."/>
    <x v="18"/>
    <s v="Andrea Burga"/>
    <s v=""/>
    <s v="Client Performance Driven (ROI)"/>
    <s v="Traditional (Local Team)"/>
    <s v="28/2/2026"/>
    <s v="30 days"/>
    <m/>
    <e v="#REF!"/>
    <s v="OK"/>
  </r>
  <r>
    <s v="2026"/>
    <s v="February"/>
    <s v="February/2026"/>
    <s v="28/2/2026"/>
    <x v="27"/>
    <s v="802Um00000Djl0J"/>
    <s v="PE00398043"/>
    <s v="0004930416"/>
    <x v="0"/>
    <s v="Activated"/>
    <s v="Under Review"/>
    <s v="SISE"/>
    <x v="19"/>
    <s v="CRITEO CORP. United States of America"/>
    <s v="Criteo"/>
    <s v="Peru"/>
    <s v=""/>
    <s v="GLOBAL"/>
    <x v="0"/>
    <s v="Mexico"/>
    <s v="Dynamic Ads"/>
    <s v="Auction / Budget"/>
    <s v="Auction / Budget"/>
    <x v="0"/>
    <s v="USD"/>
    <s v="119907"/>
    <n v="8000"/>
    <n v="8000"/>
    <n v="1"/>
    <n v="1"/>
    <n v="1"/>
    <n v="0.91"/>
    <n v="1"/>
    <n v="0"/>
    <m/>
    <n v="8000"/>
    <n v="8000"/>
    <n v="8000"/>
    <n v="8000"/>
    <n v="8000"/>
    <m/>
    <n v="16823.87"/>
    <n v="8000"/>
    <n v="0"/>
    <n v="0"/>
    <n v="0"/>
    <n v="0"/>
    <x v="27"/>
    <s v="SO Exported to ERP"/>
    <s v="POIME-000032214"/>
    <s v="PO Exported to ERP"/>
    <m/>
    <s v=""/>
    <s v="Aleph Mexico"/>
    <x v="0"/>
    <x v="27"/>
    <s v="MEDIAWISE S.A.C, Peru"/>
    <x v="19"/>
    <s v="Andrea Burga"/>
    <s v=""/>
    <s v="Client Performance Driven (ROI)"/>
    <s v="Traditional (Local Team)"/>
    <s v="28/2/2026"/>
    <s v="60 days"/>
    <m/>
    <e v="#REF!"/>
    <s v="OK"/>
  </r>
  <r>
    <s v="2026"/>
    <s v="February"/>
    <s v="February/2026"/>
    <s v="28/2/2026"/>
    <x v="28"/>
    <s v="802Um00000DkpJO"/>
    <s v="CO00391696"/>
    <s v="0004932626"/>
    <x v="0"/>
    <s v="Activated"/>
    <s v="Under Review"/>
    <s v="SONY LATIN AMERICA INC. United States of America"/>
    <x v="20"/>
    <s v="CRITEO CORP. United States of America"/>
    <s v="Criteo"/>
    <s v="Colombia"/>
    <s v=""/>
    <s v="GLOBAL"/>
    <x v="2"/>
    <s v="Mexico"/>
    <s v="Dynamic Ads"/>
    <s v="Auction / Budget"/>
    <s v="Auction / Budget"/>
    <x v="0"/>
    <s v="USD"/>
    <s v="31764"/>
    <n v="288.47000000000003"/>
    <n v="288.47000000000003"/>
    <n v="1"/>
    <n v="1"/>
    <n v="1"/>
    <n v="0.91"/>
    <n v="1"/>
    <n v="0"/>
    <m/>
    <n v="288.47000000000003"/>
    <n v="288.47000000000003"/>
    <n v="288.47000000000003"/>
    <n v="288.47000000000003"/>
    <n v="288.47000000000003"/>
    <m/>
    <n v="288.47000000000003"/>
    <n v="288.47000000000003"/>
    <n v="0"/>
    <n v="0"/>
    <n v="0"/>
    <n v="0"/>
    <x v="28"/>
    <s v="SO Exported to ERP"/>
    <s v="POIME-000032887"/>
    <s v="PO Exported to ERP"/>
    <m/>
    <s v=""/>
    <s v="Aleph Mexico"/>
    <x v="0"/>
    <x v="28"/>
    <s v="Group M Worldwide LLC DBA EssenceMediacom Miami"/>
    <x v="20"/>
    <s v="Paola Reina"/>
    <s v=""/>
    <s v="Client Performance Driven (ROI)"/>
    <s v="Traditional (Local Team)"/>
    <s v="28/2/2026"/>
    <s v="30 days"/>
    <m/>
    <e v="#REF!"/>
    <s v="OK"/>
  </r>
  <r>
    <s v="2026"/>
    <s v="February"/>
    <s v="February/2026"/>
    <s v="28/2/2026"/>
    <x v="29"/>
    <s v="802Um00000E0KBZ"/>
    <s v="CO00373095"/>
    <s v="0004953815"/>
    <x v="0"/>
    <s v="Activated"/>
    <s v="Under Review"/>
    <s v="Cueros Velez Colombia"/>
    <x v="21"/>
    <s v="CRITEO CORP. United States of America"/>
    <s v="Criteo"/>
    <s v="Colombia"/>
    <s v=""/>
    <s v="GLOBAL"/>
    <x v="3"/>
    <s v="Mexico"/>
    <s v="Dynamic Ads"/>
    <s v="Auction / Budget"/>
    <s v="Auction / Budget"/>
    <x v="1"/>
    <s v="USD"/>
    <s v="120332"/>
    <n v="2065.75"/>
    <n v="2065.75"/>
    <n v="1"/>
    <n v="1"/>
    <n v="1"/>
    <n v="0.85"/>
    <n v="1"/>
    <n v="0"/>
    <m/>
    <n v="2065.75"/>
    <n v="2065.75"/>
    <n v="7953137.5"/>
    <n v="2065.75"/>
    <n v="2065.75"/>
    <n v="3850"/>
    <n v="2065.75"/>
    <n v="2065.75"/>
    <n v="172903.27499999999"/>
    <n v="0"/>
    <n v="0"/>
    <n v="0"/>
    <x v="29"/>
    <s v="SO Exported to ERP"/>
    <s v="POIME-000032902"/>
    <s v="PO Exported to ERP"/>
    <m/>
    <s v=""/>
    <s v="Aleph Mexico"/>
    <x v="1"/>
    <x v="29"/>
    <s v="SISTEMAS COLOMBIA COLOMBIA"/>
    <x v="21"/>
    <s v="Paola Reina"/>
    <s v=""/>
    <s v="Client Performance Driven (ROI)"/>
    <s v="Traditional (Local Team)"/>
    <s v="28/2/2026"/>
    <s v="60 days"/>
    <m/>
    <e v="#REF!"/>
    <s v="OK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2026"/>
    <s v="February"/>
    <s v="February/2026"/>
    <s v="28/2/2026"/>
    <s v="00270878"/>
    <s v="802Uj00000ILwke"/>
    <s v="PE00322629"/>
    <s v="0004188108"/>
    <x v="0"/>
    <s v="Activated"/>
    <x v="0"/>
    <s v="JOINNUS SAC Peru"/>
    <s v="JOINNUS SAC"/>
    <s v="CRITEO CORP. United States of America"/>
    <x v="0"/>
    <s v="Peru"/>
    <s v=""/>
    <s v="GLOBAL"/>
    <x v="0"/>
    <s v="Mexico"/>
    <s v="Dynamic Ads"/>
    <s v="Auction / Budget"/>
    <s v="Auction / Budget"/>
    <s v="USD"/>
    <s v="USD"/>
    <s v="73548"/>
    <n v="1800"/>
    <n v="1800"/>
    <n v="1"/>
    <n v="1"/>
    <n v="1"/>
    <n v="0.91"/>
    <n v="1"/>
    <n v="0"/>
    <m/>
    <n v="1800"/>
    <n v="1800"/>
    <n v="1800"/>
    <n v="1800"/>
    <n v="1800"/>
    <m/>
    <n v="18459.689999999999"/>
    <n v="1800"/>
    <n v="0"/>
    <n v="0"/>
    <n v="0"/>
    <n v="0"/>
    <s v="SOIPE-000006663"/>
    <s v="SO Exported to ERP"/>
    <s v="POIME-000025299"/>
    <s v="PO Exported to ERP"/>
    <m/>
    <s v=""/>
    <x v="0"/>
    <n v="1"/>
    <s v="PE_JOINNUS_CRITEO_MAYO 2025"/>
    <s v="JOINNUS SAC Peru"/>
    <s v="20555387785"/>
    <s v="Rodrigo Aldecoa"/>
    <s v=""/>
    <s v="Client Performance Driven (ROI)"/>
    <s v="Traditional (Local Team)"/>
    <s v="28/2/2026"/>
    <s v="30 days"/>
    <m/>
    <e v="#REF!"/>
    <s v="OK"/>
    <n v="1800"/>
    <n v="1800"/>
  </r>
  <r>
    <s v="2026"/>
    <s v="February"/>
    <s v="February/2026"/>
    <s v="28/2/2026"/>
    <s v="00295095"/>
    <s v="802Uj00000IM33I"/>
    <s v="PE00357033"/>
    <s v="0004185982"/>
    <x v="0"/>
    <s v="Activated"/>
    <x v="0"/>
    <s v="PC Factory CHILE"/>
    <s v="Media Analytics S.A.C."/>
    <s v="CRITEO CORP. United States of America"/>
    <x v="0"/>
    <s v="Peru"/>
    <s v=""/>
    <s v="GLOBAL"/>
    <x v="0"/>
    <s v="Mexico"/>
    <s v="Dynamic Ads"/>
    <s v="Auction / Budget"/>
    <s v="Auction / Budget"/>
    <s v="USD"/>
    <s v="USD"/>
    <s v="116497"/>
    <n v="1999.95"/>
    <n v="1999.95"/>
    <n v="1"/>
    <n v="1"/>
    <n v="1"/>
    <n v="0.85"/>
    <n v="1"/>
    <n v="0"/>
    <m/>
    <n v="1999.95"/>
    <n v="1999.95"/>
    <n v="1999.95"/>
    <n v="1999.95"/>
    <n v="1999.95"/>
    <m/>
    <n v="15499.96"/>
    <n v="1999.95"/>
    <n v="0"/>
    <n v="0"/>
    <n v="0"/>
    <n v="0"/>
    <s v="SOIPE-000008334"/>
    <s v="SO Exported to ERP"/>
    <s v="POIME-000027193"/>
    <s v="PO Exported to ERP"/>
    <m/>
    <s v=""/>
    <x v="0"/>
    <n v="1"/>
    <s v="PE_CRITEO_PC FACTORY JULIO 2025"/>
    <s v="Media Analytics Perú"/>
    <s v="20606271744"/>
    <s v="Rodrigo Aldecoa"/>
    <s v=""/>
    <s v="Client Performance Driven (ROI)"/>
    <s v="Traditional (Local Team)"/>
    <s v="28/2/2026"/>
    <s v="30 days"/>
    <m/>
    <e v="#REF!"/>
    <s v="OK"/>
    <n v="1999.95"/>
    <n v="1999.95"/>
  </r>
  <r>
    <s v="2026"/>
    <s v="February"/>
    <s v="February/2026"/>
    <s v="28/2/2026"/>
    <s v="00314444"/>
    <s v="802Uj00000O9ALb"/>
    <s v="PE00386377"/>
    <s v="0004721846"/>
    <x v="0"/>
    <s v="Activated"/>
    <x v="0"/>
    <s v="ONCOSALUD S.A.C."/>
    <s v="Media Analytics S.A.C."/>
    <s v="CRITEO CORP. United States of America"/>
    <x v="0"/>
    <s v="Peru"/>
    <s v=""/>
    <s v="GLOBAL"/>
    <x v="0"/>
    <s v="Mexico"/>
    <s v="Dynamic Ads"/>
    <s v="Auction / Budget"/>
    <s v="Auction / Budget"/>
    <s v="USD"/>
    <s v="USD"/>
    <s v="118854"/>
    <n v="912.96"/>
    <n v="912.96"/>
    <n v="1"/>
    <n v="1"/>
    <n v="1"/>
    <n v="0.85"/>
    <n v="1"/>
    <n v="0"/>
    <m/>
    <n v="912.96"/>
    <n v="912.96"/>
    <n v="912.96"/>
    <n v="912.96"/>
    <n v="912.96"/>
    <m/>
    <n v="3499.99"/>
    <n v="912.96"/>
    <n v="0"/>
    <n v="0"/>
    <n v="0"/>
    <n v="0"/>
    <s v="SOIPE-000009862"/>
    <s v="SO Exported to ERP"/>
    <s v="POIME-000030616"/>
    <s v="PO Exported to ERP"/>
    <m/>
    <s v=""/>
    <x v="0"/>
    <n v="1"/>
    <s v="Criteo_NOV25_Oncosalud PE"/>
    <s v="Media Analytics Perú"/>
    <s v="20606271744"/>
    <s v="Rodrigo Aldecoa"/>
    <s v=""/>
    <s v="Client Performance Driven (ROI)"/>
    <s v="Traditional (Local Team)"/>
    <s v="28/2/2026"/>
    <s v="30 days"/>
    <m/>
    <e v="#REF!"/>
    <s v="OK"/>
    <n v="912.96"/>
    <n v="912.96"/>
  </r>
  <r>
    <s v="2026"/>
    <s v="February"/>
    <s v="February/2026"/>
    <s v="28/2/2026"/>
    <s v="00324625"/>
    <s v="802Uj00000PmHY2"/>
    <s v="PE00399888"/>
    <s v="0004890443"/>
    <x v="0"/>
    <s v="Activated"/>
    <x v="0"/>
    <s v="COMPAÑIA HARD DISCOUNT S.A.C."/>
    <s v="COMPAÑIA HARD DISCOUNT S.A.C."/>
    <s v="CRITEO CORP. United States of America"/>
    <x v="0"/>
    <s v="Peru"/>
    <s v=""/>
    <s v="GLOBAL"/>
    <x v="0"/>
    <s v="Mexico"/>
    <s v="Dynamic Ads"/>
    <s v="Auction / Budget"/>
    <s v="Auction / Budget"/>
    <s v="USD"/>
    <s v="USD"/>
    <s v="115210"/>
    <n v="1027.45"/>
    <n v="1027.45"/>
    <n v="1"/>
    <n v="1"/>
    <n v="1"/>
    <n v="0.91"/>
    <n v="1"/>
    <n v="0"/>
    <m/>
    <n v="1027.45"/>
    <n v="1027.45"/>
    <n v="1027.45"/>
    <n v="1027.45"/>
    <n v="1027.45"/>
    <m/>
    <n v="6000.1"/>
    <n v="1027.45"/>
    <n v="0"/>
    <n v="0"/>
    <n v="0"/>
    <n v="0"/>
    <s v="SOIPE-000010175"/>
    <s v="SO Exported to ERP"/>
    <s v="POIME-000032235"/>
    <s v="PO Exported to ERP"/>
    <m/>
    <s v=""/>
    <x v="0"/>
    <n v="1"/>
    <s v="PE_CRITEO_TIENDAS MASS_ENE 2026"/>
    <s v="COMPAÑIA HARD DISCOUNT S.A.C."/>
    <s v="20608280333"/>
    <s v="Rodrigo Aldecoa"/>
    <s v=""/>
    <s v="Client Performance Driven (ROI)"/>
    <s v="Traditional (Local Team)"/>
    <s v="28/2/2026"/>
    <s v="30 days"/>
    <m/>
    <e v="#REF!"/>
    <s v="OK"/>
    <n v="1027.45"/>
    <n v="1027.45"/>
  </r>
  <r>
    <s v="2026"/>
    <s v="February"/>
    <s v="February/2026"/>
    <s v="28/2/2026"/>
    <s v="00324209"/>
    <s v="802Uj00000PrZr9"/>
    <s v="PE00398904"/>
    <s v="0004892401"/>
    <x v="0"/>
    <s v="Activated"/>
    <x v="0"/>
    <s v="BCP Peru"/>
    <s v="QUAL MEDIA S.A.C."/>
    <s v="CRITEO CORP. United States of America"/>
    <x v="0"/>
    <s v="Peru"/>
    <s v=""/>
    <s v="GLOBAL"/>
    <x v="0"/>
    <s v="Mexico"/>
    <s v="Dynamic Ads"/>
    <s v="Auction / Budget"/>
    <s v="Auction / Budget"/>
    <s v="USD"/>
    <s v="USD"/>
    <s v="44368"/>
    <n v="9029.1299999999992"/>
    <n v="9029.1299999999992"/>
    <n v="1"/>
    <n v="1"/>
    <n v="1"/>
    <n v="0.85"/>
    <n v="1"/>
    <n v="0"/>
    <m/>
    <n v="9029.1299999999992"/>
    <n v="9029.1299999999992"/>
    <n v="9029.1299999999992"/>
    <n v="9029.1299999999992"/>
    <n v="9029.1299999999992"/>
    <m/>
    <n v="10968.49"/>
    <n v="9029.1299999999992"/>
    <n v="0"/>
    <n v="0"/>
    <n v="0"/>
    <n v="0"/>
    <s v="SOIPE-000010171"/>
    <s v="SO Exported to ERP"/>
    <s v="POIME-000032243"/>
    <s v="PO Exported to ERP"/>
    <m/>
    <s v=""/>
    <x v="0"/>
    <n v="1"/>
    <s v="PE - CRITEO - OMD - BCP - ENE - 2026"/>
    <s v="QUAL MEDIA S.A.C., Peru"/>
    <s v="20509867560"/>
    <s v="Rodrigo Aldecoa"/>
    <s v=""/>
    <s v="Brand Objectives"/>
    <s v="Traditional (Local Team)"/>
    <s v="28/2/2026"/>
    <s v="75 days"/>
    <m/>
    <e v="#REF!"/>
    <s v="OK"/>
    <n v="9029.1299999999992"/>
    <n v="9029.1299999999992"/>
  </r>
  <r>
    <s v="2026"/>
    <s v="February"/>
    <s v="February/2026"/>
    <s v="28/2/2026"/>
    <s v="00326088"/>
    <s v="802Um00000DRqRF"/>
    <s v="PE00401676"/>
    <s v="0004908031"/>
    <x v="0"/>
    <s v="Activated"/>
    <x v="0"/>
    <s v="Pepsico Perú"/>
    <s v="QUAL MEDIA S.A.C."/>
    <s v="CRITEO CORP. United States of America"/>
    <x v="0"/>
    <s v="Peru"/>
    <s v=""/>
    <s v="GLOBAL"/>
    <x v="0"/>
    <s v="Mexico"/>
    <s v="Dynamic Ads"/>
    <s v="Auction / Budget"/>
    <s v="Auction / Budget"/>
    <s v="USD"/>
    <s v="USD"/>
    <s v="120258"/>
    <n v="2500"/>
    <n v="2500"/>
    <n v="1"/>
    <n v="1"/>
    <n v="1"/>
    <n v="0.85"/>
    <n v="1"/>
    <n v="0"/>
    <m/>
    <n v="2500"/>
    <n v="2500"/>
    <n v="2500"/>
    <n v="2500"/>
    <n v="2500"/>
    <m/>
    <n v="2500"/>
    <n v="2500"/>
    <n v="0"/>
    <n v="0"/>
    <n v="0"/>
    <n v="0"/>
    <s v="SOIPE-000010268"/>
    <s v="SO Exported to ERP"/>
    <s v="POIME-000032884"/>
    <s v="PO Exported to ERP"/>
    <m/>
    <s v=""/>
    <x v="0"/>
    <n v="1"/>
    <s v="PE - CRITEO - OMD - PEPSICO - FEB &amp; MAR - 2026"/>
    <s v="QUAL MEDIA S.A.C., Peru"/>
    <s v="20509867560"/>
    <s v="Rodrigo Aldecoa"/>
    <s v=""/>
    <s v="Brand Objectives"/>
    <s v="Traditional (Local Team)"/>
    <s v="28/2/2026"/>
    <s v="75 days"/>
    <m/>
    <e v="#REF!"/>
    <s v="OK"/>
    <n v="2500"/>
    <n v="2500"/>
  </r>
  <r>
    <s v="2026"/>
    <s v="February"/>
    <s v="February/2026"/>
    <s v="28/2/2026"/>
    <s v="00326928"/>
    <s v="802Um00000DePtm"/>
    <s v="PE00403309"/>
    <s v="0004917062"/>
    <x v="0"/>
    <s v="Activated"/>
    <x v="0"/>
    <s v="DIVEMOTOR Perú"/>
    <s v="Media Analytics S.A.C."/>
    <s v="CRITEO CORP. United States of America"/>
    <x v="0"/>
    <s v="Peru"/>
    <s v=""/>
    <s v="GLOBAL"/>
    <x v="0"/>
    <s v="Mexico"/>
    <s v="Dynamic Ads"/>
    <s v="Auction / Budget"/>
    <s v="Auction / Budget"/>
    <s v="USD"/>
    <s v="USD"/>
    <s v="110594"/>
    <n v="999.97"/>
    <n v="999.97"/>
    <n v="1"/>
    <n v="1"/>
    <n v="1"/>
    <n v="0.85"/>
    <n v="1"/>
    <n v="0"/>
    <m/>
    <n v="999.97"/>
    <n v="999.97"/>
    <n v="999.97"/>
    <n v="999.97"/>
    <n v="999.97"/>
    <m/>
    <n v="1999.97"/>
    <n v="999.97"/>
    <n v="0"/>
    <n v="0"/>
    <n v="0"/>
    <n v="0"/>
    <s v="SOIPE-000010176"/>
    <s v="SO Exported to ERP"/>
    <s v="POIME-000032240"/>
    <s v="PO Exported to ERP"/>
    <m/>
    <s v=""/>
    <x v="0"/>
    <n v="1"/>
    <s v="PE_CRITEO_DIVEMOTOR ENE 2026"/>
    <s v="Media Analytics Perú"/>
    <s v="20606271744"/>
    <s v="Rodrigo Aldecoa"/>
    <s v=""/>
    <s v="Client Performance Driven (ROI)"/>
    <s v="Traditional (Local Team)"/>
    <s v="28/2/2026"/>
    <s v="30 days"/>
    <m/>
    <e v="#REF!"/>
    <s v="OK"/>
    <n v="999.97"/>
    <n v="999.97"/>
  </r>
  <r>
    <s v="2026"/>
    <s v="February"/>
    <s v="February/2026"/>
    <s v="28/2/2026"/>
    <s v="00327579"/>
    <s v="802Um00000Dlouj"/>
    <s v="PE00392766"/>
    <s v="0004938057"/>
    <x v="0"/>
    <s v="Activated"/>
    <x v="0"/>
    <s v="ESTILOS S.R.L. Peru"/>
    <s v="ESTILOS S.R.L."/>
    <s v="CRITEO CORP. United States of America"/>
    <x v="0"/>
    <s v="Peru"/>
    <s v=""/>
    <s v="GLOBAL"/>
    <x v="0"/>
    <s v="Mexico"/>
    <s v="Dynamic Ads"/>
    <s v="Auction / Budget"/>
    <s v="Auction / Budget"/>
    <s v="USD"/>
    <s v="USD"/>
    <s v="63589"/>
    <n v="2991.08"/>
    <n v="2991.08"/>
    <n v="1"/>
    <n v="1"/>
    <n v="1"/>
    <n v="0.85"/>
    <n v="1"/>
    <n v="0"/>
    <m/>
    <n v="2991.08"/>
    <n v="2991.08"/>
    <n v="2991.08"/>
    <n v="2991.08"/>
    <n v="2991.08"/>
    <m/>
    <n v="2991.08"/>
    <n v="2991.08"/>
    <n v="0"/>
    <n v="0"/>
    <n v="0"/>
    <n v="0"/>
    <s v="SOIPE-000010270"/>
    <s v="SO Exported to ERP"/>
    <s v="POIME-000032891"/>
    <s v="PO Exported to ERP"/>
    <m/>
    <s v=""/>
    <x v="0"/>
    <n v="1"/>
    <s v="PE_CRITEO_ESTILOS_FEB 2026 PIPE"/>
    <s v="ESTILOS S.R.L. Peru"/>
    <s v="20100199158"/>
    <s v="Rodrigo Aldecoa"/>
    <s v=""/>
    <s v="Client Performance Driven (ROI)"/>
    <s v="Traditional (Local Team)"/>
    <s v="28/2/2026"/>
    <s v="30 days"/>
    <m/>
    <e v="#REF!"/>
    <s v="OK"/>
    <n v="2991.08"/>
    <n v="2991.08"/>
  </r>
  <r>
    <s v="2026"/>
    <s v="February"/>
    <s v="February/2026"/>
    <s v="28/2/2026"/>
    <s v="00327580"/>
    <s v="802Um00000Dlp61"/>
    <s v="PE00392769"/>
    <s v="0004938058"/>
    <x v="0"/>
    <s v="Activated"/>
    <x v="0"/>
    <s v="Financiera Oh SA Perú"/>
    <s v="Financiera Oh SA"/>
    <s v="CRITEO CORP. United States of America"/>
    <x v="0"/>
    <s v="Peru"/>
    <s v=""/>
    <s v="GLOBAL"/>
    <x v="0"/>
    <s v="Mexico"/>
    <s v="Dynamic Ads"/>
    <s v="Auction / Budget"/>
    <s v="Auction / Budget"/>
    <s v="USD"/>
    <s v="USD"/>
    <s v="116982"/>
    <n v="2398.79"/>
    <n v="2398.79"/>
    <n v="1"/>
    <n v="1"/>
    <n v="1"/>
    <n v="0.85"/>
    <n v="1"/>
    <n v="0"/>
    <m/>
    <n v="2398.79"/>
    <n v="2398.79"/>
    <n v="2398.79"/>
    <n v="2398.79"/>
    <n v="2398.79"/>
    <m/>
    <n v="2398.79"/>
    <n v="2398.79"/>
    <n v="0"/>
    <n v="0"/>
    <n v="0"/>
    <n v="0"/>
    <s v="SOIPE-000010269"/>
    <s v="SO Exported to ERP"/>
    <s v="POIME-000032895"/>
    <s v="PO Exported to ERP"/>
    <m/>
    <s v=""/>
    <x v="0"/>
    <n v="1"/>
    <s v="CRITEO_PE_FINANCIERA OH-FEB-2026"/>
    <s v="Financiera Oh SA Perú"/>
    <s v="20522291201"/>
    <s v="Rodrigo Aldecoa"/>
    <s v=""/>
    <s v="Brand Objectives"/>
    <s v="Traditional (Local Team)"/>
    <s v="28/2/2026"/>
    <s v="30 days"/>
    <m/>
    <e v="#REF!"/>
    <s v="OK"/>
    <n v="2398.79"/>
    <n v="2398.79"/>
  </r>
  <r>
    <s v="2026"/>
    <s v="February"/>
    <s v="February/2026"/>
    <s v="28/2/2026"/>
    <s v="00327581"/>
    <s v="802Um00000DlpFh"/>
    <s v="PE00392772"/>
    <s v="0004938061"/>
    <x v="0"/>
    <s v="Activated"/>
    <x v="0"/>
    <s v="IMPORTACIONES HIRAOKA S.A.C"/>
    <s v="IMPORTACIONES HIRAOKA S.A.C"/>
    <s v="CRITEO CORP. United States of America"/>
    <x v="0"/>
    <s v="Peru"/>
    <s v=""/>
    <s v="GLOBAL"/>
    <x v="0"/>
    <s v="Mexico"/>
    <s v="Dynamic Ads"/>
    <s v="Auction / Budget"/>
    <s v="Auction / Budget"/>
    <s v="USD"/>
    <s v="USD"/>
    <s v="94854"/>
    <n v="2019.13"/>
    <n v="2019.13"/>
    <n v="1"/>
    <n v="1"/>
    <n v="1"/>
    <n v="0.85"/>
    <n v="1"/>
    <n v="0"/>
    <m/>
    <n v="2019.13"/>
    <n v="2019.13"/>
    <n v="2019.13"/>
    <n v="2019.13"/>
    <n v="2019.13"/>
    <m/>
    <n v="2019.13"/>
    <n v="2019.13"/>
    <n v="0"/>
    <n v="0"/>
    <n v="0"/>
    <n v="0"/>
    <s v="SOIPE-000010266"/>
    <s v="SO Exported to ERP"/>
    <s v="POIME-000032893"/>
    <s v="PO Exported to ERP"/>
    <m/>
    <s v=""/>
    <x v="0"/>
    <n v="1"/>
    <s v="Criteo_FEB.2026_Hiraoka"/>
    <s v="IMPORTACIONES HIRAOKA S.A.C"/>
    <s v="20100016681"/>
    <s v="Rodrigo Aldecoa"/>
    <s v=""/>
    <s v="Client Performance Driven (ROI)"/>
    <s v="Traditional (Local Team)"/>
    <s v="28/2/2026"/>
    <s v="30 days"/>
    <m/>
    <e v="#REF!"/>
    <s v="OK"/>
    <n v="2019.13"/>
    <n v="2019.13"/>
  </r>
  <r>
    <s v="2026"/>
    <s v="February"/>
    <s v="February/2026"/>
    <s v="28/2/2026"/>
    <s v="00327582"/>
    <s v="802Um00000DlpXR"/>
    <s v="PE00392775"/>
    <s v="0004938062"/>
    <x v="0"/>
    <s v="Activated"/>
    <x v="0"/>
    <s v="BANCO INTERNACIONAL DEL PERU (Interbank)"/>
    <s v="BANCO INTERNACIONAL DEL PERU (Interbank)"/>
    <s v="CRITEO CORP. United States of America"/>
    <x v="0"/>
    <s v="Peru"/>
    <s v=""/>
    <s v="GLOBAL"/>
    <x v="0"/>
    <s v="Mexico"/>
    <s v="Dynamic Ads"/>
    <s v="Auction / Budget"/>
    <s v="Auction / Budget"/>
    <s v="USD"/>
    <s v="USD"/>
    <s v="29652"/>
    <n v="998.79"/>
    <n v="998.79"/>
    <n v="1"/>
    <n v="1"/>
    <n v="1"/>
    <n v="0.85"/>
    <n v="1"/>
    <n v="0"/>
    <m/>
    <n v="998.79"/>
    <n v="998.79"/>
    <n v="998.79"/>
    <n v="998.79"/>
    <n v="998.79"/>
    <m/>
    <n v="998.79"/>
    <n v="998.79"/>
    <n v="0"/>
    <n v="0"/>
    <n v="0"/>
    <n v="0"/>
    <s v="SOIPE-000010265"/>
    <s v="SO Exported to ERP"/>
    <s v="POIME-000032897"/>
    <s v="PO Exported to ERP"/>
    <m/>
    <s v=""/>
    <x v="0"/>
    <n v="1"/>
    <s v="PE_CRITEO_INTERBANK_FEB 2026 PIPE"/>
    <s v="BANCO INTERNACIONAL DEL PERU (Interbank)"/>
    <s v="20100053455"/>
    <s v="Rodrigo Aldecoa"/>
    <s v=""/>
    <s v="Client Performance Driven (ROI)"/>
    <s v="Traditional (Local Team)"/>
    <s v="28/2/2026"/>
    <s v="30 days"/>
    <m/>
    <e v="#REF!"/>
    <s v="OK"/>
    <n v="998.79"/>
    <n v="998.79"/>
  </r>
  <r>
    <s v="2026"/>
    <s v="February"/>
    <s v="February/2026"/>
    <s v="28/2/2026"/>
    <s v="00327584"/>
    <s v="802Um00000DlqQH"/>
    <s v="PE00392790"/>
    <s v="0004938065"/>
    <x v="0"/>
    <s v="Activated"/>
    <x v="0"/>
    <s v="HOMECENTERS PERUANOS S.A."/>
    <s v="HOMECENTERS PERUANOS S.A."/>
    <s v="CRITEO CORP. United States of America"/>
    <x v="0"/>
    <s v="Peru"/>
    <s v=""/>
    <s v="GLOBAL"/>
    <x v="0"/>
    <s v="Mexico"/>
    <s v="Dynamic Ads"/>
    <s v="Auction / Budget"/>
    <s v="Auction / Budget"/>
    <s v="USD"/>
    <s v="USD"/>
    <s v="39798"/>
    <n v="993"/>
    <n v="993"/>
    <n v="1"/>
    <n v="1"/>
    <n v="1"/>
    <n v="0.85"/>
    <n v="1"/>
    <n v="0"/>
    <m/>
    <n v="993"/>
    <n v="993"/>
    <n v="993"/>
    <n v="993"/>
    <n v="993"/>
    <m/>
    <n v="993"/>
    <n v="993"/>
    <n v="0"/>
    <n v="0"/>
    <n v="0"/>
    <n v="0"/>
    <s v="SOIPE-000010277"/>
    <s v="SO Exported to ERP"/>
    <s v="POIME-000032898"/>
    <s v="PO Exported to ERP"/>
    <m/>
    <s v=""/>
    <x v="0"/>
    <n v="1"/>
    <s v="PE_CRITEO_PROMART_2026_FE PIPE"/>
    <s v="HOMECENTERS PERUANOS S.A."/>
    <s v="20536557858"/>
    <s v="Rodrigo Aldecoa"/>
    <s v=""/>
    <s v="Client Performance Driven (ROI)"/>
    <s v="Traditional (Local Team)"/>
    <s v="28/2/2026"/>
    <s v="30 days"/>
    <m/>
    <e v="#REF!"/>
    <s v="OK"/>
    <n v="993"/>
    <n v="993"/>
  </r>
  <r>
    <s v="2026"/>
    <s v="February"/>
    <s v="February/2026"/>
    <s v="28/2/2026"/>
    <s v="00328599"/>
    <s v="802Um00000Dzg7h"/>
    <s v="PE00392783"/>
    <s v="0004953692"/>
    <x v="0"/>
    <s v="Activated"/>
    <x v="0"/>
    <s v="Makro Supermayorista SA"/>
    <s v="Makro Supermayorista SA"/>
    <s v="CRITEO CORP. United States of America"/>
    <x v="0"/>
    <s v="Peru"/>
    <s v=""/>
    <s v="GLOBAL"/>
    <x v="0"/>
    <s v="Mexico"/>
    <s v="Dynamic Ads"/>
    <s v="Auction / Budget"/>
    <s v="Auction / Budget"/>
    <s v="USD"/>
    <s v="USD"/>
    <s v="106852"/>
    <n v="2000"/>
    <n v="2000"/>
    <n v="1"/>
    <n v="1"/>
    <n v="1"/>
    <n v="0.85"/>
    <n v="1"/>
    <n v="0"/>
    <m/>
    <n v="2000"/>
    <n v="2000"/>
    <n v="2000"/>
    <n v="2000"/>
    <n v="2000"/>
    <m/>
    <n v="2000"/>
    <n v="2000"/>
    <n v="0"/>
    <n v="0"/>
    <n v="0"/>
    <n v="0"/>
    <s v="SOIPE-000010267"/>
    <s v="SO Exported to ERP"/>
    <s v="POIME-000032905"/>
    <s v="PO Exported to ERP"/>
    <m/>
    <s v=""/>
    <x v="0"/>
    <n v="1"/>
    <s v="PE_CRITEO_MAKRO_FEB 2026"/>
    <s v="Makro Supermayorista SA"/>
    <s v="20492092313"/>
    <s v="Rodrigo Aldecoa"/>
    <s v=""/>
    <s v="Client Performance Driven (ROI)"/>
    <s v="Traditional (Local Team)"/>
    <s v="28/2/2026"/>
    <s v="30 days"/>
    <m/>
    <e v="#REF!"/>
    <s v="OK"/>
    <n v="2000"/>
    <n v="2000"/>
  </r>
  <r>
    <s v="2026"/>
    <s v="February"/>
    <s v="February/2026"/>
    <s v="28/2/2026"/>
    <s v="00329429"/>
    <s v="802Um00000EDiXp"/>
    <s v="PE00406819"/>
    <s v="0004959901"/>
    <x v="0"/>
    <s v="Activated"/>
    <x v="0"/>
    <s v="COMPAÑIA HARD DISCOUNT S.A.C."/>
    <s v="COMPAÑIA HARD DISCOUNT S.A.C."/>
    <s v="CRITEO CORP. United States of America"/>
    <x v="0"/>
    <s v="Peru"/>
    <s v=""/>
    <s v="GLOBAL"/>
    <x v="0"/>
    <s v="Mexico"/>
    <s v="Dynamic Ads"/>
    <s v="Auction / Budget"/>
    <s v="Auction / Budget"/>
    <s v="USD"/>
    <s v="USD"/>
    <s v="115210"/>
    <n v="3000"/>
    <n v="3000"/>
    <n v="1"/>
    <n v="1"/>
    <n v="1"/>
    <n v="0.91"/>
    <n v="1"/>
    <n v="0"/>
    <m/>
    <n v="3000"/>
    <n v="3000"/>
    <n v="3000"/>
    <n v="3000"/>
    <n v="3000"/>
    <m/>
    <n v="3000"/>
    <n v="3000"/>
    <n v="0"/>
    <n v="0"/>
    <n v="0"/>
    <n v="0"/>
    <s v="SOIPE-000010278"/>
    <s v="SO Exported to ERP"/>
    <s v="POIME-000032904"/>
    <s v="PO Exported to ERP"/>
    <m/>
    <s v=""/>
    <x v="0"/>
    <n v="1"/>
    <s v="PE_CRITEO_TIENDAS MASS_FEB 2026"/>
    <s v="COMPAÑIA HARD DISCOUNT S.A.C."/>
    <s v="20608280333"/>
    <s v="Rodrigo Aldecoa"/>
    <s v=""/>
    <s v="Client Performance Driven (ROI)"/>
    <s v="Traditional (Local Team)"/>
    <s v="28/2/2026"/>
    <s v="30 days"/>
    <m/>
    <e v="#REF!"/>
    <s v="OK"/>
    <n v="3000"/>
    <n v="3000"/>
  </r>
  <r>
    <s v="2026"/>
    <s v="February"/>
    <s v="February/2026"/>
    <s v="28/2/2026"/>
    <s v="00330128"/>
    <s v="802Um00000EPiYs"/>
    <s v="PE00392787"/>
    <s v="0004966080"/>
    <x v="0"/>
    <s v="Activated"/>
    <x v="0"/>
    <s v="COMPAÑIA FOOD RETAIL Perú"/>
    <s v="!X COMPAÑIA FOOD RETAIL S.A.C."/>
    <s v="CRITEO CORP. United States of America"/>
    <x v="0"/>
    <s v="Peru"/>
    <s v=""/>
    <s v="GLOBAL"/>
    <x v="0"/>
    <s v="Mexico"/>
    <s v="Dynamic Ads"/>
    <s v="Auction / Budget"/>
    <s v="Auction / Budget"/>
    <s v="USD"/>
    <s v="USD"/>
    <s v="55367"/>
    <n v="6300"/>
    <n v="6300"/>
    <n v="1"/>
    <n v="1"/>
    <n v="1"/>
    <n v="0.85"/>
    <n v="1"/>
    <n v="0"/>
    <m/>
    <n v="6300"/>
    <n v="6300"/>
    <n v="6300"/>
    <n v="6300"/>
    <n v="6300"/>
    <m/>
    <n v="6300"/>
    <n v="6300"/>
    <n v="0"/>
    <n v="0"/>
    <n v="0"/>
    <n v="0"/>
    <s v="SOIPE-000010276"/>
    <s v="SO Exported to ERP"/>
    <s v="POIME-000032919"/>
    <s v="PO Exported to ERP"/>
    <m/>
    <s v=""/>
    <x v="0"/>
    <n v="1"/>
    <s v="PE_CRITEO_PLAZAVEA_2026_FEB PIPE"/>
    <s v="COMPAÑIA FOOD RETAIL Perú"/>
    <s v="20608300393"/>
    <s v="Rodrigo Aldecoa"/>
    <s v=""/>
    <s v="Client Performance Driven (ROI)"/>
    <s v="Traditional (Local Team)"/>
    <s v="28/2/2026"/>
    <s v="30 days"/>
    <m/>
    <e v="#REF!"/>
    <s v="OK"/>
    <n v="6300"/>
    <n v="6300"/>
  </r>
  <r>
    <s v="2026"/>
    <s v="February"/>
    <s v="February/2026"/>
    <s v="28/2/2026"/>
    <s v="00330129"/>
    <s v="802Um00000EPjjR"/>
    <s v="PE00392763"/>
    <s v="0004966081"/>
    <x v="0"/>
    <s v="Activated"/>
    <x v="0"/>
    <s v="BANCO BBVA PERÚ PERÚ"/>
    <s v="BANCO BBVA PERÚ SA"/>
    <s v="CRITEO CORP. United States of America"/>
    <x v="0"/>
    <s v="Peru"/>
    <s v=""/>
    <s v="GLOBAL"/>
    <x v="0"/>
    <s v="Mexico"/>
    <s v="Dynamic Ads"/>
    <s v="Auction / Budget"/>
    <s v="Auction / Budget"/>
    <s v="USD"/>
    <s v="USD"/>
    <s v="107434"/>
    <n v="848.2"/>
    <n v="848.2"/>
    <n v="1"/>
    <n v="1"/>
    <n v="1"/>
    <n v="0.85"/>
    <n v="1"/>
    <n v="0"/>
    <m/>
    <n v="848.2"/>
    <n v="848.2"/>
    <n v="848.2"/>
    <n v="848.2"/>
    <n v="848.2"/>
    <m/>
    <n v="848.2"/>
    <n v="848.2"/>
    <n v="0"/>
    <n v="0"/>
    <n v="0"/>
    <n v="0"/>
    <s v="SOIPE-000010274"/>
    <s v="SO Exported to ERP"/>
    <s v="POIME-000032918"/>
    <s v="PO Exported to ERP"/>
    <m/>
    <s v=""/>
    <x v="0"/>
    <n v="1"/>
    <s v="PE_CRITEO_BBVA_FEB_2026"/>
    <s v="BANCO BBVA PERÚ PERÚ"/>
    <s v="20100130204"/>
    <s v="Rodrigo Aldecoa"/>
    <s v=""/>
    <s v="Client Performance Driven (ROI)"/>
    <s v="Traditional (Local Team)"/>
    <s v="28/2/2026"/>
    <s v="30 days"/>
    <m/>
    <e v="#REF!"/>
    <s v="OK"/>
    <n v="848.2"/>
    <n v="848.2"/>
  </r>
  <r>
    <s v="2026"/>
    <s v="February"/>
    <s v="February/2026"/>
    <s v="28/2/2026"/>
    <s v="00330147"/>
    <s v="802Um00000EPpvJ"/>
    <s v="PE00392779"/>
    <s v="0004966290"/>
    <x v="0"/>
    <s v="Activated"/>
    <x v="0"/>
    <s v="TIENDAS PERUANAS SA"/>
    <s v="TIENDAS PERUANAS SA"/>
    <s v="CRITEO CORP. United States of America"/>
    <x v="0"/>
    <s v="Peru"/>
    <s v=""/>
    <s v="GLOBAL"/>
    <x v="0"/>
    <s v="Mexico"/>
    <s v="Dynamic Ads"/>
    <s v="Auction / Budget"/>
    <s v="Auction / Budget"/>
    <s v="USD"/>
    <s v="USD"/>
    <s v="41643"/>
    <n v="2771.71"/>
    <n v="2771.71"/>
    <n v="1"/>
    <n v="1"/>
    <n v="1"/>
    <n v="0.85"/>
    <n v="1"/>
    <n v="0"/>
    <m/>
    <n v="2771.71"/>
    <n v="2771.71"/>
    <n v="2771.71"/>
    <n v="2771.71"/>
    <n v="2771.71"/>
    <m/>
    <n v="2771.71"/>
    <n v="2771.71"/>
    <n v="0"/>
    <n v="0"/>
    <n v="0"/>
    <n v="0"/>
    <s v="SOIPE-000010275"/>
    <s v="SO Exported to ERP"/>
    <s v="POIME-000032917"/>
    <s v="PO Exported to ERP"/>
    <m/>
    <s v=""/>
    <x v="0"/>
    <n v="1"/>
    <s v="PE_CRITEO_OECHSLE_2026_FEB PIPE"/>
    <s v="TIENDAS PERUANAS SA"/>
    <s v="20493020618"/>
    <s v="Rodrigo Aldecoa"/>
    <s v=""/>
    <s v="Client Performance Driven (ROI)"/>
    <s v="Traditional (Local Team)"/>
    <s v="28/2/2026"/>
    <s v="30 days"/>
    <m/>
    <e v="#REF!"/>
    <s v="OK"/>
    <n v="2771.71"/>
    <n v="2771.71"/>
  </r>
  <r>
    <s v="2026"/>
    <s v="February"/>
    <s v="February/2026"/>
    <s v="28/2/2026"/>
    <s v="00330819"/>
    <s v="802Um00000EXosP"/>
    <s v="PE00408816"/>
    <s v="0004972522"/>
    <x v="0"/>
    <s v="Activated"/>
    <x v="0"/>
    <s v="Apuesta Total Perú"/>
    <s v="Attachmedia S.A.C."/>
    <s v="CRITEO CORP. United States of America"/>
    <x v="0"/>
    <s v="Peru"/>
    <s v=""/>
    <s v="GLOBAL"/>
    <x v="0"/>
    <s v="Mexico"/>
    <s v="Dynamic Ads"/>
    <s v="Auction / Budget"/>
    <s v="Auction / Budget"/>
    <s v="USD"/>
    <s v="USD"/>
    <s v="117067"/>
    <n v="5184.83"/>
    <n v="5184.83"/>
    <n v="1"/>
    <n v="1"/>
    <n v="1"/>
    <n v="0.91"/>
    <n v="1"/>
    <n v="0"/>
    <m/>
    <n v="5184.83"/>
    <n v="5184.83"/>
    <n v="5184.83"/>
    <n v="5184.83"/>
    <n v="5184.83"/>
    <m/>
    <n v="5184.83"/>
    <n v="5184.83"/>
    <n v="0"/>
    <n v="0"/>
    <n v="0"/>
    <n v="0"/>
    <s v="SOIPE-000010273"/>
    <s v="SO Exported to ERP"/>
    <s v="POIME-000032928"/>
    <s v="PO Exported to ERP"/>
    <m/>
    <s v=""/>
    <x v="0"/>
    <n v="1"/>
    <s v="PE_Criteo__FEB 2026_APUESTA TOTAL_ATTACH P2"/>
    <s v="Attachmedia S.A.C."/>
    <s v="20505601808"/>
    <s v="Rodrigo Aldecoa"/>
    <s v=""/>
    <s v="Client Performance Driven (ROI)"/>
    <s v="Traditional (Local Team)"/>
    <s v="28/2/2026"/>
    <s v="30 days"/>
    <m/>
    <e v="#REF!"/>
    <s v="OK"/>
    <n v="5184.83"/>
    <n v="5184.83"/>
  </r>
  <r>
    <s v="2026"/>
    <s v="February"/>
    <s v="February/2026"/>
    <s v="28/2/2026"/>
    <s v="00331504"/>
    <s v="802Um00000EfmLm"/>
    <s v="PE00409587"/>
    <s v="0004988974"/>
    <x v="0"/>
    <s v="Activated"/>
    <x v="0"/>
    <s v="COMPAÑIA FOOD RETAIL Perú"/>
    <s v="!X COMPAÑIA FOOD RETAIL S.A.C."/>
    <s v="CRITEO CORP. United States of America"/>
    <x v="0"/>
    <s v="Peru"/>
    <s v=""/>
    <s v="GLOBAL"/>
    <x v="0"/>
    <s v="Mexico"/>
    <s v="Dynamic Ads"/>
    <s v="Auction / Budget"/>
    <s v="Auction / Budget"/>
    <s v="USD"/>
    <s v="USD"/>
    <s v="55367"/>
    <n v="379.94"/>
    <n v="379.94"/>
    <n v="1"/>
    <n v="1"/>
    <n v="1"/>
    <n v="0.91"/>
    <n v="1"/>
    <n v="0"/>
    <m/>
    <n v="379.94"/>
    <n v="379.94"/>
    <n v="379.94"/>
    <n v="379.94"/>
    <n v="379.94"/>
    <m/>
    <n v="379.94"/>
    <n v="379.94"/>
    <n v="0"/>
    <n v="0"/>
    <n v="0"/>
    <n v="0"/>
    <s v="SOIPE-000010271"/>
    <s v="SO Exported to ERP"/>
    <s v="POIME-000032936"/>
    <s v="PO Exported to ERP"/>
    <m/>
    <s v=""/>
    <x v="0"/>
    <n v="1"/>
    <s v="PE_CRITEO_PLAZAVEA_2026_FEB 2"/>
    <s v="COMPAÑIA FOOD RETAIL Perú"/>
    <s v="20608300393"/>
    <s v="Rodrigo Aldecoa"/>
    <s v=""/>
    <s v="Client Performance Driven (ROI)"/>
    <s v="Traditional (Local Team)"/>
    <s v="28/2/2026"/>
    <s v="30 days"/>
    <m/>
    <e v="#REF!"/>
    <s v="OK"/>
    <n v="379.94"/>
    <n v="379.94"/>
  </r>
  <r>
    <s v="2026"/>
    <s v="February"/>
    <s v="February/2026"/>
    <s v="28/2/2026"/>
    <s v="00331503"/>
    <s v="802Um00000EfsM9"/>
    <s v="PE00409589"/>
    <s v="0004988972"/>
    <x v="0"/>
    <s v="Activated"/>
    <x v="0"/>
    <s v="HOMECENTERS PERUANOS S.A."/>
    <s v="HOMECENTERS PERUANOS S.A."/>
    <s v="CRITEO CORP. United States of America"/>
    <x v="0"/>
    <s v="Peru"/>
    <s v=""/>
    <s v="GLOBAL"/>
    <x v="0"/>
    <s v="Mexico"/>
    <s v="Dynamic Ads"/>
    <s v="Auction / Budget"/>
    <s v="Auction / Budget"/>
    <s v="USD"/>
    <s v="USD"/>
    <s v="39798"/>
    <n v="180.05"/>
    <n v="180.05"/>
    <n v="1"/>
    <n v="1"/>
    <n v="1"/>
    <n v="0.91"/>
    <n v="1"/>
    <n v="0"/>
    <m/>
    <n v="180.05"/>
    <n v="180.05"/>
    <n v="180.05"/>
    <n v="180.05"/>
    <n v="180.05"/>
    <m/>
    <n v="180.05"/>
    <n v="180.05"/>
    <n v="0"/>
    <n v="0"/>
    <n v="0"/>
    <n v="0"/>
    <s v="SOIPE-000010272"/>
    <s v="SO Exported to ERP"/>
    <s v="POIME-000032934"/>
    <s v="PO Exported to ERP"/>
    <m/>
    <s v=""/>
    <x v="0"/>
    <n v="1"/>
    <s v="PE_CRITEO_PROMART_2026_FEB 2"/>
    <s v="HOMECENTERS PERUANOS S.A."/>
    <s v="20536557858"/>
    <s v="Rodrigo Aldecoa"/>
    <s v=""/>
    <s v="Client Performance Driven (ROI)"/>
    <s v="Traditional (Local Team)"/>
    <s v="28/2/2026"/>
    <s v="30 days"/>
    <m/>
    <e v="#REF!"/>
    <s v="OK"/>
    <n v="180.05"/>
    <n v="180.05"/>
  </r>
  <r>
    <s v="2026"/>
    <s v="February"/>
    <s v="March/2026"/>
    <s v="31/3/2026"/>
    <s v="00332895"/>
    <s v="802Um00000EvhRZ"/>
    <s v="PE00410816"/>
    <s v="0005002605"/>
    <x v="0"/>
    <s v="Pending Changes Approval Needed"/>
    <x v="0"/>
    <s v="NATURA COSMETICOS S.A. Peru"/>
    <s v="Especialidades Digitales Internacionales SAC"/>
    <s v="CRITEO CORP. United States of America"/>
    <x v="0"/>
    <s v="Peru"/>
    <s v=""/>
    <s v="GLOBAL"/>
    <x v="0"/>
    <s v="Mexico"/>
    <s v="Dynamic Ads"/>
    <s v="Auction / Budget"/>
    <s v="Auction / Budget"/>
    <s v="USD"/>
    <s v="USD"/>
    <s v="120764"/>
    <n v="265.76"/>
    <n v="265.76"/>
    <n v="1"/>
    <n v="1"/>
    <n v="1"/>
    <n v="0.85"/>
    <n v="0.85"/>
    <n v="0"/>
    <m/>
    <n v="265.76"/>
    <n v="265.76"/>
    <n v="265.76"/>
    <n v="225.89599999999999"/>
    <n v="225.9"/>
    <m/>
    <n v="265.76"/>
    <n v="225.89599999999999"/>
    <n v="39.863999999999997"/>
    <n v="39.863999999999997"/>
    <n v="39.863999999999997"/>
    <n v="0.15"/>
    <m/>
    <m/>
    <m/>
    <m/>
    <m/>
    <s v=""/>
    <x v="0"/>
    <n v="1"/>
    <s v="PE - CRITEO - HAVAS - NATURA - FEB y MAR - 2026"/>
    <s v="Especialidades Digitales Internacionales PERU"/>
    <s v="20600995031"/>
    <s v="Rodrigo Aldecoa"/>
    <s v=""/>
    <s v="Client Performance Driven (ROI)"/>
    <s v="Traditional (Local Team)"/>
    <s v="28/2/2026"/>
    <s v="60 days"/>
    <m/>
    <e v="#REF!"/>
    <s v="Less rev/cogs than partner report"/>
    <n v="265.76"/>
    <n v="225.9"/>
  </r>
  <r>
    <s v="2026"/>
    <s v="February"/>
    <s v="February/2026"/>
    <s v="28/2/2026"/>
    <s v="00331315"/>
    <s v="802Um00000EfEF8"/>
    <s v="AR00408210"/>
    <s v="0004987349"/>
    <x v="0"/>
    <s v="Activated"/>
    <x v="0"/>
    <s v="Arajet Dominican Republic"/>
    <s v="Arajet S.A."/>
    <s v="CRITEO CORP. United States of America"/>
    <x v="0"/>
    <s v="Argentina"/>
    <s v=""/>
    <s v="GLOBAL"/>
    <x v="1"/>
    <s v="Mexico"/>
    <s v="Dynamic Ads"/>
    <s v="Auction / Budget"/>
    <s v="Auction / Budget"/>
    <s v="USD"/>
    <s v="USD"/>
    <s v="98889"/>
    <n v="1497.88"/>
    <n v="1497.88"/>
    <n v="1"/>
    <n v="1"/>
    <n v="1"/>
    <n v="0.91"/>
    <n v="1"/>
    <n v="0"/>
    <m/>
    <n v="1497.88"/>
    <n v="1497.88"/>
    <n v="1497.88"/>
    <n v="1497.88"/>
    <n v="1497.88"/>
    <m/>
    <n v="1497.88"/>
    <n v="1497.88"/>
    <n v="0"/>
    <n v="0"/>
    <n v="0"/>
    <n v="0"/>
    <s v="SOIES-000001011"/>
    <s v="SO Exported to ERP"/>
    <s v="POIME-000032930"/>
    <s v="PO Exported to ERP"/>
    <m/>
    <s v=""/>
    <x v="0"/>
    <n v="1"/>
    <s v="AR_CRITEO_ARAJET_FEB_2026"/>
    <s v="Arajet Dominican Republic"/>
    <s v="131094376"/>
    <s v="Maria Candela Lirio"/>
    <s v=""/>
    <s v="Client Performance Driven (ROI)"/>
    <s v="Traditional (Local Team)"/>
    <s v="28/2/2026"/>
    <s v="60 days"/>
    <m/>
    <e v="#REF!"/>
    <s v="OK"/>
    <n v="1497.88"/>
    <n v="1497.88"/>
  </r>
  <r>
    <s v="2026"/>
    <s v="February"/>
    <s v="February/2026"/>
    <s v="28/2/2026"/>
    <s v="00265916"/>
    <s v="802Uj00000ILzgz"/>
    <s v="PE00314814"/>
    <s v="0004184060"/>
    <x v="0"/>
    <s v="Activated"/>
    <x v="0"/>
    <s v="AP LATAM HOLDINGS, LLC United States of America"/>
    <s v="AP LATAM HOLDINGS, LLC"/>
    <s v="CRITEO CORP. United States of America"/>
    <x v="0"/>
    <s v="Peru"/>
    <s v=""/>
    <s v="GLOBAL"/>
    <x v="2"/>
    <s v="Mexico"/>
    <s v="Dynamic Ads"/>
    <s v="Auction / Budget"/>
    <s v="Auction / Budget"/>
    <s v="USD"/>
    <s v="USD"/>
    <s v="99591"/>
    <n v="1998.87"/>
    <n v="1998.87"/>
    <n v="1"/>
    <n v="1"/>
    <n v="1"/>
    <n v="0.91"/>
    <n v="1"/>
    <n v="0"/>
    <m/>
    <n v="1998.87"/>
    <n v="1998.87"/>
    <n v="1998.87"/>
    <n v="1998.87"/>
    <n v="1998.87"/>
    <m/>
    <n v="20501.04"/>
    <n v="1998.87"/>
    <n v="0"/>
    <n v="0"/>
    <n v="0"/>
    <n v="0"/>
    <s v="SOIUS-000002116"/>
    <s v="SO Exported to ERP"/>
    <s v="POIME-000021070"/>
    <s v="PO Exported to ERP"/>
    <m/>
    <s v=""/>
    <x v="0"/>
    <n v="1"/>
    <s v="PE_USMP_CRITEO_MAYO 2025"/>
    <s v="AP LATAM HOLDINGS, LLC United States of America"/>
    <s v="815181325"/>
    <s v="Andrea Burga"/>
    <s v=""/>
    <s v="Client Performance Driven (ROI)"/>
    <s v="Traditional (Local Team)"/>
    <s v="28/2/2026"/>
    <s v="30 days"/>
    <m/>
    <e v="#REF!"/>
    <s v="OK"/>
    <n v="1998.87"/>
    <n v="1998.87"/>
  </r>
  <r>
    <s v="2026"/>
    <s v="February"/>
    <s v="February/2026"/>
    <s v="28/2/2026"/>
    <s v="00289572"/>
    <s v="802Uj00000IM3Hb"/>
    <s v="PE00349925"/>
    <s v="0004186494"/>
    <x v="0"/>
    <s v="Activated"/>
    <x v="0"/>
    <s v="UNIVERSIDAD CIENTIFICA DEL SUR S.A.C."/>
    <s v="QUAL MEDIA S.A.C."/>
    <s v="CRITEO CORP. United States of America"/>
    <x v="0"/>
    <s v="Peru"/>
    <s v=""/>
    <s v="GLOBAL"/>
    <x v="0"/>
    <s v="Mexico"/>
    <s v="Dynamic Ads"/>
    <s v="Auction / Budget"/>
    <s v="Auction / Budget"/>
    <s v="USD"/>
    <s v="USD"/>
    <s v="114667"/>
    <n v="16105.49"/>
    <n v="16105.49"/>
    <n v="1"/>
    <n v="1"/>
    <n v="1"/>
    <n v="0.85"/>
    <n v="1"/>
    <n v="0"/>
    <m/>
    <n v="16105.49"/>
    <n v="16105.49"/>
    <n v="16105.49"/>
    <n v="16105.49"/>
    <n v="16105.49"/>
    <m/>
    <n v="78847.45"/>
    <n v="16105.49"/>
    <n v="0"/>
    <n v="0"/>
    <n v="0"/>
    <n v="0"/>
    <s v="SOIPE-000007234"/>
    <s v="SO Exported to ERP"/>
    <s v="POIME-000026121"/>
    <s v="PO Exported to ERP"/>
    <m/>
    <s v=""/>
    <x v="0"/>
    <n v="1"/>
    <s v="PE_CRITEO_UCSUR_JUNIO 2025"/>
    <s v="QUAL MEDIA S.A.C., Peru"/>
    <s v="20509867560"/>
    <s v="Andrea Burga"/>
    <s v=""/>
    <s v="Client Performance Driven (ROI)"/>
    <s v="Traditional (Local Team)"/>
    <s v="28/2/2026"/>
    <s v="75 days"/>
    <m/>
    <e v="#REF!"/>
    <s v="OK"/>
    <n v="16105.49"/>
    <n v="16105.49"/>
  </r>
  <r>
    <s v="2026"/>
    <s v="February"/>
    <s v="February/2026"/>
    <s v="28/2/2026"/>
    <s v="00240205"/>
    <s v="802Uj00000IM4K0"/>
    <s v="PE00276252"/>
    <s v="0004188518"/>
    <x v="0"/>
    <s v="Activated"/>
    <x v="0"/>
    <s v="EL PACIFICO VIDA CIA DE SEGUROS Y REASEGUROS S.A."/>
    <s v="QUAL MEDIA S.A.C."/>
    <s v="CRITEO CORP. United States of America"/>
    <x v="0"/>
    <s v="Peru"/>
    <s v=""/>
    <s v="GLOBAL"/>
    <x v="0"/>
    <s v="Mexico"/>
    <s v="Dynamic Ads"/>
    <s v="Auction / Budget"/>
    <s v="Auction / Budget"/>
    <s v="USD"/>
    <s v="USD"/>
    <s v="74346"/>
    <n v="3699.53"/>
    <n v="3699.53"/>
    <n v="1"/>
    <n v="1"/>
    <n v="1"/>
    <n v="0.91"/>
    <n v="1"/>
    <n v="0"/>
    <m/>
    <n v="3699.53"/>
    <n v="3699.53"/>
    <n v="3699.53"/>
    <n v="3699.53"/>
    <n v="3699.53"/>
    <m/>
    <n v="55543.41"/>
    <n v="3699.53"/>
    <n v="0"/>
    <n v="0"/>
    <n v="0"/>
    <n v="0"/>
    <s v="SOIPE-000003644"/>
    <s v="SO Exported to ERP"/>
    <s v="POIME-000016807"/>
    <s v="PO Exported to ERP"/>
    <m/>
    <s v=""/>
    <x v="0"/>
    <n v="1"/>
    <s v="PE_CRITEO_PACIFICO SEGUROS_2025_MAYO"/>
    <s v="QUAL MEDIA S.A.C., Peru"/>
    <s v="20509867560"/>
    <s v="Andrea Burga"/>
    <s v=""/>
    <s v="Client Performance Driven (ROI)"/>
    <s v="Traditional (Local Team)"/>
    <s v="28/2/2026"/>
    <s v="75 days"/>
    <m/>
    <e v="#REF!"/>
    <s v="OK"/>
    <n v="3699.53"/>
    <n v="3699.53"/>
  </r>
  <r>
    <s v="2026"/>
    <s v="February"/>
    <s v="February/2026"/>
    <s v="28/2/2026"/>
    <s v="00246193"/>
    <s v="802Uj00000Jcyfu"/>
    <s v="PE00287203"/>
    <s v="0004248624"/>
    <x v="0"/>
    <s v="Activated"/>
    <x v="0"/>
    <s v="CONFEDERACION DE DESARROLLADORES INMOBILIARIOS DEL PERU- CODIPPeru"/>
    <s v="CONFEDERACION DE DESARROLLADORES INMOBILIARIOS DEL PERU- CODIP"/>
    <s v="CRITEO CORP. United States of America"/>
    <x v="0"/>
    <s v="Peru"/>
    <s v=""/>
    <s v="GLOBAL"/>
    <x v="0"/>
    <s v="Mexico"/>
    <s v="Dynamic Ads"/>
    <s v="Auction / Budget"/>
    <s v="Auction / Budget"/>
    <s v="USD"/>
    <s v="USD"/>
    <s v="107799"/>
    <n v="4773.92"/>
    <n v="4773.92"/>
    <n v="1"/>
    <n v="1"/>
    <n v="1"/>
    <n v="0.91"/>
    <n v="1"/>
    <n v="0"/>
    <m/>
    <n v="4773.92"/>
    <n v="4773.92"/>
    <n v="4773.92"/>
    <n v="4773.92"/>
    <n v="4773.92"/>
    <m/>
    <n v="44372.9"/>
    <n v="4773.92"/>
    <n v="0"/>
    <n v="0"/>
    <n v="0"/>
    <n v="0"/>
    <s v="SOIPE-000003676"/>
    <s v="SO Exported to ERP"/>
    <s v="POIME-000019588"/>
    <s v="PO Exported to ERP"/>
    <m/>
    <s v="Factura Mayo"/>
    <x v="0"/>
    <n v="1"/>
    <s v="PE_ASEI NEXO_CRITEO_ABRIL MAYO 2025"/>
    <s v="CONFEDERACION DE DESARROLLADORES INMOBILIARIOS DEL PERU- CODIPPeru"/>
    <s v="20552213832"/>
    <s v="Andrea Burga"/>
    <s v=""/>
    <s v="Client Performance Driven (ROI)"/>
    <s v="Traditional (Local Team)"/>
    <s v="28/2/2026"/>
    <s v="30 days"/>
    <m/>
    <e v="#REF!"/>
    <s v="OK"/>
    <n v="4773.92"/>
    <n v="4773.92"/>
  </r>
  <r>
    <s v="2026"/>
    <s v="February"/>
    <s v="February/2026"/>
    <s v="28/2/2026"/>
    <s v="00240223"/>
    <s v="802Uj00000OKEiZ"/>
    <s v="PE00277713"/>
    <s v="0004746208"/>
    <x v="0"/>
    <s v="Activated"/>
    <x v="0"/>
    <s v="NESSUS HOTELES PERU S.A."/>
    <s v="NESSUS HOTELES PERU S.A."/>
    <s v="CRITEO CORP. United States of America"/>
    <x v="0"/>
    <s v="Peru"/>
    <s v=""/>
    <s v="GLOBAL"/>
    <x v="0"/>
    <s v="Mexico"/>
    <s v="Dynamic Ads"/>
    <s v="Auction / Budget"/>
    <s v="Auction / Budget"/>
    <s v="USD"/>
    <s v="USD"/>
    <s v="103986"/>
    <n v="2986.68"/>
    <n v="2986.68"/>
    <n v="1"/>
    <n v="1"/>
    <n v="1"/>
    <n v="0.91"/>
    <n v="1"/>
    <n v="0"/>
    <m/>
    <n v="2986.68"/>
    <n v="2986.68"/>
    <n v="2986.68"/>
    <n v="2986.68"/>
    <n v="2986.68"/>
    <m/>
    <n v="25322.44"/>
    <n v="2986.68"/>
    <n v="0"/>
    <n v="0"/>
    <n v="0"/>
    <n v="0"/>
    <s v="SOIPE-000003641"/>
    <s v="SO Exported to ERP"/>
    <s v="POIME-000018208"/>
    <s v="PO Exported to ERP"/>
    <m/>
    <s v=""/>
    <x v="0"/>
    <n v="1"/>
    <s v="PE_CRITEO_CASA ANDINA_2025_MAYO"/>
    <s v="NESSUS HOTELES PERU S.A."/>
    <s v="20505670443"/>
    <s v="Andrea Burga"/>
    <s v=""/>
    <s v="Client Performance Driven (ROI)"/>
    <s v="Traditional (Local Team)"/>
    <s v="28/2/2026"/>
    <s v="30 days"/>
    <m/>
    <e v="#REF!"/>
    <s v="OK"/>
    <n v="2986.68"/>
    <n v="2986.68"/>
  </r>
  <r>
    <s v="2026"/>
    <s v="February"/>
    <s v="February/2026"/>
    <s v="28/2/2026"/>
    <s v="00323897"/>
    <s v="802Um00000Djl0J"/>
    <s v="PE00398043"/>
    <s v="0004930416"/>
    <x v="0"/>
    <s v="Activated"/>
    <x v="0"/>
    <s v="SISE"/>
    <s v="MEDIAWISE S.A.C"/>
    <s v="CRITEO CORP. United States of America"/>
    <x v="0"/>
    <s v="Peru"/>
    <s v=""/>
    <s v="GLOBAL"/>
    <x v="0"/>
    <s v="Mexico"/>
    <s v="Dynamic Ads"/>
    <s v="Auction / Budget"/>
    <s v="Auction / Budget"/>
    <s v="USD"/>
    <s v="USD"/>
    <s v="119907"/>
    <n v="8000"/>
    <n v="8000"/>
    <n v="1"/>
    <n v="1"/>
    <n v="1"/>
    <n v="0.91"/>
    <n v="1"/>
    <n v="0"/>
    <m/>
    <n v="8000"/>
    <n v="8000"/>
    <n v="8000"/>
    <n v="8000"/>
    <n v="8000"/>
    <m/>
    <n v="16823.87"/>
    <n v="8000"/>
    <n v="0"/>
    <n v="0"/>
    <n v="0"/>
    <n v="0"/>
    <s v="SOIPE-000010173"/>
    <s v="SO Exported to ERP"/>
    <s v="POIME-000032214"/>
    <s v="PO Exported to ERP"/>
    <m/>
    <s v=""/>
    <x v="0"/>
    <n v="1"/>
    <s v="PE_SISE_CRITEO_ENE_26"/>
    <s v="MEDIAWISE S.A.C, Peru"/>
    <s v="20550082722"/>
    <s v="Andrea Burga"/>
    <s v=""/>
    <s v="Client Performance Driven (ROI)"/>
    <s v="Traditional (Local Team)"/>
    <s v="28/2/2026"/>
    <s v="60 days"/>
    <m/>
    <e v="#REF!"/>
    <s v="OK"/>
    <n v="8000"/>
    <n v="8000"/>
  </r>
  <r>
    <s v="2026"/>
    <s v="February"/>
    <s v="February/2026"/>
    <s v="28/2/2026"/>
    <s v="00327517"/>
    <s v="802Um00000DkpJO"/>
    <s v="CO00391696"/>
    <s v="0004932626"/>
    <x v="0"/>
    <s v="Activated"/>
    <x v="0"/>
    <s v="SONY LATIN AMERICA INC. United States of America"/>
    <s v="Group M Worldwide LLC DBA EssenceMediacom Miami"/>
    <s v="CRITEO CORP. United States of America"/>
    <x v="0"/>
    <s v="Colombia"/>
    <s v=""/>
    <s v="GLOBAL"/>
    <x v="2"/>
    <s v="Mexico"/>
    <s v="Dynamic Ads"/>
    <s v="Auction / Budget"/>
    <s v="Auction / Budget"/>
    <s v="USD"/>
    <s v="USD"/>
    <s v="31764"/>
    <n v="288.47000000000003"/>
    <n v="288.47000000000003"/>
    <n v="1"/>
    <n v="1"/>
    <n v="1"/>
    <n v="0.91"/>
    <n v="1"/>
    <n v="0"/>
    <m/>
    <n v="288.47000000000003"/>
    <n v="288.47000000000003"/>
    <n v="288.47000000000003"/>
    <n v="288.47000000000003"/>
    <n v="288.47000000000003"/>
    <m/>
    <n v="288.47000000000003"/>
    <n v="288.47000000000003"/>
    <n v="0"/>
    <n v="0"/>
    <n v="0"/>
    <n v="0"/>
    <s v="SOIUS-000002996"/>
    <s v="SO Exported to ERP"/>
    <s v="POIME-000032887"/>
    <s v="PO Exported to ERP"/>
    <m/>
    <s v=""/>
    <x v="0"/>
    <n v="1"/>
    <s v="COL_CRITEO_MEDIACOM MIAMI_SONY ALON_FEBRERO 2026"/>
    <s v="Group M Worldwide LLC DBA EssenceMediacom Miami"/>
    <s v="204031493"/>
    <s v="Paola Reina"/>
    <s v=""/>
    <s v="Client Performance Driven (ROI)"/>
    <s v="Traditional (Local Team)"/>
    <s v="28/2/2026"/>
    <s v="30 days"/>
    <m/>
    <e v="#REF!"/>
    <s v="OK"/>
    <n v="288.47000000000003"/>
    <n v="288.47000000000003"/>
  </r>
  <r>
    <s v="2026"/>
    <s v="February"/>
    <s v="February/2026"/>
    <s v="28/2/2026"/>
    <s v="00328627"/>
    <s v="802Um00000E0KBZ"/>
    <s v="CO00373095"/>
    <s v="0004953815"/>
    <x v="0"/>
    <s v="Activated"/>
    <x v="0"/>
    <s v="Cueros Velez Colombia"/>
    <s v="SISTEMAS COLOMBIA S A S"/>
    <s v="CRITEO CORP. United States of America"/>
    <x v="0"/>
    <s v="Colombia"/>
    <s v=""/>
    <s v="GLOBAL"/>
    <x v="3"/>
    <s v="Mexico"/>
    <s v="Dynamic Ads"/>
    <s v="Auction / Budget"/>
    <s v="Auction / Budget"/>
    <s v="COP"/>
    <s v="USD"/>
    <s v="120332"/>
    <n v="2065.75"/>
    <n v="2065.75"/>
    <n v="1"/>
    <n v="1"/>
    <n v="1"/>
    <n v="0.85"/>
    <n v="1"/>
    <n v="0"/>
    <m/>
    <n v="2065.75"/>
    <n v="2065.75"/>
    <n v="7953137.5"/>
    <n v="2065.75"/>
    <n v="2065.75"/>
    <n v="3850"/>
    <n v="2065.75"/>
    <n v="2065.75"/>
    <n v="172903.27499999999"/>
    <n v="0"/>
    <n v="0"/>
    <n v="0"/>
    <s v="SOICO-000004001"/>
    <s v="SO Exported to ERP"/>
    <s v="POIME-000032902"/>
    <s v="PO Exported to ERP"/>
    <m/>
    <s v=""/>
    <x v="0"/>
    <n v="3766.3"/>
    <s v="COL_CRITEO_ADBID_VELEZ PE_FEBRERO 2026"/>
    <s v="SISTEMAS COLOMBIA COLOMBIA"/>
    <s v="9002185787"/>
    <s v="Paola Reina"/>
    <s v=""/>
    <s v="Client Performance Driven (ROI)"/>
    <s v="Traditional (Local Team)"/>
    <s v="28/2/2026"/>
    <s v="60 days"/>
    <m/>
    <e v="#REF!"/>
    <s v="OK"/>
    <n v="2111.6579932559807"/>
    <n v="2065.7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31764"/>
    <s v="Sony Store PE"/>
    <s v="USD"/>
    <n v="288.47000000000003"/>
    <n v="288.47000000000003"/>
    <s v="Under Review"/>
    <n v="288.47000000000003"/>
    <s v="USD"/>
    <n v="288.47000000000003"/>
    <s v="USD"/>
    <n v="0"/>
    <n v="0"/>
    <x v="0"/>
    <n v="288.47000000000003"/>
  </r>
  <r>
    <s v="98889"/>
    <s v="Arajet PE"/>
    <s v="USD"/>
    <n v="1497.88"/>
    <n v="1497.88"/>
    <s v="Under Review"/>
    <n v="1497.88"/>
    <s v="USD"/>
    <n v="1497.88"/>
    <s v="USD"/>
    <n v="0"/>
    <n v="0"/>
    <x v="0"/>
    <n v="1497.88"/>
  </r>
  <r>
    <s v="114667"/>
    <s v="UCSUR PE"/>
    <s v="USD"/>
    <n v="16105.49"/>
    <n v="16105.49"/>
    <s v="Under Review"/>
    <n v="16105.49"/>
    <s v="USD"/>
    <n v="16105.49"/>
    <s v="USD"/>
    <n v="0"/>
    <n v="0"/>
    <x v="0"/>
    <n v="16105.49"/>
  </r>
  <r>
    <s v="115210"/>
    <s v="TIENDAS MASS PE"/>
    <s v="USD"/>
    <n v="4027.45"/>
    <n v="4027.45"/>
    <s v="Under Review"/>
    <n v="4027.45"/>
    <s v="USD"/>
    <n v="4027.45"/>
    <s v="USD"/>
    <n v="0"/>
    <n v="0"/>
    <x v="0"/>
    <n v="4027.45"/>
  </r>
  <r>
    <s v="116497"/>
    <s v="PC FACTORY PE"/>
    <s v="USD"/>
    <n v="1999.95"/>
    <n v="1999.95"/>
    <s v="Under Review"/>
    <n v="1999.95"/>
    <s v="USD"/>
    <n v="1999.95"/>
    <s v="USD"/>
    <n v="0"/>
    <n v="0"/>
    <x v="0"/>
    <n v="1999.95"/>
  </r>
  <r>
    <s v="116982"/>
    <s v="Financiera Oh PE"/>
    <s v="USD"/>
    <n v="2398.79"/>
    <n v="2398.79"/>
    <s v="Under Review"/>
    <n v="2398.79"/>
    <s v="USD"/>
    <n v="2398.79"/>
    <s v="USD"/>
    <n v="0"/>
    <n v="0"/>
    <x v="0"/>
    <n v="2398.79"/>
  </r>
  <r>
    <s v="117067"/>
    <s v="APUESTA TOTAL PE"/>
    <s v="USD"/>
    <n v="5184.83"/>
    <n v="5184.83"/>
    <s v="Under Review"/>
    <n v="5184.83"/>
    <s v="USD"/>
    <n v="5184.83"/>
    <s v="USD"/>
    <n v="0"/>
    <n v="0"/>
    <x v="0"/>
    <n v="5184.83"/>
  </r>
  <r>
    <s v="118854"/>
    <s v="Oncosalud PE"/>
    <s v="USD"/>
    <n v="912.96"/>
    <n v="912.96"/>
    <s v="Under Review"/>
    <n v="912.96"/>
    <s v="USD"/>
    <n v="912.96"/>
    <s v="USD"/>
    <n v="0"/>
    <n v="0"/>
    <x v="0"/>
    <n v="912.96"/>
  </r>
  <r>
    <s v="119907"/>
    <s v="SISE PE"/>
    <s v="USD"/>
    <n v="8000"/>
    <n v="8000"/>
    <s v="Under Review"/>
    <n v="8000"/>
    <s v="USD"/>
    <n v="8000"/>
    <s v="USD"/>
    <n v="0"/>
    <n v="0"/>
    <x v="0"/>
    <n v="8000"/>
  </r>
  <r>
    <s v="29652"/>
    <s v="Interbank PE"/>
    <s v="USD"/>
    <n v="998.79"/>
    <n v="998.79"/>
    <s v="Under Review"/>
    <n v="998.79"/>
    <s v="USD"/>
    <n v="998.79"/>
    <s v="USD"/>
    <n v="0"/>
    <n v="0"/>
    <x v="0"/>
    <n v="998.79"/>
  </r>
  <r>
    <s v="39798"/>
    <s v="Promart PE"/>
    <s v="USD"/>
    <n v="1173.05"/>
    <n v="1173.05"/>
    <s v="Under Review"/>
    <n v="1173.05"/>
    <s v="USD"/>
    <n v="1173.05"/>
    <s v="USD"/>
    <n v="0"/>
    <n v="0"/>
    <x v="0"/>
    <n v="1173.05"/>
  </r>
  <r>
    <s v="41643"/>
    <s v="Oechsle PE"/>
    <s v="USD"/>
    <n v="2771.71"/>
    <n v="2771.71"/>
    <s v="Under Review"/>
    <n v="2771.71"/>
    <s v="USD"/>
    <n v="2771.71"/>
    <s v="USD"/>
    <n v="0"/>
    <n v="0"/>
    <x v="0"/>
    <n v="2771.71"/>
  </r>
  <r>
    <s v="44368"/>
    <s v="BCP PE"/>
    <s v="USD"/>
    <n v="9029.1299999999992"/>
    <n v="9029.1299999999992"/>
    <s v="Under Review"/>
    <n v="9029.1299999999992"/>
    <s v="USD"/>
    <n v="9029.1299999999992"/>
    <s v="USD"/>
    <n v="0"/>
    <n v="0"/>
    <x v="0"/>
    <n v="9029.1299999999992"/>
  </r>
  <r>
    <s v="55367"/>
    <s v="Plaza Vea PE"/>
    <s v="USD"/>
    <n v="6679.94"/>
    <n v="6679.94"/>
    <s v="Under Review"/>
    <n v="6679.94"/>
    <s v="USD"/>
    <n v="6679.94"/>
    <s v="USD"/>
    <n v="0"/>
    <n v="0"/>
    <x v="0"/>
    <n v="6679.94"/>
  </r>
  <r>
    <s v="59227"/>
    <s v="Interseguro PE"/>
    <s v="USD"/>
    <n v="0.05"/>
    <n v="0.05"/>
    <e v="#N/A"/>
    <n v="0"/>
    <e v="#N/A"/>
    <n v="0"/>
    <e v="#N/A"/>
    <n v="0.05"/>
    <e v="#N/A"/>
    <x v="1"/>
    <n v="0.05"/>
  </r>
  <r>
    <s v="63589"/>
    <s v="Estilos PE"/>
    <s v="USD"/>
    <n v="2991.08"/>
    <n v="2991.08"/>
    <s v="Under Review"/>
    <n v="2991.08"/>
    <s v="USD"/>
    <n v="2991.08"/>
    <s v="USD"/>
    <n v="0"/>
    <n v="0"/>
    <x v="0"/>
    <n v="2991.08"/>
  </r>
  <r>
    <s v="99591"/>
    <s v="USMP PE"/>
    <s v="USD"/>
    <n v="1998.87"/>
    <n v="1998.87"/>
    <s v="Under Review"/>
    <n v="1998.87"/>
    <s v="USD"/>
    <n v="1998.87"/>
    <s v="USD"/>
    <n v="0"/>
    <n v="0"/>
    <x v="0"/>
    <n v="1998.87"/>
  </r>
  <r>
    <s v="106852"/>
    <s v="MAKRO PE"/>
    <s v="USD"/>
    <n v="2000"/>
    <n v="2000"/>
    <s v="Under Review"/>
    <n v="2000"/>
    <s v="USD"/>
    <n v="2000"/>
    <s v="USD"/>
    <n v="0"/>
    <n v="0"/>
    <x v="0"/>
    <n v="2000"/>
  </r>
  <r>
    <s v="103986"/>
    <s v="Casa Andina PE"/>
    <s v="USD"/>
    <n v="2986.68"/>
    <n v="2986.68"/>
    <s v="Under Review"/>
    <n v="2986.68"/>
    <s v="USD"/>
    <n v="2986.68"/>
    <s v="USD"/>
    <n v="0"/>
    <n v="0"/>
    <x v="0"/>
    <n v="2986.68"/>
  </r>
  <r>
    <s v="94854"/>
    <s v="Hiraoka PE"/>
    <s v="USD"/>
    <n v="2019.13"/>
    <n v="2019.13"/>
    <s v="Under Review"/>
    <n v="2019.13"/>
    <s v="USD"/>
    <n v="2019.13"/>
    <s v="USD"/>
    <n v="0"/>
    <n v="0"/>
    <x v="0"/>
    <n v="2019.13"/>
  </r>
  <r>
    <s v="74346"/>
    <s v="Pacifico Seguros PE"/>
    <s v="USD"/>
    <n v="3699.53"/>
    <n v="3699.53"/>
    <s v="Under Review"/>
    <n v="3699.53"/>
    <s v="USD"/>
    <n v="3699.53"/>
    <s v="USD"/>
    <n v="0"/>
    <n v="0"/>
    <x v="0"/>
    <n v="3699.53"/>
  </r>
  <r>
    <s v="73548"/>
    <s v="Joinn Us PE"/>
    <s v="USD"/>
    <n v="1800"/>
    <n v="1800"/>
    <s v="Under Review"/>
    <n v="1800"/>
    <s v="USD"/>
    <n v="1800"/>
    <s v="USD"/>
    <n v="0"/>
    <n v="0"/>
    <x v="0"/>
    <n v="1800"/>
  </r>
  <r>
    <s v="107799"/>
    <s v="Nexo Inmobiliario PE"/>
    <s v="USD"/>
    <n v="4773.92"/>
    <n v="4773.92"/>
    <s v="Under Review"/>
    <n v="4773.92"/>
    <s v="USD"/>
    <n v="4773.92"/>
    <s v="USD"/>
    <n v="0"/>
    <n v="0"/>
    <x v="0"/>
    <n v="4773.92"/>
  </r>
  <r>
    <s v="110594"/>
    <s v="DIVEMOTOR PE"/>
    <s v="USD"/>
    <n v="999.97"/>
    <n v="999.97"/>
    <s v="Under Review"/>
    <n v="999.97"/>
    <s v="USD"/>
    <n v="999.97"/>
    <s v="USD"/>
    <n v="0"/>
    <n v="0"/>
    <x v="0"/>
    <n v="999.97"/>
  </r>
  <r>
    <s v="120332"/>
    <s v="Velez PE"/>
    <s v="USD"/>
    <n v="2065.75"/>
    <n v="2065.75"/>
    <s v="Under Review"/>
    <n v="2065.75"/>
    <s v="USD"/>
    <n v="7953137.5"/>
    <s v="COP"/>
    <n v="0"/>
    <n v="0"/>
    <x v="0"/>
    <n v="2065.75"/>
  </r>
  <r>
    <s v="107434"/>
    <s v="BANCO BBVA PERU"/>
    <s v="USD"/>
    <n v="848.2"/>
    <n v="848.2"/>
    <s v="Under Review"/>
    <n v="848.2"/>
    <s v="USD"/>
    <n v="848.2"/>
    <s v="USD"/>
    <n v="0"/>
    <n v="0"/>
    <x v="0"/>
    <n v="848.2"/>
  </r>
  <r>
    <s v="120258"/>
    <s v="Pepsico PE"/>
    <s v="USD"/>
    <n v="2500"/>
    <n v="2500"/>
    <s v="Under Review"/>
    <n v="2500"/>
    <s v="USD"/>
    <n v="2500"/>
    <s v="USD"/>
    <n v="0"/>
    <n v="0"/>
    <x v="0"/>
    <n v="2500"/>
  </r>
  <r>
    <s v="120764"/>
    <s v="Natura PE"/>
    <s v="USD"/>
    <n v="265.76"/>
    <n v="265.76"/>
    <s v="Under Review"/>
    <n v="225.89599999999999"/>
    <s v="USD"/>
    <n v="265.76"/>
    <s v="USD"/>
    <n v="39.864000000000004"/>
    <n v="39.864000000000004"/>
    <x v="2"/>
    <n v="265.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4DF7A2-BC0F-4876-8407-8538366245F6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:D7" firstHeaderRow="0" firstDataRow="1" firstDataCol="1"/>
  <pivotFields count="14">
    <pivotField dataField="1" showAll="0"/>
    <pivotField showAll="0"/>
    <pivotField showAll="0"/>
    <pivotField numFmtId="4" showAll="0"/>
    <pivotField dataField="1" showAll="0"/>
    <pivotField showAll="0"/>
    <pivotField numFmtId="43" showAll="0"/>
    <pivotField showAll="0"/>
    <pivotField numFmtId="4" showAll="0"/>
    <pivotField showAll="0"/>
    <pivotField numFmtId="4" showAll="0"/>
    <pivotField showAll="0"/>
    <pivotField axis="axisRow" showAll="0">
      <items count="8">
        <item x="0"/>
        <item m="1" x="6"/>
        <item m="1" x="3"/>
        <item m="1" x="4"/>
        <item m="1" x="5"/>
        <item x="1"/>
        <item x="2"/>
        <item t="default"/>
      </items>
    </pivotField>
    <pivotField showAll="0"/>
  </pivotFields>
  <rowFields count="1">
    <field x="12"/>
  </rowFields>
  <rowItems count="4">
    <i>
      <x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Advertiser id" fld="0" subtotal="count" baseField="0" baseItem="0"/>
    <dataField name="Suma de Net amount (USD)" fld="4" baseField="12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50CF1F-2941-4022-ABE1-D3730AB821AA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34" firstHeaderRow="1" firstDataRow="1" firstDataCol="3"/>
  <pivotFields count="68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106">
        <item x="24"/>
        <item x="26"/>
        <item m="1" x="85"/>
        <item x="25"/>
        <item m="1" x="81"/>
        <item m="1" x="80"/>
        <item x="22"/>
        <item m="1" x="78"/>
        <item m="1" x="83"/>
        <item m="1" x="84"/>
        <item x="0"/>
        <item m="1" x="82"/>
        <item m="1" x="79"/>
        <item x="23"/>
        <item m="1" x="61"/>
        <item m="1" x="31"/>
        <item x="1"/>
        <item m="1" x="38"/>
        <item m="1" x="36"/>
        <item m="1" x="37"/>
        <item m="1" x="62"/>
        <item m="1" x="39"/>
        <item m="1" x="40"/>
        <item m="1" x="41"/>
        <item x="2"/>
        <item m="1" x="35"/>
        <item m="1" x="30"/>
        <item m="1" x="32"/>
        <item m="1" x="33"/>
        <item m="1" x="34"/>
        <item m="1" x="42"/>
        <item m="1" x="43"/>
        <item m="1" x="44"/>
        <item m="1" x="45"/>
        <item m="1" x="46"/>
        <item m="1" x="47"/>
        <item x="4"/>
        <item m="1" x="48"/>
        <item x="3"/>
        <item m="1" x="49"/>
        <item m="1" x="50"/>
        <item x="6"/>
        <item m="1" x="51"/>
        <item m="1" x="52"/>
        <item m="1" x="54"/>
        <item m="1" x="55"/>
        <item m="1" x="56"/>
        <item m="1" x="57"/>
        <item m="1" x="58"/>
        <item m="1" x="59"/>
        <item m="1" x="105"/>
        <item m="1" x="60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x="27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53"/>
        <item m="1" x="77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8"/>
        <item x="29"/>
      </items>
    </pivotField>
    <pivotField compact="0" outline="0" showAll="0" defaultSubtotal="0"/>
    <pivotField compact="0" outline="0" subtotalTop="0" showAll="0" defaultSubtotal="0"/>
    <pivotField compact="0" outline="0" showAll="0" defaultSubtotal="0"/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5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compact="0" numFmtId="165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axis="axisRow" compact="0" outline="0" subtotalTop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5"/>
    <field x="60"/>
    <field x="9"/>
  </rowFields>
  <rowItems count="31">
    <i>
      <x/>
      <x/>
      <x v="1"/>
    </i>
    <i>
      <x v="1"/>
      <x/>
      <x v="1"/>
    </i>
    <i>
      <x v="3"/>
      <x/>
      <x v="1"/>
    </i>
    <i>
      <x v="6"/>
      <x/>
      <x v="1"/>
    </i>
    <i>
      <x v="10"/>
      <x/>
      <x v="1"/>
    </i>
    <i>
      <x v="13"/>
      <x/>
      <x v="1"/>
    </i>
    <i>
      <x v="16"/>
      <x/>
      <x v="1"/>
    </i>
    <i>
      <x v="24"/>
      <x/>
      <x v="1"/>
    </i>
    <i>
      <x v="36"/>
      <x/>
      <x v="1"/>
    </i>
    <i>
      <x v="38"/>
      <x/>
      <x v="1"/>
    </i>
    <i>
      <x v="41"/>
      <x/>
      <x v="1"/>
    </i>
    <i>
      <x v="66"/>
      <x/>
      <x v="1"/>
    </i>
    <i>
      <x v="88"/>
      <x/>
      <x v="1"/>
    </i>
    <i>
      <x v="89"/>
      <x/>
      <x v="1"/>
    </i>
    <i>
      <x v="90"/>
      <x/>
      <x v="1"/>
    </i>
    <i>
      <x v="91"/>
      <x/>
      <x v="1"/>
    </i>
    <i>
      <x v="92"/>
      <x/>
      <x v="1"/>
    </i>
    <i>
      <x v="93"/>
      <x/>
      <x v="1"/>
    </i>
    <i>
      <x v="94"/>
      <x/>
      <x v="1"/>
    </i>
    <i>
      <x v="95"/>
      <x/>
      <x v="1"/>
    </i>
    <i>
      <x v="96"/>
      <x/>
      <x v="1"/>
    </i>
    <i>
      <x v="97"/>
      <x/>
      <x v="1"/>
    </i>
    <i>
      <x v="98"/>
      <x/>
      <x v="1"/>
    </i>
    <i>
      <x v="99"/>
      <x/>
      <x v="1"/>
    </i>
    <i>
      <x v="100"/>
      <x/>
      <x v="1"/>
    </i>
    <i>
      <x v="101"/>
      <x/>
      <x v="1"/>
    </i>
    <i>
      <x v="102"/>
      <x/>
      <x v="1"/>
    </i>
    <i>
      <x v="103"/>
      <x/>
      <x v="1"/>
    </i>
    <i>
      <x v="104"/>
      <x/>
      <x v="1"/>
    </i>
    <i>
      <x v="105"/>
      <x/>
      <x v="1"/>
    </i>
    <i t="grand">
      <x/>
    </i>
  </rowItems>
  <colItems count="1">
    <i/>
  </colItems>
  <dataFields count="1">
    <dataField name="Suma de Net Budget Delivered (Billing Currency)" fld="38" baseField="9" baseItem="2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850C80-7DF5-4F6A-9787-15547063C54C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:D30" firstHeaderRow="1" firstDataRow="1" firstDataCol="3"/>
  <pivotFields count="21">
    <pivotField compact="0" outline="0" subtotalTop="0" showAll="0" defaultSubtotal="0"/>
    <pivotField compact="0" outline="0" subtotalTop="0" showAll="0" defaultSubtotal="0"/>
    <pivotField compact="0" numFmtId="14" outline="0" subtotalTop="0" showAll="0" defaultSubtotal="0"/>
    <pivotField compact="0" numFmtId="14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axis="axisRow" compact="0" outline="0" subtotalTop="0" showAll="0" defaultSubtotal="0">
      <items count="143">
        <item m="1" x="42"/>
        <item m="1" x="114"/>
        <item m="1" x="130"/>
        <item m="1" x="121"/>
        <item m="1" x="32"/>
        <item m="1" x="31"/>
        <item m="1" x="28"/>
        <item m="1" x="120"/>
        <item m="1" x="30"/>
        <item m="1" x="29"/>
        <item m="1" x="119"/>
        <item m="1" x="55"/>
        <item m="1" x="54"/>
        <item m="1" x="118"/>
        <item m="1" x="104"/>
        <item m="1" x="53"/>
        <item m="1" x="52"/>
        <item m="1" x="47"/>
        <item m="1" x="46"/>
        <item m="1" x="117"/>
        <item m="1" x="45"/>
        <item m="1" x="116"/>
        <item m="1" x="105"/>
        <item m="1" x="67"/>
        <item m="1" x="66"/>
        <item m="1" x="106"/>
        <item m="1" x="65"/>
        <item m="1" x="64"/>
        <item m="1" x="58"/>
        <item m="1" x="115"/>
        <item m="1" x="72"/>
        <item m="1" x="113"/>
        <item m="1" x="40"/>
        <item m="1" x="112"/>
        <item m="1" x="73"/>
        <item m="1" x="74"/>
        <item m="1" x="140"/>
        <item m="1" x="39"/>
        <item m="1" x="75"/>
        <item m="1" x="37"/>
        <item m="1" x="139"/>
        <item m="1" x="86"/>
        <item m="1" x="85"/>
        <item m="1" x="57"/>
        <item m="1" x="84"/>
        <item m="1" x="56"/>
        <item m="1" x="83"/>
        <item m="1" x="82"/>
        <item m="1" x="35"/>
        <item m="1" x="81"/>
        <item m="1" x="111"/>
        <item m="1" x="110"/>
        <item m="1" x="107"/>
        <item m="1" x="132"/>
        <item m="1" x="133"/>
        <item m="1" x="134"/>
        <item m="1" x="33"/>
        <item m="1" x="51"/>
        <item m="1" x="80"/>
        <item m="1" x="79"/>
        <item m="1" x="50"/>
        <item m="1" x="138"/>
        <item m="1" x="137"/>
        <item m="1" x="78"/>
        <item m="1" x="135"/>
        <item m="1" x="63"/>
        <item m="1" x="62"/>
        <item m="1" x="61"/>
        <item m="1" x="77"/>
        <item m="1" x="76"/>
        <item m="1" x="71"/>
        <item m="1" x="60"/>
        <item m="1" x="59"/>
        <item m="1" x="97"/>
        <item m="1" x="96"/>
        <item m="1" x="95"/>
        <item m="1" x="94"/>
        <item m="1" x="93"/>
        <item m="1" x="109"/>
        <item m="1" x="108"/>
        <item m="1" x="49"/>
        <item m="1" x="136"/>
        <item m="1" x="129"/>
        <item m="1" x="127"/>
        <item m="1" x="128"/>
        <item m="1" x="70"/>
        <item m="1" x="92"/>
        <item m="1" x="91"/>
        <item m="1" x="48"/>
        <item m="1" x="131"/>
        <item m="1" x="126"/>
        <item m="1" x="125"/>
        <item m="1" x="44"/>
        <item m="1" x="124"/>
        <item m="1" x="69"/>
        <item m="1" x="90"/>
        <item m="1" x="89"/>
        <item m="1" x="88"/>
        <item m="1" x="87"/>
        <item m="1" x="43"/>
        <item m="1" x="141"/>
        <item m="1" x="41"/>
        <item m="1" x="38"/>
        <item m="1" x="123"/>
        <item m="1" x="98"/>
        <item m="1" x="99"/>
        <item m="1" x="100"/>
        <item m="1" x="36"/>
        <item m="1" x="34"/>
        <item m="1" x="101"/>
        <item m="1" x="142"/>
        <item m="1" x="68"/>
        <item m="1" x="122"/>
        <item m="1" x="102"/>
        <item m="1" x="103"/>
        <item x="0"/>
        <item x="2"/>
        <item x="7"/>
        <item x="8"/>
        <item x="9"/>
        <item x="11"/>
        <item x="12"/>
        <item x="13"/>
        <item x="14"/>
        <item x="24"/>
        <item x="25"/>
        <item x="26"/>
        <item x="27"/>
        <item x="21"/>
        <item x="20"/>
        <item x="19"/>
        <item x="15"/>
        <item x="6"/>
        <item x="10"/>
        <item x="16"/>
        <item x="17"/>
        <item x="18"/>
        <item x="4"/>
        <item x="3"/>
        <item x="1"/>
        <item x="5"/>
        <item x="22"/>
        <item x="23"/>
      </items>
    </pivotField>
    <pivotField axis="axisRow" compact="0" outline="0" showAll="0" defaultSubtotal="0">
      <items count="127">
        <item m="1" x="95"/>
        <item m="1" x="77"/>
        <item m="1" x="75"/>
        <item m="1" x="71"/>
        <item m="1" x="59"/>
        <item m="1" x="57"/>
        <item m="1" x="66"/>
        <item m="1" x="67"/>
        <item x="2"/>
        <item m="1" x="58"/>
        <item m="1" x="65"/>
        <item x="5"/>
        <item m="1" x="29"/>
        <item m="1" x="31"/>
        <item m="1" x="39"/>
        <item m="1" x="88"/>
        <item m="1" x="89"/>
        <item x="10"/>
        <item m="1" x="99"/>
        <item m="1" x="85"/>
        <item m="1" x="103"/>
        <item m="1" x="36"/>
        <item m="1" x="46"/>
        <item m="1" x="98"/>
        <item m="1" x="73"/>
        <item m="1" x="87"/>
        <item m="1" x="84"/>
        <item m="1" x="83"/>
        <item x="18"/>
        <item m="1" x="51"/>
        <item m="1" x="109"/>
        <item m="1" x="100"/>
        <item m="1" x="94"/>
        <item m="1" x="97"/>
        <item m="1" x="116"/>
        <item m="1" x="79"/>
        <item m="1" x="82"/>
        <item m="1" x="78"/>
        <item m="1" x="62"/>
        <item m="1" x="119"/>
        <item x="4"/>
        <item m="1" x="56"/>
        <item m="1" x="69"/>
        <item m="1" x="72"/>
        <item x="26"/>
        <item x="17"/>
        <item m="1" x="48"/>
        <item m="1" x="104"/>
        <item x="21"/>
        <item m="1" x="54"/>
        <item x="25"/>
        <item m="1" x="63"/>
        <item m="1" x="64"/>
        <item m="1" x="52"/>
        <item m="1" x="49"/>
        <item m="1" x="44"/>
        <item m="1" x="43"/>
        <item m="1" x="42"/>
        <item m="1" x="45"/>
        <item x="0"/>
        <item m="1" x="101"/>
        <item m="1" x="37"/>
        <item m="1" x="86"/>
        <item m="1" x="106"/>
        <item x="7"/>
        <item m="1" x="68"/>
        <item m="1" x="47"/>
        <item x="15"/>
        <item m="1" x="117"/>
        <item m="1" x="118"/>
        <item m="1" x="53"/>
        <item m="1" x="41"/>
        <item m="1" x="40"/>
        <item m="1" x="50"/>
        <item m="1" x="113"/>
        <item x="9"/>
        <item x="19"/>
        <item m="1" x="96"/>
        <item m="1" x="80"/>
        <item m="1" x="81"/>
        <item m="1" x="33"/>
        <item m="1" x="34"/>
        <item x="24"/>
        <item m="1" x="120"/>
        <item x="12"/>
        <item m="1" x="102"/>
        <item m="1" x="92"/>
        <item m="1" x="91"/>
        <item m="1" x="32"/>
        <item m="1" x="122"/>
        <item m="1" x="115"/>
        <item x="11"/>
        <item x="16"/>
        <item m="1" x="90"/>
        <item m="1" x="112"/>
        <item m="1" x="108"/>
        <item m="1" x="114"/>
        <item m="1" x="35"/>
        <item m="1" x="30"/>
        <item m="1" x="121"/>
        <item m="1" x="111"/>
        <item x="13"/>
        <item m="1" x="124"/>
        <item x="20"/>
        <item m="1" x="125"/>
        <item m="1" x="105"/>
        <item m="1" x="93"/>
        <item m="1" x="107"/>
        <item m="1" x="126"/>
        <item m="1" x="28"/>
        <item m="1" x="38"/>
        <item m="1" x="55"/>
        <item m="1" x="60"/>
        <item m="1" x="123"/>
        <item m="1" x="110"/>
        <item x="8"/>
        <item x="14"/>
        <item x="27"/>
        <item x="6"/>
        <item x="3"/>
        <item x="1"/>
        <item m="1" x="61"/>
        <item m="1" x="70"/>
        <item m="1" x="74"/>
        <item x="22"/>
        <item x="23"/>
        <item m="1" x="76"/>
      </items>
    </pivotField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axis="axisRow" compact="0" outline="0" subtotalTop="0" showAll="0" defaultSubtotal="0">
      <items count="3">
        <item m="1" x="2"/>
        <item m="1" x="1"/>
        <item x="0"/>
      </items>
    </pivotField>
    <pivotField compact="0" numFmtId="4" outline="0" subtotalTop="0" showAll="0" defaultSubtotal="0"/>
    <pivotField dataField="1" compact="0" numFmtId="4" outline="0" subtotalTop="0" showAll="0" defaultSubtotal="0"/>
    <pivotField compact="0" numFmtId="3" outline="0" subtotalTop="0" showAll="0" defaultSubtotal="0"/>
  </pivotFields>
  <rowFields count="3">
    <field x="8"/>
    <field x="9"/>
    <field x="17"/>
  </rowFields>
  <rowItems count="29">
    <i>
      <x v="115"/>
      <x v="59"/>
      <x v="2"/>
    </i>
    <i>
      <x v="116"/>
      <x v="8"/>
      <x v="2"/>
    </i>
    <i>
      <x v="117"/>
      <x v="64"/>
      <x v="2"/>
    </i>
    <i>
      <x v="118"/>
      <x v="115"/>
      <x v="2"/>
    </i>
    <i>
      <x v="119"/>
      <x v="75"/>
      <x v="2"/>
    </i>
    <i>
      <x v="120"/>
      <x v="91"/>
      <x v="2"/>
    </i>
    <i>
      <x v="121"/>
      <x v="84"/>
      <x v="2"/>
    </i>
    <i>
      <x v="122"/>
      <x v="101"/>
      <x v="2"/>
    </i>
    <i>
      <x v="123"/>
      <x v="116"/>
      <x v="2"/>
    </i>
    <i>
      <x v="124"/>
      <x v="82"/>
      <x v="2"/>
    </i>
    <i>
      <x v="125"/>
      <x v="50"/>
      <x v="2"/>
    </i>
    <i>
      <x v="126"/>
      <x v="44"/>
      <x v="2"/>
    </i>
    <i>
      <x v="127"/>
      <x v="117"/>
      <x v="2"/>
    </i>
    <i>
      <x v="128"/>
      <x v="48"/>
      <x v="2"/>
    </i>
    <i>
      <x v="129"/>
      <x v="103"/>
      <x v="2"/>
    </i>
    <i>
      <x v="130"/>
      <x v="76"/>
      <x v="2"/>
    </i>
    <i>
      <x v="131"/>
      <x v="67"/>
      <x v="2"/>
    </i>
    <i>
      <x v="132"/>
      <x v="118"/>
      <x v="2"/>
    </i>
    <i>
      <x v="133"/>
      <x v="17"/>
      <x v="2"/>
    </i>
    <i>
      <x v="134"/>
      <x v="92"/>
      <x v="2"/>
    </i>
    <i>
      <x v="135"/>
      <x v="45"/>
      <x v="2"/>
    </i>
    <i>
      <x v="136"/>
      <x v="28"/>
      <x v="2"/>
    </i>
    <i>
      <x v="137"/>
      <x v="40"/>
      <x v="2"/>
    </i>
    <i>
      <x v="138"/>
      <x v="119"/>
      <x v="2"/>
    </i>
    <i>
      <x v="139"/>
      <x v="120"/>
      <x v="2"/>
    </i>
    <i>
      <x v="140"/>
      <x v="11"/>
      <x v="2"/>
    </i>
    <i>
      <x v="141"/>
      <x v="124"/>
      <x v="2"/>
    </i>
    <i>
      <x v="142"/>
      <x v="125"/>
      <x v="2"/>
    </i>
    <i t="grand">
      <x/>
    </i>
  </rowItems>
  <colItems count="1">
    <i/>
  </colItems>
  <dataFields count="1">
    <dataField name="Suma de Net amount" fld="19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E076BA-78BF-44EA-8924-82D98EE51C22}" name="TablaDinámica1" cacheId="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4:J34" firstHeaderRow="1" firstDataRow="1" firstDataCol="9"/>
  <pivotFields count="67"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86">
        <item m="1" x="70"/>
        <item m="1" x="68"/>
        <item m="1" x="67"/>
        <item m="1" x="71"/>
        <item x="23"/>
        <item x="0"/>
        <item m="1" x="30"/>
        <item x="1"/>
        <item m="1" x="64"/>
        <item x="22"/>
        <item m="1" x="65"/>
        <item m="1" x="66"/>
        <item m="1" x="69"/>
        <item x="24"/>
        <item x="25"/>
        <item x="26"/>
        <item m="1" x="72"/>
        <item m="1" x="73"/>
        <item m="1" x="74"/>
        <item m="1" x="75"/>
        <item m="1" x="32"/>
        <item m="1" x="48"/>
        <item x="2"/>
        <item x="4"/>
        <item x="3"/>
        <item x="6"/>
        <item m="1" x="47"/>
        <item x="27"/>
        <item m="1" x="31"/>
        <item x="5"/>
        <item x="7"/>
        <item x="8"/>
        <item x="9"/>
        <item x="10"/>
        <item x="11"/>
        <item m="1" x="33"/>
        <item m="1" x="34"/>
        <item m="1" x="35"/>
        <item x="12"/>
        <item x="13"/>
        <item m="1" x="36"/>
        <item x="14"/>
        <item x="15"/>
        <item x="16"/>
        <item m="1" x="37"/>
        <item x="17"/>
        <item x="18"/>
        <item x="19"/>
        <item x="20"/>
        <item m="1" x="38"/>
        <item m="1" x="39"/>
        <item m="1" x="40"/>
        <item m="1" x="41"/>
        <item m="1" x="42"/>
        <item m="1" x="43"/>
        <item m="1" x="44"/>
        <item m="1" x="45"/>
        <item x="21"/>
        <item m="1" x="46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76"/>
        <item m="1" x="77"/>
        <item m="1" x="78"/>
        <item x="28"/>
        <item m="1" x="79"/>
        <item m="1" x="80"/>
        <item m="1" x="81"/>
        <item m="1" x="82"/>
        <item x="29"/>
        <item m="1" x="83"/>
        <item m="1" x="84"/>
        <item m="1"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7">
        <item m="1" x="62"/>
        <item x="3"/>
        <item x="20"/>
        <item m="1" x="57"/>
        <item m="1" x="55"/>
        <item m="1" x="54"/>
        <item m="1" x="26"/>
        <item x="0"/>
        <item m="1" x="22"/>
        <item x="1"/>
        <item x="16"/>
        <item m="1" x="53"/>
        <item m="1" x="56"/>
        <item x="17"/>
        <item x="18"/>
        <item m="1" x="58"/>
        <item m="1" x="27"/>
        <item m="1" x="24"/>
        <item m="1" x="23"/>
        <item m="1" x="38"/>
        <item m="1" x="59"/>
        <item m="1" x="61"/>
        <item x="11"/>
        <item x="4"/>
        <item x="10"/>
        <item x="8"/>
        <item x="12"/>
        <item x="7"/>
        <item x="6"/>
        <item x="5"/>
        <item m="1" x="60"/>
        <item m="1" x="29"/>
        <item m="1" x="31"/>
        <item m="1" x="36"/>
        <item x="13"/>
        <item m="1" x="64"/>
        <item m="1" x="39"/>
        <item m="1" x="40"/>
        <item m="1" x="41"/>
        <item m="1" x="34"/>
        <item m="1" x="63"/>
        <item m="1" x="66"/>
        <item m="1" x="65"/>
        <item m="1" x="44"/>
        <item m="1" x="43"/>
        <item m="1" x="45"/>
        <item m="1" x="47"/>
        <item m="1" x="32"/>
        <item m="1" x="52"/>
        <item m="1" x="48"/>
        <item m="1" x="46"/>
        <item m="1" x="51"/>
        <item m="1" x="50"/>
        <item x="15"/>
        <item m="1" x="37"/>
        <item m="1" x="49"/>
        <item m="1" x="42"/>
        <item m="1" x="35"/>
        <item x="2"/>
        <item x="9"/>
        <item m="1" x="30"/>
        <item x="19"/>
        <item m="1" x="25"/>
        <item x="14"/>
        <item m="1" x="28"/>
        <item m="1" x="33"/>
        <item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0">
        <item m="1" x="6"/>
        <item x="2"/>
        <item x="0"/>
        <item x="3"/>
        <item m="1" x="5"/>
        <item m="1" x="7"/>
        <item x="1"/>
        <item m="1" x="4"/>
        <item m="1" x="8"/>
        <item m="1"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m="1" x="2"/>
        <item x="0"/>
        <item x="1"/>
        <item m="1" x="3"/>
        <item m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7">
        <item m="1" x="71"/>
        <item m="1" x="69"/>
        <item m="1" x="68"/>
        <item m="1" x="72"/>
        <item x="23"/>
        <item x="0"/>
        <item m="1" x="30"/>
        <item x="1"/>
        <item m="1" x="65"/>
        <item x="22"/>
        <item m="1" x="66"/>
        <item m="1" x="67"/>
        <item m="1" x="70"/>
        <item x="24"/>
        <item x="25"/>
        <item x="26"/>
        <item m="1" x="73"/>
        <item m="1" x="74"/>
        <item m="1" x="75"/>
        <item m="1" x="76"/>
        <item m="1" x="32"/>
        <item m="1" x="49"/>
        <item x="2"/>
        <item x="4"/>
        <item x="3"/>
        <item x="6"/>
        <item m="1" x="48"/>
        <item x="27"/>
        <item m="1" x="31"/>
        <item x="5"/>
        <item x="7"/>
        <item x="8"/>
        <item x="9"/>
        <item x="10"/>
        <item x="11"/>
        <item m="1" x="33"/>
        <item m="1" x="34"/>
        <item m="1" x="35"/>
        <item x="12"/>
        <item x="13"/>
        <item m="1" x="36"/>
        <item x="14"/>
        <item x="15"/>
        <item x="16"/>
        <item m="1" x="37"/>
        <item x="17"/>
        <item x="18"/>
        <item x="19"/>
        <item m="1" x="38"/>
        <item m="1" x="39"/>
        <item m="1" x="40"/>
        <item m="1" x="41"/>
        <item m="1" x="42"/>
        <item m="1" x="43"/>
        <item m="1" x="44"/>
        <item m="1" x="45"/>
        <item m="1" x="46"/>
        <item x="21"/>
        <item m="1" x="47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77"/>
        <item m="1" x="78"/>
        <item m="1" x="79"/>
        <item x="28"/>
        <item m="1" x="80"/>
        <item m="1" x="81"/>
        <item m="1" x="82"/>
        <item m="1" x="83"/>
        <item x="29"/>
        <item m="1" x="84"/>
        <item m="1" x="85"/>
        <item m="1" x="86"/>
        <item x="2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4" outline="0" showAll="0" defaultSubtotal="0">
      <items count="5">
        <item x="0"/>
        <item m="1" x="2"/>
        <item m="1" x="3"/>
        <item m="1" x="4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6">
        <item m="1" x="70"/>
        <item m="1" x="68"/>
        <item m="1" x="67"/>
        <item m="1" x="71"/>
        <item x="23"/>
        <item x="0"/>
        <item m="1" x="30"/>
        <item x="1"/>
        <item m="1" x="64"/>
        <item x="22"/>
        <item m="1" x="65"/>
        <item m="1" x="66"/>
        <item m="1" x="69"/>
        <item x="24"/>
        <item x="25"/>
        <item x="26"/>
        <item m="1" x="72"/>
        <item m="1" x="73"/>
        <item m="1" x="74"/>
        <item m="1" x="75"/>
        <item m="1" x="32"/>
        <item m="1" x="48"/>
        <item x="2"/>
        <item x="4"/>
        <item x="3"/>
        <item x="6"/>
        <item m="1" x="47"/>
        <item x="27"/>
        <item m="1" x="31"/>
        <item x="5"/>
        <item x="7"/>
        <item x="8"/>
        <item x="9"/>
        <item x="10"/>
        <item x="11"/>
        <item m="1" x="33"/>
        <item m="1" x="34"/>
        <item m="1" x="35"/>
        <item x="12"/>
        <item x="13"/>
        <item m="1" x="36"/>
        <item x="14"/>
        <item x="15"/>
        <item x="16"/>
        <item m="1" x="37"/>
        <item x="17"/>
        <item x="18"/>
        <item x="19"/>
        <item x="20"/>
        <item m="1" x="38"/>
        <item m="1" x="39"/>
        <item m="1" x="40"/>
        <item m="1" x="41"/>
        <item m="1" x="42"/>
        <item m="1" x="43"/>
        <item m="1" x="44"/>
        <item m="1" x="45"/>
        <item x="21"/>
        <item m="1" x="46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76"/>
        <item m="1" x="77"/>
        <item m="1" x="78"/>
        <item x="28"/>
        <item m="1" x="79"/>
        <item m="1" x="80"/>
        <item m="1" x="81"/>
        <item m="1" x="82"/>
        <item x="29"/>
        <item m="1" x="83"/>
        <item m="1" x="84"/>
        <item m="1" x="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7">
        <item m="1" x="62"/>
        <item x="3"/>
        <item x="20"/>
        <item m="1" x="57"/>
        <item m="1" x="55"/>
        <item m="1" x="54"/>
        <item m="1" x="26"/>
        <item x="0"/>
        <item m="1" x="22"/>
        <item x="1"/>
        <item x="16"/>
        <item m="1" x="53"/>
        <item m="1" x="56"/>
        <item x="17"/>
        <item x="18"/>
        <item m="1" x="58"/>
        <item m="1" x="27"/>
        <item m="1" x="24"/>
        <item m="1" x="23"/>
        <item m="1" x="38"/>
        <item m="1" x="59"/>
        <item m="1" x="61"/>
        <item x="11"/>
        <item x="4"/>
        <item x="10"/>
        <item x="8"/>
        <item x="12"/>
        <item x="7"/>
        <item x="6"/>
        <item x="5"/>
        <item m="1" x="60"/>
        <item m="1" x="29"/>
        <item m="1" x="31"/>
        <item m="1" x="30"/>
        <item m="1" x="36"/>
        <item x="13"/>
        <item m="1" x="64"/>
        <item m="1" x="39"/>
        <item m="1" x="40"/>
        <item m="1" x="41"/>
        <item m="1" x="34"/>
        <item m="1" x="33"/>
        <item m="1" x="63"/>
        <item m="1" x="66"/>
        <item m="1" x="65"/>
        <item m="1" x="44"/>
        <item m="1" x="43"/>
        <item m="1" x="45"/>
        <item m="1" x="47"/>
        <item m="1" x="32"/>
        <item m="1" x="52"/>
        <item m="1" x="48"/>
        <item m="1" x="46"/>
        <item m="1" x="51"/>
        <item m="1" x="50"/>
        <item x="15"/>
        <item m="1" x="37"/>
        <item m="1" x="49"/>
        <item m="1" x="42"/>
        <item m="1" x="35"/>
        <item x="2"/>
        <item x="9"/>
        <item x="19"/>
        <item m="1" x="25"/>
        <item x="14"/>
        <item m="1" x="28"/>
        <item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9">
    <field x="18"/>
    <field x="8"/>
    <field x="47"/>
    <field x="57"/>
    <field x="12"/>
    <field x="4"/>
    <field x="55"/>
    <field x="23"/>
    <field x="54"/>
  </rowFields>
  <rowItems count="30">
    <i>
      <x v="1"/>
      <x/>
      <x v="9"/>
      <x v="10"/>
      <x v="10"/>
      <x v="9"/>
      <x v="9"/>
      <x v="1"/>
      <x/>
    </i>
    <i r="2">
      <x v="77"/>
      <x v="2"/>
      <x v="2"/>
      <x v="77"/>
      <x v="77"/>
      <x v="1"/>
      <x/>
    </i>
    <i>
      <x v="2"/>
      <x/>
      <x v="4"/>
      <x v="1"/>
      <x v="1"/>
      <x v="4"/>
      <x v="4"/>
      <x v="1"/>
      <x/>
    </i>
    <i r="2">
      <x v="5"/>
      <x v="7"/>
      <x v="7"/>
      <x v="5"/>
      <x v="5"/>
      <x v="1"/>
      <x/>
    </i>
    <i r="2">
      <x v="7"/>
      <x v="9"/>
      <x v="9"/>
      <x v="7"/>
      <x v="7"/>
      <x v="1"/>
      <x/>
    </i>
    <i r="2">
      <x v="13"/>
      <x v="1"/>
      <x v="1"/>
      <x v="13"/>
      <x v="13"/>
      <x v="1"/>
      <x/>
    </i>
    <i r="2">
      <x v="14"/>
      <x v="13"/>
      <x v="13"/>
      <x v="14"/>
      <x v="14"/>
      <x v="1"/>
      <x/>
    </i>
    <i r="2">
      <x v="15"/>
      <x v="14"/>
      <x v="14"/>
      <x v="15"/>
      <x v="15"/>
      <x v="1"/>
      <x/>
    </i>
    <i r="2">
      <x v="22"/>
      <x v="9"/>
      <x v="9"/>
      <x v="22"/>
      <x v="22"/>
      <x v="1"/>
      <x/>
    </i>
    <i r="2">
      <x v="23"/>
      <x v="1"/>
      <x v="1"/>
      <x v="23"/>
      <x v="23"/>
      <x v="1"/>
      <x/>
    </i>
    <i r="2">
      <x v="24"/>
      <x v="60"/>
      <x v="58"/>
      <x v="24"/>
      <x v="24"/>
      <x v="1"/>
      <x/>
    </i>
    <i r="2">
      <x v="25"/>
      <x v="9"/>
      <x v="9"/>
      <x v="25"/>
      <x v="25"/>
      <x v="1"/>
      <x/>
    </i>
    <i r="2">
      <x v="27"/>
      <x v="62"/>
      <x v="61"/>
      <x v="27"/>
      <x v="27"/>
      <x v="1"/>
      <x/>
    </i>
    <i r="2">
      <x v="29"/>
      <x v="1"/>
      <x v="1"/>
      <x v="29"/>
      <x v="29"/>
      <x v="1"/>
      <x/>
    </i>
    <i r="2">
      <x v="30"/>
      <x v="23"/>
      <x v="23"/>
      <x v="30"/>
      <x v="30"/>
      <x v="1"/>
      <x/>
    </i>
    <i r="2">
      <x v="31"/>
      <x v="29"/>
      <x v="29"/>
      <x v="31"/>
      <x v="31"/>
      <x v="1"/>
      <x/>
    </i>
    <i r="2">
      <x v="32"/>
      <x v="28"/>
      <x v="28"/>
      <x v="32"/>
      <x v="32"/>
      <x v="1"/>
      <x/>
    </i>
    <i r="2">
      <x v="33"/>
      <x v="27"/>
      <x v="27"/>
      <x v="33"/>
      <x v="33"/>
      <x v="1"/>
      <x/>
    </i>
    <i r="2">
      <x v="34"/>
      <x v="25"/>
      <x v="25"/>
      <x v="34"/>
      <x v="34"/>
      <x v="1"/>
      <x/>
    </i>
    <i r="2">
      <x v="38"/>
      <x v="61"/>
      <x v="59"/>
      <x v="38"/>
      <x v="38"/>
      <x v="1"/>
      <x/>
    </i>
    <i r="2">
      <x v="39"/>
      <x v="60"/>
      <x v="58"/>
      <x v="39"/>
      <x v="39"/>
      <x v="1"/>
      <x/>
    </i>
    <i r="2">
      <x v="41"/>
      <x v="24"/>
      <x v="24"/>
      <x v="41"/>
      <x v="41"/>
      <x v="1"/>
      <x/>
    </i>
    <i r="2">
      <x v="42"/>
      <x v="22"/>
      <x v="22"/>
      <x v="42"/>
      <x v="42"/>
      <x v="1"/>
      <x/>
    </i>
    <i r="2">
      <x v="43"/>
      <x v="26"/>
      <x v="26"/>
      <x v="43"/>
      <x v="43"/>
      <x v="1"/>
      <x/>
    </i>
    <i r="2">
      <x v="45"/>
      <x v="35"/>
      <x v="34"/>
      <x v="45"/>
      <x v="45"/>
      <x v="1"/>
      <x/>
    </i>
    <i r="2">
      <x v="46"/>
      <x v="24"/>
      <x v="24"/>
      <x v="46"/>
      <x v="46"/>
      <x v="1"/>
      <x/>
    </i>
    <i r="2">
      <x v="47"/>
      <x v="25"/>
      <x v="25"/>
      <x v="47"/>
      <x v="47"/>
      <x v="1"/>
      <x/>
    </i>
    <i r="2">
      <x v="86"/>
      <x v="64"/>
      <x v="63"/>
      <x v="48"/>
      <x v="48"/>
      <x v="1"/>
      <x/>
    </i>
    <i>
      <x v="3"/>
      <x/>
      <x v="82"/>
      <x v="66"/>
      <x v="66"/>
      <x v="82"/>
      <x v="82"/>
      <x v="2"/>
      <x v="4"/>
    </i>
    <i>
      <x v="6"/>
      <x/>
      <x v="57"/>
      <x v="55"/>
      <x v="53"/>
      <x v="57"/>
      <x v="57"/>
      <x v="1"/>
      <x/>
    </i>
  </rowItems>
  <colItems count="1">
    <i/>
  </colItems>
  <dataFields count="1">
    <dataField name="Suma de Net Budget Delivered (Billing Currency)" fld="37" baseField="58" baseItem="5" numFmtId="4"/>
  </dataFields>
  <formats count="8">
    <format dxfId="9">
      <pivotArea type="all" dataOnly="0" outline="0" fieldPosition="0"/>
    </format>
    <format dxfId="8">
      <pivotArea outline="0" collapsedLevelsAreSubtotals="1" fieldPosition="0"/>
    </format>
    <format dxfId="7">
      <pivotArea field="47" type="button" dataOnly="0" labelOnly="1" outline="0" axis="axisRow" fieldPosition="2"/>
    </format>
    <format dxfId="6">
      <pivotArea field="12" type="button" dataOnly="0" labelOnly="1" outline="0" axis="axisRow" fieldPosition="4"/>
    </format>
    <format dxfId="5">
      <pivotArea field="55" type="button" dataOnly="0" labelOnly="1" outline="0" axis="axisRow" fieldPosition="6"/>
    </format>
    <format dxfId="4">
      <pivotArea field="23" type="button" dataOnly="0" labelOnly="1" outline="0" axis="axisRow" fieldPosition="7"/>
    </format>
    <format dxfId="3">
      <pivotArea dataOnly="0" labelOnly="1" outline="0" axis="axisValues" fieldPosition="0"/>
    </format>
    <format dxfId="2">
      <pivotArea outline="0" collapsedLevelsAreSubtotals="1" fieldPosition="0"/>
    </format>
  </formats>
  <pivotTableStyleInfo name="PivotStyleLight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47C8A-9B81-4F85-9A88-F3E04F08E04D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C5:G10" firstHeaderRow="0" firstDataRow="1" firstDataCol="3" rowPageCount="2" colPageCount="1"/>
  <pivotFields count="69"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Page" compact="0" outline="0" subtotalTop="0" multipleItemSelectionAllowed="1" showAll="0" defaultSubtotal="0">
      <items count="1">
        <item x="0"/>
      </items>
    </pivotField>
    <pivotField compact="0" outline="0" subtotalTop="0" showAll="0" defaultSubtotal="0"/>
    <pivotField axis="axisPage" compact="0" outline="0" subtotalTop="0" showAll="0" defaultSubtotal="0">
      <items count="1">
        <item x="0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sortType="ascending" defaultSubtotal="0">
      <items count="1">
        <item x="0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10">
        <item m="1" x="5"/>
        <item x="0"/>
        <item x="3"/>
        <item m="1" x="6"/>
        <item x="2"/>
        <item m="1" x="7"/>
        <item x="1"/>
        <item m="1" x="4"/>
        <item m="1" x="8"/>
        <item m="1"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64" outline="0" subtotalTop="0" showAll="0" defaultSubtotal="0"/>
    <pivotField compact="0" numFmtId="164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64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numFmtId="4" outline="0" subtotalTop="0" showAll="0" defaultSubtotal="0"/>
    <pivotField dataField="1" compact="0" numFmtId="4" outline="0" subtotalTop="0" showAll="0" defaultSubtotal="0"/>
  </pivotFields>
  <rowFields count="3">
    <field x="53"/>
    <field x="18"/>
    <field x="14"/>
  </rowFields>
  <rowItems count="5">
    <i>
      <x/>
      <x v="1"/>
      <x/>
    </i>
    <i r="1">
      <x v="2"/>
      <x/>
    </i>
    <i r="1">
      <x v="4"/>
      <x/>
    </i>
    <i r="1">
      <x v="6"/>
      <x/>
    </i>
    <i t="grand">
      <x/>
    </i>
  </rowItems>
  <colFields count="1">
    <field x="-2"/>
  </colFields>
  <colItems count="2">
    <i>
      <x/>
    </i>
    <i i="1">
      <x v="1"/>
    </i>
  </colItems>
  <pageFields count="2">
    <pageField fld="10" hier="-1"/>
    <pageField fld="8" hier="-1"/>
  </pageFields>
  <dataFields count="2">
    <dataField name="Suma de Rev. Act. FX / Closing FX" fld="67" baseField="0" baseItem="0" numFmtId="4"/>
    <dataField name="Suma de COGS Act. FX / Closing FX" fld="68" baseField="0" baseItem="0" numFmtId="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87D14-26DA-4BA9-BCE5-3CDD6E9F8DED}">
  <dimension ref="B3:E9"/>
  <sheetViews>
    <sheetView workbookViewId="0">
      <selection activeCell="E7" sqref="E7:E10"/>
    </sheetView>
  </sheetViews>
  <sheetFormatPr baseColWidth="10" defaultRowHeight="14.4" x14ac:dyDescent="0.3"/>
  <cols>
    <col min="1" max="1" width="4.88671875" customWidth="1"/>
    <col min="2" max="2" width="27.5546875" bestFit="1" customWidth="1"/>
    <col min="3" max="3" width="20.33203125" style="16" bestFit="1" customWidth="1"/>
    <col min="4" max="4" width="23.6640625" style="16" bestFit="1" customWidth="1"/>
    <col min="5" max="5" width="8.109375" style="16" bestFit="1" customWidth="1"/>
  </cols>
  <sheetData>
    <row r="3" spans="2:5" x14ac:dyDescent="0.3">
      <c r="B3" s="2" t="s">
        <v>95</v>
      </c>
      <c r="C3" t="s">
        <v>99</v>
      </c>
      <c r="D3" t="s">
        <v>416</v>
      </c>
    </row>
    <row r="4" spans="2:5" x14ac:dyDescent="0.3">
      <c r="B4" s="3" t="s">
        <v>98</v>
      </c>
      <c r="C4">
        <v>26</v>
      </c>
      <c r="D4" s="4">
        <v>89751.569999999992</v>
      </c>
      <c r="E4" s="39">
        <f>+D4/D$7</f>
        <v>0.99704712578837551</v>
      </c>
    </row>
    <row r="5" spans="2:5" x14ac:dyDescent="0.3">
      <c r="B5" s="3" t="s">
        <v>757</v>
      </c>
      <c r="C5">
        <v>1</v>
      </c>
      <c r="D5" s="4">
        <v>0.05</v>
      </c>
      <c r="E5" s="39">
        <f t="shared" ref="E5:E6" si="0">+D5/D$7</f>
        <v>5.5544829231866127E-7</v>
      </c>
    </row>
    <row r="6" spans="2:5" x14ac:dyDescent="0.3">
      <c r="B6" s="3" t="s">
        <v>592</v>
      </c>
      <c r="C6">
        <v>1</v>
      </c>
      <c r="D6" s="4">
        <v>265.76</v>
      </c>
      <c r="E6" s="39">
        <f t="shared" si="0"/>
        <v>2.9523187633321477E-3</v>
      </c>
    </row>
    <row r="7" spans="2:5" x14ac:dyDescent="0.3">
      <c r="B7" s="3" t="s">
        <v>96</v>
      </c>
      <c r="C7">
        <v>28</v>
      </c>
      <c r="D7" s="4">
        <v>90017.37999999999</v>
      </c>
      <c r="E7" s="39"/>
    </row>
    <row r="8" spans="2:5" x14ac:dyDescent="0.3">
      <c r="C8"/>
      <c r="D8"/>
      <c r="E8" s="39"/>
    </row>
    <row r="9" spans="2:5" x14ac:dyDescent="0.3">
      <c r="C9"/>
      <c r="D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DBE59-FA8C-4D22-9B4D-A44A5FA56C6C}">
  <sheetPr>
    <tabColor theme="9" tint="0.39997558519241921"/>
  </sheetPr>
  <dimension ref="A1:Q31"/>
  <sheetViews>
    <sheetView tabSelected="1" zoomScale="70" zoomScaleNormal="70" workbookViewId="0">
      <selection activeCell="H22" sqref="H22"/>
    </sheetView>
  </sheetViews>
  <sheetFormatPr baseColWidth="10" defaultColWidth="11.5546875" defaultRowHeight="14.4" outlineLevelCol="1" x14ac:dyDescent="0.3"/>
  <cols>
    <col min="1" max="1" width="14.109375" bestFit="1" customWidth="1"/>
    <col min="2" max="2" width="14.6640625" bestFit="1" customWidth="1"/>
    <col min="3" max="3" width="30.44140625" bestFit="1" customWidth="1"/>
    <col min="4" max="4" width="8.77734375" customWidth="1"/>
    <col min="5" max="6" width="15.77734375" customWidth="1"/>
    <col min="7" max="7" width="11.5546875" hidden="1" customWidth="1" outlineLevel="1"/>
    <col min="8" max="8" width="13.88671875" bestFit="1" customWidth="1" collapsed="1"/>
    <col min="9" max="9" width="8.77734375" customWidth="1"/>
    <col min="10" max="10" width="13.88671875" hidden="1" customWidth="1" outlineLevel="1"/>
    <col min="11" max="11" width="19.44140625" hidden="1" customWidth="1" outlineLevel="1"/>
    <col min="12" max="12" width="18.5546875" bestFit="1" customWidth="1" collapsed="1"/>
    <col min="13" max="13" width="13" bestFit="1" customWidth="1"/>
    <col min="14" max="14" width="29.44140625" bestFit="1" customWidth="1"/>
    <col min="15" max="15" width="15.33203125" bestFit="1" customWidth="1"/>
  </cols>
  <sheetData>
    <row r="1" spans="1:17" x14ac:dyDescent="0.3">
      <c r="N1" s="92" t="s">
        <v>591</v>
      </c>
    </row>
    <row r="2" spans="1:17" ht="15.6" customHeight="1" x14ac:dyDescent="0.3">
      <c r="B2" s="132" t="s">
        <v>90</v>
      </c>
      <c r="C2" s="132"/>
      <c r="D2" s="132"/>
      <c r="E2" s="133"/>
      <c r="F2" s="46"/>
      <c r="G2" s="134" t="s">
        <v>91</v>
      </c>
      <c r="H2" s="134"/>
      <c r="I2" s="134"/>
      <c r="J2" s="134"/>
      <c r="K2" s="134"/>
      <c r="L2" s="15"/>
      <c r="M2" s="15"/>
      <c r="N2" s="6"/>
    </row>
    <row r="3" spans="1:17" x14ac:dyDescent="0.3">
      <c r="A3" t="s">
        <v>268</v>
      </c>
      <c r="B3" s="29" t="s">
        <v>384</v>
      </c>
      <c r="C3" s="29" t="s">
        <v>249</v>
      </c>
      <c r="D3" s="29" t="s">
        <v>88</v>
      </c>
      <c r="E3" s="28" t="s">
        <v>390</v>
      </c>
      <c r="F3" s="28" t="s">
        <v>417</v>
      </c>
      <c r="G3" s="7" t="s">
        <v>7</v>
      </c>
      <c r="H3" s="7" t="s">
        <v>87</v>
      </c>
      <c r="I3" s="7" t="s">
        <v>14</v>
      </c>
      <c r="J3" s="7" t="s">
        <v>93</v>
      </c>
      <c r="K3" s="7" t="s">
        <v>92</v>
      </c>
      <c r="L3" s="7" t="s">
        <v>97</v>
      </c>
      <c r="M3" s="7" t="s">
        <v>267</v>
      </c>
      <c r="N3" s="7" t="s">
        <v>89</v>
      </c>
      <c r="O3" s="10" t="s">
        <v>107</v>
      </c>
      <c r="P3" s="10" t="s">
        <v>414</v>
      </c>
      <c r="Q3" s="7" t="s">
        <v>415</v>
      </c>
    </row>
    <row r="4" spans="1:17" x14ac:dyDescent="0.3">
      <c r="A4" t="str">
        <f t="shared" ref="A4:A22" si="0">+B4&amp;"-"&amp;"February"</f>
        <v>31764-February</v>
      </c>
      <c r="B4" s="17" t="s">
        <v>273</v>
      </c>
      <c r="C4" s="131" t="s">
        <v>280</v>
      </c>
      <c r="D4" t="s">
        <v>58</v>
      </c>
      <c r="E4" s="4">
        <v>288.47000000000003</v>
      </c>
      <c r="F4" s="4">
        <f>E4/INDEX('ex rate'!C:C,MATCH(D4,'ex rate'!A:A,0),1)</f>
        <v>288.47000000000003</v>
      </c>
      <c r="G4" s="5" t="str">
        <f>VLOOKUP(A4,Salesforce!$A:$L,12,0)</f>
        <v>Under Review</v>
      </c>
      <c r="H4" s="8">
        <f>IFERROR(SUMIF(Salesforce!$A:$A,Summary!A4,Salesforce!$AN:$AN),0)</f>
        <v>288.47000000000003</v>
      </c>
      <c r="I4" s="5" t="str">
        <f>VLOOKUP(A4,Salesforce!$A:$Z,26,0)</f>
        <v>USD</v>
      </c>
      <c r="J4" s="9">
        <f>IFERROR(SUMIFS(Salesforce!$AM:$AM,Salesforce!$A:$A,Summary!A4,Salesforce!J:J,"&lt;&gt;"&amp;"Supply Deal"),0)</f>
        <v>288.47000000000003</v>
      </c>
      <c r="K4" s="5" t="str">
        <f>VLOOKUP(A4,Salesforce!$A:$Z,25,0)</f>
        <v>USD</v>
      </c>
      <c r="L4" s="18">
        <f t="shared" ref="L4:L22" si="1">+E4-H4</f>
        <v>0</v>
      </c>
      <c r="M4" s="18">
        <f>+L4/VLOOKUP(I4,'ex rate'!A:C,3,0)</f>
        <v>0</v>
      </c>
      <c r="N4" s="47" t="s">
        <v>98</v>
      </c>
      <c r="O4" s="16">
        <f>+E4/+VLOOKUP(D4,'ex rate'!A:C,3,0)</f>
        <v>288.47000000000003</v>
      </c>
      <c r="P4" s="4">
        <f>J4/INDEX('ex rate'!C:C,MATCH(K4,'ex rate'!A:A,0),1)</f>
        <v>288.47000000000003</v>
      </c>
      <c r="Q4" s="48">
        <f t="shared" ref="Q4:Q22" si="2">(P4-O4)/P4</f>
        <v>0</v>
      </c>
    </row>
    <row r="5" spans="1:17" x14ac:dyDescent="0.3">
      <c r="A5" t="str">
        <f t="shared" si="0"/>
        <v>98889-February</v>
      </c>
      <c r="B5" s="17" t="s">
        <v>326</v>
      </c>
      <c r="C5" s="131" t="s">
        <v>327</v>
      </c>
      <c r="D5" t="s">
        <v>58</v>
      </c>
      <c r="E5" s="4">
        <v>1497.88</v>
      </c>
      <c r="F5" s="4">
        <f>E5/INDEX('ex rate'!C:C,MATCH(D5,'ex rate'!A:A,0),1)</f>
        <v>1497.88</v>
      </c>
      <c r="G5" s="5" t="str">
        <f>VLOOKUP(A5,Salesforce!$A:$L,12,0)</f>
        <v>Under Review</v>
      </c>
      <c r="H5" s="8">
        <f>IFERROR(SUMIF(Salesforce!$A:$A,Summary!A5,Salesforce!$AN:$AN),0)</f>
        <v>1497.88</v>
      </c>
      <c r="I5" s="5" t="str">
        <f>VLOOKUP(A5,Salesforce!$A:$Z,26,0)</f>
        <v>USD</v>
      </c>
      <c r="J5" s="9">
        <f>IFERROR(SUMIFS(Salesforce!$AM:$AM,Salesforce!$A:$A,Summary!A5,Salesforce!J:J,"&lt;&gt;"&amp;"Supply Deal"),0)</f>
        <v>1497.88</v>
      </c>
      <c r="K5" s="5" t="str">
        <f>VLOOKUP(A5,Salesforce!$A:$Z,25,0)</f>
        <v>USD</v>
      </c>
      <c r="L5" s="18">
        <f t="shared" si="1"/>
        <v>0</v>
      </c>
      <c r="M5" s="18">
        <f>+L5/VLOOKUP(I5,'ex rate'!A:C,3,0)</f>
        <v>0</v>
      </c>
      <c r="N5" s="92" t="s">
        <v>98</v>
      </c>
      <c r="O5" s="16">
        <f>+E5/+VLOOKUP(D5,'ex rate'!A:C,3,0)</f>
        <v>1497.88</v>
      </c>
      <c r="P5" s="4">
        <f>J5/INDEX('ex rate'!C:C,MATCH(K5,'ex rate'!A:A,0),1)</f>
        <v>1497.88</v>
      </c>
      <c r="Q5" s="48">
        <f t="shared" si="2"/>
        <v>0</v>
      </c>
    </row>
    <row r="6" spans="1:17" x14ac:dyDescent="0.3">
      <c r="A6" t="str">
        <f t="shared" si="0"/>
        <v>114667-February</v>
      </c>
      <c r="B6" s="17" t="s">
        <v>328</v>
      </c>
      <c r="C6" s="131" t="s">
        <v>329</v>
      </c>
      <c r="D6" t="s">
        <v>58</v>
      </c>
      <c r="E6" s="4">
        <v>16105.49</v>
      </c>
      <c r="F6" s="4">
        <f>E6/INDEX('ex rate'!C:C,MATCH(D6,'ex rate'!A:A,0),1)</f>
        <v>16105.49</v>
      </c>
      <c r="G6" s="5" t="str">
        <f>VLOOKUP(A6,Salesforce!$A:$L,12,0)</f>
        <v>Under Review</v>
      </c>
      <c r="H6" s="8">
        <f>IFERROR(SUMIF(Salesforce!$A:$A,Summary!A6,Salesforce!$AN:$AN),0)</f>
        <v>16105.49</v>
      </c>
      <c r="I6" s="5" t="str">
        <f>VLOOKUP(A6,Salesforce!$A:$Z,26,0)</f>
        <v>USD</v>
      </c>
      <c r="J6" s="9">
        <f>IFERROR(SUMIFS(Salesforce!$AM:$AM,Salesforce!$A:$A,Summary!A6,Salesforce!J:J,"&lt;&gt;"&amp;"Supply Deal"),0)</f>
        <v>16105.49</v>
      </c>
      <c r="K6" s="5" t="str">
        <f>VLOOKUP(A6,Salesforce!$A:$Z,25,0)</f>
        <v>USD</v>
      </c>
      <c r="L6" s="18">
        <f t="shared" si="1"/>
        <v>0</v>
      </c>
      <c r="M6" s="18">
        <f>+L6/VLOOKUP(I6,'ex rate'!A:C,3,0)</f>
        <v>0</v>
      </c>
      <c r="N6" s="47" t="s">
        <v>98</v>
      </c>
      <c r="O6" s="16">
        <f>+E6/+VLOOKUP(D6,'ex rate'!A:C,3,0)</f>
        <v>16105.49</v>
      </c>
      <c r="P6" s="4">
        <f>J6/INDEX('ex rate'!C:C,MATCH(K6,'ex rate'!A:A,0),1)</f>
        <v>16105.49</v>
      </c>
      <c r="Q6" s="48">
        <f t="shared" si="2"/>
        <v>0</v>
      </c>
    </row>
    <row r="7" spans="1:17" x14ac:dyDescent="0.3">
      <c r="A7" t="str">
        <f t="shared" si="0"/>
        <v>115210-February</v>
      </c>
      <c r="B7" s="17" t="s">
        <v>547</v>
      </c>
      <c r="C7" s="131" t="s">
        <v>548</v>
      </c>
      <c r="D7" t="s">
        <v>58</v>
      </c>
      <c r="E7" s="4">
        <v>4027.45</v>
      </c>
      <c r="F7" s="4">
        <f>E7/INDEX('ex rate'!C:C,MATCH(D7,'ex rate'!A:A,0),1)</f>
        <v>4027.45</v>
      </c>
      <c r="G7" s="5" t="str">
        <f>VLOOKUP(A7,Salesforce!$A:$L,12,0)</f>
        <v>Under Review</v>
      </c>
      <c r="H7" s="8">
        <f>IFERROR(SUMIF(Salesforce!$A:$A,Summary!A7,Salesforce!$AN:$AN),0)</f>
        <v>4027.45</v>
      </c>
      <c r="I7" s="5" t="str">
        <f>VLOOKUP(A7,Salesforce!$A:$Z,26,0)</f>
        <v>USD</v>
      </c>
      <c r="J7" s="9">
        <f>IFERROR(SUMIFS(Salesforce!$AM:$AM,Salesforce!$A:$A,Summary!A7,Salesforce!J:J,"&lt;&gt;"&amp;"Supply Deal"),0)</f>
        <v>4027.45</v>
      </c>
      <c r="K7" s="5" t="str">
        <f>VLOOKUP(A7,Salesforce!$A:$Z,25,0)</f>
        <v>USD</v>
      </c>
      <c r="L7" s="18">
        <f t="shared" si="1"/>
        <v>0</v>
      </c>
      <c r="M7" s="18">
        <f>+L7/VLOOKUP(I7,'ex rate'!A:C,3,0)</f>
        <v>0</v>
      </c>
      <c r="N7" s="92" t="s">
        <v>98</v>
      </c>
      <c r="O7" s="16">
        <f>+E7/+VLOOKUP(D7,'ex rate'!A:C,3,0)</f>
        <v>4027.45</v>
      </c>
      <c r="P7" s="4">
        <f>J7/INDEX('ex rate'!C:C,MATCH(K7,'ex rate'!A:A,0),1)</f>
        <v>4027.45</v>
      </c>
      <c r="Q7" s="48">
        <f t="shared" si="2"/>
        <v>0</v>
      </c>
    </row>
    <row r="8" spans="1:17" x14ac:dyDescent="0.3">
      <c r="A8" t="str">
        <f t="shared" si="0"/>
        <v>116497-February</v>
      </c>
      <c r="B8" s="17" t="s">
        <v>344</v>
      </c>
      <c r="C8" s="131" t="s">
        <v>346</v>
      </c>
      <c r="D8" t="s">
        <v>58</v>
      </c>
      <c r="E8" s="4">
        <v>1999.95</v>
      </c>
      <c r="F8" s="4">
        <f>E8/INDEX('ex rate'!C:C,MATCH(D8,'ex rate'!A:A,0),1)</f>
        <v>1999.95</v>
      </c>
      <c r="G8" s="5" t="str">
        <f>VLOOKUP(A8,Salesforce!$A:$L,12,0)</f>
        <v>Under Review</v>
      </c>
      <c r="H8" s="8">
        <f>IFERROR(SUMIF(Salesforce!$A:$A,Summary!A8,Salesforce!$AN:$AN),0)</f>
        <v>1999.95</v>
      </c>
      <c r="I8" s="5" t="str">
        <f>VLOOKUP(A8,Salesforce!$A:$Z,26,0)</f>
        <v>USD</v>
      </c>
      <c r="J8" s="9">
        <f>IFERROR(SUMIFS(Salesforce!$AM:$AM,Salesforce!$A:$A,Summary!A8,Salesforce!J:J,"&lt;&gt;"&amp;"Supply Deal"),0)</f>
        <v>1999.95</v>
      </c>
      <c r="K8" s="5" t="str">
        <f>VLOOKUP(A8,Salesforce!$A:$Z,25,0)</f>
        <v>USD</v>
      </c>
      <c r="L8" s="18">
        <f t="shared" si="1"/>
        <v>0</v>
      </c>
      <c r="M8" s="18">
        <f>+L8/VLOOKUP(I8,'ex rate'!A:C,3,0)</f>
        <v>0</v>
      </c>
      <c r="N8" s="47" t="s">
        <v>98</v>
      </c>
      <c r="O8" s="16">
        <f>+E8/+VLOOKUP(D8,'ex rate'!A:C,3,0)</f>
        <v>1999.95</v>
      </c>
      <c r="P8" s="4">
        <f>J8/INDEX('ex rate'!C:C,MATCH(K8,'ex rate'!A:A,0),1)</f>
        <v>1999.95</v>
      </c>
      <c r="Q8" s="48">
        <f t="shared" si="2"/>
        <v>0</v>
      </c>
    </row>
    <row r="9" spans="1:17" x14ac:dyDescent="0.3">
      <c r="A9" t="str">
        <f t="shared" si="0"/>
        <v>116982-February</v>
      </c>
      <c r="B9" s="17" t="s">
        <v>360</v>
      </c>
      <c r="C9" s="131" t="s">
        <v>361</v>
      </c>
      <c r="D9" t="s">
        <v>58</v>
      </c>
      <c r="E9" s="4">
        <v>2398.79</v>
      </c>
      <c r="F9" s="4">
        <f>E9/INDEX('ex rate'!C:C,MATCH(D9,'ex rate'!A:A,0),1)</f>
        <v>2398.79</v>
      </c>
      <c r="G9" s="5" t="str">
        <f>VLOOKUP(A9,Salesforce!$A:$L,12,0)</f>
        <v>Under Review</v>
      </c>
      <c r="H9" s="8">
        <f>IFERROR(SUMIF(Salesforce!$A:$A,Summary!A9,Salesforce!$AN:$AN),0)</f>
        <v>2398.79</v>
      </c>
      <c r="I9" s="5" t="str">
        <f>VLOOKUP(A9,Salesforce!$A:$Z,26,0)</f>
        <v>USD</v>
      </c>
      <c r="J9" s="9">
        <f>IFERROR(SUMIFS(Salesforce!$AM:$AM,Salesforce!$A:$A,Summary!A9,Salesforce!J:J,"&lt;&gt;"&amp;"Supply Deal"),0)</f>
        <v>2398.79</v>
      </c>
      <c r="K9" s="5" t="str">
        <f>VLOOKUP(A9,Salesforce!$A:$Z,25,0)</f>
        <v>USD</v>
      </c>
      <c r="L9" s="18">
        <f t="shared" si="1"/>
        <v>0</v>
      </c>
      <c r="M9" s="18">
        <f>+L9/VLOOKUP(I9,'ex rate'!A:C,3,0)</f>
        <v>0</v>
      </c>
      <c r="N9" s="47" t="s">
        <v>98</v>
      </c>
      <c r="O9" s="16">
        <f>+E9/+VLOOKUP(D9,'ex rate'!A:C,3,0)</f>
        <v>2398.79</v>
      </c>
      <c r="P9" s="4">
        <f>J9/INDEX('ex rate'!C:C,MATCH(K9,'ex rate'!A:A,0),1)</f>
        <v>2398.79</v>
      </c>
      <c r="Q9" s="48">
        <f t="shared" si="2"/>
        <v>0</v>
      </c>
    </row>
    <row r="10" spans="1:17" x14ac:dyDescent="0.3">
      <c r="A10" t="str">
        <f t="shared" si="0"/>
        <v>117067-February</v>
      </c>
      <c r="B10" s="17" t="s">
        <v>352</v>
      </c>
      <c r="C10" s="131" t="s">
        <v>359</v>
      </c>
      <c r="D10" t="s">
        <v>58</v>
      </c>
      <c r="E10" s="4">
        <v>5184.83</v>
      </c>
      <c r="F10" s="4">
        <f>E10/INDEX('ex rate'!C:C,MATCH(D10,'ex rate'!A:A,0),1)</f>
        <v>5184.83</v>
      </c>
      <c r="G10" s="5" t="str">
        <f>VLOOKUP(A10,Salesforce!$A:$L,12,0)</f>
        <v>Under Review</v>
      </c>
      <c r="H10" s="8">
        <f>IFERROR(SUMIF(Salesforce!$A:$A,Summary!A10,Salesforce!$AN:$AN),0)</f>
        <v>5184.83</v>
      </c>
      <c r="I10" s="5" t="str">
        <f>VLOOKUP(A10,Salesforce!$A:$Z,26,0)</f>
        <v>USD</v>
      </c>
      <c r="J10" s="9">
        <f>IFERROR(SUMIFS(Salesforce!$AM:$AM,Salesforce!$A:$A,Summary!A10,Salesforce!J:J,"&lt;&gt;"&amp;"Supply Deal"),0)</f>
        <v>5184.83</v>
      </c>
      <c r="K10" s="5" t="str">
        <f>VLOOKUP(A10,Salesforce!$A:$Z,25,0)</f>
        <v>USD</v>
      </c>
      <c r="L10" s="18">
        <f t="shared" si="1"/>
        <v>0</v>
      </c>
      <c r="M10" s="18">
        <f>+L10/VLOOKUP(I10,'ex rate'!A:C,3,0)</f>
        <v>0</v>
      </c>
      <c r="N10" s="47" t="s">
        <v>98</v>
      </c>
      <c r="O10" s="16">
        <f>+E10/+VLOOKUP(D10,'ex rate'!A:C,3,0)</f>
        <v>5184.83</v>
      </c>
      <c r="P10" s="4">
        <f>J10/INDEX('ex rate'!C:C,MATCH(K10,'ex rate'!A:A,0),1)</f>
        <v>5184.83</v>
      </c>
      <c r="Q10" s="48">
        <f t="shared" si="2"/>
        <v>0</v>
      </c>
    </row>
    <row r="11" spans="1:17" x14ac:dyDescent="0.3">
      <c r="A11" t="str">
        <f t="shared" si="0"/>
        <v>118854-February</v>
      </c>
      <c r="B11" s="17" t="s">
        <v>375</v>
      </c>
      <c r="C11" s="131" t="s">
        <v>378</v>
      </c>
      <c r="D11" t="s">
        <v>58</v>
      </c>
      <c r="E11" s="4">
        <v>912.96</v>
      </c>
      <c r="F11" s="4">
        <f>E11/INDEX('ex rate'!C:C,MATCH(D11,'ex rate'!A:A,0),1)</f>
        <v>912.96</v>
      </c>
      <c r="G11" s="5" t="str">
        <f>VLOOKUP(A11,Salesforce!$A:$L,12,0)</f>
        <v>Under Review</v>
      </c>
      <c r="H11" s="8">
        <f>IFERROR(SUMIF(Salesforce!$A:$A,Summary!A11,Salesforce!$AN:$AN),0)</f>
        <v>912.96</v>
      </c>
      <c r="I11" s="5" t="str">
        <f>VLOOKUP(A11,Salesforce!$A:$Z,26,0)</f>
        <v>USD</v>
      </c>
      <c r="J11" s="9">
        <f>IFERROR(SUMIFS(Salesforce!$AM:$AM,Salesforce!$A:$A,Summary!A11,Salesforce!J:J,"&lt;&gt;"&amp;"Supply Deal"),0)</f>
        <v>912.96</v>
      </c>
      <c r="K11" s="5" t="str">
        <f>VLOOKUP(A11,Salesforce!$A:$Z,25,0)</f>
        <v>USD</v>
      </c>
      <c r="L11" s="18">
        <f t="shared" si="1"/>
        <v>0</v>
      </c>
      <c r="M11" s="18">
        <f>+L11/VLOOKUP(I11,'ex rate'!A:C,3,0)</f>
        <v>0</v>
      </c>
      <c r="N11" s="47" t="s">
        <v>98</v>
      </c>
      <c r="O11" s="16">
        <f>+E11/+VLOOKUP(D11,'ex rate'!A:C,3,0)</f>
        <v>912.96</v>
      </c>
      <c r="P11" s="4">
        <f>J11/INDEX('ex rate'!C:C,MATCH(K11,'ex rate'!A:A,0),1)</f>
        <v>912.96</v>
      </c>
      <c r="Q11" s="48">
        <f t="shared" si="2"/>
        <v>0</v>
      </c>
    </row>
    <row r="12" spans="1:17" x14ac:dyDescent="0.3">
      <c r="A12" t="str">
        <f t="shared" si="0"/>
        <v>119907-February</v>
      </c>
      <c r="B12" s="17" t="s">
        <v>549</v>
      </c>
      <c r="C12" s="131" t="s">
        <v>550</v>
      </c>
      <c r="D12" t="s">
        <v>58</v>
      </c>
      <c r="E12" s="4">
        <v>8000</v>
      </c>
      <c r="F12" s="4">
        <f>E12/INDEX('ex rate'!C:C,MATCH(D12,'ex rate'!A:A,0),1)</f>
        <v>8000</v>
      </c>
      <c r="G12" s="5" t="str">
        <f>VLOOKUP(A12,Salesforce!$A:$L,12,0)</f>
        <v>Under Review</v>
      </c>
      <c r="H12" s="8">
        <f>IFERROR(SUMIF(Salesforce!$A:$A,Summary!A12,Salesforce!$AN:$AN),0)</f>
        <v>8000</v>
      </c>
      <c r="I12" s="5" t="str">
        <f>VLOOKUP(A12,Salesforce!$A:$Z,26,0)</f>
        <v>USD</v>
      </c>
      <c r="J12" s="9">
        <f>IFERROR(SUMIFS(Salesforce!$AM:$AM,Salesforce!$A:$A,Summary!A12,Salesforce!J:J,"&lt;&gt;"&amp;"Supply Deal"),0)</f>
        <v>8000</v>
      </c>
      <c r="K12" s="5" t="str">
        <f>VLOOKUP(A12,Salesforce!$A:$Z,25,0)</f>
        <v>USD</v>
      </c>
      <c r="L12" s="18">
        <f t="shared" si="1"/>
        <v>0</v>
      </c>
      <c r="M12" s="18">
        <f>+L12/VLOOKUP(I12,'ex rate'!A:C,3,0)</f>
        <v>0</v>
      </c>
      <c r="N12" s="47" t="s">
        <v>98</v>
      </c>
      <c r="O12" s="16">
        <f>+E12/+VLOOKUP(D12,'ex rate'!A:C,3,0)</f>
        <v>8000</v>
      </c>
      <c r="P12" s="4">
        <f>J12/INDEX('ex rate'!C:C,MATCH(K12,'ex rate'!A:A,0),1)</f>
        <v>8000</v>
      </c>
      <c r="Q12" s="48">
        <f t="shared" si="2"/>
        <v>0</v>
      </c>
    </row>
    <row r="13" spans="1:17" x14ac:dyDescent="0.3">
      <c r="A13" t="str">
        <f t="shared" si="0"/>
        <v>29652-February</v>
      </c>
      <c r="B13" s="17" t="s">
        <v>355</v>
      </c>
      <c r="C13" s="131" t="s">
        <v>358</v>
      </c>
      <c r="D13" t="s">
        <v>58</v>
      </c>
      <c r="E13" s="4">
        <v>998.79</v>
      </c>
      <c r="F13" s="4">
        <f>E13/INDEX('ex rate'!C:C,MATCH(D13,'ex rate'!A:A,0),1)</f>
        <v>998.79</v>
      </c>
      <c r="G13" s="5" t="str">
        <f>VLOOKUP(A13,Salesforce!$A:$L,12,0)</f>
        <v>Under Review</v>
      </c>
      <c r="H13" s="8">
        <f>IFERROR(SUMIF(Salesforce!$A:$A,Summary!A13,Salesforce!$AN:$AN),0)</f>
        <v>998.79</v>
      </c>
      <c r="I13" s="5" t="str">
        <f>VLOOKUP(A13,Salesforce!$A:$Z,26,0)</f>
        <v>USD</v>
      </c>
      <c r="J13" s="9">
        <f>IFERROR(SUMIFS(Salesforce!$AM:$AM,Salesforce!$A:$A,Summary!A13,Salesforce!J:J,"&lt;&gt;"&amp;"Supply Deal"),0)</f>
        <v>998.79</v>
      </c>
      <c r="K13" s="5" t="str">
        <f>VLOOKUP(A13,Salesforce!$A:$Z,25,0)</f>
        <v>USD</v>
      </c>
      <c r="L13" s="18">
        <f t="shared" si="1"/>
        <v>0</v>
      </c>
      <c r="M13" s="18">
        <f>+L13/VLOOKUP(I13,'ex rate'!A:C,3,0)</f>
        <v>0</v>
      </c>
      <c r="N13" s="47" t="s">
        <v>98</v>
      </c>
      <c r="O13" s="16">
        <f>+E13/+VLOOKUP(D13,'ex rate'!A:C,3,0)</f>
        <v>998.79</v>
      </c>
      <c r="P13" s="4">
        <f>J13/INDEX('ex rate'!C:C,MATCH(K13,'ex rate'!A:A,0),1)</f>
        <v>998.79</v>
      </c>
      <c r="Q13" s="48">
        <f t="shared" si="2"/>
        <v>0</v>
      </c>
    </row>
    <row r="14" spans="1:17" x14ac:dyDescent="0.3">
      <c r="A14" t="str">
        <f t="shared" si="0"/>
        <v>39798-February</v>
      </c>
      <c r="B14" s="17" t="s">
        <v>302</v>
      </c>
      <c r="C14" s="131" t="s">
        <v>293</v>
      </c>
      <c r="D14" t="s">
        <v>58</v>
      </c>
      <c r="E14" s="4">
        <v>1173.05</v>
      </c>
      <c r="F14" s="4">
        <f>E14/INDEX('ex rate'!C:C,MATCH(D14,'ex rate'!A:A,0),1)</f>
        <v>1173.05</v>
      </c>
      <c r="G14" s="5" t="str">
        <f>VLOOKUP(A14,Salesforce!$A:$L,12,0)</f>
        <v>Under Review</v>
      </c>
      <c r="H14" s="8">
        <f>IFERROR(SUMIF(Salesforce!$A:$A,Summary!A14,Salesforce!$AN:$AN),0)</f>
        <v>1173.05</v>
      </c>
      <c r="I14" s="5" t="str">
        <f>VLOOKUP(A14,Salesforce!$A:$Z,26,0)</f>
        <v>USD</v>
      </c>
      <c r="J14" s="9">
        <f>IFERROR(SUMIFS(Salesforce!$AM:$AM,Salesforce!$A:$A,Summary!A14,Salesforce!J:J,"&lt;&gt;"&amp;"Supply Deal"),0)</f>
        <v>1173.05</v>
      </c>
      <c r="K14" s="5" t="str">
        <f>VLOOKUP(A14,Salesforce!$A:$Z,25,0)</f>
        <v>USD</v>
      </c>
      <c r="L14" s="18">
        <f t="shared" si="1"/>
        <v>0</v>
      </c>
      <c r="M14" s="18">
        <f>+L14/VLOOKUP(I14,'ex rate'!A:C,3,0)</f>
        <v>0</v>
      </c>
      <c r="N14" s="92" t="s">
        <v>98</v>
      </c>
      <c r="O14" s="16">
        <f>+E14/+VLOOKUP(D14,'ex rate'!A:C,3,0)</f>
        <v>1173.05</v>
      </c>
      <c r="P14" s="4">
        <f>J14/INDEX('ex rate'!C:C,MATCH(K14,'ex rate'!A:A,0),1)</f>
        <v>1173.05</v>
      </c>
      <c r="Q14" s="48">
        <f t="shared" si="2"/>
        <v>0</v>
      </c>
    </row>
    <row r="15" spans="1:17" x14ac:dyDescent="0.3">
      <c r="A15" t="str">
        <f t="shared" si="0"/>
        <v>41643-February</v>
      </c>
      <c r="B15" s="17" t="s">
        <v>297</v>
      </c>
      <c r="C15" s="131" t="s">
        <v>294</v>
      </c>
      <c r="D15" t="s">
        <v>58</v>
      </c>
      <c r="E15" s="4">
        <v>2771.71</v>
      </c>
      <c r="F15" s="4">
        <f>E15/INDEX('ex rate'!C:C,MATCH(D15,'ex rate'!A:A,0),1)</f>
        <v>2771.71</v>
      </c>
      <c r="G15" s="5" t="str">
        <f>VLOOKUP(A15,Salesforce!$A:$L,12,0)</f>
        <v>Under Review</v>
      </c>
      <c r="H15" s="8">
        <f>IFERROR(SUMIF(Salesforce!$A:$A,Summary!A15,Salesforce!$AN:$AN),0)</f>
        <v>2771.71</v>
      </c>
      <c r="I15" s="5" t="str">
        <f>VLOOKUP(A15,Salesforce!$A:$Z,26,0)</f>
        <v>USD</v>
      </c>
      <c r="J15" s="9">
        <f>IFERROR(SUMIFS(Salesforce!$AM:$AM,Salesforce!$A:$A,Summary!A15,Salesforce!J:J,"&lt;&gt;"&amp;"Supply Deal"),0)</f>
        <v>2771.71</v>
      </c>
      <c r="K15" s="5" t="str">
        <f>VLOOKUP(A15,Salesforce!$A:$Z,25,0)</f>
        <v>USD</v>
      </c>
      <c r="L15" s="18">
        <f t="shared" si="1"/>
        <v>0</v>
      </c>
      <c r="M15" s="18">
        <f>+L15/VLOOKUP(I15,'ex rate'!A:C,3,0)</f>
        <v>0</v>
      </c>
      <c r="N15" s="47" t="s">
        <v>98</v>
      </c>
      <c r="O15" s="16">
        <f>+E15/+VLOOKUP(D15,'ex rate'!A:C,3,0)</f>
        <v>2771.71</v>
      </c>
      <c r="P15" s="4">
        <f>J15/INDEX('ex rate'!C:C,MATCH(K15,'ex rate'!A:A,0),1)</f>
        <v>2771.71</v>
      </c>
      <c r="Q15" s="48">
        <f t="shared" si="2"/>
        <v>0</v>
      </c>
    </row>
    <row r="16" spans="1:17" x14ac:dyDescent="0.3">
      <c r="A16" t="str">
        <f t="shared" si="0"/>
        <v>44368-February</v>
      </c>
      <c r="B16" s="17" t="s">
        <v>551</v>
      </c>
      <c r="C16" s="131" t="s">
        <v>552</v>
      </c>
      <c r="D16" t="s">
        <v>58</v>
      </c>
      <c r="E16" s="4">
        <v>9029.1299999999992</v>
      </c>
      <c r="F16" s="4">
        <f>E16/INDEX('ex rate'!C:C,MATCH(D16,'ex rate'!A:A,0),1)</f>
        <v>9029.1299999999992</v>
      </c>
      <c r="G16" s="5" t="str">
        <f>VLOOKUP(A16,Salesforce!$A:$L,12,0)</f>
        <v>Under Review</v>
      </c>
      <c r="H16" s="8">
        <f>IFERROR(SUMIF(Salesforce!$A:$A,Summary!A16,Salesforce!$AN:$AN),0)</f>
        <v>9029.1299999999992</v>
      </c>
      <c r="I16" s="5" t="str">
        <f>VLOOKUP(A16,Salesforce!$A:$Z,26,0)</f>
        <v>USD</v>
      </c>
      <c r="J16" s="9">
        <f>IFERROR(SUMIFS(Salesforce!$AM:$AM,Salesforce!$A:$A,Summary!A16,Salesforce!J:J,"&lt;&gt;"&amp;"Supply Deal"),0)</f>
        <v>9029.1299999999992</v>
      </c>
      <c r="K16" s="5" t="str">
        <f>VLOOKUP(A16,Salesforce!$A:$Z,25,0)</f>
        <v>USD</v>
      </c>
      <c r="L16" s="18">
        <f t="shared" si="1"/>
        <v>0</v>
      </c>
      <c r="M16" s="18">
        <f>+L16/VLOOKUP(I16,'ex rate'!A:C,3,0)</f>
        <v>0</v>
      </c>
      <c r="N16" s="47" t="s">
        <v>98</v>
      </c>
      <c r="O16" s="16">
        <f>+E16/+VLOOKUP(D16,'ex rate'!A:C,3,0)</f>
        <v>9029.1299999999992</v>
      </c>
      <c r="P16" s="4">
        <f>J16/INDEX('ex rate'!C:C,MATCH(K16,'ex rate'!A:A,0),1)</f>
        <v>9029.1299999999992</v>
      </c>
      <c r="Q16" s="48">
        <f t="shared" si="2"/>
        <v>0</v>
      </c>
    </row>
    <row r="17" spans="1:17" x14ac:dyDescent="0.3">
      <c r="A17" t="str">
        <f t="shared" si="0"/>
        <v>55367-February</v>
      </c>
      <c r="B17" s="17" t="s">
        <v>299</v>
      </c>
      <c r="C17" s="131" t="s">
        <v>295</v>
      </c>
      <c r="D17" t="s">
        <v>58</v>
      </c>
      <c r="E17" s="4">
        <v>6679.94</v>
      </c>
      <c r="F17" s="4">
        <f>E17/INDEX('ex rate'!C:C,MATCH(D17,'ex rate'!A:A,0),1)</f>
        <v>6679.94</v>
      </c>
      <c r="G17" s="5" t="str">
        <f>VLOOKUP(A17,Salesforce!$A:$L,12,0)</f>
        <v>Under Review</v>
      </c>
      <c r="H17" s="8">
        <f>IFERROR(SUMIF(Salesforce!$A:$A,Summary!A17,Salesforce!$AN:$AN),0)</f>
        <v>6679.94</v>
      </c>
      <c r="I17" s="5" t="str">
        <f>VLOOKUP(A17,Salesforce!$A:$Z,26,0)</f>
        <v>USD</v>
      </c>
      <c r="J17" s="9">
        <f>IFERROR(SUMIFS(Salesforce!$AM:$AM,Salesforce!$A:$A,Summary!A17,Salesforce!J:J,"&lt;&gt;"&amp;"Supply Deal"),0)</f>
        <v>6679.94</v>
      </c>
      <c r="K17" s="5" t="str">
        <f>VLOOKUP(A17,Salesforce!$A:$Z,25,0)</f>
        <v>USD</v>
      </c>
      <c r="L17" s="18">
        <f t="shared" si="1"/>
        <v>0</v>
      </c>
      <c r="M17" s="18">
        <f>+L17/VLOOKUP(I17,'ex rate'!A:C,3,0)</f>
        <v>0</v>
      </c>
      <c r="N17" s="47" t="s">
        <v>98</v>
      </c>
      <c r="O17" s="16">
        <f>+E17/+VLOOKUP(D17,'ex rate'!A:C,3,0)</f>
        <v>6679.94</v>
      </c>
      <c r="P17" s="4">
        <f>J17/INDEX('ex rate'!C:C,MATCH(K17,'ex rate'!A:A,0),1)</f>
        <v>6679.94</v>
      </c>
      <c r="Q17" s="48">
        <f t="shared" si="2"/>
        <v>0</v>
      </c>
    </row>
    <row r="18" spans="1:17" x14ac:dyDescent="0.3">
      <c r="A18" t="str">
        <f t="shared" si="0"/>
        <v>59227-February</v>
      </c>
      <c r="B18" s="17" t="s">
        <v>371</v>
      </c>
      <c r="C18" s="131" t="s">
        <v>379</v>
      </c>
      <c r="D18" t="s">
        <v>58</v>
      </c>
      <c r="E18" s="4">
        <v>0.05</v>
      </c>
      <c r="F18" s="4">
        <f>E18/INDEX('ex rate'!C:C,MATCH(D18,'ex rate'!A:A,0),1)</f>
        <v>0.05</v>
      </c>
      <c r="G18" s="5" t="e">
        <f>VLOOKUP(A18,Salesforce!$A:$L,12,0)</f>
        <v>#N/A</v>
      </c>
      <c r="H18" s="8">
        <f>IFERROR(SUMIF(Salesforce!$A:$A,Summary!A18,Salesforce!$AN:$AN),0)</f>
        <v>0</v>
      </c>
      <c r="I18" s="5" t="e">
        <f>VLOOKUP(A18,Salesforce!$A:$Z,26,0)</f>
        <v>#N/A</v>
      </c>
      <c r="J18" s="9">
        <f>IFERROR(SUMIFS(Salesforce!$AM:$AM,Salesforce!$A:$A,Summary!A18,Salesforce!J:J,"&lt;&gt;"&amp;"Supply Deal"),0)</f>
        <v>0</v>
      </c>
      <c r="K18" s="5" t="e">
        <f>VLOOKUP(A18,Salesforce!$A:$Z,25,0)</f>
        <v>#N/A</v>
      </c>
      <c r="L18" s="18">
        <f t="shared" si="1"/>
        <v>0.05</v>
      </c>
      <c r="M18" s="18" t="e">
        <f>+L18/VLOOKUP(I18,'ex rate'!A:C,3,0)</f>
        <v>#N/A</v>
      </c>
      <c r="N18" s="98" t="s">
        <v>757</v>
      </c>
      <c r="O18" s="16">
        <f>+E18/+VLOOKUP(D18,'ex rate'!A:C,3,0)</f>
        <v>0.05</v>
      </c>
      <c r="P18" s="4" t="e">
        <f>J18/INDEX('ex rate'!C:C,MATCH(K18,'ex rate'!A:A,0),1)</f>
        <v>#N/A</v>
      </c>
      <c r="Q18" s="48" t="e">
        <f t="shared" si="2"/>
        <v>#N/A</v>
      </c>
    </row>
    <row r="19" spans="1:17" x14ac:dyDescent="0.3">
      <c r="A19" t="str">
        <f t="shared" si="0"/>
        <v>63589-February</v>
      </c>
      <c r="B19" s="17" t="s">
        <v>339</v>
      </c>
      <c r="C19" s="131" t="s">
        <v>347</v>
      </c>
      <c r="D19" t="s">
        <v>58</v>
      </c>
      <c r="E19" s="4">
        <v>2991.08</v>
      </c>
      <c r="F19" s="4">
        <f>E19/INDEX('ex rate'!C:C,MATCH(D19,'ex rate'!A:A,0),1)</f>
        <v>2991.08</v>
      </c>
      <c r="G19" s="5" t="str">
        <f>VLOOKUP(A19,Salesforce!$A:$L,12,0)</f>
        <v>Under Review</v>
      </c>
      <c r="H19" s="8">
        <f>IFERROR(SUMIF(Salesforce!$A:$A,Summary!A19,Salesforce!$AN:$AN),0)</f>
        <v>2991.08</v>
      </c>
      <c r="I19" s="5" t="str">
        <f>VLOOKUP(A19,Salesforce!$A:$Z,26,0)</f>
        <v>USD</v>
      </c>
      <c r="J19" s="9">
        <f>IFERROR(SUMIFS(Salesforce!$AM:$AM,Salesforce!$A:$A,Summary!A19,Salesforce!J:J,"&lt;&gt;"&amp;"Supply Deal"),0)</f>
        <v>2991.08</v>
      </c>
      <c r="K19" s="5" t="str">
        <f>VLOOKUP(A19,Salesforce!$A:$Z,25,0)</f>
        <v>USD</v>
      </c>
      <c r="L19" s="18">
        <f t="shared" si="1"/>
        <v>0</v>
      </c>
      <c r="M19" s="18">
        <f>+L19/VLOOKUP(I19,'ex rate'!A:C,3,0)</f>
        <v>0</v>
      </c>
      <c r="N19" s="47" t="s">
        <v>98</v>
      </c>
      <c r="O19" s="16">
        <f>+E19/+VLOOKUP(D19,'ex rate'!A:C,3,0)</f>
        <v>2991.08</v>
      </c>
      <c r="P19" s="4">
        <f>J19/INDEX('ex rate'!C:C,MATCH(K19,'ex rate'!A:A,0),1)</f>
        <v>2991.08</v>
      </c>
      <c r="Q19" s="48">
        <f t="shared" si="2"/>
        <v>0</v>
      </c>
    </row>
    <row r="20" spans="1:17" x14ac:dyDescent="0.3">
      <c r="A20" t="str">
        <f t="shared" si="0"/>
        <v>99591-February</v>
      </c>
      <c r="B20" s="17" t="s">
        <v>272</v>
      </c>
      <c r="C20" s="131" t="s">
        <v>286</v>
      </c>
      <c r="D20" t="s">
        <v>58</v>
      </c>
      <c r="E20" s="4">
        <v>1998.87</v>
      </c>
      <c r="F20" s="4">
        <f>E20/INDEX('ex rate'!C:C,MATCH(D20,'ex rate'!A:A,0),1)</f>
        <v>1998.87</v>
      </c>
      <c r="G20" s="5" t="str">
        <f>VLOOKUP(A20,Salesforce!$A:$L,12,0)</f>
        <v>Under Review</v>
      </c>
      <c r="H20" s="8">
        <f>IFERROR(SUMIF(Salesforce!$A:$A,Summary!A20,Salesforce!$AN:$AN),0)</f>
        <v>1998.87</v>
      </c>
      <c r="I20" s="5" t="str">
        <f>VLOOKUP(A20,Salesforce!$A:$Z,26,0)</f>
        <v>USD</v>
      </c>
      <c r="J20" s="9">
        <f>IFERROR(SUMIFS(Salesforce!$AM:$AM,Salesforce!$A:$A,Summary!A20,Salesforce!J:J,"&lt;&gt;"&amp;"Supply Deal"),0)</f>
        <v>1998.87</v>
      </c>
      <c r="K20" s="5" t="str">
        <f>VLOOKUP(A20,Salesforce!$A:$Z,25,0)</f>
        <v>USD</v>
      </c>
      <c r="L20" s="18">
        <f t="shared" si="1"/>
        <v>0</v>
      </c>
      <c r="M20" s="18">
        <f>+L20/VLOOKUP(I20,'ex rate'!A:C,3,0)</f>
        <v>0</v>
      </c>
      <c r="N20" s="47" t="s">
        <v>98</v>
      </c>
      <c r="O20" s="16">
        <f>+E20/+VLOOKUP(D20,'ex rate'!A:C,3,0)</f>
        <v>1998.87</v>
      </c>
      <c r="P20" s="4">
        <f>J20/INDEX('ex rate'!C:C,MATCH(K20,'ex rate'!A:A,0),1)</f>
        <v>1998.87</v>
      </c>
      <c r="Q20" s="48">
        <f t="shared" si="2"/>
        <v>0</v>
      </c>
    </row>
    <row r="21" spans="1:17" x14ac:dyDescent="0.3">
      <c r="A21" t="str">
        <f t="shared" si="0"/>
        <v>106852-February</v>
      </c>
      <c r="B21" s="17" t="s">
        <v>553</v>
      </c>
      <c r="C21" s="131" t="s">
        <v>554</v>
      </c>
      <c r="D21" t="s">
        <v>58</v>
      </c>
      <c r="E21" s="4">
        <v>2000</v>
      </c>
      <c r="F21" s="4">
        <f>E21/INDEX('ex rate'!C:C,MATCH(D21,'ex rate'!A:A,0),1)</f>
        <v>2000</v>
      </c>
      <c r="G21" s="5" t="str">
        <f>VLOOKUP(A21,Salesforce!$A:$L,12,0)</f>
        <v>Under Review</v>
      </c>
      <c r="H21" s="8">
        <f>IFERROR(SUMIF(Salesforce!$A:$A,Summary!A21,Salesforce!$AN:$AN),0)</f>
        <v>2000</v>
      </c>
      <c r="I21" s="5" t="str">
        <f>VLOOKUP(A21,Salesforce!$A:$Z,26,0)</f>
        <v>USD</v>
      </c>
      <c r="J21" s="9">
        <f>IFERROR(SUMIFS(Salesforce!$AM:$AM,Salesforce!$A:$A,Summary!A21,Salesforce!J:J,"&lt;&gt;"&amp;"Supply Deal"),0)</f>
        <v>2000</v>
      </c>
      <c r="K21" s="5" t="str">
        <f>VLOOKUP(A21,Salesforce!$A:$Z,25,0)</f>
        <v>USD</v>
      </c>
      <c r="L21" s="18">
        <f t="shared" si="1"/>
        <v>0</v>
      </c>
      <c r="M21" s="18">
        <f>+L21/VLOOKUP(I21,'ex rate'!A:C,3,0)</f>
        <v>0</v>
      </c>
      <c r="N21" s="47" t="s">
        <v>98</v>
      </c>
      <c r="O21" s="16">
        <f>+E21/+VLOOKUP(D21,'ex rate'!A:C,3,0)</f>
        <v>2000</v>
      </c>
      <c r="P21" s="4">
        <f>J21/INDEX('ex rate'!C:C,MATCH(K21,'ex rate'!A:A,0),1)</f>
        <v>2000</v>
      </c>
      <c r="Q21" s="48">
        <f t="shared" si="2"/>
        <v>0</v>
      </c>
    </row>
    <row r="22" spans="1:17" x14ac:dyDescent="0.3">
      <c r="A22" t="str">
        <f t="shared" si="0"/>
        <v>103986-February</v>
      </c>
      <c r="B22" s="17" t="s">
        <v>269</v>
      </c>
      <c r="C22" s="131" t="s">
        <v>285</v>
      </c>
      <c r="D22" t="s">
        <v>58</v>
      </c>
      <c r="E22" s="4">
        <v>2986.68</v>
      </c>
      <c r="F22" s="4">
        <f>E22/INDEX('ex rate'!C:C,MATCH(D22,'ex rate'!A:A,0),1)</f>
        <v>2986.68</v>
      </c>
      <c r="G22" s="5" t="str">
        <f>VLOOKUP(A22,Salesforce!$A:$L,12,0)</f>
        <v>Under Review</v>
      </c>
      <c r="H22" s="8">
        <f>IFERROR(SUMIF(Salesforce!$A:$A,Summary!A22,Salesforce!$AN:$AN),0)</f>
        <v>2986.68</v>
      </c>
      <c r="I22" s="5" t="str">
        <f>VLOOKUP(A22,Salesforce!$A:$Z,26,0)</f>
        <v>USD</v>
      </c>
      <c r="J22" s="9">
        <f>IFERROR(SUMIFS(Salesforce!$AM:$AM,Salesforce!$A:$A,Summary!A22,Salesforce!J:J,"&lt;&gt;"&amp;"Supply Deal"),0)</f>
        <v>2986.68</v>
      </c>
      <c r="K22" s="5" t="str">
        <f>VLOOKUP(A22,Salesforce!$A:$Z,25,0)</f>
        <v>USD</v>
      </c>
      <c r="L22" s="18">
        <f t="shared" si="1"/>
        <v>0</v>
      </c>
      <c r="M22" s="18">
        <f>+L22/VLOOKUP(I22,'ex rate'!A:C,3,0)</f>
        <v>0</v>
      </c>
      <c r="N22" s="47" t="s">
        <v>98</v>
      </c>
      <c r="O22" s="16">
        <f>+E22/+VLOOKUP(D22,'ex rate'!A:C,3,0)</f>
        <v>2986.68</v>
      </c>
      <c r="P22" s="4">
        <f>J22/INDEX('ex rate'!C:C,MATCH(K22,'ex rate'!A:A,0),1)</f>
        <v>2986.68</v>
      </c>
      <c r="Q22" s="48">
        <f t="shared" si="2"/>
        <v>0</v>
      </c>
    </row>
    <row r="23" spans="1:17" x14ac:dyDescent="0.3">
      <c r="A23" t="str">
        <f t="shared" ref="A23:A31" si="3">+B23&amp;"-"&amp;"February"</f>
        <v>94854-February</v>
      </c>
      <c r="B23" s="17" t="s">
        <v>362</v>
      </c>
      <c r="C23" s="131" t="s">
        <v>363</v>
      </c>
      <c r="D23" t="s">
        <v>58</v>
      </c>
      <c r="E23" s="4">
        <v>2019.13</v>
      </c>
      <c r="F23" s="4">
        <f>E23/INDEX('ex rate'!C:C,MATCH(D23,'ex rate'!A:A,0),1)</f>
        <v>2019.13</v>
      </c>
      <c r="G23" s="5" t="str">
        <f>VLOOKUP(A23,Salesforce!$A:$L,12,0)</f>
        <v>Under Review</v>
      </c>
      <c r="H23" s="8">
        <f>IFERROR(SUMIF(Salesforce!$A:$A,Summary!A23,Salesforce!$AN:$AN),0)</f>
        <v>2019.13</v>
      </c>
      <c r="I23" s="5" t="str">
        <f>VLOOKUP(A23,Salesforce!$A:$Z,26,0)</f>
        <v>USD</v>
      </c>
      <c r="J23" s="9">
        <f>IFERROR(SUMIFS(Salesforce!$AM:$AM,Salesforce!$A:$A,Summary!A23,Salesforce!J:J,"&lt;&gt;"&amp;"Supply Deal"),0)</f>
        <v>2019.13</v>
      </c>
      <c r="K23" s="5" t="str">
        <f>VLOOKUP(A23,Salesforce!$A:$Z,25,0)</f>
        <v>USD</v>
      </c>
      <c r="L23" s="18">
        <f t="shared" ref="L23:L31" si="4">+E23-H23</f>
        <v>0</v>
      </c>
      <c r="M23" s="18">
        <f>+L23/VLOOKUP(I23,'ex rate'!A:C,3,0)</f>
        <v>0</v>
      </c>
      <c r="N23" s="47" t="s">
        <v>98</v>
      </c>
      <c r="O23" s="16">
        <f>+E23/+VLOOKUP(D23,'ex rate'!A:C,3,0)</f>
        <v>2019.13</v>
      </c>
      <c r="P23" s="4">
        <f>J23/INDEX('ex rate'!C:C,MATCH(K23,'ex rate'!A:A,0),1)</f>
        <v>2019.13</v>
      </c>
      <c r="Q23" s="48">
        <f t="shared" ref="Q23:Q31" si="5">(P23-O23)/P23</f>
        <v>0</v>
      </c>
    </row>
    <row r="24" spans="1:17" x14ac:dyDescent="0.3">
      <c r="A24" t="str">
        <f t="shared" si="3"/>
        <v>74346-February</v>
      </c>
      <c r="B24" s="17" t="s">
        <v>270</v>
      </c>
      <c r="C24" s="131" t="s">
        <v>288</v>
      </c>
      <c r="D24" t="s">
        <v>58</v>
      </c>
      <c r="E24" s="4">
        <v>3699.53</v>
      </c>
      <c r="F24" s="4">
        <f>E24/INDEX('ex rate'!C:C,MATCH(D24,'ex rate'!A:A,0),1)</f>
        <v>3699.53</v>
      </c>
      <c r="G24" s="5" t="str">
        <f>VLOOKUP(A24,Salesforce!$A:$L,12,0)</f>
        <v>Under Review</v>
      </c>
      <c r="H24" s="8">
        <f>IFERROR(SUMIF(Salesforce!$A:$A,Summary!A24,Salesforce!$AN:$AN),0)</f>
        <v>3699.53</v>
      </c>
      <c r="I24" s="5" t="str">
        <f>VLOOKUP(A24,Salesforce!$A:$Z,26,0)</f>
        <v>USD</v>
      </c>
      <c r="J24" s="9">
        <f>IFERROR(SUMIFS(Salesforce!$AM:$AM,Salesforce!$A:$A,Summary!A24,Salesforce!J:J,"&lt;&gt;"&amp;"Supply Deal"),0)</f>
        <v>3699.53</v>
      </c>
      <c r="K24" s="5" t="str">
        <f>VLOOKUP(A24,Salesforce!$A:$Z,25,0)</f>
        <v>USD</v>
      </c>
      <c r="L24" s="18">
        <f t="shared" si="4"/>
        <v>0</v>
      </c>
      <c r="M24" s="18">
        <f>+L24/VLOOKUP(I24,'ex rate'!A:C,3,0)</f>
        <v>0</v>
      </c>
      <c r="N24" s="47" t="s">
        <v>98</v>
      </c>
      <c r="O24" s="16">
        <f>+E24/+VLOOKUP(D24,'ex rate'!A:C,3,0)</f>
        <v>3699.53</v>
      </c>
      <c r="P24" s="4">
        <f>J24/INDEX('ex rate'!C:C,MATCH(K24,'ex rate'!A:A,0),1)</f>
        <v>3699.53</v>
      </c>
      <c r="Q24" s="48">
        <f t="shared" si="5"/>
        <v>0</v>
      </c>
    </row>
    <row r="25" spans="1:17" x14ac:dyDescent="0.3">
      <c r="A25" t="str">
        <f t="shared" si="3"/>
        <v>73548-February</v>
      </c>
      <c r="B25" s="17" t="s">
        <v>320</v>
      </c>
      <c r="C25" s="131" t="s">
        <v>325</v>
      </c>
      <c r="D25" t="s">
        <v>58</v>
      </c>
      <c r="E25" s="4">
        <v>1800</v>
      </c>
      <c r="F25" s="4">
        <f>E25/INDEX('ex rate'!C:C,MATCH(D25,'ex rate'!A:A,0),1)</f>
        <v>1800</v>
      </c>
      <c r="G25" s="5" t="str">
        <f>VLOOKUP(A25,Salesforce!$A:$L,12,0)</f>
        <v>Under Review</v>
      </c>
      <c r="H25" s="8">
        <f>IFERROR(SUMIF(Salesforce!$A:$A,Summary!A25,Salesforce!$AN:$AN),0)</f>
        <v>1800</v>
      </c>
      <c r="I25" s="5" t="str">
        <f>VLOOKUP(A25,Salesforce!$A:$Z,26,0)</f>
        <v>USD</v>
      </c>
      <c r="J25" s="9">
        <f>IFERROR(SUMIFS(Salesforce!$AM:$AM,Salesforce!$A:$A,Summary!A25,Salesforce!J:J,"&lt;&gt;"&amp;"Supply Deal"),0)</f>
        <v>1800</v>
      </c>
      <c r="K25" s="5" t="str">
        <f>VLOOKUP(A25,Salesforce!$A:$Z,25,0)</f>
        <v>USD</v>
      </c>
      <c r="L25" s="18">
        <f t="shared" si="4"/>
        <v>0</v>
      </c>
      <c r="M25" s="18">
        <f>+L25/VLOOKUP(I25,'ex rate'!A:C,3,0)</f>
        <v>0</v>
      </c>
      <c r="N25" s="47" t="s">
        <v>98</v>
      </c>
      <c r="O25" s="16">
        <f>+E25/+VLOOKUP(D25,'ex rate'!A:C,3,0)</f>
        <v>1800</v>
      </c>
      <c r="P25" s="4">
        <f>J25/INDEX('ex rate'!C:C,MATCH(K25,'ex rate'!A:A,0),1)</f>
        <v>1800</v>
      </c>
      <c r="Q25" s="48">
        <f t="shared" si="5"/>
        <v>0</v>
      </c>
    </row>
    <row r="26" spans="1:17" x14ac:dyDescent="0.3">
      <c r="A26" t="str">
        <f t="shared" si="3"/>
        <v>107799-February</v>
      </c>
      <c r="B26" s="17" t="s">
        <v>271</v>
      </c>
      <c r="C26" s="131" t="s">
        <v>284</v>
      </c>
      <c r="D26" t="s">
        <v>58</v>
      </c>
      <c r="E26" s="4">
        <v>4773.92</v>
      </c>
      <c r="F26" s="4">
        <f>E26/INDEX('ex rate'!C:C,MATCH(D26,'ex rate'!A:A,0),1)</f>
        <v>4773.92</v>
      </c>
      <c r="G26" s="5" t="str">
        <f>VLOOKUP(A26,Salesforce!$A:$L,12,0)</f>
        <v>Under Review</v>
      </c>
      <c r="H26" s="8">
        <f>IFERROR(SUMIF(Salesforce!$A:$A,Summary!A26,Salesforce!$AN:$AN),0)</f>
        <v>4773.92</v>
      </c>
      <c r="I26" s="5" t="str">
        <f>VLOOKUP(A26,Salesforce!$A:$Z,26,0)</f>
        <v>USD</v>
      </c>
      <c r="J26" s="9">
        <f>IFERROR(SUMIFS(Salesforce!$AM:$AM,Salesforce!$A:$A,Summary!A26,Salesforce!J:J,"&lt;&gt;"&amp;"Supply Deal"),0)</f>
        <v>4773.92</v>
      </c>
      <c r="K26" s="5" t="str">
        <f>VLOOKUP(A26,Salesforce!$A:$Z,25,0)</f>
        <v>USD</v>
      </c>
      <c r="L26" s="18">
        <f t="shared" si="4"/>
        <v>0</v>
      </c>
      <c r="M26" s="18">
        <f>+L26/VLOOKUP(I26,'ex rate'!A:C,3,0)</f>
        <v>0</v>
      </c>
      <c r="N26" s="47" t="s">
        <v>98</v>
      </c>
      <c r="O26" s="16">
        <f>+E26/+VLOOKUP(D26,'ex rate'!A:C,3,0)</f>
        <v>4773.92</v>
      </c>
      <c r="P26" s="4">
        <f>J26/INDEX('ex rate'!C:C,MATCH(K26,'ex rate'!A:A,0),1)</f>
        <v>4773.92</v>
      </c>
      <c r="Q26" s="48">
        <f t="shared" si="5"/>
        <v>0</v>
      </c>
    </row>
    <row r="27" spans="1:17" x14ac:dyDescent="0.3">
      <c r="A27" t="str">
        <f t="shared" si="3"/>
        <v>110594-February</v>
      </c>
      <c r="B27" s="17" t="s">
        <v>555</v>
      </c>
      <c r="C27" s="131" t="s">
        <v>556</v>
      </c>
      <c r="D27" t="s">
        <v>58</v>
      </c>
      <c r="E27" s="4">
        <v>999.97</v>
      </c>
      <c r="F27" s="4">
        <f>E27/INDEX('ex rate'!C:C,MATCH(D27,'ex rate'!A:A,0),1)</f>
        <v>999.97</v>
      </c>
      <c r="G27" s="5" t="str">
        <f>VLOOKUP(A27,Salesforce!$A:$L,12,0)</f>
        <v>Under Review</v>
      </c>
      <c r="H27" s="8">
        <f>IFERROR(SUMIF(Salesforce!$A:$A,Summary!A27,Salesforce!$AN:$AN),0)</f>
        <v>999.97</v>
      </c>
      <c r="I27" s="5" t="str">
        <f>VLOOKUP(A27,Salesforce!$A:$Z,26,0)</f>
        <v>USD</v>
      </c>
      <c r="J27" s="9">
        <f>IFERROR(SUMIFS(Salesforce!$AM:$AM,Salesforce!$A:$A,Summary!A27,Salesforce!J:J,"&lt;&gt;"&amp;"Supply Deal"),0)</f>
        <v>999.97</v>
      </c>
      <c r="K27" s="5" t="str">
        <f>VLOOKUP(A27,Salesforce!$A:$Z,25,0)</f>
        <v>USD</v>
      </c>
      <c r="L27" s="18">
        <f t="shared" si="4"/>
        <v>0</v>
      </c>
      <c r="M27" s="18">
        <f>+L27/VLOOKUP(I27,'ex rate'!A:C,3,0)</f>
        <v>0</v>
      </c>
      <c r="N27" s="92" t="s">
        <v>98</v>
      </c>
      <c r="O27" s="16">
        <f>+E27/+VLOOKUP(D27,'ex rate'!A:C,3,0)</f>
        <v>999.97</v>
      </c>
      <c r="P27" s="4">
        <f>J27/INDEX('ex rate'!C:C,MATCH(K27,'ex rate'!A:A,0),1)</f>
        <v>999.97</v>
      </c>
      <c r="Q27" s="48">
        <f t="shared" si="5"/>
        <v>0</v>
      </c>
    </row>
    <row r="28" spans="1:17" x14ac:dyDescent="0.3">
      <c r="A28" t="str">
        <f t="shared" si="3"/>
        <v>120332-February</v>
      </c>
      <c r="B28" s="17" t="s">
        <v>616</v>
      </c>
      <c r="C28" s="131" t="s">
        <v>617</v>
      </c>
      <c r="D28" t="s">
        <v>58</v>
      </c>
      <c r="E28" s="4">
        <v>2065.75</v>
      </c>
      <c r="F28" s="4">
        <f>E28/INDEX('ex rate'!C:C,MATCH(D28,'ex rate'!A:A,0),1)</f>
        <v>2065.75</v>
      </c>
      <c r="G28" s="5" t="str">
        <f>VLOOKUP(A28,Salesforce!$A:$L,12,0)</f>
        <v>Under Review</v>
      </c>
      <c r="H28" s="8">
        <f>IFERROR(SUMIF(Salesforce!$A:$A,Summary!A28,Salesforce!$AN:$AN),0)</f>
        <v>2065.75</v>
      </c>
      <c r="I28" s="5" t="str">
        <f>VLOOKUP(A28,Salesforce!$A:$Z,26,0)</f>
        <v>USD</v>
      </c>
      <c r="J28" s="9">
        <f>IFERROR(SUMIFS(Salesforce!$AM:$AM,Salesforce!$A:$A,Summary!A28,Salesforce!J:J,"&lt;&gt;"&amp;"Supply Deal"),0)</f>
        <v>7953137.5</v>
      </c>
      <c r="K28" s="5" t="str">
        <f>VLOOKUP(A28,Salesforce!$A:$Z,25,0)</f>
        <v>COP</v>
      </c>
      <c r="L28" s="18">
        <f t="shared" si="4"/>
        <v>0</v>
      </c>
      <c r="M28" s="18">
        <f>+L28/VLOOKUP(I28,'ex rate'!A:C,3,0)</f>
        <v>0</v>
      </c>
      <c r="N28" s="98" t="s">
        <v>98</v>
      </c>
      <c r="O28" s="16">
        <f>+E28/+VLOOKUP(D28,'ex rate'!A:C,3,0)</f>
        <v>2065.75</v>
      </c>
      <c r="P28" s="4">
        <f>J28/INDEX('ex rate'!C:C,MATCH(K28,'ex rate'!A:A,0),1)</f>
        <v>2111.6579932559807</v>
      </c>
      <c r="Q28" s="48">
        <f t="shared" si="5"/>
        <v>2.1740259740259768E-2</v>
      </c>
    </row>
    <row r="29" spans="1:17" x14ac:dyDescent="0.3">
      <c r="A29" t="str">
        <f t="shared" si="3"/>
        <v>107434-February</v>
      </c>
      <c r="B29" s="17" t="s">
        <v>620</v>
      </c>
      <c r="C29" s="131" t="s">
        <v>289</v>
      </c>
      <c r="D29" t="s">
        <v>58</v>
      </c>
      <c r="E29" s="4">
        <v>848.2</v>
      </c>
      <c r="F29" s="4">
        <f>E29/INDEX('ex rate'!C:C,MATCH(D29,'ex rate'!A:A,0),1)</f>
        <v>848.2</v>
      </c>
      <c r="G29" s="5" t="str">
        <f>VLOOKUP(A29,Salesforce!$A:$L,12,0)</f>
        <v>Under Review</v>
      </c>
      <c r="H29" s="8">
        <f>IFERROR(SUMIF(Salesforce!$A:$A,Summary!A29,Salesforce!$AN:$AN),0)</f>
        <v>848.2</v>
      </c>
      <c r="I29" s="5" t="str">
        <f>VLOOKUP(A29,Salesforce!$A:$Z,26,0)</f>
        <v>USD</v>
      </c>
      <c r="J29" s="9">
        <f>IFERROR(SUMIFS(Salesforce!$AM:$AM,Salesforce!$A:$A,Summary!A29,Salesforce!J:J,"&lt;&gt;"&amp;"Supply Deal"),0)</f>
        <v>848.2</v>
      </c>
      <c r="K29" s="5" t="str">
        <f>VLOOKUP(A29,Salesforce!$A:$Z,25,0)</f>
        <v>USD</v>
      </c>
      <c r="L29" s="18">
        <f t="shared" si="4"/>
        <v>0</v>
      </c>
      <c r="M29" s="18">
        <f>+L29/VLOOKUP(I29,'ex rate'!A:C,3,0)</f>
        <v>0</v>
      </c>
      <c r="N29" s="47" t="s">
        <v>98</v>
      </c>
      <c r="O29" s="16">
        <f>+E29/+VLOOKUP(D29,'ex rate'!A:C,3,0)</f>
        <v>848.2</v>
      </c>
      <c r="P29" s="4">
        <f>J29/INDEX('ex rate'!C:C,MATCH(K29,'ex rate'!A:A,0),1)</f>
        <v>848.2</v>
      </c>
      <c r="Q29" s="48">
        <f t="shared" si="5"/>
        <v>0</v>
      </c>
    </row>
    <row r="30" spans="1:17" x14ac:dyDescent="0.3">
      <c r="A30" t="str">
        <f t="shared" si="3"/>
        <v>120258-February</v>
      </c>
      <c r="B30" s="17" t="s">
        <v>621</v>
      </c>
      <c r="C30" s="131" t="s">
        <v>622</v>
      </c>
      <c r="D30" t="s">
        <v>58</v>
      </c>
      <c r="E30" s="4">
        <v>2500</v>
      </c>
      <c r="F30" s="4">
        <f>E30/INDEX('ex rate'!C:C,MATCH(D30,'ex rate'!A:A,0),1)</f>
        <v>2500</v>
      </c>
      <c r="G30" s="5" t="str">
        <f>VLOOKUP(A30,Salesforce!$A:$L,12,0)</f>
        <v>Under Review</v>
      </c>
      <c r="H30" s="8">
        <f>IFERROR(SUMIF(Salesforce!$A:$A,Summary!A30,Salesforce!$AN:$AN),0)</f>
        <v>2500</v>
      </c>
      <c r="I30" s="5" t="str">
        <f>VLOOKUP(A30,Salesforce!$A:$Z,26,0)</f>
        <v>USD</v>
      </c>
      <c r="J30" s="9">
        <f>IFERROR(SUMIFS(Salesforce!$AM:$AM,Salesforce!$A:$A,Summary!A30,Salesforce!J:J,"&lt;&gt;"&amp;"Supply Deal"),0)</f>
        <v>2500</v>
      </c>
      <c r="K30" s="5" t="str">
        <f>VLOOKUP(A30,Salesforce!$A:$Z,25,0)</f>
        <v>USD</v>
      </c>
      <c r="L30" s="18">
        <f t="shared" si="4"/>
        <v>0</v>
      </c>
      <c r="M30" s="18">
        <f>+L30/VLOOKUP(I30,'ex rate'!A:C,3,0)</f>
        <v>0</v>
      </c>
      <c r="N30" s="47" t="s">
        <v>98</v>
      </c>
      <c r="O30" s="16">
        <f>+E30/+VLOOKUP(D30,'ex rate'!A:C,3,0)</f>
        <v>2500</v>
      </c>
      <c r="P30" s="4">
        <f>J30/INDEX('ex rate'!C:C,MATCH(K30,'ex rate'!A:A,0),1)</f>
        <v>2500</v>
      </c>
      <c r="Q30" s="48">
        <f t="shared" si="5"/>
        <v>0</v>
      </c>
    </row>
    <row r="31" spans="1:17" x14ac:dyDescent="0.3">
      <c r="A31" t="str">
        <f t="shared" si="3"/>
        <v>120764-February</v>
      </c>
      <c r="B31" s="17" t="s">
        <v>623</v>
      </c>
      <c r="C31" s="131" t="s">
        <v>624</v>
      </c>
      <c r="D31" t="s">
        <v>58</v>
      </c>
      <c r="E31" s="4">
        <v>265.76</v>
      </c>
      <c r="F31" s="4">
        <f>E31/INDEX('ex rate'!C:C,MATCH(D31,'ex rate'!A:A,0),1)</f>
        <v>265.76</v>
      </c>
      <c r="G31" s="5" t="str">
        <f>VLOOKUP(A31,Salesforce!$A:$L,12,0)</f>
        <v>Under Review</v>
      </c>
      <c r="H31" s="8">
        <f>IFERROR(SUMIF(Salesforce!$A:$A,Summary!A31,Salesforce!$AN:$AN),0)</f>
        <v>225.89599999999999</v>
      </c>
      <c r="I31" s="5" t="str">
        <f>VLOOKUP(A31,Salesforce!$A:$Z,26,0)</f>
        <v>USD</v>
      </c>
      <c r="J31" s="9">
        <f>IFERROR(SUMIFS(Salesforce!$AM:$AM,Salesforce!$A:$A,Summary!A31,Salesforce!J:J,"&lt;&gt;"&amp;"Supply Deal"),0)</f>
        <v>265.76</v>
      </c>
      <c r="K31" s="5" t="str">
        <f>VLOOKUP(A31,Salesforce!$A:$Z,25,0)</f>
        <v>USD</v>
      </c>
      <c r="L31" s="18">
        <f t="shared" si="4"/>
        <v>39.864000000000004</v>
      </c>
      <c r="M31" s="18">
        <f>+L31/VLOOKUP(I31,'ex rate'!A:C,3,0)</f>
        <v>39.864000000000004</v>
      </c>
      <c r="N31" s="108" t="s">
        <v>592</v>
      </c>
      <c r="O31" s="16">
        <f>+E31/+VLOOKUP(D31,'ex rate'!A:C,3,0)</f>
        <v>265.76</v>
      </c>
      <c r="P31" s="4">
        <f>J31/INDEX('ex rate'!C:C,MATCH(K31,'ex rate'!A:A,0),1)</f>
        <v>265.76</v>
      </c>
      <c r="Q31" s="48">
        <f t="shared" si="5"/>
        <v>0</v>
      </c>
    </row>
  </sheetData>
  <autoFilter ref="A3:Q31" xr:uid="{1D5DBE59-FA8C-4D22-9B4D-A44A5FA56C6C}"/>
  <sortState xmlns:xlrd2="http://schemas.microsoft.com/office/spreadsheetml/2017/richdata2" ref="C32">
    <sortCondition ref="C32"/>
  </sortState>
  <mergeCells count="2">
    <mergeCell ref="B2:E2"/>
    <mergeCell ref="G2:K2"/>
  </mergeCells>
  <conditionalFormatting sqref="B30:B31">
    <cfRule type="expression" dxfId="0" priority="2">
      <formula>COUNTIF(B:B,B30)&gt;1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E1920-D5A3-4860-820D-8DF546E716CF}">
  <dimension ref="A3:D97"/>
  <sheetViews>
    <sheetView workbookViewId="0">
      <selection activeCell="D24" sqref="D24"/>
    </sheetView>
  </sheetViews>
  <sheetFormatPr baseColWidth="10" defaultRowHeight="14.4" x14ac:dyDescent="0.3"/>
  <cols>
    <col min="1" max="2" width="12.77734375" bestFit="1" customWidth="1"/>
    <col min="3" max="3" width="12.77734375" style="16" bestFit="1" customWidth="1"/>
    <col min="4" max="4" width="41.21875" style="16" bestFit="1" customWidth="1"/>
  </cols>
  <sheetData>
    <row r="3" spans="1:4" x14ac:dyDescent="0.3">
      <c r="A3" s="2" t="s">
        <v>391</v>
      </c>
      <c r="B3" s="2" t="s">
        <v>404</v>
      </c>
      <c r="C3" s="2" t="s">
        <v>6</v>
      </c>
      <c r="D3" t="s">
        <v>348</v>
      </c>
    </row>
    <row r="4" spans="1:4" x14ac:dyDescent="0.3">
      <c r="A4" t="s">
        <v>68</v>
      </c>
      <c r="B4" t="s">
        <v>53</v>
      </c>
      <c r="C4" t="s">
        <v>49</v>
      </c>
      <c r="D4" s="4">
        <v>3699.53</v>
      </c>
    </row>
    <row r="5" spans="1:4" x14ac:dyDescent="0.3">
      <c r="A5" t="s">
        <v>75</v>
      </c>
      <c r="B5" t="s">
        <v>53</v>
      </c>
      <c r="C5" t="s">
        <v>49</v>
      </c>
      <c r="D5" s="4">
        <v>2986.68</v>
      </c>
    </row>
    <row r="6" spans="1:4" x14ac:dyDescent="0.3">
      <c r="A6" t="s">
        <v>311</v>
      </c>
      <c r="B6" t="s">
        <v>53</v>
      </c>
      <c r="C6" t="s">
        <v>49</v>
      </c>
      <c r="D6" s="4">
        <v>4773.92</v>
      </c>
    </row>
    <row r="7" spans="1:4" x14ac:dyDescent="0.3">
      <c r="A7" t="s">
        <v>261</v>
      </c>
      <c r="B7" t="s">
        <v>53</v>
      </c>
      <c r="C7" t="s">
        <v>49</v>
      </c>
      <c r="D7" s="4">
        <v>1998.87</v>
      </c>
    </row>
    <row r="8" spans="1:4" x14ac:dyDescent="0.3">
      <c r="A8" t="s">
        <v>316</v>
      </c>
      <c r="B8" t="s">
        <v>53</v>
      </c>
      <c r="C8" t="s">
        <v>49</v>
      </c>
      <c r="D8" s="4">
        <v>1800</v>
      </c>
    </row>
    <row r="9" spans="1:4" x14ac:dyDescent="0.3">
      <c r="A9" t="s">
        <v>330</v>
      </c>
      <c r="B9" t="s">
        <v>53</v>
      </c>
      <c r="C9" t="s">
        <v>49</v>
      </c>
      <c r="D9" s="4">
        <v>16105.49</v>
      </c>
    </row>
    <row r="10" spans="1:4" x14ac:dyDescent="0.3">
      <c r="A10" t="s">
        <v>341</v>
      </c>
      <c r="B10" t="s">
        <v>53</v>
      </c>
      <c r="C10" t="s">
        <v>49</v>
      </c>
      <c r="D10" s="4">
        <v>1999.95</v>
      </c>
    </row>
    <row r="11" spans="1:4" x14ac:dyDescent="0.3">
      <c r="A11" t="s">
        <v>372</v>
      </c>
      <c r="B11" t="s">
        <v>53</v>
      </c>
      <c r="C11" t="s">
        <v>49</v>
      </c>
      <c r="D11" s="4">
        <v>912.96</v>
      </c>
    </row>
    <row r="12" spans="1:4" x14ac:dyDescent="0.3">
      <c r="A12" t="s">
        <v>568</v>
      </c>
      <c r="B12" t="s">
        <v>53</v>
      </c>
      <c r="C12" t="s">
        <v>49</v>
      </c>
      <c r="D12" s="4">
        <v>9029.1299999999992</v>
      </c>
    </row>
    <row r="13" spans="1:4" x14ac:dyDescent="0.3">
      <c r="A13" t="s">
        <v>572</v>
      </c>
      <c r="B13" t="s">
        <v>53</v>
      </c>
      <c r="C13" t="s">
        <v>49</v>
      </c>
      <c r="D13" s="4">
        <v>1027.45</v>
      </c>
    </row>
    <row r="14" spans="1:4" x14ac:dyDescent="0.3">
      <c r="A14" t="s">
        <v>579</v>
      </c>
      <c r="B14" t="s">
        <v>53</v>
      </c>
      <c r="C14" t="s">
        <v>49</v>
      </c>
      <c r="D14" s="4">
        <v>999.97</v>
      </c>
    </row>
    <row r="15" spans="1:4" x14ac:dyDescent="0.3">
      <c r="A15" t="s">
        <v>584</v>
      </c>
      <c r="B15" t="s">
        <v>53</v>
      </c>
      <c r="C15" t="s">
        <v>49</v>
      </c>
      <c r="D15" s="4">
        <v>8000</v>
      </c>
    </row>
    <row r="16" spans="1:4" x14ac:dyDescent="0.3">
      <c r="A16" t="s">
        <v>651</v>
      </c>
      <c r="B16" t="s">
        <v>53</v>
      </c>
      <c r="C16" t="s">
        <v>49</v>
      </c>
      <c r="D16" s="4">
        <v>2500</v>
      </c>
    </row>
    <row r="17" spans="1:4" x14ac:dyDescent="0.3">
      <c r="A17" t="s">
        <v>659</v>
      </c>
      <c r="B17" t="s">
        <v>53</v>
      </c>
      <c r="C17" t="s">
        <v>49</v>
      </c>
      <c r="D17" s="4">
        <v>2991.08</v>
      </c>
    </row>
    <row r="18" spans="1:4" x14ac:dyDescent="0.3">
      <c r="A18" t="s">
        <v>664</v>
      </c>
      <c r="B18" t="s">
        <v>53</v>
      </c>
      <c r="C18" t="s">
        <v>49</v>
      </c>
      <c r="D18" s="4">
        <v>2398.79</v>
      </c>
    </row>
    <row r="19" spans="1:4" x14ac:dyDescent="0.3">
      <c r="A19" t="s">
        <v>669</v>
      </c>
      <c r="B19" t="s">
        <v>53</v>
      </c>
      <c r="C19" t="s">
        <v>49</v>
      </c>
      <c r="D19" s="4">
        <v>2019.13</v>
      </c>
    </row>
    <row r="20" spans="1:4" x14ac:dyDescent="0.3">
      <c r="A20" t="s">
        <v>674</v>
      </c>
      <c r="B20" t="s">
        <v>53</v>
      </c>
      <c r="C20" t="s">
        <v>49</v>
      </c>
      <c r="D20" s="4">
        <v>998.79</v>
      </c>
    </row>
    <row r="21" spans="1:4" x14ac:dyDescent="0.3">
      <c r="A21" t="s">
        <v>679</v>
      </c>
      <c r="B21" t="s">
        <v>53</v>
      </c>
      <c r="C21" t="s">
        <v>49</v>
      </c>
      <c r="D21" s="4">
        <v>993</v>
      </c>
    </row>
    <row r="22" spans="1:4" x14ac:dyDescent="0.3">
      <c r="A22" t="s">
        <v>684</v>
      </c>
      <c r="B22" t="s">
        <v>53</v>
      </c>
      <c r="C22" t="s">
        <v>49</v>
      </c>
      <c r="D22" s="4">
        <v>2000</v>
      </c>
    </row>
    <row r="23" spans="1:4" x14ac:dyDescent="0.3">
      <c r="A23" t="s">
        <v>689</v>
      </c>
      <c r="B23" t="s">
        <v>53</v>
      </c>
      <c r="C23" t="s">
        <v>49</v>
      </c>
      <c r="D23" s="4">
        <v>3000</v>
      </c>
    </row>
    <row r="24" spans="1:4" x14ac:dyDescent="0.3">
      <c r="A24" t="s">
        <v>694</v>
      </c>
      <c r="B24" t="s">
        <v>53</v>
      </c>
      <c r="C24" t="s">
        <v>49</v>
      </c>
      <c r="D24" s="4">
        <v>6300</v>
      </c>
    </row>
    <row r="25" spans="1:4" x14ac:dyDescent="0.3">
      <c r="A25" t="s">
        <v>699</v>
      </c>
      <c r="B25" t="s">
        <v>53</v>
      </c>
      <c r="C25" t="s">
        <v>49</v>
      </c>
      <c r="D25" s="4">
        <v>848.2</v>
      </c>
    </row>
    <row r="26" spans="1:4" x14ac:dyDescent="0.3">
      <c r="A26" t="s">
        <v>706</v>
      </c>
      <c r="B26" t="s">
        <v>53</v>
      </c>
      <c r="C26" t="s">
        <v>49</v>
      </c>
      <c r="D26" s="4">
        <v>2771.71</v>
      </c>
    </row>
    <row r="27" spans="1:4" x14ac:dyDescent="0.3">
      <c r="A27" t="s">
        <v>711</v>
      </c>
      <c r="B27" t="s">
        <v>53</v>
      </c>
      <c r="C27" t="s">
        <v>49</v>
      </c>
      <c r="D27" s="4">
        <v>5184.83</v>
      </c>
    </row>
    <row r="28" spans="1:4" x14ac:dyDescent="0.3">
      <c r="A28" t="s">
        <v>716</v>
      </c>
      <c r="B28" t="s">
        <v>53</v>
      </c>
      <c r="C28" t="s">
        <v>49</v>
      </c>
      <c r="D28" s="4">
        <v>379.94</v>
      </c>
    </row>
    <row r="29" spans="1:4" x14ac:dyDescent="0.3">
      <c r="A29" t="s">
        <v>721</v>
      </c>
      <c r="B29" t="s">
        <v>53</v>
      </c>
      <c r="C29" t="s">
        <v>49</v>
      </c>
      <c r="D29" s="4">
        <v>180.05</v>
      </c>
    </row>
    <row r="30" spans="1:4" x14ac:dyDescent="0.3">
      <c r="A30" t="s">
        <v>761</v>
      </c>
      <c r="B30" t="s">
        <v>53</v>
      </c>
      <c r="C30" t="s">
        <v>49</v>
      </c>
      <c r="D30" s="4">
        <v>265.76</v>
      </c>
    </row>
    <row r="31" spans="1:4" x14ac:dyDescent="0.3">
      <c r="A31" t="s">
        <v>726</v>
      </c>
      <c r="B31" t="s">
        <v>53</v>
      </c>
      <c r="C31" t="s">
        <v>49</v>
      </c>
      <c r="D31" s="4">
        <v>1497.88</v>
      </c>
    </row>
    <row r="32" spans="1:4" x14ac:dyDescent="0.3">
      <c r="A32" t="s">
        <v>743</v>
      </c>
      <c r="B32" t="s">
        <v>53</v>
      </c>
      <c r="C32" t="s">
        <v>49</v>
      </c>
      <c r="D32" s="4">
        <v>288.47000000000003</v>
      </c>
    </row>
    <row r="33" spans="1:4" x14ac:dyDescent="0.3">
      <c r="A33" t="s">
        <v>748</v>
      </c>
      <c r="B33" t="s">
        <v>53</v>
      </c>
      <c r="C33" t="s">
        <v>49</v>
      </c>
      <c r="D33" s="4">
        <v>7953137.5</v>
      </c>
    </row>
    <row r="34" spans="1:4" x14ac:dyDescent="0.3">
      <c r="A34" t="s">
        <v>96</v>
      </c>
      <c r="C34"/>
      <c r="D34" s="4">
        <v>8041089.0800000001</v>
      </c>
    </row>
    <row r="35" spans="1:4" x14ac:dyDescent="0.3">
      <c r="C35"/>
      <c r="D35"/>
    </row>
    <row r="36" spans="1:4" x14ac:dyDescent="0.3">
      <c r="C36"/>
      <c r="D36"/>
    </row>
    <row r="37" spans="1:4" x14ac:dyDescent="0.3">
      <c r="C37"/>
      <c r="D37"/>
    </row>
    <row r="38" spans="1:4" x14ac:dyDescent="0.3">
      <c r="C38"/>
      <c r="D38"/>
    </row>
    <row r="39" spans="1:4" x14ac:dyDescent="0.3">
      <c r="C39"/>
      <c r="D39"/>
    </row>
    <row r="40" spans="1:4" x14ac:dyDescent="0.3">
      <c r="C40"/>
      <c r="D40"/>
    </row>
    <row r="41" spans="1:4" x14ac:dyDescent="0.3">
      <c r="C41"/>
      <c r="D41"/>
    </row>
    <row r="42" spans="1:4" x14ac:dyDescent="0.3">
      <c r="C42"/>
      <c r="D42"/>
    </row>
    <row r="43" spans="1:4" x14ac:dyDescent="0.3">
      <c r="C43"/>
      <c r="D43"/>
    </row>
    <row r="44" spans="1:4" x14ac:dyDescent="0.3">
      <c r="C44"/>
      <c r="D44"/>
    </row>
    <row r="45" spans="1:4" x14ac:dyDescent="0.3">
      <c r="C45"/>
      <c r="D45"/>
    </row>
    <row r="46" spans="1:4" x14ac:dyDescent="0.3">
      <c r="C46"/>
      <c r="D46"/>
    </row>
    <row r="47" spans="1:4" x14ac:dyDescent="0.3">
      <c r="C47"/>
      <c r="D47"/>
    </row>
    <row r="48" spans="1:4" x14ac:dyDescent="0.3">
      <c r="C48"/>
      <c r="D48"/>
    </row>
    <row r="49" spans="3:4" x14ac:dyDescent="0.3">
      <c r="C49"/>
      <c r="D49"/>
    </row>
    <row r="50" spans="3:4" x14ac:dyDescent="0.3">
      <c r="C50"/>
      <c r="D50"/>
    </row>
    <row r="51" spans="3:4" x14ac:dyDescent="0.3">
      <c r="C51"/>
      <c r="D51"/>
    </row>
    <row r="52" spans="3:4" x14ac:dyDescent="0.3">
      <c r="C52"/>
      <c r="D52"/>
    </row>
    <row r="53" spans="3:4" x14ac:dyDescent="0.3">
      <c r="C53"/>
      <c r="D53"/>
    </row>
    <row r="54" spans="3:4" x14ac:dyDescent="0.3">
      <c r="C54"/>
      <c r="D54"/>
    </row>
    <row r="55" spans="3:4" x14ac:dyDescent="0.3">
      <c r="C55"/>
      <c r="D55"/>
    </row>
    <row r="56" spans="3:4" x14ac:dyDescent="0.3">
      <c r="C56"/>
      <c r="D56"/>
    </row>
    <row r="57" spans="3:4" x14ac:dyDescent="0.3">
      <c r="C57"/>
      <c r="D57"/>
    </row>
    <row r="58" spans="3:4" x14ac:dyDescent="0.3">
      <c r="C58"/>
      <c r="D58"/>
    </row>
    <row r="59" spans="3:4" x14ac:dyDescent="0.3">
      <c r="C59"/>
      <c r="D59"/>
    </row>
    <row r="60" spans="3:4" x14ac:dyDescent="0.3">
      <c r="C60"/>
      <c r="D60"/>
    </row>
    <row r="61" spans="3:4" x14ac:dyDescent="0.3">
      <c r="C61"/>
      <c r="D61"/>
    </row>
    <row r="62" spans="3:4" x14ac:dyDescent="0.3">
      <c r="C62"/>
      <c r="D62"/>
    </row>
    <row r="63" spans="3:4" x14ac:dyDescent="0.3">
      <c r="C63"/>
      <c r="D63"/>
    </row>
    <row r="64" spans="3:4" x14ac:dyDescent="0.3">
      <c r="C64"/>
      <c r="D64"/>
    </row>
    <row r="65" spans="3:4" x14ac:dyDescent="0.3">
      <c r="C65"/>
      <c r="D65"/>
    </row>
    <row r="66" spans="3:4" x14ac:dyDescent="0.3">
      <c r="C66"/>
      <c r="D66"/>
    </row>
    <row r="67" spans="3:4" x14ac:dyDescent="0.3">
      <c r="C67"/>
      <c r="D67"/>
    </row>
    <row r="68" spans="3:4" x14ac:dyDescent="0.3">
      <c r="C68"/>
      <c r="D68"/>
    </row>
    <row r="69" spans="3:4" x14ac:dyDescent="0.3">
      <c r="C69"/>
      <c r="D69"/>
    </row>
    <row r="70" spans="3:4" x14ac:dyDescent="0.3">
      <c r="C70"/>
      <c r="D70"/>
    </row>
    <row r="71" spans="3:4" x14ac:dyDescent="0.3">
      <c r="C71"/>
      <c r="D71"/>
    </row>
    <row r="72" spans="3:4" x14ac:dyDescent="0.3">
      <c r="C72"/>
      <c r="D72"/>
    </row>
    <row r="73" spans="3:4" x14ac:dyDescent="0.3">
      <c r="C73"/>
      <c r="D73"/>
    </row>
    <row r="74" spans="3:4" x14ac:dyDescent="0.3">
      <c r="C74"/>
      <c r="D74"/>
    </row>
    <row r="75" spans="3:4" x14ac:dyDescent="0.3">
      <c r="C75"/>
      <c r="D75"/>
    </row>
    <row r="76" spans="3:4" x14ac:dyDescent="0.3">
      <c r="C76"/>
      <c r="D76"/>
    </row>
    <row r="77" spans="3:4" x14ac:dyDescent="0.3">
      <c r="C77"/>
      <c r="D77"/>
    </row>
    <row r="78" spans="3:4" x14ac:dyDescent="0.3">
      <c r="C78"/>
      <c r="D78"/>
    </row>
    <row r="79" spans="3:4" x14ac:dyDescent="0.3">
      <c r="C79"/>
      <c r="D79"/>
    </row>
    <row r="80" spans="3:4" x14ac:dyDescent="0.3">
      <c r="C80"/>
      <c r="D80"/>
    </row>
    <row r="81" spans="3:4" x14ac:dyDescent="0.3">
      <c r="C81"/>
      <c r="D81"/>
    </row>
    <row r="82" spans="3:4" x14ac:dyDescent="0.3">
      <c r="C82"/>
      <c r="D82"/>
    </row>
    <row r="83" spans="3:4" x14ac:dyDescent="0.3">
      <c r="C83"/>
      <c r="D83"/>
    </row>
    <row r="84" spans="3:4" x14ac:dyDescent="0.3">
      <c r="C84"/>
      <c r="D84"/>
    </row>
    <row r="85" spans="3:4" x14ac:dyDescent="0.3">
      <c r="C85"/>
      <c r="D85"/>
    </row>
    <row r="86" spans="3:4" x14ac:dyDescent="0.3">
      <c r="C86"/>
      <c r="D86"/>
    </row>
    <row r="87" spans="3:4" x14ac:dyDescent="0.3">
      <c r="C87"/>
      <c r="D87"/>
    </row>
    <row r="88" spans="3:4" x14ac:dyDescent="0.3">
      <c r="C88"/>
      <c r="D88"/>
    </row>
    <row r="89" spans="3:4" x14ac:dyDescent="0.3">
      <c r="C89"/>
      <c r="D89"/>
    </row>
    <row r="90" spans="3:4" x14ac:dyDescent="0.3">
      <c r="C90"/>
      <c r="D90"/>
    </row>
    <row r="91" spans="3:4" x14ac:dyDescent="0.3">
      <c r="C91"/>
      <c r="D91"/>
    </row>
    <row r="92" spans="3:4" x14ac:dyDescent="0.3">
      <c r="C92"/>
      <c r="D92"/>
    </row>
    <row r="93" spans="3:4" x14ac:dyDescent="0.3">
      <c r="C93"/>
      <c r="D93"/>
    </row>
    <row r="94" spans="3:4" x14ac:dyDescent="0.3">
      <c r="C94"/>
      <c r="D94"/>
    </row>
    <row r="95" spans="3:4" x14ac:dyDescent="0.3">
      <c r="C95"/>
    </row>
    <row r="96" spans="3:4" x14ac:dyDescent="0.3">
      <c r="C96"/>
    </row>
    <row r="97" spans="3:3" x14ac:dyDescent="0.3">
      <c r="C9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98168889431442"/>
  </sheetPr>
  <dimension ref="A1:BT43"/>
  <sheetViews>
    <sheetView topLeftCell="AT1" zoomScale="80" zoomScaleNormal="80" workbookViewId="0">
      <pane ySplit="2" topLeftCell="A29" activePane="bottomLeft" state="frozen"/>
      <selection pane="bottomLeft" activeCell="AY51" sqref="AY51"/>
    </sheetView>
  </sheetViews>
  <sheetFormatPr baseColWidth="10" defaultColWidth="9.109375" defaultRowHeight="14.4" outlineLevelCol="1" x14ac:dyDescent="0.3"/>
  <cols>
    <col min="1" max="1" width="22.88671875" bestFit="1" customWidth="1"/>
    <col min="2" max="2" width="6" customWidth="1"/>
    <col min="3" max="3" width="12" customWidth="1"/>
    <col min="4" max="4" width="17.88671875" bestFit="1" customWidth="1"/>
    <col min="5" max="5" width="14" customWidth="1"/>
    <col min="6" max="6" width="28.44140625" customWidth="1"/>
    <col min="7" max="7" width="22.6640625" customWidth="1"/>
    <col min="8" max="8" width="32" customWidth="1"/>
    <col min="9" max="9" width="21" customWidth="1"/>
    <col min="10" max="10" width="14" customWidth="1"/>
    <col min="11" max="11" width="11" customWidth="1"/>
    <col min="12" max="12" width="19" customWidth="1"/>
    <col min="13" max="13" width="68" customWidth="1"/>
    <col min="14" max="14" width="102" customWidth="1"/>
    <col min="15" max="15" width="42" customWidth="1"/>
    <col min="16" max="16" width="23" customWidth="1"/>
    <col min="17" max="17" width="33" customWidth="1"/>
    <col min="18" max="18" width="31" customWidth="1"/>
    <col min="19" max="19" width="32" customWidth="1"/>
    <col min="20" max="20" width="29" customWidth="1"/>
    <col min="21" max="21" width="32" customWidth="1"/>
    <col min="22" max="22" width="23" customWidth="1"/>
    <col min="23" max="25" width="18" customWidth="1"/>
    <col min="26" max="26" width="19" customWidth="1"/>
    <col min="27" max="27" width="20" customWidth="1"/>
    <col min="28" max="28" width="26" customWidth="1" outlineLevel="1"/>
    <col min="29" max="29" width="29" customWidth="1" outlineLevel="1"/>
    <col min="30" max="30" width="18" customWidth="1" outlineLevel="1"/>
    <col min="31" max="31" width="19" customWidth="1" outlineLevel="1"/>
    <col min="32" max="32" width="17" customWidth="1" outlineLevel="1"/>
    <col min="33" max="33" width="22" customWidth="1" outlineLevel="1"/>
    <col min="34" max="34" width="20" customWidth="1" outlineLevel="1"/>
    <col min="35" max="35" width="17" customWidth="1" outlineLevel="1"/>
    <col min="36" max="36" width="19" customWidth="1" outlineLevel="1"/>
    <col min="37" max="37" width="26" customWidth="1" outlineLevel="1"/>
    <col min="38" max="38" width="29" customWidth="1" outlineLevel="1"/>
    <col min="39" max="39" width="41" style="16" customWidth="1"/>
    <col min="40" max="40" width="38" style="16" customWidth="1"/>
    <col min="41" max="41" width="42" customWidth="1" outlineLevel="1"/>
    <col min="42" max="42" width="26" customWidth="1" outlineLevel="1"/>
    <col min="43" max="43" width="42" customWidth="1" outlineLevel="1"/>
    <col min="44" max="44" width="40" customWidth="1" outlineLevel="1"/>
    <col min="45" max="45" width="37" customWidth="1" outlineLevel="1"/>
    <col min="46" max="46" width="27" customWidth="1" outlineLevel="1"/>
    <col min="47" max="47" width="39" customWidth="1" outlineLevel="1"/>
    <col min="48" max="48" width="22" customWidth="1" outlineLevel="1"/>
    <col min="49" max="49" width="24.33203125" customWidth="1"/>
    <col min="50" max="50" width="19.88671875" customWidth="1"/>
    <col min="51" max="51" width="23" customWidth="1"/>
    <col min="52" max="52" width="14.88671875" customWidth="1"/>
    <col min="53" max="53" width="141" customWidth="1" outlineLevel="1"/>
    <col min="54" max="54" width="26" customWidth="1" outlineLevel="1"/>
    <col min="55" max="55" width="16" customWidth="1" outlineLevel="1"/>
    <col min="56" max="56" width="23" customWidth="1" outlineLevel="1"/>
    <col min="57" max="57" width="75" customWidth="1" outlineLevel="1"/>
    <col min="58" max="58" width="61" customWidth="1" outlineLevel="1"/>
    <col min="59" max="59" width="27" customWidth="1" outlineLevel="1"/>
    <col min="60" max="60" width="28" customWidth="1" outlineLevel="1"/>
    <col min="61" max="61" width="42" customWidth="1" outlineLevel="1"/>
    <col min="62" max="62" width="25" customWidth="1" outlineLevel="1"/>
    <col min="63" max="63" width="12" customWidth="1" outlineLevel="1"/>
    <col min="64" max="64" width="11" customWidth="1" outlineLevel="1"/>
    <col min="65" max="65" width="39" customWidth="1" outlineLevel="1"/>
    <col min="66" max="66" width="33" customWidth="1" outlineLevel="1"/>
    <col min="67" max="67" width="30" customWidth="1" outlineLevel="1"/>
    <col min="68" max="68" width="37.33203125" bestFit="1" customWidth="1"/>
    <col min="69" max="70" width="37.33203125" customWidth="1"/>
    <col min="71" max="72" width="19.109375" bestFit="1" customWidth="1"/>
  </cols>
  <sheetData>
    <row r="1" spans="1:72" x14ac:dyDescent="0.3">
      <c r="A1">
        <v>1</v>
      </c>
      <c r="B1">
        <f>+A1+1</f>
        <v>2</v>
      </c>
      <c r="C1">
        <f t="shared" ref="C1:BN1" si="0">+B1+1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f t="shared" si="0"/>
        <v>7</v>
      </c>
      <c r="H1">
        <f t="shared" si="0"/>
        <v>8</v>
      </c>
      <c r="I1">
        <f t="shared" si="0"/>
        <v>9</v>
      </c>
      <c r="J1">
        <f t="shared" si="0"/>
        <v>10</v>
      </c>
      <c r="K1">
        <f t="shared" si="0"/>
        <v>11</v>
      </c>
      <c r="L1">
        <f t="shared" si="0"/>
        <v>12</v>
      </c>
      <c r="M1">
        <f t="shared" si="0"/>
        <v>13</v>
      </c>
      <c r="N1">
        <f t="shared" si="0"/>
        <v>14</v>
      </c>
      <c r="O1">
        <f t="shared" si="0"/>
        <v>15</v>
      </c>
      <c r="P1">
        <f t="shared" si="0"/>
        <v>16</v>
      </c>
      <c r="Q1">
        <f t="shared" si="0"/>
        <v>17</v>
      </c>
      <c r="R1">
        <f t="shared" si="0"/>
        <v>18</v>
      </c>
      <c r="S1">
        <f t="shared" si="0"/>
        <v>19</v>
      </c>
      <c r="T1">
        <f t="shared" si="0"/>
        <v>20</v>
      </c>
      <c r="U1">
        <f t="shared" si="0"/>
        <v>21</v>
      </c>
      <c r="V1">
        <f t="shared" si="0"/>
        <v>22</v>
      </c>
      <c r="W1">
        <f t="shared" si="0"/>
        <v>23</v>
      </c>
      <c r="X1">
        <f t="shared" si="0"/>
        <v>24</v>
      </c>
      <c r="Y1">
        <f t="shared" si="0"/>
        <v>25</v>
      </c>
      <c r="Z1">
        <f t="shared" si="0"/>
        <v>26</v>
      </c>
      <c r="AA1">
        <f t="shared" si="0"/>
        <v>27</v>
      </c>
      <c r="AB1">
        <f t="shared" si="0"/>
        <v>28</v>
      </c>
      <c r="AC1">
        <f t="shared" si="0"/>
        <v>29</v>
      </c>
      <c r="AD1">
        <f t="shared" si="0"/>
        <v>30</v>
      </c>
      <c r="AE1">
        <f t="shared" si="0"/>
        <v>31</v>
      </c>
      <c r="AF1">
        <f t="shared" si="0"/>
        <v>32</v>
      </c>
      <c r="AG1">
        <f t="shared" si="0"/>
        <v>33</v>
      </c>
      <c r="AH1">
        <f t="shared" si="0"/>
        <v>34</v>
      </c>
      <c r="AI1">
        <f t="shared" si="0"/>
        <v>35</v>
      </c>
      <c r="AJ1">
        <f t="shared" si="0"/>
        <v>36</v>
      </c>
      <c r="AK1">
        <f t="shared" si="0"/>
        <v>37</v>
      </c>
      <c r="AL1">
        <f t="shared" si="0"/>
        <v>38</v>
      </c>
      <c r="AM1" s="16">
        <f t="shared" si="0"/>
        <v>39</v>
      </c>
      <c r="AN1" s="16">
        <f t="shared" si="0"/>
        <v>40</v>
      </c>
      <c r="AO1">
        <f t="shared" si="0"/>
        <v>41</v>
      </c>
      <c r="AP1">
        <f t="shared" si="0"/>
        <v>42</v>
      </c>
      <c r="AQ1">
        <f t="shared" si="0"/>
        <v>43</v>
      </c>
      <c r="AR1">
        <f t="shared" si="0"/>
        <v>44</v>
      </c>
      <c r="AS1">
        <f t="shared" si="0"/>
        <v>45</v>
      </c>
      <c r="AT1">
        <f t="shared" si="0"/>
        <v>46</v>
      </c>
      <c r="AU1">
        <f t="shared" si="0"/>
        <v>47</v>
      </c>
      <c r="AV1">
        <f t="shared" si="0"/>
        <v>48</v>
      </c>
      <c r="AW1">
        <f t="shared" si="0"/>
        <v>49</v>
      </c>
      <c r="AX1">
        <f t="shared" si="0"/>
        <v>50</v>
      </c>
      <c r="AY1">
        <f t="shared" si="0"/>
        <v>51</v>
      </c>
      <c r="AZ1">
        <f t="shared" si="0"/>
        <v>52</v>
      </c>
      <c r="BA1">
        <f t="shared" si="0"/>
        <v>53</v>
      </c>
      <c r="BB1">
        <f t="shared" si="0"/>
        <v>54</v>
      </c>
      <c r="BC1">
        <f t="shared" si="0"/>
        <v>55</v>
      </c>
      <c r="BD1">
        <f t="shared" si="0"/>
        <v>56</v>
      </c>
      <c r="BE1">
        <f t="shared" si="0"/>
        <v>57</v>
      </c>
      <c r="BF1">
        <f t="shared" si="0"/>
        <v>58</v>
      </c>
      <c r="BG1">
        <f t="shared" si="0"/>
        <v>59</v>
      </c>
      <c r="BH1">
        <f t="shared" si="0"/>
        <v>60</v>
      </c>
      <c r="BI1">
        <f t="shared" si="0"/>
        <v>61</v>
      </c>
      <c r="BJ1">
        <f t="shared" si="0"/>
        <v>62</v>
      </c>
      <c r="BK1">
        <f t="shared" si="0"/>
        <v>63</v>
      </c>
      <c r="BL1">
        <f t="shared" si="0"/>
        <v>64</v>
      </c>
      <c r="BM1">
        <f t="shared" si="0"/>
        <v>65</v>
      </c>
      <c r="BN1">
        <f t="shared" si="0"/>
        <v>66</v>
      </c>
      <c r="BO1">
        <f t="shared" ref="BO1:BP1" si="1">+BN1+1</f>
        <v>67</v>
      </c>
      <c r="BP1">
        <f t="shared" si="1"/>
        <v>68</v>
      </c>
    </row>
    <row r="2" spans="1:72" ht="15.6" x14ac:dyDescent="0.3">
      <c r="A2" s="1" t="s">
        <v>15</v>
      </c>
      <c r="B2" s="19" t="s">
        <v>0</v>
      </c>
      <c r="C2" s="19" t="s">
        <v>1</v>
      </c>
      <c r="D2" s="19" t="s">
        <v>2</v>
      </c>
      <c r="E2" s="19" t="s">
        <v>3</v>
      </c>
      <c r="F2" s="19" t="s">
        <v>391</v>
      </c>
      <c r="G2" s="19" t="s">
        <v>4</v>
      </c>
      <c r="H2" s="19" t="s">
        <v>392</v>
      </c>
      <c r="I2" s="19" t="s">
        <v>5</v>
      </c>
      <c r="J2" s="19" t="s">
        <v>6</v>
      </c>
      <c r="K2" s="19" t="s">
        <v>7</v>
      </c>
      <c r="L2" s="19" t="s">
        <v>8</v>
      </c>
      <c r="M2" s="19" t="s">
        <v>393</v>
      </c>
      <c r="N2" s="19" t="s">
        <v>9</v>
      </c>
      <c r="O2" s="19" t="s">
        <v>394</v>
      </c>
      <c r="P2" s="19" t="s">
        <v>10</v>
      </c>
      <c r="Q2" s="19" t="s">
        <v>395</v>
      </c>
      <c r="R2" s="19" t="s">
        <v>396</v>
      </c>
      <c r="S2" s="19" t="s">
        <v>397</v>
      </c>
      <c r="T2" s="19" t="s">
        <v>398</v>
      </c>
      <c r="U2" s="19" t="s">
        <v>399</v>
      </c>
      <c r="V2" s="19" t="s">
        <v>400</v>
      </c>
      <c r="W2" s="19" t="s">
        <v>11</v>
      </c>
      <c r="X2" s="19" t="s">
        <v>12</v>
      </c>
      <c r="Y2" s="19" t="s">
        <v>13</v>
      </c>
      <c r="Z2" s="19" t="s">
        <v>14</v>
      </c>
      <c r="AA2" s="19" t="s">
        <v>15</v>
      </c>
      <c r="AB2" s="19" t="s">
        <v>16</v>
      </c>
      <c r="AC2" s="19" t="s">
        <v>17</v>
      </c>
      <c r="AD2" s="19" t="s">
        <v>18</v>
      </c>
      <c r="AE2" s="19" t="s">
        <v>19</v>
      </c>
      <c r="AF2" s="19" t="s">
        <v>20</v>
      </c>
      <c r="AG2" s="19" t="s">
        <v>21</v>
      </c>
      <c r="AH2" s="19" t="s">
        <v>22</v>
      </c>
      <c r="AI2" s="19" t="s">
        <v>23</v>
      </c>
      <c r="AJ2" s="19" t="s">
        <v>24</v>
      </c>
      <c r="AK2" s="19" t="s">
        <v>25</v>
      </c>
      <c r="AL2" s="19" t="s">
        <v>26</v>
      </c>
      <c r="AM2" s="30" t="s">
        <v>27</v>
      </c>
      <c r="AN2" s="30" t="s">
        <v>28</v>
      </c>
      <c r="AO2" s="19" t="s">
        <v>29</v>
      </c>
      <c r="AP2" s="19" t="s">
        <v>30</v>
      </c>
      <c r="AQ2" s="19" t="s">
        <v>31</v>
      </c>
      <c r="AR2" s="19" t="s">
        <v>32</v>
      </c>
      <c r="AS2" s="19" t="s">
        <v>33</v>
      </c>
      <c r="AT2" s="19" t="s">
        <v>34</v>
      </c>
      <c r="AU2" s="19" t="s">
        <v>35</v>
      </c>
      <c r="AV2" s="19" t="s">
        <v>36</v>
      </c>
      <c r="AW2" s="19" t="s">
        <v>37</v>
      </c>
      <c r="AX2" s="19" t="s">
        <v>38</v>
      </c>
      <c r="AY2" s="19" t="s">
        <v>39</v>
      </c>
      <c r="AZ2" s="19" t="s">
        <v>40</v>
      </c>
      <c r="BA2" s="19" t="s">
        <v>41</v>
      </c>
      <c r="BB2" s="19" t="s">
        <v>42</v>
      </c>
      <c r="BC2" s="19" t="s">
        <v>401</v>
      </c>
      <c r="BD2" s="19" t="s">
        <v>43</v>
      </c>
      <c r="BE2" s="19" t="s">
        <v>44</v>
      </c>
      <c r="BF2" s="19" t="s">
        <v>402</v>
      </c>
      <c r="BG2" s="19" t="s">
        <v>45</v>
      </c>
      <c r="BH2" s="19" t="s">
        <v>403</v>
      </c>
      <c r="BI2" s="19" t="s">
        <v>404</v>
      </c>
      <c r="BJ2" s="19" t="s">
        <v>47</v>
      </c>
      <c r="BK2" s="19" t="s">
        <v>48</v>
      </c>
      <c r="BL2" s="19" t="s">
        <v>46</v>
      </c>
      <c r="BM2" s="19" t="s">
        <v>405</v>
      </c>
      <c r="BN2" s="1" t="s">
        <v>47</v>
      </c>
      <c r="BO2" s="1" t="s">
        <v>48</v>
      </c>
      <c r="BP2" s="11" t="s">
        <v>7</v>
      </c>
      <c r="BQ2" s="91" t="s">
        <v>503</v>
      </c>
      <c r="BR2" s="91" t="s">
        <v>542</v>
      </c>
      <c r="BS2" s="49" t="s">
        <v>419</v>
      </c>
      <c r="BT2" s="49" t="s">
        <v>418</v>
      </c>
    </row>
    <row r="3" spans="1:72" ht="15.6" x14ac:dyDescent="0.3">
      <c r="A3" s="12" t="str">
        <f t="shared" ref="A3:A19" si="2">+AA3&amp;"-"&amp;C3</f>
        <v>73548-February</v>
      </c>
      <c r="B3" s="40" t="s">
        <v>558</v>
      </c>
      <c r="C3" s="40" t="s">
        <v>625</v>
      </c>
      <c r="D3" s="40" t="s">
        <v>626</v>
      </c>
      <c r="E3" s="40" t="s">
        <v>627</v>
      </c>
      <c r="F3" s="40" t="s">
        <v>316</v>
      </c>
      <c r="G3" s="40" t="s">
        <v>641</v>
      </c>
      <c r="H3" s="40" t="s">
        <v>317</v>
      </c>
      <c r="I3" s="40" t="s">
        <v>642</v>
      </c>
      <c r="J3" s="40" t="s">
        <v>49</v>
      </c>
      <c r="K3" s="40" t="s">
        <v>50</v>
      </c>
      <c r="L3" s="40" t="s">
        <v>758</v>
      </c>
      <c r="M3" s="40" t="s">
        <v>318</v>
      </c>
      <c r="N3" s="40" t="s">
        <v>319</v>
      </c>
      <c r="O3" s="40" t="s">
        <v>51</v>
      </c>
      <c r="P3" s="40" t="s">
        <v>52</v>
      </c>
      <c r="Q3" s="40" t="s">
        <v>64</v>
      </c>
      <c r="R3" s="40" t="s">
        <v>53</v>
      </c>
      <c r="S3" s="40" t="s">
        <v>54</v>
      </c>
      <c r="T3" s="40" t="s">
        <v>65</v>
      </c>
      <c r="U3" s="40" t="s">
        <v>55</v>
      </c>
      <c r="V3" s="40" t="s">
        <v>56</v>
      </c>
      <c r="W3" s="40" t="s">
        <v>57</v>
      </c>
      <c r="X3" s="40" t="s">
        <v>57</v>
      </c>
      <c r="Y3" s="40" t="s">
        <v>58</v>
      </c>
      <c r="Z3" s="40" t="s">
        <v>58</v>
      </c>
      <c r="AA3" s="40" t="s">
        <v>320</v>
      </c>
      <c r="AB3" s="41">
        <v>1800</v>
      </c>
      <c r="AC3" s="41">
        <v>1800</v>
      </c>
      <c r="AD3" s="42">
        <v>1</v>
      </c>
      <c r="AE3" s="42">
        <v>1</v>
      </c>
      <c r="AF3" s="42">
        <v>1</v>
      </c>
      <c r="AG3" s="41">
        <v>0.91</v>
      </c>
      <c r="AH3" s="41">
        <v>1</v>
      </c>
      <c r="AI3" s="43">
        <v>0</v>
      </c>
      <c r="AJ3" s="44"/>
      <c r="AK3" s="41">
        <v>1800</v>
      </c>
      <c r="AL3" s="41">
        <v>1800</v>
      </c>
      <c r="AM3" s="50">
        <v>1800</v>
      </c>
      <c r="AN3" s="50">
        <v>1800</v>
      </c>
      <c r="AO3" s="50">
        <v>1800</v>
      </c>
      <c r="AP3" s="41"/>
      <c r="AQ3" s="42">
        <v>18459.689999999999</v>
      </c>
      <c r="AR3" s="42">
        <v>1800</v>
      </c>
      <c r="AS3" s="41">
        <v>0</v>
      </c>
      <c r="AT3" s="42">
        <v>0</v>
      </c>
      <c r="AU3" s="42">
        <v>0</v>
      </c>
      <c r="AV3" s="43">
        <v>0</v>
      </c>
      <c r="AW3" s="40" t="s">
        <v>422</v>
      </c>
      <c r="AX3" s="40" t="s">
        <v>789</v>
      </c>
      <c r="AY3" s="40" t="s">
        <v>423</v>
      </c>
      <c r="AZ3" s="40" t="s">
        <v>790</v>
      </c>
      <c r="BA3" s="44"/>
      <c r="BB3" s="40" t="s">
        <v>53</v>
      </c>
      <c r="BC3" s="40" t="s">
        <v>63</v>
      </c>
      <c r="BD3" s="41">
        <v>1</v>
      </c>
      <c r="BE3" s="40" t="s">
        <v>321</v>
      </c>
      <c r="BF3" s="40" t="s">
        <v>318</v>
      </c>
      <c r="BG3" s="40" t="s">
        <v>322</v>
      </c>
      <c r="BH3" s="40" t="s">
        <v>349</v>
      </c>
      <c r="BI3" s="40" t="s">
        <v>53</v>
      </c>
      <c r="BJ3" s="40" t="s">
        <v>60</v>
      </c>
      <c r="BK3" s="40" t="s">
        <v>61</v>
      </c>
      <c r="BL3" s="40" t="s">
        <v>627</v>
      </c>
      <c r="BM3" s="40" t="s">
        <v>59</v>
      </c>
      <c r="BN3" s="14"/>
      <c r="BP3" s="13" t="str">
        <f>INDEX(Summary!N:N,MATCH(A3,Summary!A:A,0),1)</f>
        <v>OK</v>
      </c>
      <c r="BQ3" s="89">
        <f>AM3/INDEX('ex rate'!C:C,MATCH(Y3,'ex rate'!A:A,0),1)</f>
        <v>1800</v>
      </c>
      <c r="BR3" s="89">
        <f>AO3/INDEX('ex rate'!C:C,MATCH(Z3,'ex rate'!A:A,0),1)</f>
        <v>1800</v>
      </c>
      <c r="BS3" t="s">
        <v>787</v>
      </c>
      <c r="BT3" t="s">
        <v>788</v>
      </c>
    </row>
    <row r="4" spans="1:72" ht="15.6" x14ac:dyDescent="0.3">
      <c r="A4" s="12" t="str">
        <f t="shared" si="2"/>
        <v>116497-February</v>
      </c>
      <c r="B4" s="40" t="s">
        <v>558</v>
      </c>
      <c r="C4" s="40" t="s">
        <v>625</v>
      </c>
      <c r="D4" s="40" t="s">
        <v>626</v>
      </c>
      <c r="E4" s="40" t="s">
        <v>627</v>
      </c>
      <c r="F4" s="40" t="s">
        <v>341</v>
      </c>
      <c r="G4" s="40" t="s">
        <v>643</v>
      </c>
      <c r="H4" s="40" t="s">
        <v>342</v>
      </c>
      <c r="I4" s="40" t="s">
        <v>644</v>
      </c>
      <c r="J4" s="40" t="s">
        <v>49</v>
      </c>
      <c r="K4" s="40" t="s">
        <v>50</v>
      </c>
      <c r="L4" s="40" t="s">
        <v>758</v>
      </c>
      <c r="M4" s="40" t="s">
        <v>343</v>
      </c>
      <c r="N4" s="40" t="s">
        <v>304</v>
      </c>
      <c r="O4" s="40" t="s">
        <v>51</v>
      </c>
      <c r="P4" s="40" t="s">
        <v>52</v>
      </c>
      <c r="Q4" s="40" t="s">
        <v>64</v>
      </c>
      <c r="R4" s="40" t="s">
        <v>53</v>
      </c>
      <c r="S4" s="40" t="s">
        <v>54</v>
      </c>
      <c r="T4" s="40" t="s">
        <v>65</v>
      </c>
      <c r="U4" s="40" t="s">
        <v>55</v>
      </c>
      <c r="V4" s="40" t="s">
        <v>56</v>
      </c>
      <c r="W4" s="40" t="s">
        <v>57</v>
      </c>
      <c r="X4" s="40" t="s">
        <v>57</v>
      </c>
      <c r="Y4" s="40" t="s">
        <v>58</v>
      </c>
      <c r="Z4" s="40" t="s">
        <v>58</v>
      </c>
      <c r="AA4" s="40" t="s">
        <v>344</v>
      </c>
      <c r="AB4" s="41">
        <v>1999.95</v>
      </c>
      <c r="AC4" s="41">
        <v>1999.95</v>
      </c>
      <c r="AD4" s="42">
        <v>1</v>
      </c>
      <c r="AE4" s="42">
        <v>1</v>
      </c>
      <c r="AF4" s="42">
        <v>1</v>
      </c>
      <c r="AG4" s="41">
        <v>0.85</v>
      </c>
      <c r="AH4" s="41">
        <v>1</v>
      </c>
      <c r="AI4" s="43">
        <v>0</v>
      </c>
      <c r="AJ4" s="44"/>
      <c r="AK4" s="41">
        <v>1999.95</v>
      </c>
      <c r="AL4" s="41">
        <v>1999.95</v>
      </c>
      <c r="AM4" s="50">
        <v>1999.95</v>
      </c>
      <c r="AN4" s="50">
        <v>1999.95</v>
      </c>
      <c r="AO4" s="50">
        <v>1999.95</v>
      </c>
      <c r="AP4" s="41"/>
      <c r="AQ4" s="42">
        <v>15499.96</v>
      </c>
      <c r="AR4" s="42">
        <v>1999.95</v>
      </c>
      <c r="AS4" s="41">
        <v>0</v>
      </c>
      <c r="AT4" s="42">
        <v>0</v>
      </c>
      <c r="AU4" s="42">
        <v>0</v>
      </c>
      <c r="AV4" s="43">
        <v>0</v>
      </c>
      <c r="AW4" s="40" t="s">
        <v>424</v>
      </c>
      <c r="AX4" s="40" t="s">
        <v>789</v>
      </c>
      <c r="AY4" s="40" t="s">
        <v>425</v>
      </c>
      <c r="AZ4" s="40" t="s">
        <v>790</v>
      </c>
      <c r="BA4" s="44"/>
      <c r="BB4" s="40" t="s">
        <v>53</v>
      </c>
      <c r="BC4" s="40" t="s">
        <v>63</v>
      </c>
      <c r="BD4" s="41">
        <v>1</v>
      </c>
      <c r="BE4" s="40" t="s">
        <v>345</v>
      </c>
      <c r="BF4" s="40" t="s">
        <v>305</v>
      </c>
      <c r="BG4" s="40" t="s">
        <v>306</v>
      </c>
      <c r="BH4" s="40" t="s">
        <v>349</v>
      </c>
      <c r="BI4" s="40" t="s">
        <v>53</v>
      </c>
      <c r="BJ4" s="40" t="s">
        <v>60</v>
      </c>
      <c r="BK4" s="40" t="s">
        <v>61</v>
      </c>
      <c r="BL4" s="40" t="s">
        <v>627</v>
      </c>
      <c r="BM4" s="40" t="s">
        <v>59</v>
      </c>
      <c r="BP4" s="13" t="str">
        <f>INDEX(Summary!N:N,MATCH(A4,Summary!A:A,0),1)</f>
        <v>OK</v>
      </c>
      <c r="BQ4" s="89">
        <f>AM4/INDEX('ex rate'!C:C,MATCH(Y4,'ex rate'!A:A,0),1)</f>
        <v>1999.95</v>
      </c>
      <c r="BR4" s="89">
        <f>AO4/INDEX('ex rate'!C:C,MATCH(Z4,'ex rate'!A:A,0),1)</f>
        <v>1999.95</v>
      </c>
      <c r="BS4" t="s">
        <v>787</v>
      </c>
      <c r="BT4" t="s">
        <v>788</v>
      </c>
    </row>
    <row r="5" spans="1:72" ht="15.6" x14ac:dyDescent="0.3">
      <c r="A5" s="12" t="str">
        <f t="shared" si="2"/>
        <v>118854-February</v>
      </c>
      <c r="B5" s="40" t="s">
        <v>558</v>
      </c>
      <c r="C5" s="40" t="s">
        <v>625</v>
      </c>
      <c r="D5" s="40" t="s">
        <v>626</v>
      </c>
      <c r="E5" s="40" t="s">
        <v>627</v>
      </c>
      <c r="F5" s="40" t="s">
        <v>372</v>
      </c>
      <c r="G5" s="40" t="s">
        <v>645</v>
      </c>
      <c r="H5" s="40" t="s">
        <v>373</v>
      </c>
      <c r="I5" s="40" t="s">
        <v>646</v>
      </c>
      <c r="J5" s="40" t="s">
        <v>49</v>
      </c>
      <c r="K5" s="40" t="s">
        <v>50</v>
      </c>
      <c r="L5" s="40" t="s">
        <v>758</v>
      </c>
      <c r="M5" s="40" t="s">
        <v>374</v>
      </c>
      <c r="N5" s="40" t="s">
        <v>304</v>
      </c>
      <c r="O5" s="40" t="s">
        <v>51</v>
      </c>
      <c r="P5" s="40" t="s">
        <v>52</v>
      </c>
      <c r="Q5" s="40" t="s">
        <v>64</v>
      </c>
      <c r="R5" s="40" t="s">
        <v>53</v>
      </c>
      <c r="S5" s="40" t="s">
        <v>54</v>
      </c>
      <c r="T5" s="40" t="s">
        <v>65</v>
      </c>
      <c r="U5" s="40" t="s">
        <v>55</v>
      </c>
      <c r="V5" s="40" t="s">
        <v>56</v>
      </c>
      <c r="W5" s="40" t="s">
        <v>57</v>
      </c>
      <c r="X5" s="40" t="s">
        <v>57</v>
      </c>
      <c r="Y5" s="40" t="s">
        <v>58</v>
      </c>
      <c r="Z5" s="40" t="s">
        <v>58</v>
      </c>
      <c r="AA5" s="40" t="s">
        <v>375</v>
      </c>
      <c r="AB5" s="41">
        <v>912.96</v>
      </c>
      <c r="AC5" s="41">
        <v>912.96</v>
      </c>
      <c r="AD5" s="42">
        <v>1</v>
      </c>
      <c r="AE5" s="42">
        <v>1</v>
      </c>
      <c r="AF5" s="42">
        <v>1</v>
      </c>
      <c r="AG5" s="41">
        <v>0.85</v>
      </c>
      <c r="AH5" s="41">
        <v>1</v>
      </c>
      <c r="AI5" s="43">
        <v>0</v>
      </c>
      <c r="AJ5" s="44"/>
      <c r="AK5" s="41">
        <v>912.96</v>
      </c>
      <c r="AL5" s="41">
        <v>912.96</v>
      </c>
      <c r="AM5" s="50">
        <v>912.96</v>
      </c>
      <c r="AN5" s="50">
        <v>912.96</v>
      </c>
      <c r="AO5" s="50">
        <v>912.96</v>
      </c>
      <c r="AP5" s="41"/>
      <c r="AQ5" s="42">
        <v>3499.99</v>
      </c>
      <c r="AR5" s="42">
        <v>912.96</v>
      </c>
      <c r="AS5" s="41">
        <v>0</v>
      </c>
      <c r="AT5" s="42">
        <v>0</v>
      </c>
      <c r="AU5" s="42">
        <v>0</v>
      </c>
      <c r="AV5" s="43">
        <v>0</v>
      </c>
      <c r="AW5" s="40" t="s">
        <v>434</v>
      </c>
      <c r="AX5" s="40" t="s">
        <v>789</v>
      </c>
      <c r="AY5" s="40" t="s">
        <v>435</v>
      </c>
      <c r="AZ5" s="40" t="s">
        <v>790</v>
      </c>
      <c r="BA5" s="44"/>
      <c r="BB5" s="40" t="s">
        <v>53</v>
      </c>
      <c r="BC5" s="40" t="s">
        <v>63</v>
      </c>
      <c r="BD5" s="41">
        <v>1</v>
      </c>
      <c r="BE5" s="40" t="s">
        <v>376</v>
      </c>
      <c r="BF5" s="40" t="s">
        <v>305</v>
      </c>
      <c r="BG5" s="40" t="s">
        <v>306</v>
      </c>
      <c r="BH5" s="40" t="s">
        <v>349</v>
      </c>
      <c r="BI5" s="40" t="s">
        <v>53</v>
      </c>
      <c r="BJ5" s="40" t="s">
        <v>60</v>
      </c>
      <c r="BK5" s="40" t="s">
        <v>61</v>
      </c>
      <c r="BL5" s="40" t="s">
        <v>627</v>
      </c>
      <c r="BM5" s="40" t="s">
        <v>59</v>
      </c>
      <c r="BP5" s="13" t="str">
        <f>INDEX(Summary!N:N,MATCH(A5,Summary!A:A,0),1)</f>
        <v>OK</v>
      </c>
      <c r="BQ5" s="89">
        <f>AM5/INDEX('ex rate'!C:C,MATCH(Y5,'ex rate'!A:A,0),1)</f>
        <v>912.96</v>
      </c>
      <c r="BR5" s="89">
        <f>AO5/INDEX('ex rate'!C:C,MATCH(Z5,'ex rate'!A:A,0),1)</f>
        <v>912.96</v>
      </c>
      <c r="BS5" t="s">
        <v>787</v>
      </c>
      <c r="BT5" t="s">
        <v>788</v>
      </c>
    </row>
    <row r="6" spans="1:72" ht="15.6" x14ac:dyDescent="0.3">
      <c r="A6" s="12" t="str">
        <f t="shared" si="2"/>
        <v>115210-February</v>
      </c>
      <c r="B6" s="40" t="s">
        <v>558</v>
      </c>
      <c r="C6" s="40" t="s">
        <v>625</v>
      </c>
      <c r="D6" s="40" t="s">
        <v>626</v>
      </c>
      <c r="E6" s="40" t="s">
        <v>627</v>
      </c>
      <c r="F6" s="40" t="s">
        <v>572</v>
      </c>
      <c r="G6" s="40" t="s">
        <v>647</v>
      </c>
      <c r="H6" s="40" t="s">
        <v>573</v>
      </c>
      <c r="I6" s="40" t="s">
        <v>648</v>
      </c>
      <c r="J6" s="40" t="s">
        <v>49</v>
      </c>
      <c r="K6" s="40" t="s">
        <v>50</v>
      </c>
      <c r="L6" s="40" t="s">
        <v>758</v>
      </c>
      <c r="M6" s="40" t="s">
        <v>574</v>
      </c>
      <c r="N6" s="40" t="s">
        <v>574</v>
      </c>
      <c r="O6" s="40" t="s">
        <v>51</v>
      </c>
      <c r="P6" s="40" t="s">
        <v>52</v>
      </c>
      <c r="Q6" s="40" t="s">
        <v>64</v>
      </c>
      <c r="R6" s="40" t="s">
        <v>53</v>
      </c>
      <c r="S6" s="40" t="s">
        <v>54</v>
      </c>
      <c r="T6" s="40" t="s">
        <v>65</v>
      </c>
      <c r="U6" s="40" t="s">
        <v>55</v>
      </c>
      <c r="V6" s="40" t="s">
        <v>56</v>
      </c>
      <c r="W6" s="40" t="s">
        <v>57</v>
      </c>
      <c r="X6" s="40" t="s">
        <v>57</v>
      </c>
      <c r="Y6" s="40" t="s">
        <v>58</v>
      </c>
      <c r="Z6" s="40" t="s">
        <v>58</v>
      </c>
      <c r="AA6" s="40" t="s">
        <v>547</v>
      </c>
      <c r="AB6" s="41">
        <v>1027.45</v>
      </c>
      <c r="AC6" s="41">
        <v>1027.45</v>
      </c>
      <c r="AD6" s="42">
        <v>1</v>
      </c>
      <c r="AE6" s="42">
        <v>1</v>
      </c>
      <c r="AF6" s="42">
        <v>1</v>
      </c>
      <c r="AG6" s="41">
        <v>0.91</v>
      </c>
      <c r="AH6" s="41">
        <v>1</v>
      </c>
      <c r="AI6" s="43">
        <v>0</v>
      </c>
      <c r="AJ6" s="44"/>
      <c r="AK6" s="41">
        <v>1027.45</v>
      </c>
      <c r="AL6" s="41">
        <v>1027.45</v>
      </c>
      <c r="AM6" s="50">
        <v>1027.45</v>
      </c>
      <c r="AN6" s="50">
        <v>1027.45</v>
      </c>
      <c r="AO6" s="50">
        <v>1027.45</v>
      </c>
      <c r="AP6" s="44"/>
      <c r="AQ6" s="42">
        <v>6000.1</v>
      </c>
      <c r="AR6" s="42">
        <v>1027.45</v>
      </c>
      <c r="AS6" s="41">
        <v>0</v>
      </c>
      <c r="AT6" s="42">
        <v>0</v>
      </c>
      <c r="AU6" s="42">
        <v>0</v>
      </c>
      <c r="AV6" s="43">
        <v>0</v>
      </c>
      <c r="AW6" s="40" t="s">
        <v>595</v>
      </c>
      <c r="AX6" s="40" t="s">
        <v>789</v>
      </c>
      <c r="AY6" s="40" t="s">
        <v>596</v>
      </c>
      <c r="AZ6" s="40" t="s">
        <v>790</v>
      </c>
      <c r="BA6" s="44"/>
      <c r="BB6" s="40" t="s">
        <v>53</v>
      </c>
      <c r="BC6" s="40" t="s">
        <v>63</v>
      </c>
      <c r="BD6" s="41">
        <v>1</v>
      </c>
      <c r="BE6" s="40" t="s">
        <v>575</v>
      </c>
      <c r="BF6" s="40" t="s">
        <v>574</v>
      </c>
      <c r="BG6" s="40" t="s">
        <v>576</v>
      </c>
      <c r="BH6" s="40" t="s">
        <v>349</v>
      </c>
      <c r="BI6" s="40" t="s">
        <v>53</v>
      </c>
      <c r="BJ6" s="40" t="s">
        <v>60</v>
      </c>
      <c r="BK6" s="40" t="s">
        <v>61</v>
      </c>
      <c r="BL6" s="40" t="s">
        <v>627</v>
      </c>
      <c r="BM6" s="40" t="s">
        <v>59</v>
      </c>
      <c r="BP6" s="13" t="str">
        <f>INDEX(Summary!N:N,MATCH(A6,Summary!A:A,0),1)</f>
        <v>OK</v>
      </c>
      <c r="BQ6" s="89">
        <f>AM6/INDEX('ex rate'!C:C,MATCH(Y6,'ex rate'!A:A,0),1)</f>
        <v>1027.45</v>
      </c>
      <c r="BR6" s="89">
        <f>AO6/INDEX('ex rate'!C:C,MATCH(Z6,'ex rate'!A:A,0),1)</f>
        <v>1027.45</v>
      </c>
      <c r="BS6" t="s">
        <v>787</v>
      </c>
      <c r="BT6" t="s">
        <v>788</v>
      </c>
    </row>
    <row r="7" spans="1:72" ht="15.6" x14ac:dyDescent="0.3">
      <c r="A7" s="12" t="str">
        <f t="shared" si="2"/>
        <v>44368-February</v>
      </c>
      <c r="B7" s="40" t="s">
        <v>558</v>
      </c>
      <c r="C7" s="40" t="s">
        <v>625</v>
      </c>
      <c r="D7" s="40" t="s">
        <v>626</v>
      </c>
      <c r="E7" s="40" t="s">
        <v>627</v>
      </c>
      <c r="F7" s="40" t="s">
        <v>568</v>
      </c>
      <c r="G7" s="40" t="s">
        <v>649</v>
      </c>
      <c r="H7" s="40" t="s">
        <v>569</v>
      </c>
      <c r="I7" s="40" t="s">
        <v>650</v>
      </c>
      <c r="J7" s="40" t="s">
        <v>49</v>
      </c>
      <c r="K7" s="40" t="s">
        <v>50</v>
      </c>
      <c r="L7" s="40" t="s">
        <v>758</v>
      </c>
      <c r="M7" s="40" t="s">
        <v>570</v>
      </c>
      <c r="N7" s="40" t="s">
        <v>71</v>
      </c>
      <c r="O7" s="40" t="s">
        <v>51</v>
      </c>
      <c r="P7" s="40" t="s">
        <v>52</v>
      </c>
      <c r="Q7" s="40" t="s">
        <v>64</v>
      </c>
      <c r="R7" s="40" t="s">
        <v>53</v>
      </c>
      <c r="S7" s="40" t="s">
        <v>54</v>
      </c>
      <c r="T7" s="40" t="s">
        <v>65</v>
      </c>
      <c r="U7" s="40" t="s">
        <v>55</v>
      </c>
      <c r="V7" s="40" t="s">
        <v>56</v>
      </c>
      <c r="W7" s="40" t="s">
        <v>57</v>
      </c>
      <c r="X7" s="40" t="s">
        <v>57</v>
      </c>
      <c r="Y7" s="40" t="s">
        <v>58</v>
      </c>
      <c r="Z7" s="40" t="s">
        <v>58</v>
      </c>
      <c r="AA7" s="40" t="s">
        <v>551</v>
      </c>
      <c r="AB7" s="41">
        <v>9029.1299999999992</v>
      </c>
      <c r="AC7" s="41">
        <v>9029.1299999999992</v>
      </c>
      <c r="AD7" s="42">
        <v>1</v>
      </c>
      <c r="AE7" s="42">
        <v>1</v>
      </c>
      <c r="AF7" s="42">
        <v>1</v>
      </c>
      <c r="AG7" s="41">
        <v>0.85</v>
      </c>
      <c r="AH7" s="41">
        <v>1</v>
      </c>
      <c r="AI7" s="43">
        <v>0</v>
      </c>
      <c r="AJ7" s="44"/>
      <c r="AK7" s="41">
        <v>9029.1299999999992</v>
      </c>
      <c r="AL7" s="41">
        <v>9029.1299999999992</v>
      </c>
      <c r="AM7" s="50">
        <v>9029.1299999999992</v>
      </c>
      <c r="AN7" s="50">
        <v>9029.1299999999992</v>
      </c>
      <c r="AO7" s="50">
        <v>9029.1299999999992</v>
      </c>
      <c r="AP7" s="44"/>
      <c r="AQ7" s="42">
        <v>10968.49</v>
      </c>
      <c r="AR7" s="42">
        <v>9029.1299999999992</v>
      </c>
      <c r="AS7" s="41">
        <v>0</v>
      </c>
      <c r="AT7" s="42">
        <v>0</v>
      </c>
      <c r="AU7" s="42">
        <v>0</v>
      </c>
      <c r="AV7" s="43">
        <v>0</v>
      </c>
      <c r="AW7" s="40" t="s">
        <v>593</v>
      </c>
      <c r="AX7" s="40" t="s">
        <v>789</v>
      </c>
      <c r="AY7" s="40" t="s">
        <v>594</v>
      </c>
      <c r="AZ7" s="40" t="s">
        <v>790</v>
      </c>
      <c r="BA7" s="44"/>
      <c r="BB7" s="40" t="s">
        <v>53</v>
      </c>
      <c r="BC7" s="40" t="s">
        <v>63</v>
      </c>
      <c r="BD7" s="41">
        <v>1</v>
      </c>
      <c r="BE7" s="40" t="s">
        <v>571</v>
      </c>
      <c r="BF7" s="40" t="s">
        <v>72</v>
      </c>
      <c r="BG7" s="40" t="s">
        <v>73</v>
      </c>
      <c r="BH7" s="40" t="s">
        <v>349</v>
      </c>
      <c r="BI7" s="40" t="s">
        <v>53</v>
      </c>
      <c r="BJ7" s="40" t="s">
        <v>307</v>
      </c>
      <c r="BK7" s="40" t="s">
        <v>61</v>
      </c>
      <c r="BL7" s="40" t="s">
        <v>627</v>
      </c>
      <c r="BM7" s="40" t="s">
        <v>74</v>
      </c>
      <c r="BP7" s="13" t="str">
        <f>INDEX(Summary!N:N,MATCH(A7,Summary!A:A,0),1)</f>
        <v>OK</v>
      </c>
      <c r="BQ7" s="89">
        <f>AM7/INDEX('ex rate'!C:C,MATCH(Y7,'ex rate'!A:A,0),1)</f>
        <v>9029.1299999999992</v>
      </c>
      <c r="BR7" s="89">
        <f>AO7/INDEX('ex rate'!C:C,MATCH(Z7,'ex rate'!A:A,0),1)</f>
        <v>9029.1299999999992</v>
      </c>
      <c r="BS7" t="s">
        <v>787</v>
      </c>
      <c r="BT7" t="s">
        <v>788</v>
      </c>
    </row>
    <row r="8" spans="1:72" ht="15.6" x14ac:dyDescent="0.3">
      <c r="A8" s="12" t="str">
        <f t="shared" si="2"/>
        <v>120258-February</v>
      </c>
      <c r="B8" s="40" t="s">
        <v>558</v>
      </c>
      <c r="C8" s="40" t="s">
        <v>625</v>
      </c>
      <c r="D8" s="40" t="s">
        <v>626</v>
      </c>
      <c r="E8" s="40" t="s">
        <v>627</v>
      </c>
      <c r="F8" s="40" t="s">
        <v>651</v>
      </c>
      <c r="G8" s="40" t="s">
        <v>652</v>
      </c>
      <c r="H8" s="40" t="s">
        <v>653</v>
      </c>
      <c r="I8" s="40" t="s">
        <v>654</v>
      </c>
      <c r="J8" s="40" t="s">
        <v>49</v>
      </c>
      <c r="K8" s="40" t="s">
        <v>50</v>
      </c>
      <c r="L8" s="40" t="s">
        <v>758</v>
      </c>
      <c r="M8" s="40" t="s">
        <v>655</v>
      </c>
      <c r="N8" s="40" t="s">
        <v>71</v>
      </c>
      <c r="O8" s="40" t="s">
        <v>51</v>
      </c>
      <c r="P8" s="40" t="s">
        <v>52</v>
      </c>
      <c r="Q8" s="40" t="s">
        <v>64</v>
      </c>
      <c r="R8" s="40" t="s">
        <v>53</v>
      </c>
      <c r="S8" s="40" t="s">
        <v>54</v>
      </c>
      <c r="T8" s="40" t="s">
        <v>65</v>
      </c>
      <c r="U8" s="40" t="s">
        <v>55</v>
      </c>
      <c r="V8" s="40" t="s">
        <v>56</v>
      </c>
      <c r="W8" s="40" t="s">
        <v>57</v>
      </c>
      <c r="X8" s="40" t="s">
        <v>57</v>
      </c>
      <c r="Y8" s="40" t="s">
        <v>58</v>
      </c>
      <c r="Z8" s="40" t="s">
        <v>58</v>
      </c>
      <c r="AA8" s="40" t="s">
        <v>621</v>
      </c>
      <c r="AB8" s="41">
        <v>2500</v>
      </c>
      <c r="AC8" s="41">
        <v>2500</v>
      </c>
      <c r="AD8" s="42">
        <v>1</v>
      </c>
      <c r="AE8" s="42">
        <v>1</v>
      </c>
      <c r="AF8" s="42">
        <v>1</v>
      </c>
      <c r="AG8" s="41">
        <v>0.85</v>
      </c>
      <c r="AH8" s="41">
        <v>1</v>
      </c>
      <c r="AI8" s="43">
        <v>0</v>
      </c>
      <c r="AJ8" s="44"/>
      <c r="AK8" s="41">
        <v>2500</v>
      </c>
      <c r="AL8" s="41">
        <v>2500</v>
      </c>
      <c r="AM8" s="50">
        <v>2500</v>
      </c>
      <c r="AN8" s="50">
        <v>2500</v>
      </c>
      <c r="AO8" s="50">
        <v>2500</v>
      </c>
      <c r="AP8" s="44"/>
      <c r="AQ8" s="42">
        <v>2500</v>
      </c>
      <c r="AR8" s="42">
        <v>2500</v>
      </c>
      <c r="AS8" s="41">
        <v>0</v>
      </c>
      <c r="AT8" s="42">
        <v>0</v>
      </c>
      <c r="AU8" s="42">
        <v>0</v>
      </c>
      <c r="AV8" s="43">
        <v>0</v>
      </c>
      <c r="AW8" s="40" t="s">
        <v>791</v>
      </c>
      <c r="AX8" s="40" t="s">
        <v>789</v>
      </c>
      <c r="AY8" s="40" t="s">
        <v>792</v>
      </c>
      <c r="AZ8" s="40" t="s">
        <v>790</v>
      </c>
      <c r="BA8" s="44"/>
      <c r="BB8" s="40" t="s">
        <v>53</v>
      </c>
      <c r="BC8" s="40" t="s">
        <v>63</v>
      </c>
      <c r="BD8" s="41">
        <v>1</v>
      </c>
      <c r="BE8" s="40" t="s">
        <v>656</v>
      </c>
      <c r="BF8" s="40" t="s">
        <v>72</v>
      </c>
      <c r="BG8" s="40" t="s">
        <v>73</v>
      </c>
      <c r="BH8" s="40" t="s">
        <v>349</v>
      </c>
      <c r="BI8" s="40" t="s">
        <v>53</v>
      </c>
      <c r="BJ8" s="40" t="s">
        <v>307</v>
      </c>
      <c r="BK8" s="40" t="s">
        <v>61</v>
      </c>
      <c r="BL8" s="40" t="s">
        <v>627</v>
      </c>
      <c r="BM8" s="40" t="s">
        <v>74</v>
      </c>
      <c r="BP8" s="13" t="str">
        <f>INDEX(Summary!N:N,MATCH(A8,Summary!A:A,0),1)</f>
        <v>OK</v>
      </c>
      <c r="BQ8" s="89">
        <f>AM8/INDEX('ex rate'!C:C,MATCH(Y8,'ex rate'!A:A,0),1)</f>
        <v>2500</v>
      </c>
      <c r="BR8" s="89">
        <f>AO8/INDEX('ex rate'!C:C,MATCH(Z8,'ex rate'!A:A,0),1)</f>
        <v>2500</v>
      </c>
      <c r="BS8" t="s">
        <v>787</v>
      </c>
      <c r="BT8" t="s">
        <v>788</v>
      </c>
    </row>
    <row r="9" spans="1:72" ht="15.6" x14ac:dyDescent="0.3">
      <c r="A9" s="12" t="str">
        <f t="shared" si="2"/>
        <v>110594-February</v>
      </c>
      <c r="B9" s="40" t="s">
        <v>558</v>
      </c>
      <c r="C9" s="40" t="s">
        <v>625</v>
      </c>
      <c r="D9" s="40" t="s">
        <v>626</v>
      </c>
      <c r="E9" s="40" t="s">
        <v>627</v>
      </c>
      <c r="F9" s="40" t="s">
        <v>579</v>
      </c>
      <c r="G9" s="40" t="s">
        <v>657</v>
      </c>
      <c r="H9" s="40" t="s">
        <v>580</v>
      </c>
      <c r="I9" s="40" t="s">
        <v>658</v>
      </c>
      <c r="J9" s="40" t="s">
        <v>49</v>
      </c>
      <c r="K9" s="40" t="s">
        <v>50</v>
      </c>
      <c r="L9" s="40" t="s">
        <v>758</v>
      </c>
      <c r="M9" s="40" t="s">
        <v>581</v>
      </c>
      <c r="N9" s="40" t="s">
        <v>304</v>
      </c>
      <c r="O9" s="40" t="s">
        <v>51</v>
      </c>
      <c r="P9" s="40" t="s">
        <v>52</v>
      </c>
      <c r="Q9" s="40" t="s">
        <v>64</v>
      </c>
      <c r="R9" s="40" t="s">
        <v>53</v>
      </c>
      <c r="S9" s="40" t="s">
        <v>54</v>
      </c>
      <c r="T9" s="40" t="s">
        <v>65</v>
      </c>
      <c r="U9" s="40" t="s">
        <v>55</v>
      </c>
      <c r="V9" s="40" t="s">
        <v>56</v>
      </c>
      <c r="W9" s="40" t="s">
        <v>57</v>
      </c>
      <c r="X9" s="40" t="s">
        <v>57</v>
      </c>
      <c r="Y9" s="40" t="s">
        <v>58</v>
      </c>
      <c r="Z9" s="40" t="s">
        <v>58</v>
      </c>
      <c r="AA9" s="40" t="s">
        <v>555</v>
      </c>
      <c r="AB9" s="41">
        <v>999.97</v>
      </c>
      <c r="AC9" s="41">
        <v>999.97</v>
      </c>
      <c r="AD9" s="42">
        <v>1</v>
      </c>
      <c r="AE9" s="42">
        <v>1</v>
      </c>
      <c r="AF9" s="42">
        <v>1</v>
      </c>
      <c r="AG9" s="41">
        <v>0.85</v>
      </c>
      <c r="AH9" s="41">
        <v>1</v>
      </c>
      <c r="AI9" s="43">
        <v>0</v>
      </c>
      <c r="AJ9" s="44"/>
      <c r="AK9" s="41">
        <v>999.97</v>
      </c>
      <c r="AL9" s="41">
        <v>999.97</v>
      </c>
      <c r="AM9" s="50">
        <v>999.97</v>
      </c>
      <c r="AN9" s="50">
        <v>999.97</v>
      </c>
      <c r="AO9" s="50">
        <v>999.97</v>
      </c>
      <c r="AP9" s="44"/>
      <c r="AQ9" s="42">
        <v>1999.97</v>
      </c>
      <c r="AR9" s="42">
        <v>999.97</v>
      </c>
      <c r="AS9" s="41">
        <v>0</v>
      </c>
      <c r="AT9" s="42">
        <v>0</v>
      </c>
      <c r="AU9" s="42">
        <v>0</v>
      </c>
      <c r="AV9" s="43">
        <v>0</v>
      </c>
      <c r="AW9" s="40" t="s">
        <v>597</v>
      </c>
      <c r="AX9" s="40" t="s">
        <v>789</v>
      </c>
      <c r="AY9" s="40" t="s">
        <v>598</v>
      </c>
      <c r="AZ9" s="40" t="s">
        <v>790</v>
      </c>
      <c r="BA9" s="44"/>
      <c r="BB9" s="40" t="s">
        <v>53</v>
      </c>
      <c r="BC9" s="40" t="s">
        <v>63</v>
      </c>
      <c r="BD9" s="41">
        <v>1</v>
      </c>
      <c r="BE9" s="40" t="s">
        <v>582</v>
      </c>
      <c r="BF9" s="40" t="s">
        <v>305</v>
      </c>
      <c r="BG9" s="40" t="s">
        <v>306</v>
      </c>
      <c r="BH9" s="40" t="s">
        <v>349</v>
      </c>
      <c r="BI9" s="40" t="s">
        <v>53</v>
      </c>
      <c r="BJ9" s="40" t="s">
        <v>60</v>
      </c>
      <c r="BK9" s="40" t="s">
        <v>61</v>
      </c>
      <c r="BL9" s="40" t="s">
        <v>627</v>
      </c>
      <c r="BM9" s="40" t="s">
        <v>59</v>
      </c>
      <c r="BP9" s="13" t="str">
        <f>INDEX(Summary!N:N,MATCH(A9,Summary!A:A,0),1)</f>
        <v>OK</v>
      </c>
      <c r="BQ9" s="89">
        <f>AM9/INDEX('ex rate'!C:C,MATCH(Y9,'ex rate'!A:A,0),1)</f>
        <v>999.97</v>
      </c>
      <c r="BR9" s="89">
        <f>AO9/INDEX('ex rate'!C:C,MATCH(Z9,'ex rate'!A:A,0),1)</f>
        <v>999.97</v>
      </c>
      <c r="BS9" t="s">
        <v>787</v>
      </c>
      <c r="BT9" t="s">
        <v>788</v>
      </c>
    </row>
    <row r="10" spans="1:72" ht="15.6" x14ac:dyDescent="0.3">
      <c r="A10" s="12" t="str">
        <f t="shared" si="2"/>
        <v>63589-February</v>
      </c>
      <c r="B10" s="40" t="s">
        <v>558</v>
      </c>
      <c r="C10" s="40" t="s">
        <v>625</v>
      </c>
      <c r="D10" s="40" t="s">
        <v>626</v>
      </c>
      <c r="E10" s="40" t="s">
        <v>627</v>
      </c>
      <c r="F10" s="40" t="s">
        <v>659</v>
      </c>
      <c r="G10" s="40" t="s">
        <v>660</v>
      </c>
      <c r="H10" s="40" t="s">
        <v>661</v>
      </c>
      <c r="I10" s="40" t="s">
        <v>662</v>
      </c>
      <c r="J10" s="40" t="s">
        <v>49</v>
      </c>
      <c r="K10" s="40" t="s">
        <v>50</v>
      </c>
      <c r="L10" s="40" t="s">
        <v>758</v>
      </c>
      <c r="M10" s="40" t="s">
        <v>337</v>
      </c>
      <c r="N10" s="40" t="s">
        <v>338</v>
      </c>
      <c r="O10" s="40" t="s">
        <v>51</v>
      </c>
      <c r="P10" s="40" t="s">
        <v>52</v>
      </c>
      <c r="Q10" s="40" t="s">
        <v>64</v>
      </c>
      <c r="R10" s="40" t="s">
        <v>53</v>
      </c>
      <c r="S10" s="40" t="s">
        <v>54</v>
      </c>
      <c r="T10" s="40" t="s">
        <v>65</v>
      </c>
      <c r="U10" s="40" t="s">
        <v>55</v>
      </c>
      <c r="V10" s="40" t="s">
        <v>56</v>
      </c>
      <c r="W10" s="40" t="s">
        <v>57</v>
      </c>
      <c r="X10" s="40" t="s">
        <v>57</v>
      </c>
      <c r="Y10" s="40" t="s">
        <v>58</v>
      </c>
      <c r="Z10" s="40" t="s">
        <v>58</v>
      </c>
      <c r="AA10" s="40" t="s">
        <v>339</v>
      </c>
      <c r="AB10" s="41">
        <v>2991.08</v>
      </c>
      <c r="AC10" s="41">
        <v>2991.08</v>
      </c>
      <c r="AD10" s="42">
        <v>1</v>
      </c>
      <c r="AE10" s="42">
        <v>1</v>
      </c>
      <c r="AF10" s="42">
        <v>1</v>
      </c>
      <c r="AG10" s="41">
        <v>0.85</v>
      </c>
      <c r="AH10" s="41">
        <v>1</v>
      </c>
      <c r="AI10" s="43">
        <v>0</v>
      </c>
      <c r="AJ10" s="44"/>
      <c r="AK10" s="41">
        <v>2991.08</v>
      </c>
      <c r="AL10" s="41">
        <v>2991.08</v>
      </c>
      <c r="AM10" s="50">
        <v>2991.08</v>
      </c>
      <c r="AN10" s="50">
        <v>2991.08</v>
      </c>
      <c r="AO10" s="50">
        <v>2991.08</v>
      </c>
      <c r="AP10" s="44"/>
      <c r="AQ10" s="42">
        <v>2991.08</v>
      </c>
      <c r="AR10" s="42">
        <v>2991.08</v>
      </c>
      <c r="AS10" s="41">
        <v>0</v>
      </c>
      <c r="AT10" s="42">
        <v>0</v>
      </c>
      <c r="AU10" s="42">
        <v>0</v>
      </c>
      <c r="AV10" s="43">
        <v>0</v>
      </c>
      <c r="AW10" s="40" t="s">
        <v>793</v>
      </c>
      <c r="AX10" s="40" t="s">
        <v>789</v>
      </c>
      <c r="AY10" s="40" t="s">
        <v>794</v>
      </c>
      <c r="AZ10" s="40" t="s">
        <v>790</v>
      </c>
      <c r="BA10" s="44"/>
      <c r="BB10" s="40" t="s">
        <v>53</v>
      </c>
      <c r="BC10" s="40" t="s">
        <v>63</v>
      </c>
      <c r="BD10" s="41">
        <v>1</v>
      </c>
      <c r="BE10" s="40" t="s">
        <v>663</v>
      </c>
      <c r="BF10" s="40" t="s">
        <v>337</v>
      </c>
      <c r="BG10" s="40" t="s">
        <v>340</v>
      </c>
      <c r="BH10" s="40" t="s">
        <v>349</v>
      </c>
      <c r="BI10" s="40" t="s">
        <v>53</v>
      </c>
      <c r="BJ10" s="40" t="s">
        <v>60</v>
      </c>
      <c r="BK10" s="40" t="s">
        <v>61</v>
      </c>
      <c r="BL10" s="40" t="s">
        <v>627</v>
      </c>
      <c r="BM10" s="40" t="s">
        <v>59</v>
      </c>
      <c r="BP10" s="13" t="str">
        <f>INDEX(Summary!N:N,MATCH(A10,Summary!A:A,0),1)</f>
        <v>OK</v>
      </c>
      <c r="BQ10" s="89">
        <f>AM10/INDEX('ex rate'!C:C,MATCH(Y10,'ex rate'!A:A,0),1)</f>
        <v>2991.08</v>
      </c>
      <c r="BR10" s="89">
        <f>AO10/INDEX('ex rate'!C:C,MATCH(Z10,'ex rate'!A:A,0),1)</f>
        <v>2991.08</v>
      </c>
      <c r="BS10" t="s">
        <v>787</v>
      </c>
      <c r="BT10" t="s">
        <v>788</v>
      </c>
    </row>
    <row r="11" spans="1:72" ht="15.6" x14ac:dyDescent="0.3">
      <c r="A11" s="12" t="str">
        <f t="shared" si="2"/>
        <v>116982-February</v>
      </c>
      <c r="B11" s="40" t="s">
        <v>558</v>
      </c>
      <c r="C11" s="40" t="s">
        <v>625</v>
      </c>
      <c r="D11" s="40" t="s">
        <v>626</v>
      </c>
      <c r="E11" s="40" t="s">
        <v>627</v>
      </c>
      <c r="F11" s="40" t="s">
        <v>664</v>
      </c>
      <c r="G11" s="40" t="s">
        <v>665</v>
      </c>
      <c r="H11" s="40" t="s">
        <v>666</v>
      </c>
      <c r="I11" s="40" t="s">
        <v>667</v>
      </c>
      <c r="J11" s="40" t="s">
        <v>49</v>
      </c>
      <c r="K11" s="40" t="s">
        <v>50</v>
      </c>
      <c r="L11" s="40" t="s">
        <v>758</v>
      </c>
      <c r="M11" s="40" t="s">
        <v>365</v>
      </c>
      <c r="N11" s="40" t="s">
        <v>366</v>
      </c>
      <c r="O11" s="40" t="s">
        <v>51</v>
      </c>
      <c r="P11" s="40" t="s">
        <v>52</v>
      </c>
      <c r="Q11" s="40" t="s">
        <v>64</v>
      </c>
      <c r="R11" s="40" t="s">
        <v>53</v>
      </c>
      <c r="S11" s="40" t="s">
        <v>54</v>
      </c>
      <c r="T11" s="40" t="s">
        <v>65</v>
      </c>
      <c r="U11" s="40" t="s">
        <v>55</v>
      </c>
      <c r="V11" s="40" t="s">
        <v>56</v>
      </c>
      <c r="W11" s="40" t="s">
        <v>57</v>
      </c>
      <c r="X11" s="40" t="s">
        <v>57</v>
      </c>
      <c r="Y11" s="40" t="s">
        <v>58</v>
      </c>
      <c r="Z11" s="40" t="s">
        <v>58</v>
      </c>
      <c r="AA11" s="40" t="s">
        <v>360</v>
      </c>
      <c r="AB11" s="41">
        <v>2398.79</v>
      </c>
      <c r="AC11" s="41">
        <v>2398.79</v>
      </c>
      <c r="AD11" s="42">
        <v>1</v>
      </c>
      <c r="AE11" s="42">
        <v>1</v>
      </c>
      <c r="AF11" s="42">
        <v>1</v>
      </c>
      <c r="AG11" s="41">
        <v>0.85</v>
      </c>
      <c r="AH11" s="41">
        <v>1</v>
      </c>
      <c r="AI11" s="43">
        <v>0</v>
      </c>
      <c r="AJ11" s="44"/>
      <c r="AK11" s="41">
        <v>2398.79</v>
      </c>
      <c r="AL11" s="41">
        <v>2398.79</v>
      </c>
      <c r="AM11" s="50">
        <v>2398.79</v>
      </c>
      <c r="AN11" s="50">
        <v>2398.79</v>
      </c>
      <c r="AO11" s="50">
        <v>2398.79</v>
      </c>
      <c r="AP11" s="41"/>
      <c r="AQ11" s="42">
        <v>2398.79</v>
      </c>
      <c r="AR11" s="42">
        <v>2398.79</v>
      </c>
      <c r="AS11" s="41">
        <v>0</v>
      </c>
      <c r="AT11" s="42">
        <v>0</v>
      </c>
      <c r="AU11" s="42">
        <v>0</v>
      </c>
      <c r="AV11" s="43">
        <v>0</v>
      </c>
      <c r="AW11" s="40" t="s">
        <v>795</v>
      </c>
      <c r="AX11" s="40" t="s">
        <v>789</v>
      </c>
      <c r="AY11" s="40" t="s">
        <v>796</v>
      </c>
      <c r="AZ11" s="40" t="s">
        <v>790</v>
      </c>
      <c r="BA11" s="44"/>
      <c r="BB11" s="40" t="s">
        <v>53</v>
      </c>
      <c r="BC11" s="40" t="s">
        <v>63</v>
      </c>
      <c r="BD11" s="41">
        <v>1</v>
      </c>
      <c r="BE11" s="40" t="s">
        <v>668</v>
      </c>
      <c r="BF11" s="40" t="s">
        <v>365</v>
      </c>
      <c r="BG11" s="40" t="s">
        <v>367</v>
      </c>
      <c r="BH11" s="40" t="s">
        <v>349</v>
      </c>
      <c r="BI11" s="40" t="s">
        <v>53</v>
      </c>
      <c r="BJ11" s="40" t="s">
        <v>307</v>
      </c>
      <c r="BK11" s="40" t="s">
        <v>61</v>
      </c>
      <c r="BL11" s="40" t="s">
        <v>627</v>
      </c>
      <c r="BM11" s="40" t="s">
        <v>59</v>
      </c>
      <c r="BP11" s="13" t="str">
        <f>INDEX(Summary!N:N,MATCH(A11,Summary!A:A,0),1)</f>
        <v>OK</v>
      </c>
      <c r="BQ11" s="89">
        <f>AM11/INDEX('ex rate'!C:C,MATCH(Y11,'ex rate'!A:A,0),1)</f>
        <v>2398.79</v>
      </c>
      <c r="BR11" s="89">
        <f>AO11/INDEX('ex rate'!C:C,MATCH(Z11,'ex rate'!A:A,0),1)</f>
        <v>2398.79</v>
      </c>
      <c r="BS11" t="s">
        <v>787</v>
      </c>
      <c r="BT11" t="s">
        <v>788</v>
      </c>
    </row>
    <row r="12" spans="1:72" ht="15.6" x14ac:dyDescent="0.3">
      <c r="A12" s="12" t="str">
        <f t="shared" si="2"/>
        <v>94854-February</v>
      </c>
      <c r="B12" s="40" t="s">
        <v>558</v>
      </c>
      <c r="C12" s="40" t="s">
        <v>625</v>
      </c>
      <c r="D12" s="40" t="s">
        <v>626</v>
      </c>
      <c r="E12" s="40" t="s">
        <v>627</v>
      </c>
      <c r="F12" s="40" t="s">
        <v>669</v>
      </c>
      <c r="G12" s="40" t="s">
        <v>670</v>
      </c>
      <c r="H12" s="40" t="s">
        <v>671</v>
      </c>
      <c r="I12" s="40" t="s">
        <v>672</v>
      </c>
      <c r="J12" s="40" t="s">
        <v>49</v>
      </c>
      <c r="K12" s="40" t="s">
        <v>50</v>
      </c>
      <c r="L12" s="40" t="s">
        <v>758</v>
      </c>
      <c r="M12" s="40" t="s">
        <v>368</v>
      </c>
      <c r="N12" s="40" t="s">
        <v>368</v>
      </c>
      <c r="O12" s="40" t="s">
        <v>51</v>
      </c>
      <c r="P12" s="40" t="s">
        <v>52</v>
      </c>
      <c r="Q12" s="40" t="s">
        <v>64</v>
      </c>
      <c r="R12" s="40" t="s">
        <v>53</v>
      </c>
      <c r="S12" s="40" t="s">
        <v>54</v>
      </c>
      <c r="T12" s="40" t="s">
        <v>65</v>
      </c>
      <c r="U12" s="40" t="s">
        <v>55</v>
      </c>
      <c r="V12" s="40" t="s">
        <v>56</v>
      </c>
      <c r="W12" s="40" t="s">
        <v>57</v>
      </c>
      <c r="X12" s="40" t="s">
        <v>57</v>
      </c>
      <c r="Y12" s="40" t="s">
        <v>58</v>
      </c>
      <c r="Z12" s="40" t="s">
        <v>58</v>
      </c>
      <c r="AA12" s="40" t="s">
        <v>362</v>
      </c>
      <c r="AB12" s="41">
        <v>2019.13</v>
      </c>
      <c r="AC12" s="41">
        <v>2019.13</v>
      </c>
      <c r="AD12" s="42">
        <v>1</v>
      </c>
      <c r="AE12" s="42">
        <v>1</v>
      </c>
      <c r="AF12" s="42">
        <v>1</v>
      </c>
      <c r="AG12" s="41">
        <v>0.85</v>
      </c>
      <c r="AH12" s="41">
        <v>1</v>
      </c>
      <c r="AI12" s="43">
        <v>0</v>
      </c>
      <c r="AJ12" s="44"/>
      <c r="AK12" s="41">
        <v>2019.13</v>
      </c>
      <c r="AL12" s="41">
        <v>2019.13</v>
      </c>
      <c r="AM12" s="50">
        <v>2019.13</v>
      </c>
      <c r="AN12" s="50">
        <v>2019.13</v>
      </c>
      <c r="AO12" s="50">
        <v>2019.13</v>
      </c>
      <c r="AP12" s="41"/>
      <c r="AQ12" s="42">
        <v>2019.13</v>
      </c>
      <c r="AR12" s="42">
        <v>2019.13</v>
      </c>
      <c r="AS12" s="41">
        <v>0</v>
      </c>
      <c r="AT12" s="42">
        <v>0</v>
      </c>
      <c r="AU12" s="42">
        <v>0</v>
      </c>
      <c r="AV12" s="43">
        <v>0</v>
      </c>
      <c r="AW12" s="40" t="s">
        <v>797</v>
      </c>
      <c r="AX12" s="40" t="s">
        <v>789</v>
      </c>
      <c r="AY12" s="40" t="s">
        <v>798</v>
      </c>
      <c r="AZ12" s="40" t="s">
        <v>790</v>
      </c>
      <c r="BA12" s="44"/>
      <c r="BB12" s="40" t="s">
        <v>53</v>
      </c>
      <c r="BC12" s="40" t="s">
        <v>63</v>
      </c>
      <c r="BD12" s="41">
        <v>1</v>
      </c>
      <c r="BE12" s="40" t="s">
        <v>673</v>
      </c>
      <c r="BF12" s="40" t="s">
        <v>368</v>
      </c>
      <c r="BG12" s="40" t="s">
        <v>369</v>
      </c>
      <c r="BH12" s="40" t="s">
        <v>349</v>
      </c>
      <c r="BI12" s="40" t="s">
        <v>53</v>
      </c>
      <c r="BJ12" s="40" t="s">
        <v>60</v>
      </c>
      <c r="BK12" s="40" t="s">
        <v>61</v>
      </c>
      <c r="BL12" s="40" t="s">
        <v>627</v>
      </c>
      <c r="BM12" s="40" t="s">
        <v>59</v>
      </c>
      <c r="BP12" s="13" t="str">
        <f>INDEX(Summary!N:N,MATCH(A12,Summary!A:A,0),1)</f>
        <v>OK</v>
      </c>
      <c r="BQ12" s="89">
        <f>AM12/INDEX('ex rate'!C:C,MATCH(Y12,'ex rate'!A:A,0),1)</f>
        <v>2019.13</v>
      </c>
      <c r="BR12" s="89">
        <f>AO12/INDEX('ex rate'!C:C,MATCH(Z12,'ex rate'!A:A,0),1)</f>
        <v>2019.13</v>
      </c>
      <c r="BS12" t="s">
        <v>787</v>
      </c>
      <c r="BT12" t="s">
        <v>788</v>
      </c>
    </row>
    <row r="13" spans="1:72" ht="15.6" x14ac:dyDescent="0.3">
      <c r="A13" s="12" t="str">
        <f t="shared" si="2"/>
        <v>29652-February</v>
      </c>
      <c r="B13" s="40" t="s">
        <v>558</v>
      </c>
      <c r="C13" s="40" t="s">
        <v>625</v>
      </c>
      <c r="D13" s="40" t="s">
        <v>626</v>
      </c>
      <c r="E13" s="40" t="s">
        <v>627</v>
      </c>
      <c r="F13" s="40" t="s">
        <v>674</v>
      </c>
      <c r="G13" s="40" t="s">
        <v>675</v>
      </c>
      <c r="H13" s="40" t="s">
        <v>676</v>
      </c>
      <c r="I13" s="40" t="s">
        <v>677</v>
      </c>
      <c r="J13" s="40" t="s">
        <v>49</v>
      </c>
      <c r="K13" s="40" t="s">
        <v>50</v>
      </c>
      <c r="L13" s="40" t="s">
        <v>758</v>
      </c>
      <c r="M13" s="40" t="s">
        <v>354</v>
      </c>
      <c r="N13" s="40" t="s">
        <v>354</v>
      </c>
      <c r="O13" s="40" t="s">
        <v>51</v>
      </c>
      <c r="P13" s="40" t="s">
        <v>52</v>
      </c>
      <c r="Q13" s="40" t="s">
        <v>64</v>
      </c>
      <c r="R13" s="40" t="s">
        <v>53</v>
      </c>
      <c r="S13" s="40" t="s">
        <v>54</v>
      </c>
      <c r="T13" s="40" t="s">
        <v>65</v>
      </c>
      <c r="U13" s="40" t="s">
        <v>55</v>
      </c>
      <c r="V13" s="40" t="s">
        <v>56</v>
      </c>
      <c r="W13" s="40" t="s">
        <v>57</v>
      </c>
      <c r="X13" s="40" t="s">
        <v>57</v>
      </c>
      <c r="Y13" s="40" t="s">
        <v>58</v>
      </c>
      <c r="Z13" s="40" t="s">
        <v>58</v>
      </c>
      <c r="AA13" s="40" t="s">
        <v>355</v>
      </c>
      <c r="AB13" s="41">
        <v>998.79</v>
      </c>
      <c r="AC13" s="41">
        <v>998.79</v>
      </c>
      <c r="AD13" s="42">
        <v>1</v>
      </c>
      <c r="AE13" s="42">
        <v>1</v>
      </c>
      <c r="AF13" s="42">
        <v>1</v>
      </c>
      <c r="AG13" s="41">
        <v>0.85</v>
      </c>
      <c r="AH13" s="41">
        <v>1</v>
      </c>
      <c r="AI13" s="43">
        <v>0</v>
      </c>
      <c r="AJ13" s="44"/>
      <c r="AK13" s="41">
        <v>998.79</v>
      </c>
      <c r="AL13" s="41">
        <v>998.79</v>
      </c>
      <c r="AM13" s="50">
        <v>998.79</v>
      </c>
      <c r="AN13" s="50">
        <v>998.79</v>
      </c>
      <c r="AO13" s="50">
        <v>998.79</v>
      </c>
      <c r="AP13" s="41"/>
      <c r="AQ13" s="42">
        <v>998.79</v>
      </c>
      <c r="AR13" s="42">
        <v>998.79</v>
      </c>
      <c r="AS13" s="41">
        <v>0</v>
      </c>
      <c r="AT13" s="42">
        <v>0</v>
      </c>
      <c r="AU13" s="42">
        <v>0</v>
      </c>
      <c r="AV13" s="43">
        <v>0</v>
      </c>
      <c r="AW13" s="40" t="s">
        <v>799</v>
      </c>
      <c r="AX13" s="40" t="s">
        <v>789</v>
      </c>
      <c r="AY13" s="40" t="s">
        <v>800</v>
      </c>
      <c r="AZ13" s="40" t="s">
        <v>790</v>
      </c>
      <c r="BA13" s="44"/>
      <c r="BB13" s="40" t="s">
        <v>53</v>
      </c>
      <c r="BC13" s="40" t="s">
        <v>63</v>
      </c>
      <c r="BD13" s="41">
        <v>1</v>
      </c>
      <c r="BE13" s="40" t="s">
        <v>678</v>
      </c>
      <c r="BF13" s="40" t="s">
        <v>354</v>
      </c>
      <c r="BG13" s="40" t="s">
        <v>356</v>
      </c>
      <c r="BH13" s="40" t="s">
        <v>349</v>
      </c>
      <c r="BI13" s="40" t="s">
        <v>53</v>
      </c>
      <c r="BJ13" s="40" t="s">
        <v>60</v>
      </c>
      <c r="BK13" s="40" t="s">
        <v>61</v>
      </c>
      <c r="BL13" s="40" t="s">
        <v>627</v>
      </c>
      <c r="BM13" s="40" t="s">
        <v>59</v>
      </c>
      <c r="BP13" s="13" t="str">
        <f>INDEX(Summary!N:N,MATCH(A13,Summary!A:A,0),1)</f>
        <v>OK</v>
      </c>
      <c r="BQ13" s="89">
        <f>AM13/INDEX('ex rate'!C:C,MATCH(Y13,'ex rate'!A:A,0),1)</f>
        <v>998.79</v>
      </c>
      <c r="BR13" s="89">
        <f>AO13/INDEX('ex rate'!C:C,MATCH(Z13,'ex rate'!A:A,0),1)</f>
        <v>998.79</v>
      </c>
      <c r="BS13" t="s">
        <v>787</v>
      </c>
      <c r="BT13" t="s">
        <v>788</v>
      </c>
    </row>
    <row r="14" spans="1:72" ht="15.6" x14ac:dyDescent="0.3">
      <c r="A14" s="12" t="str">
        <f t="shared" si="2"/>
        <v>39798-February</v>
      </c>
      <c r="B14" s="40" t="s">
        <v>558</v>
      </c>
      <c r="C14" s="40" t="s">
        <v>625</v>
      </c>
      <c r="D14" s="40" t="s">
        <v>626</v>
      </c>
      <c r="E14" s="40" t="s">
        <v>627</v>
      </c>
      <c r="F14" s="40" t="s">
        <v>679</v>
      </c>
      <c r="G14" s="40" t="s">
        <v>680</v>
      </c>
      <c r="H14" s="40" t="s">
        <v>681</v>
      </c>
      <c r="I14" s="40" t="s">
        <v>682</v>
      </c>
      <c r="J14" s="40" t="s">
        <v>49</v>
      </c>
      <c r="K14" s="40" t="s">
        <v>50</v>
      </c>
      <c r="L14" s="40" t="s">
        <v>758</v>
      </c>
      <c r="M14" s="40" t="s">
        <v>301</v>
      </c>
      <c r="N14" s="40" t="s">
        <v>301</v>
      </c>
      <c r="O14" s="40" t="s">
        <v>51</v>
      </c>
      <c r="P14" s="40" t="s">
        <v>52</v>
      </c>
      <c r="Q14" s="40" t="s">
        <v>64</v>
      </c>
      <c r="R14" s="40" t="s">
        <v>53</v>
      </c>
      <c r="S14" s="40" t="s">
        <v>54</v>
      </c>
      <c r="T14" s="40" t="s">
        <v>65</v>
      </c>
      <c r="U14" s="40" t="s">
        <v>55</v>
      </c>
      <c r="V14" s="40" t="s">
        <v>56</v>
      </c>
      <c r="W14" s="40" t="s">
        <v>57</v>
      </c>
      <c r="X14" s="40" t="s">
        <v>57</v>
      </c>
      <c r="Y14" s="40" t="s">
        <v>58</v>
      </c>
      <c r="Z14" s="40" t="s">
        <v>58</v>
      </c>
      <c r="AA14" s="40" t="s">
        <v>302</v>
      </c>
      <c r="AB14" s="41">
        <v>993</v>
      </c>
      <c r="AC14" s="41">
        <v>993</v>
      </c>
      <c r="AD14" s="42">
        <v>1</v>
      </c>
      <c r="AE14" s="42">
        <v>1</v>
      </c>
      <c r="AF14" s="42">
        <v>1</v>
      </c>
      <c r="AG14" s="41">
        <v>0.85</v>
      </c>
      <c r="AH14" s="41">
        <v>1</v>
      </c>
      <c r="AI14" s="43">
        <v>0</v>
      </c>
      <c r="AJ14" s="44"/>
      <c r="AK14" s="41">
        <v>993</v>
      </c>
      <c r="AL14" s="41">
        <v>993</v>
      </c>
      <c r="AM14" s="50">
        <v>993</v>
      </c>
      <c r="AN14" s="50">
        <v>993</v>
      </c>
      <c r="AO14" s="50">
        <v>993</v>
      </c>
      <c r="AP14" s="44"/>
      <c r="AQ14" s="42">
        <v>993</v>
      </c>
      <c r="AR14" s="42">
        <v>993</v>
      </c>
      <c r="AS14" s="41">
        <v>0</v>
      </c>
      <c r="AT14" s="42">
        <v>0</v>
      </c>
      <c r="AU14" s="42">
        <v>0</v>
      </c>
      <c r="AV14" s="43">
        <v>0</v>
      </c>
      <c r="AW14" s="40" t="s">
        <v>801</v>
      </c>
      <c r="AX14" s="40" t="s">
        <v>789</v>
      </c>
      <c r="AY14" s="40" t="s">
        <v>802</v>
      </c>
      <c r="AZ14" s="40" t="s">
        <v>790</v>
      </c>
      <c r="BA14" s="44"/>
      <c r="BB14" s="40" t="s">
        <v>53</v>
      </c>
      <c r="BC14" s="40" t="s">
        <v>63</v>
      </c>
      <c r="BD14" s="41">
        <v>1</v>
      </c>
      <c r="BE14" s="40" t="s">
        <v>683</v>
      </c>
      <c r="BF14" s="40" t="s">
        <v>301</v>
      </c>
      <c r="BG14" s="40" t="s">
        <v>303</v>
      </c>
      <c r="BH14" s="40" t="s">
        <v>349</v>
      </c>
      <c r="BI14" s="40" t="s">
        <v>53</v>
      </c>
      <c r="BJ14" s="40" t="s">
        <v>60</v>
      </c>
      <c r="BK14" s="40" t="s">
        <v>61</v>
      </c>
      <c r="BL14" s="40" t="s">
        <v>627</v>
      </c>
      <c r="BM14" s="40" t="s">
        <v>59</v>
      </c>
      <c r="BP14" s="13" t="str">
        <f>INDEX(Summary!N:N,MATCH(A14,Summary!A:A,0),1)</f>
        <v>OK</v>
      </c>
      <c r="BQ14" s="89">
        <f>AM14/INDEX('ex rate'!C:C,MATCH(Y14,'ex rate'!A:A,0),1)</f>
        <v>993</v>
      </c>
      <c r="BR14" s="89">
        <f>AO14/INDEX('ex rate'!C:C,MATCH(Z14,'ex rate'!A:A,0),1)</f>
        <v>993</v>
      </c>
      <c r="BS14" t="s">
        <v>787</v>
      </c>
      <c r="BT14" t="s">
        <v>788</v>
      </c>
    </row>
    <row r="15" spans="1:72" ht="15.6" x14ac:dyDescent="0.3">
      <c r="A15" s="12" t="str">
        <f t="shared" si="2"/>
        <v>106852-February</v>
      </c>
      <c r="B15" s="40" t="s">
        <v>558</v>
      </c>
      <c r="C15" s="40" t="s">
        <v>625</v>
      </c>
      <c r="D15" s="40" t="s">
        <v>626</v>
      </c>
      <c r="E15" s="40" t="s">
        <v>627</v>
      </c>
      <c r="F15" s="40" t="s">
        <v>684</v>
      </c>
      <c r="G15" s="40" t="s">
        <v>685</v>
      </c>
      <c r="H15" s="40" t="s">
        <v>686</v>
      </c>
      <c r="I15" s="40" t="s">
        <v>687</v>
      </c>
      <c r="J15" s="40" t="s">
        <v>49</v>
      </c>
      <c r="K15" s="40" t="s">
        <v>50</v>
      </c>
      <c r="L15" s="40" t="s">
        <v>758</v>
      </c>
      <c r="M15" s="40" t="s">
        <v>577</v>
      </c>
      <c r="N15" s="40" t="s">
        <v>577</v>
      </c>
      <c r="O15" s="40" t="s">
        <v>51</v>
      </c>
      <c r="P15" s="40" t="s">
        <v>52</v>
      </c>
      <c r="Q15" s="40" t="s">
        <v>64</v>
      </c>
      <c r="R15" s="40" t="s">
        <v>53</v>
      </c>
      <c r="S15" s="40" t="s">
        <v>54</v>
      </c>
      <c r="T15" s="40" t="s">
        <v>65</v>
      </c>
      <c r="U15" s="40" t="s">
        <v>55</v>
      </c>
      <c r="V15" s="40" t="s">
        <v>56</v>
      </c>
      <c r="W15" s="40" t="s">
        <v>57</v>
      </c>
      <c r="X15" s="40" t="s">
        <v>57</v>
      </c>
      <c r="Y15" s="40" t="s">
        <v>58</v>
      </c>
      <c r="Z15" s="40" t="s">
        <v>58</v>
      </c>
      <c r="AA15" s="40" t="s">
        <v>553</v>
      </c>
      <c r="AB15" s="41">
        <v>2000</v>
      </c>
      <c r="AC15" s="41">
        <v>2000</v>
      </c>
      <c r="AD15" s="42">
        <v>1</v>
      </c>
      <c r="AE15" s="42">
        <v>1</v>
      </c>
      <c r="AF15" s="42">
        <v>1</v>
      </c>
      <c r="AG15" s="41">
        <v>0.85</v>
      </c>
      <c r="AH15" s="41">
        <v>1</v>
      </c>
      <c r="AI15" s="43">
        <v>0</v>
      </c>
      <c r="AJ15" s="44"/>
      <c r="AK15" s="41">
        <v>2000</v>
      </c>
      <c r="AL15" s="41">
        <v>2000</v>
      </c>
      <c r="AM15" s="50">
        <v>2000</v>
      </c>
      <c r="AN15" s="50">
        <v>2000</v>
      </c>
      <c r="AO15" s="50">
        <v>2000</v>
      </c>
      <c r="AP15" s="44"/>
      <c r="AQ15" s="42">
        <v>2000</v>
      </c>
      <c r="AR15" s="42">
        <v>2000</v>
      </c>
      <c r="AS15" s="41">
        <v>0</v>
      </c>
      <c r="AT15" s="42">
        <v>0</v>
      </c>
      <c r="AU15" s="42">
        <v>0</v>
      </c>
      <c r="AV15" s="43">
        <v>0</v>
      </c>
      <c r="AW15" s="40" t="s">
        <v>803</v>
      </c>
      <c r="AX15" s="40" t="s">
        <v>789</v>
      </c>
      <c r="AY15" s="40" t="s">
        <v>804</v>
      </c>
      <c r="AZ15" s="40" t="s">
        <v>790</v>
      </c>
      <c r="BA15" s="44"/>
      <c r="BB15" s="40" t="s">
        <v>53</v>
      </c>
      <c r="BC15" s="40" t="s">
        <v>63</v>
      </c>
      <c r="BD15" s="41">
        <v>1</v>
      </c>
      <c r="BE15" s="40" t="s">
        <v>688</v>
      </c>
      <c r="BF15" s="40" t="s">
        <v>577</v>
      </c>
      <c r="BG15" s="40" t="s">
        <v>578</v>
      </c>
      <c r="BH15" s="40" t="s">
        <v>349</v>
      </c>
      <c r="BI15" s="40" t="s">
        <v>53</v>
      </c>
      <c r="BJ15" s="40" t="s">
        <v>60</v>
      </c>
      <c r="BK15" s="40" t="s">
        <v>61</v>
      </c>
      <c r="BL15" s="40" t="s">
        <v>627</v>
      </c>
      <c r="BM15" s="40" t="s">
        <v>59</v>
      </c>
      <c r="BP15" s="13" t="str">
        <f>INDEX(Summary!N:N,MATCH(A15,Summary!A:A,0),1)</f>
        <v>OK</v>
      </c>
      <c r="BQ15" s="89">
        <f>AM15/INDEX('ex rate'!C:C,MATCH(Y15,'ex rate'!A:A,0),1)</f>
        <v>2000</v>
      </c>
      <c r="BR15" s="89">
        <f>AO15/INDEX('ex rate'!C:C,MATCH(Z15,'ex rate'!A:A,0),1)</f>
        <v>2000</v>
      </c>
      <c r="BS15" t="s">
        <v>787</v>
      </c>
      <c r="BT15" t="s">
        <v>788</v>
      </c>
    </row>
    <row r="16" spans="1:72" ht="15.6" x14ac:dyDescent="0.3">
      <c r="A16" s="12" t="str">
        <f t="shared" si="2"/>
        <v>115210-February</v>
      </c>
      <c r="B16" s="40" t="s">
        <v>558</v>
      </c>
      <c r="C16" s="40" t="s">
        <v>625</v>
      </c>
      <c r="D16" s="40" t="s">
        <v>626</v>
      </c>
      <c r="E16" s="40" t="s">
        <v>627</v>
      </c>
      <c r="F16" s="40" t="s">
        <v>689</v>
      </c>
      <c r="G16" s="40" t="s">
        <v>690</v>
      </c>
      <c r="H16" s="40" t="s">
        <v>691</v>
      </c>
      <c r="I16" s="40" t="s">
        <v>692</v>
      </c>
      <c r="J16" s="40" t="s">
        <v>49</v>
      </c>
      <c r="K16" s="40" t="s">
        <v>50</v>
      </c>
      <c r="L16" s="40" t="s">
        <v>758</v>
      </c>
      <c r="M16" s="40" t="s">
        <v>574</v>
      </c>
      <c r="N16" s="40" t="s">
        <v>574</v>
      </c>
      <c r="O16" s="40" t="s">
        <v>51</v>
      </c>
      <c r="P16" s="40" t="s">
        <v>52</v>
      </c>
      <c r="Q16" s="40" t="s">
        <v>64</v>
      </c>
      <c r="R16" s="40" t="s">
        <v>53</v>
      </c>
      <c r="S16" s="40" t="s">
        <v>54</v>
      </c>
      <c r="T16" s="40" t="s">
        <v>65</v>
      </c>
      <c r="U16" s="40" t="s">
        <v>55</v>
      </c>
      <c r="V16" s="40" t="s">
        <v>56</v>
      </c>
      <c r="W16" s="40" t="s">
        <v>57</v>
      </c>
      <c r="X16" s="40" t="s">
        <v>57</v>
      </c>
      <c r="Y16" s="40" t="s">
        <v>58</v>
      </c>
      <c r="Z16" s="40" t="s">
        <v>58</v>
      </c>
      <c r="AA16" s="40" t="s">
        <v>547</v>
      </c>
      <c r="AB16" s="41">
        <v>3000</v>
      </c>
      <c r="AC16" s="41">
        <v>3000</v>
      </c>
      <c r="AD16" s="42">
        <v>1</v>
      </c>
      <c r="AE16" s="42">
        <v>1</v>
      </c>
      <c r="AF16" s="42">
        <v>1</v>
      </c>
      <c r="AG16" s="41">
        <v>0.91</v>
      </c>
      <c r="AH16" s="41">
        <v>1</v>
      </c>
      <c r="AI16" s="43">
        <v>0</v>
      </c>
      <c r="AJ16" s="44"/>
      <c r="AK16" s="41">
        <v>3000</v>
      </c>
      <c r="AL16" s="41">
        <v>3000</v>
      </c>
      <c r="AM16" s="50">
        <v>3000</v>
      </c>
      <c r="AN16" s="50">
        <v>3000</v>
      </c>
      <c r="AO16" s="50">
        <v>3000</v>
      </c>
      <c r="AP16" s="44"/>
      <c r="AQ16" s="42">
        <v>3000</v>
      </c>
      <c r="AR16" s="42">
        <v>3000</v>
      </c>
      <c r="AS16" s="41">
        <v>0</v>
      </c>
      <c r="AT16" s="42">
        <v>0</v>
      </c>
      <c r="AU16" s="42">
        <v>0</v>
      </c>
      <c r="AV16" s="43">
        <v>0</v>
      </c>
      <c r="AW16" s="40" t="s">
        <v>805</v>
      </c>
      <c r="AX16" s="40" t="s">
        <v>789</v>
      </c>
      <c r="AY16" s="40" t="s">
        <v>806</v>
      </c>
      <c r="AZ16" s="40" t="s">
        <v>790</v>
      </c>
      <c r="BA16" s="44"/>
      <c r="BB16" s="40" t="s">
        <v>53</v>
      </c>
      <c r="BC16" s="40" t="s">
        <v>63</v>
      </c>
      <c r="BD16" s="41">
        <v>1</v>
      </c>
      <c r="BE16" s="40" t="s">
        <v>693</v>
      </c>
      <c r="BF16" s="40" t="s">
        <v>574</v>
      </c>
      <c r="BG16" s="40" t="s">
        <v>576</v>
      </c>
      <c r="BH16" s="40" t="s">
        <v>349</v>
      </c>
      <c r="BI16" s="40" t="s">
        <v>53</v>
      </c>
      <c r="BJ16" s="40" t="s">
        <v>60</v>
      </c>
      <c r="BK16" s="40" t="s">
        <v>61</v>
      </c>
      <c r="BL16" s="40" t="s">
        <v>627</v>
      </c>
      <c r="BM16" s="40" t="s">
        <v>59</v>
      </c>
      <c r="BP16" s="13" t="str">
        <f>INDEX(Summary!N:N,MATCH(A16,Summary!A:A,0),1)</f>
        <v>OK</v>
      </c>
      <c r="BQ16" s="89">
        <f>AM16/INDEX('ex rate'!C:C,MATCH(Y16,'ex rate'!A:A,0),1)</f>
        <v>3000</v>
      </c>
      <c r="BR16" s="89">
        <f>AO16/INDEX('ex rate'!C:C,MATCH(Z16,'ex rate'!A:A,0),1)</f>
        <v>3000</v>
      </c>
      <c r="BS16" t="s">
        <v>787</v>
      </c>
      <c r="BT16" t="s">
        <v>788</v>
      </c>
    </row>
    <row r="17" spans="1:72" ht="15.6" x14ac:dyDescent="0.3">
      <c r="A17" s="12" t="str">
        <f t="shared" si="2"/>
        <v>55367-February</v>
      </c>
      <c r="B17" s="40" t="s">
        <v>558</v>
      </c>
      <c r="C17" s="40" t="s">
        <v>625</v>
      </c>
      <c r="D17" s="40" t="s">
        <v>626</v>
      </c>
      <c r="E17" s="40" t="s">
        <v>627</v>
      </c>
      <c r="F17" s="40" t="s">
        <v>694</v>
      </c>
      <c r="G17" s="40" t="s">
        <v>695</v>
      </c>
      <c r="H17" s="40" t="s">
        <v>696</v>
      </c>
      <c r="I17" s="40" t="s">
        <v>697</v>
      </c>
      <c r="J17" s="40" t="s">
        <v>49</v>
      </c>
      <c r="K17" s="40" t="s">
        <v>50</v>
      </c>
      <c r="L17" s="40" t="s">
        <v>758</v>
      </c>
      <c r="M17" s="40" t="s">
        <v>377</v>
      </c>
      <c r="N17" s="40" t="s">
        <v>370</v>
      </c>
      <c r="O17" s="40" t="s">
        <v>51</v>
      </c>
      <c r="P17" s="40" t="s">
        <v>52</v>
      </c>
      <c r="Q17" s="40" t="s">
        <v>64</v>
      </c>
      <c r="R17" s="40" t="s">
        <v>53</v>
      </c>
      <c r="S17" s="40" t="s">
        <v>54</v>
      </c>
      <c r="T17" s="40" t="s">
        <v>65</v>
      </c>
      <c r="U17" s="40" t="s">
        <v>55</v>
      </c>
      <c r="V17" s="40" t="s">
        <v>56</v>
      </c>
      <c r="W17" s="40" t="s">
        <v>57</v>
      </c>
      <c r="X17" s="40" t="s">
        <v>57</v>
      </c>
      <c r="Y17" s="40" t="s">
        <v>58</v>
      </c>
      <c r="Z17" s="40" t="s">
        <v>58</v>
      </c>
      <c r="AA17" s="40" t="s">
        <v>299</v>
      </c>
      <c r="AB17" s="41">
        <v>6300</v>
      </c>
      <c r="AC17" s="41">
        <v>6300</v>
      </c>
      <c r="AD17" s="42">
        <v>1</v>
      </c>
      <c r="AE17" s="42">
        <v>1</v>
      </c>
      <c r="AF17" s="42">
        <v>1</v>
      </c>
      <c r="AG17" s="41">
        <v>0.85</v>
      </c>
      <c r="AH17" s="41">
        <v>1</v>
      </c>
      <c r="AI17" s="43">
        <v>0</v>
      </c>
      <c r="AJ17" s="44"/>
      <c r="AK17" s="41">
        <v>6300</v>
      </c>
      <c r="AL17" s="41">
        <v>6300</v>
      </c>
      <c r="AM17" s="50">
        <v>6300</v>
      </c>
      <c r="AN17" s="50">
        <v>6300</v>
      </c>
      <c r="AO17" s="50">
        <v>6300</v>
      </c>
      <c r="AP17" s="44"/>
      <c r="AQ17" s="42">
        <v>6300</v>
      </c>
      <c r="AR17" s="42">
        <v>6300</v>
      </c>
      <c r="AS17" s="41">
        <v>0</v>
      </c>
      <c r="AT17" s="42">
        <v>0</v>
      </c>
      <c r="AU17" s="42">
        <v>0</v>
      </c>
      <c r="AV17" s="43">
        <v>0</v>
      </c>
      <c r="AW17" s="40" t="s">
        <v>807</v>
      </c>
      <c r="AX17" s="40" t="s">
        <v>789</v>
      </c>
      <c r="AY17" s="40" t="s">
        <v>808</v>
      </c>
      <c r="AZ17" s="40" t="s">
        <v>790</v>
      </c>
      <c r="BA17" s="44"/>
      <c r="BB17" s="40" t="s">
        <v>53</v>
      </c>
      <c r="BC17" s="40" t="s">
        <v>63</v>
      </c>
      <c r="BD17" s="41">
        <v>1</v>
      </c>
      <c r="BE17" s="40" t="s">
        <v>698</v>
      </c>
      <c r="BF17" s="40" t="s">
        <v>377</v>
      </c>
      <c r="BG17" s="40" t="s">
        <v>300</v>
      </c>
      <c r="BH17" s="40" t="s">
        <v>349</v>
      </c>
      <c r="BI17" s="40" t="s">
        <v>53</v>
      </c>
      <c r="BJ17" s="40" t="s">
        <v>60</v>
      </c>
      <c r="BK17" s="40" t="s">
        <v>61</v>
      </c>
      <c r="BL17" s="40" t="s">
        <v>627</v>
      </c>
      <c r="BM17" s="40" t="s">
        <v>59</v>
      </c>
      <c r="BP17" s="13" t="str">
        <f>INDEX(Summary!N:N,MATCH(A17,Summary!A:A,0),1)</f>
        <v>OK</v>
      </c>
      <c r="BQ17" s="89">
        <f>AM17/INDEX('ex rate'!C:C,MATCH(Y17,'ex rate'!A:A,0),1)</f>
        <v>6300</v>
      </c>
      <c r="BR17" s="89">
        <f>AO17/INDEX('ex rate'!C:C,MATCH(Z17,'ex rate'!A:A,0),1)</f>
        <v>6300</v>
      </c>
      <c r="BS17" t="s">
        <v>787</v>
      </c>
      <c r="BT17" t="s">
        <v>788</v>
      </c>
    </row>
    <row r="18" spans="1:72" ht="15.6" x14ac:dyDescent="0.3">
      <c r="A18" s="12" t="str">
        <f t="shared" si="2"/>
        <v>107434-February</v>
      </c>
      <c r="B18" s="40" t="s">
        <v>558</v>
      </c>
      <c r="C18" s="40" t="s">
        <v>625</v>
      </c>
      <c r="D18" s="40" t="s">
        <v>626</v>
      </c>
      <c r="E18" s="40" t="s">
        <v>627</v>
      </c>
      <c r="F18" s="40" t="s">
        <v>699</v>
      </c>
      <c r="G18" s="40" t="s">
        <v>700</v>
      </c>
      <c r="H18" s="40" t="s">
        <v>701</v>
      </c>
      <c r="I18" s="40" t="s">
        <v>702</v>
      </c>
      <c r="J18" s="40" t="s">
        <v>49</v>
      </c>
      <c r="K18" s="40" t="s">
        <v>50</v>
      </c>
      <c r="L18" s="40" t="s">
        <v>758</v>
      </c>
      <c r="M18" s="40" t="s">
        <v>703</v>
      </c>
      <c r="N18" s="40" t="s">
        <v>704</v>
      </c>
      <c r="O18" s="40" t="s">
        <v>51</v>
      </c>
      <c r="P18" s="40" t="s">
        <v>52</v>
      </c>
      <c r="Q18" s="40" t="s">
        <v>64</v>
      </c>
      <c r="R18" s="40" t="s">
        <v>53</v>
      </c>
      <c r="S18" s="40" t="s">
        <v>54</v>
      </c>
      <c r="T18" s="40" t="s">
        <v>65</v>
      </c>
      <c r="U18" s="40" t="s">
        <v>55</v>
      </c>
      <c r="V18" s="40" t="s">
        <v>56</v>
      </c>
      <c r="W18" s="40" t="s">
        <v>57</v>
      </c>
      <c r="X18" s="40" t="s">
        <v>57</v>
      </c>
      <c r="Y18" s="40" t="s">
        <v>58</v>
      </c>
      <c r="Z18" s="40" t="s">
        <v>58</v>
      </c>
      <c r="AA18" s="40" t="s">
        <v>620</v>
      </c>
      <c r="AB18" s="41">
        <v>848.2</v>
      </c>
      <c r="AC18" s="41">
        <v>848.2</v>
      </c>
      <c r="AD18" s="42">
        <v>1</v>
      </c>
      <c r="AE18" s="42">
        <v>1</v>
      </c>
      <c r="AF18" s="42">
        <v>1</v>
      </c>
      <c r="AG18" s="41">
        <v>0.85</v>
      </c>
      <c r="AH18" s="41">
        <v>1</v>
      </c>
      <c r="AI18" s="43">
        <v>0</v>
      </c>
      <c r="AJ18" s="44"/>
      <c r="AK18" s="41">
        <v>848.2</v>
      </c>
      <c r="AL18" s="41">
        <v>848.2</v>
      </c>
      <c r="AM18" s="50">
        <v>848.2</v>
      </c>
      <c r="AN18" s="50">
        <v>848.2</v>
      </c>
      <c r="AO18" s="50">
        <v>848.2</v>
      </c>
      <c r="AP18" s="44"/>
      <c r="AQ18" s="42">
        <v>848.2</v>
      </c>
      <c r="AR18" s="42">
        <v>848.2</v>
      </c>
      <c r="AS18" s="41">
        <v>0</v>
      </c>
      <c r="AT18" s="42">
        <v>0</v>
      </c>
      <c r="AU18" s="42">
        <v>0</v>
      </c>
      <c r="AV18" s="43">
        <v>0</v>
      </c>
      <c r="AW18" s="40" t="s">
        <v>809</v>
      </c>
      <c r="AX18" s="40" t="s">
        <v>789</v>
      </c>
      <c r="AY18" s="40" t="s">
        <v>810</v>
      </c>
      <c r="AZ18" s="40" t="s">
        <v>790</v>
      </c>
      <c r="BA18" s="44"/>
      <c r="BB18" s="40" t="s">
        <v>53</v>
      </c>
      <c r="BC18" s="40" t="s">
        <v>63</v>
      </c>
      <c r="BD18" s="41">
        <v>1</v>
      </c>
      <c r="BE18" s="40" t="s">
        <v>705</v>
      </c>
      <c r="BF18" s="40" t="s">
        <v>703</v>
      </c>
      <c r="BG18" s="40" t="s">
        <v>290</v>
      </c>
      <c r="BH18" s="40" t="s">
        <v>349</v>
      </c>
      <c r="BI18" s="40" t="s">
        <v>53</v>
      </c>
      <c r="BJ18" s="40" t="s">
        <v>60</v>
      </c>
      <c r="BK18" s="40" t="s">
        <v>61</v>
      </c>
      <c r="BL18" s="40" t="s">
        <v>627</v>
      </c>
      <c r="BM18" s="40" t="s">
        <v>59</v>
      </c>
      <c r="BP18" s="13" t="str">
        <f>INDEX(Summary!N:N,MATCH(A18,Summary!A:A,0),1)</f>
        <v>OK</v>
      </c>
      <c r="BQ18" s="89">
        <f>AM18/INDEX('ex rate'!C:C,MATCH(Y18,'ex rate'!A:A,0),1)</f>
        <v>848.2</v>
      </c>
      <c r="BR18" s="89">
        <f>AO18/INDEX('ex rate'!C:C,MATCH(Z18,'ex rate'!A:A,0),1)</f>
        <v>848.2</v>
      </c>
      <c r="BS18" t="s">
        <v>787</v>
      </c>
      <c r="BT18" t="s">
        <v>788</v>
      </c>
    </row>
    <row r="19" spans="1:72" ht="15.6" x14ac:dyDescent="0.3">
      <c r="A19" s="12" t="str">
        <f t="shared" si="2"/>
        <v>41643-February</v>
      </c>
      <c r="B19" s="40" t="s">
        <v>558</v>
      </c>
      <c r="C19" s="40" t="s">
        <v>625</v>
      </c>
      <c r="D19" s="40" t="s">
        <v>626</v>
      </c>
      <c r="E19" s="40" t="s">
        <v>627</v>
      </c>
      <c r="F19" s="40" t="s">
        <v>706</v>
      </c>
      <c r="G19" s="40" t="s">
        <v>707</v>
      </c>
      <c r="H19" s="40" t="s">
        <v>708</v>
      </c>
      <c r="I19" s="40" t="s">
        <v>709</v>
      </c>
      <c r="J19" s="40" t="s">
        <v>49</v>
      </c>
      <c r="K19" s="40" t="s">
        <v>50</v>
      </c>
      <c r="L19" s="40" t="s">
        <v>758</v>
      </c>
      <c r="M19" s="40" t="s">
        <v>296</v>
      </c>
      <c r="N19" s="40" t="s">
        <v>296</v>
      </c>
      <c r="O19" s="40" t="s">
        <v>51</v>
      </c>
      <c r="P19" s="40" t="s">
        <v>52</v>
      </c>
      <c r="Q19" s="40" t="s">
        <v>64</v>
      </c>
      <c r="R19" s="40" t="s">
        <v>53</v>
      </c>
      <c r="S19" s="40" t="s">
        <v>54</v>
      </c>
      <c r="T19" s="40" t="s">
        <v>65</v>
      </c>
      <c r="U19" s="40" t="s">
        <v>55</v>
      </c>
      <c r="V19" s="40" t="s">
        <v>56</v>
      </c>
      <c r="W19" s="40" t="s">
        <v>57</v>
      </c>
      <c r="X19" s="40" t="s">
        <v>57</v>
      </c>
      <c r="Y19" s="40" t="s">
        <v>58</v>
      </c>
      <c r="Z19" s="40" t="s">
        <v>58</v>
      </c>
      <c r="AA19" s="40" t="s">
        <v>297</v>
      </c>
      <c r="AB19" s="41">
        <v>2771.71</v>
      </c>
      <c r="AC19" s="41">
        <v>2771.71</v>
      </c>
      <c r="AD19" s="42">
        <v>1</v>
      </c>
      <c r="AE19" s="42">
        <v>1</v>
      </c>
      <c r="AF19" s="42">
        <v>1</v>
      </c>
      <c r="AG19" s="41">
        <v>0.85</v>
      </c>
      <c r="AH19" s="41">
        <v>1</v>
      </c>
      <c r="AI19" s="43">
        <v>0</v>
      </c>
      <c r="AJ19" s="44"/>
      <c r="AK19" s="41">
        <v>2771.71</v>
      </c>
      <c r="AL19" s="41">
        <v>2771.71</v>
      </c>
      <c r="AM19" s="50">
        <v>2771.71</v>
      </c>
      <c r="AN19" s="50">
        <v>2771.71</v>
      </c>
      <c r="AO19" s="50">
        <v>2771.71</v>
      </c>
      <c r="AP19" s="44"/>
      <c r="AQ19" s="42">
        <v>2771.71</v>
      </c>
      <c r="AR19" s="42">
        <v>2771.71</v>
      </c>
      <c r="AS19" s="41">
        <v>0</v>
      </c>
      <c r="AT19" s="42">
        <v>0</v>
      </c>
      <c r="AU19" s="42">
        <v>0</v>
      </c>
      <c r="AV19" s="43">
        <v>0</v>
      </c>
      <c r="AW19" s="40" t="s">
        <v>811</v>
      </c>
      <c r="AX19" s="40" t="s">
        <v>789</v>
      </c>
      <c r="AY19" s="40" t="s">
        <v>812</v>
      </c>
      <c r="AZ19" s="40" t="s">
        <v>790</v>
      </c>
      <c r="BA19" s="44"/>
      <c r="BB19" s="40" t="s">
        <v>53</v>
      </c>
      <c r="BC19" s="40" t="s">
        <v>63</v>
      </c>
      <c r="BD19" s="41">
        <v>1</v>
      </c>
      <c r="BE19" s="40" t="s">
        <v>710</v>
      </c>
      <c r="BF19" s="40" t="s">
        <v>296</v>
      </c>
      <c r="BG19" s="40" t="s">
        <v>298</v>
      </c>
      <c r="BH19" s="40" t="s">
        <v>349</v>
      </c>
      <c r="BI19" s="40" t="s">
        <v>53</v>
      </c>
      <c r="BJ19" s="40" t="s">
        <v>60</v>
      </c>
      <c r="BK19" s="40" t="s">
        <v>61</v>
      </c>
      <c r="BL19" s="40" t="s">
        <v>627</v>
      </c>
      <c r="BM19" s="40" t="s">
        <v>59</v>
      </c>
      <c r="BP19" s="13" t="str">
        <f>INDEX(Summary!N:N,MATCH(A19,Summary!A:A,0),1)</f>
        <v>OK</v>
      </c>
      <c r="BQ19" s="89">
        <f>AM19/INDEX('ex rate'!C:C,MATCH(Y19,'ex rate'!A:A,0),1)</f>
        <v>2771.71</v>
      </c>
      <c r="BR19" s="89">
        <f>AO19/INDEX('ex rate'!C:C,MATCH(Z19,'ex rate'!A:A,0),1)</f>
        <v>2771.71</v>
      </c>
      <c r="BS19" t="s">
        <v>787</v>
      </c>
      <c r="BT19" t="s">
        <v>788</v>
      </c>
    </row>
    <row r="20" spans="1:72" ht="15.6" x14ac:dyDescent="0.3">
      <c r="A20" s="12" t="str">
        <f t="shared" ref="A20:A30" si="3">+AA20&amp;"-"&amp;C20</f>
        <v>117067-February</v>
      </c>
      <c r="B20" s="40" t="s">
        <v>558</v>
      </c>
      <c r="C20" s="40" t="s">
        <v>625</v>
      </c>
      <c r="D20" s="40" t="s">
        <v>626</v>
      </c>
      <c r="E20" s="40" t="s">
        <v>627</v>
      </c>
      <c r="F20" s="40" t="s">
        <v>711</v>
      </c>
      <c r="G20" s="40" t="s">
        <v>712</v>
      </c>
      <c r="H20" s="40" t="s">
        <v>713</v>
      </c>
      <c r="I20" s="40" t="s">
        <v>714</v>
      </c>
      <c r="J20" s="40" t="s">
        <v>49</v>
      </c>
      <c r="K20" s="40" t="s">
        <v>50</v>
      </c>
      <c r="L20" s="40" t="s">
        <v>758</v>
      </c>
      <c r="M20" s="40" t="s">
        <v>350</v>
      </c>
      <c r="N20" s="40" t="s">
        <v>351</v>
      </c>
      <c r="O20" s="40" t="s">
        <v>51</v>
      </c>
      <c r="P20" s="40" t="s">
        <v>52</v>
      </c>
      <c r="Q20" s="40" t="s">
        <v>64</v>
      </c>
      <c r="R20" s="40" t="s">
        <v>53</v>
      </c>
      <c r="S20" s="40" t="s">
        <v>54</v>
      </c>
      <c r="T20" s="40" t="s">
        <v>65</v>
      </c>
      <c r="U20" s="40" t="s">
        <v>55</v>
      </c>
      <c r="V20" s="40" t="s">
        <v>56</v>
      </c>
      <c r="W20" s="40" t="s">
        <v>57</v>
      </c>
      <c r="X20" s="40" t="s">
        <v>57</v>
      </c>
      <c r="Y20" s="40" t="s">
        <v>58</v>
      </c>
      <c r="Z20" s="40" t="s">
        <v>58</v>
      </c>
      <c r="AA20" s="40" t="s">
        <v>352</v>
      </c>
      <c r="AB20" s="41">
        <v>5184.83</v>
      </c>
      <c r="AC20" s="41">
        <v>5184.83</v>
      </c>
      <c r="AD20" s="42">
        <v>1</v>
      </c>
      <c r="AE20" s="42">
        <v>1</v>
      </c>
      <c r="AF20" s="42">
        <v>1</v>
      </c>
      <c r="AG20" s="41">
        <v>0.91</v>
      </c>
      <c r="AH20" s="41">
        <v>1</v>
      </c>
      <c r="AI20" s="43">
        <v>0</v>
      </c>
      <c r="AJ20" s="44"/>
      <c r="AK20" s="41">
        <v>5184.83</v>
      </c>
      <c r="AL20" s="41">
        <v>5184.83</v>
      </c>
      <c r="AM20" s="50">
        <v>5184.83</v>
      </c>
      <c r="AN20" s="50">
        <v>5184.83</v>
      </c>
      <c r="AO20" s="50">
        <v>5184.83</v>
      </c>
      <c r="AP20" s="44"/>
      <c r="AQ20" s="42">
        <v>5184.83</v>
      </c>
      <c r="AR20" s="42">
        <v>5184.83</v>
      </c>
      <c r="AS20" s="41">
        <v>0</v>
      </c>
      <c r="AT20" s="42">
        <v>0</v>
      </c>
      <c r="AU20" s="42">
        <v>0</v>
      </c>
      <c r="AV20" s="43">
        <v>0</v>
      </c>
      <c r="AW20" s="40" t="s">
        <v>813</v>
      </c>
      <c r="AX20" s="40" t="s">
        <v>789</v>
      </c>
      <c r="AY20" s="40" t="s">
        <v>814</v>
      </c>
      <c r="AZ20" s="40" t="s">
        <v>790</v>
      </c>
      <c r="BA20" s="44"/>
      <c r="BB20" s="40" t="s">
        <v>53</v>
      </c>
      <c r="BC20" s="40" t="s">
        <v>63</v>
      </c>
      <c r="BD20" s="41">
        <v>1</v>
      </c>
      <c r="BE20" s="40" t="s">
        <v>715</v>
      </c>
      <c r="BF20" s="40" t="s">
        <v>351</v>
      </c>
      <c r="BG20" s="40" t="s">
        <v>353</v>
      </c>
      <c r="BH20" s="40" t="s">
        <v>349</v>
      </c>
      <c r="BI20" s="40" t="s">
        <v>53</v>
      </c>
      <c r="BJ20" s="40" t="s">
        <v>60</v>
      </c>
      <c r="BK20" s="40" t="s">
        <v>61</v>
      </c>
      <c r="BL20" s="40" t="s">
        <v>627</v>
      </c>
      <c r="BM20" s="40" t="s">
        <v>59</v>
      </c>
      <c r="BP20" s="13" t="str">
        <f>INDEX(Summary!N:N,MATCH(A20,Summary!A:A,0),1)</f>
        <v>OK</v>
      </c>
      <c r="BQ20" s="89">
        <f>AM20/INDEX('ex rate'!C:C,MATCH(Y20,'ex rate'!A:A,0),1)</f>
        <v>5184.83</v>
      </c>
      <c r="BR20" s="89">
        <f>AO20/INDEX('ex rate'!C:C,MATCH(Z20,'ex rate'!A:A,0),1)</f>
        <v>5184.83</v>
      </c>
      <c r="BS20" t="s">
        <v>787</v>
      </c>
      <c r="BT20" t="s">
        <v>788</v>
      </c>
    </row>
    <row r="21" spans="1:72" ht="15.6" x14ac:dyDescent="0.3">
      <c r="A21" s="12" t="str">
        <f t="shared" si="3"/>
        <v>55367-February</v>
      </c>
      <c r="B21" s="40" t="s">
        <v>558</v>
      </c>
      <c r="C21" s="40" t="s">
        <v>625</v>
      </c>
      <c r="D21" s="40" t="s">
        <v>626</v>
      </c>
      <c r="E21" s="40" t="s">
        <v>627</v>
      </c>
      <c r="F21" s="40" t="s">
        <v>716</v>
      </c>
      <c r="G21" s="40" t="s">
        <v>717</v>
      </c>
      <c r="H21" s="40" t="s">
        <v>718</v>
      </c>
      <c r="I21" s="40" t="s">
        <v>719</v>
      </c>
      <c r="J21" s="40" t="s">
        <v>49</v>
      </c>
      <c r="K21" s="40" t="s">
        <v>50</v>
      </c>
      <c r="L21" s="40" t="s">
        <v>758</v>
      </c>
      <c r="M21" s="40" t="s">
        <v>377</v>
      </c>
      <c r="N21" s="40" t="s">
        <v>370</v>
      </c>
      <c r="O21" s="40" t="s">
        <v>51</v>
      </c>
      <c r="P21" s="40" t="s">
        <v>52</v>
      </c>
      <c r="Q21" s="40" t="s">
        <v>64</v>
      </c>
      <c r="R21" s="40" t="s">
        <v>53</v>
      </c>
      <c r="S21" s="40" t="s">
        <v>54</v>
      </c>
      <c r="T21" s="40" t="s">
        <v>65</v>
      </c>
      <c r="U21" s="40" t="s">
        <v>55</v>
      </c>
      <c r="V21" s="40" t="s">
        <v>56</v>
      </c>
      <c r="W21" s="40" t="s">
        <v>57</v>
      </c>
      <c r="X21" s="40" t="s">
        <v>57</v>
      </c>
      <c r="Y21" s="40" t="s">
        <v>58</v>
      </c>
      <c r="Z21" s="40" t="s">
        <v>58</v>
      </c>
      <c r="AA21" s="40" t="s">
        <v>299</v>
      </c>
      <c r="AB21" s="41">
        <v>379.94</v>
      </c>
      <c r="AC21" s="41">
        <v>379.94</v>
      </c>
      <c r="AD21" s="42">
        <v>1</v>
      </c>
      <c r="AE21" s="42">
        <v>1</v>
      </c>
      <c r="AF21" s="42">
        <v>1</v>
      </c>
      <c r="AG21" s="41">
        <v>0.91</v>
      </c>
      <c r="AH21" s="41">
        <v>1</v>
      </c>
      <c r="AI21" s="43">
        <v>0</v>
      </c>
      <c r="AJ21" s="44"/>
      <c r="AK21" s="41">
        <v>379.94</v>
      </c>
      <c r="AL21" s="41">
        <v>379.94</v>
      </c>
      <c r="AM21" s="50">
        <v>379.94</v>
      </c>
      <c r="AN21" s="50">
        <v>379.94</v>
      </c>
      <c r="AO21" s="50">
        <v>379.94</v>
      </c>
      <c r="AP21" s="44"/>
      <c r="AQ21" s="42">
        <v>379.94</v>
      </c>
      <c r="AR21" s="42">
        <v>379.94</v>
      </c>
      <c r="AS21" s="41">
        <v>0</v>
      </c>
      <c r="AT21" s="42">
        <v>0</v>
      </c>
      <c r="AU21" s="42">
        <v>0</v>
      </c>
      <c r="AV21" s="43">
        <v>0</v>
      </c>
      <c r="AW21" s="40" t="s">
        <v>815</v>
      </c>
      <c r="AX21" s="40" t="s">
        <v>789</v>
      </c>
      <c r="AY21" s="40" t="s">
        <v>816</v>
      </c>
      <c r="AZ21" s="40" t="s">
        <v>790</v>
      </c>
      <c r="BA21" s="44"/>
      <c r="BB21" s="40" t="s">
        <v>53</v>
      </c>
      <c r="BC21" s="40" t="s">
        <v>63</v>
      </c>
      <c r="BD21" s="41">
        <v>1</v>
      </c>
      <c r="BE21" s="40" t="s">
        <v>720</v>
      </c>
      <c r="BF21" s="40" t="s">
        <v>377</v>
      </c>
      <c r="BG21" s="40" t="s">
        <v>300</v>
      </c>
      <c r="BH21" s="40" t="s">
        <v>349</v>
      </c>
      <c r="BI21" s="40" t="s">
        <v>53</v>
      </c>
      <c r="BJ21" s="40" t="s">
        <v>60</v>
      </c>
      <c r="BK21" s="40" t="s">
        <v>61</v>
      </c>
      <c r="BL21" s="40" t="s">
        <v>627</v>
      </c>
      <c r="BM21" s="40" t="s">
        <v>59</v>
      </c>
      <c r="BP21" s="13" t="str">
        <f>INDEX(Summary!N:N,MATCH(A21,Summary!A:A,0),1)</f>
        <v>OK</v>
      </c>
      <c r="BQ21" s="89">
        <f>AM21/INDEX('ex rate'!C:C,MATCH(Y21,'ex rate'!A:A,0),1)</f>
        <v>379.94</v>
      </c>
      <c r="BR21" s="89">
        <f>AO21/INDEX('ex rate'!C:C,MATCH(Z21,'ex rate'!A:A,0),1)</f>
        <v>379.94</v>
      </c>
      <c r="BS21" t="s">
        <v>787</v>
      </c>
      <c r="BT21" t="s">
        <v>788</v>
      </c>
    </row>
    <row r="22" spans="1:72" ht="15.6" x14ac:dyDescent="0.3">
      <c r="A22" s="12" t="str">
        <f t="shared" si="3"/>
        <v>39798-February</v>
      </c>
      <c r="B22" s="40" t="s">
        <v>558</v>
      </c>
      <c r="C22" s="40" t="s">
        <v>625</v>
      </c>
      <c r="D22" s="40" t="s">
        <v>626</v>
      </c>
      <c r="E22" s="40" t="s">
        <v>627</v>
      </c>
      <c r="F22" s="40" t="s">
        <v>721</v>
      </c>
      <c r="G22" s="40" t="s">
        <v>722</v>
      </c>
      <c r="H22" s="40" t="s">
        <v>723</v>
      </c>
      <c r="I22" s="40" t="s">
        <v>724</v>
      </c>
      <c r="J22" s="40" t="s">
        <v>49</v>
      </c>
      <c r="K22" s="40" t="s">
        <v>50</v>
      </c>
      <c r="L22" s="40" t="s">
        <v>758</v>
      </c>
      <c r="M22" s="40" t="s">
        <v>301</v>
      </c>
      <c r="N22" s="40" t="s">
        <v>301</v>
      </c>
      <c r="O22" s="40" t="s">
        <v>51</v>
      </c>
      <c r="P22" s="40" t="s">
        <v>52</v>
      </c>
      <c r="Q22" s="40" t="s">
        <v>64</v>
      </c>
      <c r="R22" s="40" t="s">
        <v>53</v>
      </c>
      <c r="S22" s="40" t="s">
        <v>54</v>
      </c>
      <c r="T22" s="40" t="s">
        <v>65</v>
      </c>
      <c r="U22" s="40" t="s">
        <v>55</v>
      </c>
      <c r="V22" s="40" t="s">
        <v>56</v>
      </c>
      <c r="W22" s="40" t="s">
        <v>57</v>
      </c>
      <c r="X22" s="40" t="s">
        <v>57</v>
      </c>
      <c r="Y22" s="40" t="s">
        <v>58</v>
      </c>
      <c r="Z22" s="40" t="s">
        <v>58</v>
      </c>
      <c r="AA22" s="40" t="s">
        <v>302</v>
      </c>
      <c r="AB22" s="41">
        <v>180.05</v>
      </c>
      <c r="AC22" s="41">
        <v>180.05</v>
      </c>
      <c r="AD22" s="42">
        <v>1</v>
      </c>
      <c r="AE22" s="42">
        <v>1</v>
      </c>
      <c r="AF22" s="42">
        <v>1</v>
      </c>
      <c r="AG22" s="41">
        <v>0.91</v>
      </c>
      <c r="AH22" s="41">
        <v>1</v>
      </c>
      <c r="AI22" s="43">
        <v>0</v>
      </c>
      <c r="AJ22" s="44"/>
      <c r="AK22" s="41">
        <v>180.05</v>
      </c>
      <c r="AL22" s="41">
        <v>180.05</v>
      </c>
      <c r="AM22" s="50">
        <v>180.05</v>
      </c>
      <c r="AN22" s="50">
        <v>180.05</v>
      </c>
      <c r="AO22" s="50">
        <v>180.05</v>
      </c>
      <c r="AP22" s="44"/>
      <c r="AQ22" s="42">
        <v>180.05</v>
      </c>
      <c r="AR22" s="42">
        <v>180.05</v>
      </c>
      <c r="AS22" s="41">
        <v>0</v>
      </c>
      <c r="AT22" s="42">
        <v>0</v>
      </c>
      <c r="AU22" s="42">
        <v>0</v>
      </c>
      <c r="AV22" s="43">
        <v>0</v>
      </c>
      <c r="AW22" s="40" t="s">
        <v>817</v>
      </c>
      <c r="AX22" s="40" t="s">
        <v>789</v>
      </c>
      <c r="AY22" s="40" t="s">
        <v>818</v>
      </c>
      <c r="AZ22" s="40" t="s">
        <v>790</v>
      </c>
      <c r="BA22" s="44"/>
      <c r="BB22" s="40" t="s">
        <v>53</v>
      </c>
      <c r="BC22" s="40" t="s">
        <v>63</v>
      </c>
      <c r="BD22" s="41">
        <v>1</v>
      </c>
      <c r="BE22" s="40" t="s">
        <v>725</v>
      </c>
      <c r="BF22" s="40" t="s">
        <v>301</v>
      </c>
      <c r="BG22" s="40" t="s">
        <v>303</v>
      </c>
      <c r="BH22" s="40" t="s">
        <v>349</v>
      </c>
      <c r="BI22" s="40" t="s">
        <v>53</v>
      </c>
      <c r="BJ22" s="40" t="s">
        <v>60</v>
      </c>
      <c r="BK22" s="40" t="s">
        <v>61</v>
      </c>
      <c r="BL22" s="40" t="s">
        <v>627</v>
      </c>
      <c r="BM22" s="40" t="s">
        <v>59</v>
      </c>
      <c r="BP22" s="13" t="str">
        <f>INDEX(Summary!N:N,MATCH(A22,Summary!A:A,0),1)</f>
        <v>OK</v>
      </c>
      <c r="BQ22" s="89">
        <f>AM22/INDEX('ex rate'!C:C,MATCH(Y22,'ex rate'!A:A,0),1)</f>
        <v>180.05</v>
      </c>
      <c r="BR22" s="89">
        <f>AO22/INDEX('ex rate'!C:C,MATCH(Z22,'ex rate'!A:A,0),1)</f>
        <v>180.05</v>
      </c>
      <c r="BS22" t="s">
        <v>787</v>
      </c>
      <c r="BT22" t="s">
        <v>788</v>
      </c>
    </row>
    <row r="23" spans="1:72" ht="15.6" x14ac:dyDescent="0.3">
      <c r="A23" s="12" t="str">
        <f t="shared" si="3"/>
        <v>120764-February</v>
      </c>
      <c r="B23" s="40" t="s">
        <v>558</v>
      </c>
      <c r="C23" s="40" t="s">
        <v>625</v>
      </c>
      <c r="D23" s="40" t="s">
        <v>759</v>
      </c>
      <c r="E23" s="40" t="s">
        <v>760</v>
      </c>
      <c r="F23" s="40" t="s">
        <v>761</v>
      </c>
      <c r="G23" s="40" t="s">
        <v>762</v>
      </c>
      <c r="H23" s="40" t="s">
        <v>763</v>
      </c>
      <c r="I23" s="40" t="s">
        <v>764</v>
      </c>
      <c r="J23" s="40" t="s">
        <v>49</v>
      </c>
      <c r="K23" s="40" t="s">
        <v>634</v>
      </c>
      <c r="L23" s="40" t="s">
        <v>758</v>
      </c>
      <c r="M23" s="40" t="s">
        <v>765</v>
      </c>
      <c r="N23" s="40" t="s">
        <v>766</v>
      </c>
      <c r="O23" s="40" t="s">
        <v>51</v>
      </c>
      <c r="P23" s="40" t="s">
        <v>52</v>
      </c>
      <c r="Q23" s="40" t="s">
        <v>64</v>
      </c>
      <c r="R23" s="40" t="s">
        <v>53</v>
      </c>
      <c r="S23" s="40" t="s">
        <v>54</v>
      </c>
      <c r="T23" s="40" t="s">
        <v>65</v>
      </c>
      <c r="U23" s="40" t="s">
        <v>55</v>
      </c>
      <c r="V23" s="40" t="s">
        <v>56</v>
      </c>
      <c r="W23" s="40" t="s">
        <v>57</v>
      </c>
      <c r="X23" s="40" t="s">
        <v>57</v>
      </c>
      <c r="Y23" s="40" t="s">
        <v>58</v>
      </c>
      <c r="Z23" s="40" t="s">
        <v>58</v>
      </c>
      <c r="AA23" s="40" t="s">
        <v>623</v>
      </c>
      <c r="AB23" s="41">
        <v>265.76</v>
      </c>
      <c r="AC23" s="41">
        <v>265.76</v>
      </c>
      <c r="AD23" s="42">
        <v>1</v>
      </c>
      <c r="AE23" s="42">
        <v>1</v>
      </c>
      <c r="AF23" s="42">
        <v>1</v>
      </c>
      <c r="AG23" s="41">
        <v>0.85</v>
      </c>
      <c r="AH23" s="41">
        <v>0.85</v>
      </c>
      <c r="AI23" s="43">
        <v>0</v>
      </c>
      <c r="AJ23" s="44"/>
      <c r="AK23" s="41">
        <v>265.76</v>
      </c>
      <c r="AL23" s="41">
        <v>265.76</v>
      </c>
      <c r="AM23" s="50">
        <v>265.76</v>
      </c>
      <c r="AN23" s="50">
        <v>225.89599999999999</v>
      </c>
      <c r="AO23" s="45">
        <v>225.9</v>
      </c>
      <c r="AP23" s="44"/>
      <c r="AQ23" s="42">
        <v>265.76</v>
      </c>
      <c r="AR23" s="42">
        <v>225.89599999999999</v>
      </c>
      <c r="AS23" s="41">
        <v>39.863999999999997</v>
      </c>
      <c r="AT23" s="42">
        <v>39.863999999999997</v>
      </c>
      <c r="AU23" s="42">
        <v>39.863999999999997</v>
      </c>
      <c r="AV23" s="43">
        <v>0.15</v>
      </c>
      <c r="AW23" s="40"/>
      <c r="AX23" s="40"/>
      <c r="AY23" s="40"/>
      <c r="AZ23" s="40"/>
      <c r="BA23" s="44"/>
      <c r="BB23" s="40" t="s">
        <v>53</v>
      </c>
      <c r="BC23" s="40" t="s">
        <v>63</v>
      </c>
      <c r="BD23" s="41">
        <v>1</v>
      </c>
      <c r="BE23" s="40" t="s">
        <v>767</v>
      </c>
      <c r="BF23" s="40" t="s">
        <v>768</v>
      </c>
      <c r="BG23" s="40" t="s">
        <v>769</v>
      </c>
      <c r="BH23" s="40" t="s">
        <v>349</v>
      </c>
      <c r="BI23" s="40" t="s">
        <v>53</v>
      </c>
      <c r="BJ23" s="40" t="s">
        <v>60</v>
      </c>
      <c r="BK23" s="40" t="s">
        <v>61</v>
      </c>
      <c r="BL23" s="40" t="s">
        <v>627</v>
      </c>
      <c r="BM23" s="40" t="s">
        <v>67</v>
      </c>
      <c r="BP23" s="13" t="str">
        <f>INDEX(Summary!N:N,MATCH(A23,Summary!A:A,0),1)</f>
        <v>Less rev/cogs than partner report</v>
      </c>
      <c r="BQ23" s="89">
        <f>AM23/INDEX('ex rate'!C:C,MATCH(Y23,'ex rate'!A:A,0),1)</f>
        <v>265.76</v>
      </c>
      <c r="BR23" s="89">
        <f>AO23/INDEX('ex rate'!C:C,MATCH(Z23,'ex rate'!A:A,0),1)</f>
        <v>225.9</v>
      </c>
      <c r="BS23" s="109"/>
      <c r="BT23" s="109"/>
    </row>
    <row r="24" spans="1:72" ht="15.6" x14ac:dyDescent="0.3">
      <c r="A24" s="12" t="str">
        <f t="shared" si="3"/>
        <v>98889-February</v>
      </c>
      <c r="B24" s="40" t="s">
        <v>558</v>
      </c>
      <c r="C24" s="40" t="s">
        <v>625</v>
      </c>
      <c r="D24" s="40" t="s">
        <v>626</v>
      </c>
      <c r="E24" s="40" t="s">
        <v>627</v>
      </c>
      <c r="F24" s="40" t="s">
        <v>726</v>
      </c>
      <c r="G24" s="40" t="s">
        <v>729</v>
      </c>
      <c r="H24" s="40" t="s">
        <v>727</v>
      </c>
      <c r="I24" s="40" t="s">
        <v>730</v>
      </c>
      <c r="J24" s="40" t="s">
        <v>49</v>
      </c>
      <c r="K24" s="40" t="s">
        <v>50</v>
      </c>
      <c r="L24" s="40" t="s">
        <v>758</v>
      </c>
      <c r="M24" s="40" t="s">
        <v>258</v>
      </c>
      <c r="N24" s="40" t="s">
        <v>259</v>
      </c>
      <c r="O24" s="40" t="s">
        <v>51</v>
      </c>
      <c r="P24" s="40" t="s">
        <v>52</v>
      </c>
      <c r="Q24" s="40" t="s">
        <v>80</v>
      </c>
      <c r="R24" s="40" t="s">
        <v>53</v>
      </c>
      <c r="S24" s="40" t="s">
        <v>54</v>
      </c>
      <c r="T24" s="40" t="s">
        <v>364</v>
      </c>
      <c r="U24" s="40" t="s">
        <v>55</v>
      </c>
      <c r="V24" s="40" t="s">
        <v>56</v>
      </c>
      <c r="W24" s="40" t="s">
        <v>57</v>
      </c>
      <c r="X24" s="40" t="s">
        <v>57</v>
      </c>
      <c r="Y24" s="40" t="s">
        <v>58</v>
      </c>
      <c r="Z24" s="40" t="s">
        <v>58</v>
      </c>
      <c r="AA24" s="40" t="s">
        <v>326</v>
      </c>
      <c r="AB24" s="41">
        <v>1497.88</v>
      </c>
      <c r="AC24" s="41">
        <v>1497.88</v>
      </c>
      <c r="AD24" s="42">
        <v>1</v>
      </c>
      <c r="AE24" s="42">
        <v>1</v>
      </c>
      <c r="AF24" s="42">
        <v>1</v>
      </c>
      <c r="AG24" s="41">
        <v>0.91</v>
      </c>
      <c r="AH24" s="41">
        <v>1</v>
      </c>
      <c r="AI24" s="43">
        <v>0</v>
      </c>
      <c r="AJ24" s="44"/>
      <c r="AK24" s="41">
        <v>1497.88</v>
      </c>
      <c r="AL24" s="41">
        <v>1497.88</v>
      </c>
      <c r="AM24" s="50">
        <v>1497.88</v>
      </c>
      <c r="AN24" s="50">
        <v>1497.88</v>
      </c>
      <c r="AO24" s="50">
        <v>1497.88</v>
      </c>
      <c r="AP24" s="41"/>
      <c r="AQ24" s="42">
        <v>1497.88</v>
      </c>
      <c r="AR24" s="42">
        <v>1497.88</v>
      </c>
      <c r="AS24" s="41">
        <v>0</v>
      </c>
      <c r="AT24" s="42">
        <v>0</v>
      </c>
      <c r="AU24" s="42">
        <v>0</v>
      </c>
      <c r="AV24" s="43">
        <v>0</v>
      </c>
      <c r="AW24" s="40" t="s">
        <v>819</v>
      </c>
      <c r="AX24" s="40" t="s">
        <v>789</v>
      </c>
      <c r="AY24" s="40" t="s">
        <v>820</v>
      </c>
      <c r="AZ24" s="40" t="s">
        <v>790</v>
      </c>
      <c r="BA24" s="44"/>
      <c r="BB24" s="40" t="s">
        <v>53</v>
      </c>
      <c r="BC24" s="40" t="s">
        <v>63</v>
      </c>
      <c r="BD24" s="41">
        <v>1</v>
      </c>
      <c r="BE24" s="40" t="s">
        <v>728</v>
      </c>
      <c r="BF24" s="40" t="s">
        <v>258</v>
      </c>
      <c r="BG24" s="40" t="s">
        <v>260</v>
      </c>
      <c r="BH24" s="40" t="s">
        <v>583</v>
      </c>
      <c r="BI24" s="40" t="s">
        <v>53</v>
      </c>
      <c r="BJ24" s="40" t="s">
        <v>60</v>
      </c>
      <c r="BK24" s="40" t="s">
        <v>61</v>
      </c>
      <c r="BL24" s="40" t="s">
        <v>627</v>
      </c>
      <c r="BM24" s="40" t="s">
        <v>67</v>
      </c>
      <c r="BP24" s="13" t="str">
        <f>INDEX(Summary!N:N,MATCH(A24,Summary!A:A,0),1)</f>
        <v>OK</v>
      </c>
      <c r="BQ24" s="89">
        <f>AM24/INDEX('ex rate'!C:C,MATCH(Y24,'ex rate'!A:A,0),1)</f>
        <v>1497.88</v>
      </c>
      <c r="BR24" s="89">
        <f>AO24/INDEX('ex rate'!C:C,MATCH(Z24,'ex rate'!A:A,0),1)</f>
        <v>1497.88</v>
      </c>
      <c r="BS24" t="s">
        <v>787</v>
      </c>
      <c r="BT24" t="s">
        <v>788</v>
      </c>
    </row>
    <row r="25" spans="1:72" ht="15.6" x14ac:dyDescent="0.3">
      <c r="A25" s="12" t="str">
        <f t="shared" si="3"/>
        <v>99591-February</v>
      </c>
      <c r="B25" s="40" t="s">
        <v>558</v>
      </c>
      <c r="C25" s="40" t="s">
        <v>625</v>
      </c>
      <c r="D25" s="40" t="s">
        <v>626</v>
      </c>
      <c r="E25" s="40" t="s">
        <v>627</v>
      </c>
      <c r="F25" s="40" t="s">
        <v>261</v>
      </c>
      <c r="G25" s="40" t="s">
        <v>731</v>
      </c>
      <c r="H25" s="40" t="s">
        <v>262</v>
      </c>
      <c r="I25" s="40" t="s">
        <v>732</v>
      </c>
      <c r="J25" s="40" t="s">
        <v>49</v>
      </c>
      <c r="K25" s="40" t="s">
        <v>50</v>
      </c>
      <c r="L25" s="40" t="s">
        <v>758</v>
      </c>
      <c r="M25" s="40" t="s">
        <v>263</v>
      </c>
      <c r="N25" s="40" t="s">
        <v>264</v>
      </c>
      <c r="O25" s="40" t="s">
        <v>51</v>
      </c>
      <c r="P25" s="40" t="s">
        <v>52</v>
      </c>
      <c r="Q25" s="40" t="s">
        <v>64</v>
      </c>
      <c r="R25" s="40" t="s">
        <v>53</v>
      </c>
      <c r="S25" s="40" t="s">
        <v>54</v>
      </c>
      <c r="T25" s="40" t="s">
        <v>62</v>
      </c>
      <c r="U25" s="40" t="s">
        <v>55</v>
      </c>
      <c r="V25" s="40" t="s">
        <v>56</v>
      </c>
      <c r="W25" s="40" t="s">
        <v>57</v>
      </c>
      <c r="X25" s="40" t="s">
        <v>57</v>
      </c>
      <c r="Y25" s="40" t="s">
        <v>58</v>
      </c>
      <c r="Z25" s="40" t="s">
        <v>58</v>
      </c>
      <c r="AA25" s="40" t="s">
        <v>272</v>
      </c>
      <c r="AB25" s="41">
        <v>1998.87</v>
      </c>
      <c r="AC25" s="41">
        <v>1998.87</v>
      </c>
      <c r="AD25" s="42">
        <v>1</v>
      </c>
      <c r="AE25" s="42">
        <v>1</v>
      </c>
      <c r="AF25" s="42">
        <v>1</v>
      </c>
      <c r="AG25" s="41">
        <v>0.91</v>
      </c>
      <c r="AH25" s="41">
        <v>1</v>
      </c>
      <c r="AI25" s="43">
        <v>0</v>
      </c>
      <c r="AJ25" s="44"/>
      <c r="AK25" s="41">
        <v>1998.87</v>
      </c>
      <c r="AL25" s="41">
        <v>1998.87</v>
      </c>
      <c r="AM25" s="50">
        <v>1998.87</v>
      </c>
      <c r="AN25" s="50">
        <v>1998.87</v>
      </c>
      <c r="AO25" s="50">
        <v>1998.87</v>
      </c>
      <c r="AP25" s="44"/>
      <c r="AQ25" s="42">
        <v>20501.04</v>
      </c>
      <c r="AR25" s="42">
        <v>1998.87</v>
      </c>
      <c r="AS25" s="41">
        <v>0</v>
      </c>
      <c r="AT25" s="42">
        <v>0</v>
      </c>
      <c r="AU25" s="42">
        <v>0</v>
      </c>
      <c r="AV25" s="43">
        <v>0</v>
      </c>
      <c r="AW25" s="40" t="s">
        <v>426</v>
      </c>
      <c r="AX25" s="40" t="s">
        <v>789</v>
      </c>
      <c r="AY25" s="40" t="s">
        <v>427</v>
      </c>
      <c r="AZ25" s="40" t="s">
        <v>790</v>
      </c>
      <c r="BA25" s="44"/>
      <c r="BB25" s="40" t="s">
        <v>53</v>
      </c>
      <c r="BC25" s="40" t="s">
        <v>63</v>
      </c>
      <c r="BD25" s="41">
        <v>1</v>
      </c>
      <c r="BE25" s="40" t="s">
        <v>310</v>
      </c>
      <c r="BF25" s="40" t="s">
        <v>263</v>
      </c>
      <c r="BG25" s="40" t="s">
        <v>265</v>
      </c>
      <c r="BH25" s="40" t="s">
        <v>66</v>
      </c>
      <c r="BI25" s="40" t="s">
        <v>53</v>
      </c>
      <c r="BJ25" s="40" t="s">
        <v>60</v>
      </c>
      <c r="BK25" s="40" t="s">
        <v>61</v>
      </c>
      <c r="BL25" s="40" t="s">
        <v>627</v>
      </c>
      <c r="BM25" s="40" t="s">
        <v>59</v>
      </c>
      <c r="BP25" s="13" t="str">
        <f>INDEX(Summary!N:N,MATCH(A25,Summary!A:A,0),1)</f>
        <v>OK</v>
      </c>
      <c r="BQ25" s="89">
        <f>AM25/INDEX('ex rate'!C:C,MATCH(Y25,'ex rate'!A:A,0),1)</f>
        <v>1998.87</v>
      </c>
      <c r="BR25" s="89">
        <f>AO25/INDEX('ex rate'!C:C,MATCH(Z25,'ex rate'!A:A,0),1)</f>
        <v>1998.87</v>
      </c>
      <c r="BS25" t="s">
        <v>787</v>
      </c>
      <c r="BT25" t="s">
        <v>788</v>
      </c>
    </row>
    <row r="26" spans="1:72" ht="15.6" x14ac:dyDescent="0.3">
      <c r="A26" s="12" t="str">
        <f t="shared" si="3"/>
        <v>114667-February</v>
      </c>
      <c r="B26" s="40" t="s">
        <v>558</v>
      </c>
      <c r="C26" s="40" t="s">
        <v>625</v>
      </c>
      <c r="D26" s="40" t="s">
        <v>626</v>
      </c>
      <c r="E26" s="40" t="s">
        <v>627</v>
      </c>
      <c r="F26" s="40" t="s">
        <v>330</v>
      </c>
      <c r="G26" s="40" t="s">
        <v>733</v>
      </c>
      <c r="H26" s="40" t="s">
        <v>331</v>
      </c>
      <c r="I26" s="40" t="s">
        <v>734</v>
      </c>
      <c r="J26" s="40" t="s">
        <v>49</v>
      </c>
      <c r="K26" s="40" t="s">
        <v>50</v>
      </c>
      <c r="L26" s="40" t="s">
        <v>758</v>
      </c>
      <c r="M26" s="40" t="s">
        <v>332</v>
      </c>
      <c r="N26" s="40" t="s">
        <v>71</v>
      </c>
      <c r="O26" s="40" t="s">
        <v>51</v>
      </c>
      <c r="P26" s="40" t="s">
        <v>52</v>
      </c>
      <c r="Q26" s="40" t="s">
        <v>64</v>
      </c>
      <c r="R26" s="40" t="s">
        <v>53</v>
      </c>
      <c r="S26" s="40" t="s">
        <v>54</v>
      </c>
      <c r="T26" s="40" t="s">
        <v>65</v>
      </c>
      <c r="U26" s="40" t="s">
        <v>55</v>
      </c>
      <c r="V26" s="40" t="s">
        <v>56</v>
      </c>
      <c r="W26" s="40" t="s">
        <v>57</v>
      </c>
      <c r="X26" s="40" t="s">
        <v>57</v>
      </c>
      <c r="Y26" s="40" t="s">
        <v>58</v>
      </c>
      <c r="Z26" s="40" t="s">
        <v>58</v>
      </c>
      <c r="AA26" s="40" t="s">
        <v>328</v>
      </c>
      <c r="AB26" s="41">
        <v>16105.49</v>
      </c>
      <c r="AC26" s="41">
        <v>16105.49</v>
      </c>
      <c r="AD26" s="42">
        <v>1</v>
      </c>
      <c r="AE26" s="42">
        <v>1</v>
      </c>
      <c r="AF26" s="42">
        <v>1</v>
      </c>
      <c r="AG26" s="41">
        <v>0.85</v>
      </c>
      <c r="AH26" s="41">
        <v>1</v>
      </c>
      <c r="AI26" s="43">
        <v>0</v>
      </c>
      <c r="AJ26" s="44"/>
      <c r="AK26" s="41">
        <v>16105.49</v>
      </c>
      <c r="AL26" s="41">
        <v>16105.49</v>
      </c>
      <c r="AM26" s="50">
        <v>16105.49</v>
      </c>
      <c r="AN26" s="50">
        <v>16105.49</v>
      </c>
      <c r="AO26" s="50">
        <v>16105.49</v>
      </c>
      <c r="AP26" s="44"/>
      <c r="AQ26" s="42">
        <v>78847.45</v>
      </c>
      <c r="AR26" s="42">
        <v>16105.49</v>
      </c>
      <c r="AS26" s="41">
        <v>0</v>
      </c>
      <c r="AT26" s="42">
        <v>0</v>
      </c>
      <c r="AU26" s="42">
        <v>0</v>
      </c>
      <c r="AV26" s="43">
        <v>0</v>
      </c>
      <c r="AW26" s="40" t="s">
        <v>420</v>
      </c>
      <c r="AX26" s="40" t="s">
        <v>789</v>
      </c>
      <c r="AY26" s="40" t="s">
        <v>421</v>
      </c>
      <c r="AZ26" s="40" t="s">
        <v>790</v>
      </c>
      <c r="BA26" s="44"/>
      <c r="BB26" s="40" t="s">
        <v>53</v>
      </c>
      <c r="BC26" s="40" t="s">
        <v>63</v>
      </c>
      <c r="BD26" s="41">
        <v>1</v>
      </c>
      <c r="BE26" s="40" t="s">
        <v>333</v>
      </c>
      <c r="BF26" s="40" t="s">
        <v>72</v>
      </c>
      <c r="BG26" s="40" t="s">
        <v>73</v>
      </c>
      <c r="BH26" s="40" t="s">
        <v>66</v>
      </c>
      <c r="BI26" s="40" t="s">
        <v>53</v>
      </c>
      <c r="BJ26" s="40" t="s">
        <v>60</v>
      </c>
      <c r="BK26" s="40" t="s">
        <v>61</v>
      </c>
      <c r="BL26" s="40" t="s">
        <v>627</v>
      </c>
      <c r="BM26" s="40" t="s">
        <v>74</v>
      </c>
      <c r="BP26" s="13" t="str">
        <f>INDEX(Summary!N:N,MATCH(A26,Summary!A:A,0),1)</f>
        <v>OK</v>
      </c>
      <c r="BQ26" s="89">
        <f>AM26/INDEX('ex rate'!C:C,MATCH(Y26,'ex rate'!A:A,0),1)</f>
        <v>16105.49</v>
      </c>
      <c r="BR26" s="89">
        <f>AO26/INDEX('ex rate'!C:C,MATCH(Z26,'ex rate'!A:A,0),1)</f>
        <v>16105.49</v>
      </c>
      <c r="BS26" t="s">
        <v>787</v>
      </c>
      <c r="BT26" t="s">
        <v>788</v>
      </c>
    </row>
    <row r="27" spans="1:72" ht="15.6" x14ac:dyDescent="0.3">
      <c r="A27" s="12" t="str">
        <f t="shared" si="3"/>
        <v>74346-February</v>
      </c>
      <c r="B27" s="40" t="s">
        <v>558</v>
      </c>
      <c r="C27" s="40" t="s">
        <v>625</v>
      </c>
      <c r="D27" s="40" t="s">
        <v>626</v>
      </c>
      <c r="E27" s="40" t="s">
        <v>627</v>
      </c>
      <c r="F27" s="40" t="s">
        <v>68</v>
      </c>
      <c r="G27" s="40" t="s">
        <v>735</v>
      </c>
      <c r="H27" s="40" t="s">
        <v>69</v>
      </c>
      <c r="I27" s="40" t="s">
        <v>736</v>
      </c>
      <c r="J27" s="40" t="s">
        <v>49</v>
      </c>
      <c r="K27" s="40" t="s">
        <v>50</v>
      </c>
      <c r="L27" s="40" t="s">
        <v>758</v>
      </c>
      <c r="M27" s="40" t="s">
        <v>70</v>
      </c>
      <c r="N27" s="40" t="s">
        <v>71</v>
      </c>
      <c r="O27" s="40" t="s">
        <v>51</v>
      </c>
      <c r="P27" s="40" t="s">
        <v>52</v>
      </c>
      <c r="Q27" s="40" t="s">
        <v>64</v>
      </c>
      <c r="R27" s="40" t="s">
        <v>53</v>
      </c>
      <c r="S27" s="40" t="s">
        <v>54</v>
      </c>
      <c r="T27" s="40" t="s">
        <v>65</v>
      </c>
      <c r="U27" s="40" t="s">
        <v>55</v>
      </c>
      <c r="V27" s="40" t="s">
        <v>56</v>
      </c>
      <c r="W27" s="40" t="s">
        <v>57</v>
      </c>
      <c r="X27" s="40" t="s">
        <v>57</v>
      </c>
      <c r="Y27" s="40" t="s">
        <v>58</v>
      </c>
      <c r="Z27" s="40" t="s">
        <v>58</v>
      </c>
      <c r="AA27" s="40" t="s">
        <v>270</v>
      </c>
      <c r="AB27" s="41">
        <v>3699.53</v>
      </c>
      <c r="AC27" s="41">
        <v>3699.53</v>
      </c>
      <c r="AD27" s="42">
        <v>1</v>
      </c>
      <c r="AE27" s="42">
        <v>1</v>
      </c>
      <c r="AF27" s="42">
        <v>1</v>
      </c>
      <c r="AG27" s="41">
        <v>0.91</v>
      </c>
      <c r="AH27" s="41">
        <v>1</v>
      </c>
      <c r="AI27" s="43">
        <v>0</v>
      </c>
      <c r="AJ27" s="44"/>
      <c r="AK27" s="41">
        <v>3699.53</v>
      </c>
      <c r="AL27" s="41">
        <v>3699.53</v>
      </c>
      <c r="AM27" s="50">
        <v>3699.53</v>
      </c>
      <c r="AN27" s="50">
        <v>3699.53</v>
      </c>
      <c r="AO27" s="50">
        <v>3699.53</v>
      </c>
      <c r="AP27" s="41"/>
      <c r="AQ27" s="42">
        <v>55543.41</v>
      </c>
      <c r="AR27" s="42">
        <v>3699.53</v>
      </c>
      <c r="AS27" s="41">
        <v>0</v>
      </c>
      <c r="AT27" s="42">
        <v>0</v>
      </c>
      <c r="AU27" s="42">
        <v>0</v>
      </c>
      <c r="AV27" s="43">
        <v>0</v>
      </c>
      <c r="AW27" s="40" t="s">
        <v>428</v>
      </c>
      <c r="AX27" s="40" t="s">
        <v>789</v>
      </c>
      <c r="AY27" s="40" t="s">
        <v>429</v>
      </c>
      <c r="AZ27" s="40" t="s">
        <v>790</v>
      </c>
      <c r="BA27" s="44"/>
      <c r="BB27" s="40" t="s">
        <v>53</v>
      </c>
      <c r="BC27" s="40" t="s">
        <v>63</v>
      </c>
      <c r="BD27" s="41">
        <v>1</v>
      </c>
      <c r="BE27" s="40" t="s">
        <v>323</v>
      </c>
      <c r="BF27" s="40" t="s">
        <v>72</v>
      </c>
      <c r="BG27" s="40" t="s">
        <v>73</v>
      </c>
      <c r="BH27" s="40" t="s">
        <v>66</v>
      </c>
      <c r="BI27" s="40" t="s">
        <v>53</v>
      </c>
      <c r="BJ27" s="40" t="s">
        <v>60</v>
      </c>
      <c r="BK27" s="40" t="s">
        <v>61</v>
      </c>
      <c r="BL27" s="40" t="s">
        <v>627</v>
      </c>
      <c r="BM27" s="40" t="s">
        <v>74</v>
      </c>
      <c r="BP27" s="13" t="str">
        <f>INDEX(Summary!N:N,MATCH(A27,Summary!A:A,0),1)</f>
        <v>OK</v>
      </c>
      <c r="BQ27" s="89">
        <f>AM27/INDEX('ex rate'!C:C,MATCH(Y27,'ex rate'!A:A,0),1)</f>
        <v>3699.53</v>
      </c>
      <c r="BR27" s="89">
        <f>AO27/INDEX('ex rate'!C:C,MATCH(Z27,'ex rate'!A:A,0),1)</f>
        <v>3699.53</v>
      </c>
      <c r="BS27" t="s">
        <v>787</v>
      </c>
      <c r="BT27" t="s">
        <v>788</v>
      </c>
    </row>
    <row r="28" spans="1:72" ht="15.6" x14ac:dyDescent="0.3">
      <c r="A28" s="12" t="str">
        <f t="shared" si="3"/>
        <v>107799-February</v>
      </c>
      <c r="B28" s="40" t="s">
        <v>558</v>
      </c>
      <c r="C28" s="40" t="s">
        <v>625</v>
      </c>
      <c r="D28" s="40" t="s">
        <v>626</v>
      </c>
      <c r="E28" s="40" t="s">
        <v>627</v>
      </c>
      <c r="F28" s="40" t="s">
        <v>311</v>
      </c>
      <c r="G28" s="40" t="s">
        <v>737</v>
      </c>
      <c r="H28" s="40" t="s">
        <v>312</v>
      </c>
      <c r="I28" s="40" t="s">
        <v>738</v>
      </c>
      <c r="J28" s="40" t="s">
        <v>49</v>
      </c>
      <c r="K28" s="40" t="s">
        <v>50</v>
      </c>
      <c r="L28" s="40" t="s">
        <v>758</v>
      </c>
      <c r="M28" s="40" t="s">
        <v>335</v>
      </c>
      <c r="N28" s="40" t="s">
        <v>336</v>
      </c>
      <c r="O28" s="40" t="s">
        <v>51</v>
      </c>
      <c r="P28" s="40" t="s">
        <v>52</v>
      </c>
      <c r="Q28" s="40" t="s">
        <v>64</v>
      </c>
      <c r="R28" s="40" t="s">
        <v>53</v>
      </c>
      <c r="S28" s="40" t="s">
        <v>54</v>
      </c>
      <c r="T28" s="40" t="s">
        <v>65</v>
      </c>
      <c r="U28" s="40" t="s">
        <v>55</v>
      </c>
      <c r="V28" s="40" t="s">
        <v>56</v>
      </c>
      <c r="W28" s="40" t="s">
        <v>57</v>
      </c>
      <c r="X28" s="40" t="s">
        <v>57</v>
      </c>
      <c r="Y28" s="40" t="s">
        <v>58</v>
      </c>
      <c r="Z28" s="40" t="s">
        <v>58</v>
      </c>
      <c r="AA28" s="40" t="s">
        <v>271</v>
      </c>
      <c r="AB28" s="41">
        <v>4773.92</v>
      </c>
      <c r="AC28" s="41">
        <v>4773.92</v>
      </c>
      <c r="AD28" s="42">
        <v>1</v>
      </c>
      <c r="AE28" s="42">
        <v>1</v>
      </c>
      <c r="AF28" s="42">
        <v>1</v>
      </c>
      <c r="AG28" s="41">
        <v>0.91</v>
      </c>
      <c r="AH28" s="41">
        <v>1</v>
      </c>
      <c r="AI28" s="43">
        <v>0</v>
      </c>
      <c r="AJ28" s="44"/>
      <c r="AK28" s="41">
        <v>4773.92</v>
      </c>
      <c r="AL28" s="41">
        <v>4773.92</v>
      </c>
      <c r="AM28" s="50">
        <v>4773.92</v>
      </c>
      <c r="AN28" s="50">
        <v>4773.92</v>
      </c>
      <c r="AO28" s="50">
        <v>4773.92</v>
      </c>
      <c r="AP28" s="41"/>
      <c r="AQ28" s="42">
        <v>44372.9</v>
      </c>
      <c r="AR28" s="42">
        <v>4773.92</v>
      </c>
      <c r="AS28" s="41">
        <v>0</v>
      </c>
      <c r="AT28" s="42">
        <v>0</v>
      </c>
      <c r="AU28" s="42">
        <v>0</v>
      </c>
      <c r="AV28" s="43">
        <v>0</v>
      </c>
      <c r="AW28" s="40" t="s">
        <v>430</v>
      </c>
      <c r="AX28" s="40" t="s">
        <v>789</v>
      </c>
      <c r="AY28" s="40" t="s">
        <v>431</v>
      </c>
      <c r="AZ28" s="40" t="s">
        <v>790</v>
      </c>
      <c r="BA28" s="44"/>
      <c r="BB28" s="40" t="s">
        <v>315</v>
      </c>
      <c r="BC28" s="40" t="s">
        <v>63</v>
      </c>
      <c r="BD28" s="41">
        <v>1</v>
      </c>
      <c r="BE28" s="40" t="s">
        <v>313</v>
      </c>
      <c r="BF28" s="40" t="s">
        <v>335</v>
      </c>
      <c r="BG28" s="40" t="s">
        <v>314</v>
      </c>
      <c r="BH28" s="40" t="s">
        <v>66</v>
      </c>
      <c r="BI28" s="40" t="s">
        <v>53</v>
      </c>
      <c r="BJ28" s="40" t="s">
        <v>60</v>
      </c>
      <c r="BK28" s="40" t="s">
        <v>61</v>
      </c>
      <c r="BL28" s="40" t="s">
        <v>627</v>
      </c>
      <c r="BM28" s="40" t="s">
        <v>59</v>
      </c>
      <c r="BP28" s="13" t="str">
        <f>INDEX(Summary!N:N,MATCH(A28,Summary!A:A,0),1)</f>
        <v>OK</v>
      </c>
      <c r="BQ28" s="89">
        <f>AM28/INDEX('ex rate'!C:C,MATCH(Y28,'ex rate'!A:A,0),1)</f>
        <v>4773.92</v>
      </c>
      <c r="BR28" s="89">
        <f>AO28/INDEX('ex rate'!C:C,MATCH(Z28,'ex rate'!A:A,0),1)</f>
        <v>4773.92</v>
      </c>
      <c r="BS28" t="s">
        <v>787</v>
      </c>
      <c r="BT28" t="s">
        <v>788</v>
      </c>
    </row>
    <row r="29" spans="1:72" ht="15.6" x14ac:dyDescent="0.3">
      <c r="A29" s="12" t="str">
        <f t="shared" si="3"/>
        <v>103986-February</v>
      </c>
      <c r="B29" s="40" t="s">
        <v>558</v>
      </c>
      <c r="C29" s="40" t="s">
        <v>625</v>
      </c>
      <c r="D29" s="40" t="s">
        <v>626</v>
      </c>
      <c r="E29" s="40" t="s">
        <v>627</v>
      </c>
      <c r="F29" s="40" t="s">
        <v>75</v>
      </c>
      <c r="G29" s="40" t="s">
        <v>739</v>
      </c>
      <c r="H29" s="40" t="s">
        <v>76</v>
      </c>
      <c r="I29" s="40" t="s">
        <v>740</v>
      </c>
      <c r="J29" s="40" t="s">
        <v>49</v>
      </c>
      <c r="K29" s="40" t="s">
        <v>50</v>
      </c>
      <c r="L29" s="40" t="s">
        <v>758</v>
      </c>
      <c r="M29" s="40" t="s">
        <v>77</v>
      </c>
      <c r="N29" s="40" t="s">
        <v>77</v>
      </c>
      <c r="O29" s="40" t="s">
        <v>51</v>
      </c>
      <c r="P29" s="40" t="s">
        <v>52</v>
      </c>
      <c r="Q29" s="40" t="s">
        <v>64</v>
      </c>
      <c r="R29" s="40" t="s">
        <v>53</v>
      </c>
      <c r="S29" s="40" t="s">
        <v>54</v>
      </c>
      <c r="T29" s="40" t="s">
        <v>65</v>
      </c>
      <c r="U29" s="40" t="s">
        <v>55</v>
      </c>
      <c r="V29" s="40" t="s">
        <v>56</v>
      </c>
      <c r="W29" s="40" t="s">
        <v>57</v>
      </c>
      <c r="X29" s="40" t="s">
        <v>57</v>
      </c>
      <c r="Y29" s="40" t="s">
        <v>58</v>
      </c>
      <c r="Z29" s="40" t="s">
        <v>58</v>
      </c>
      <c r="AA29" s="40" t="s">
        <v>269</v>
      </c>
      <c r="AB29" s="41">
        <v>2986.68</v>
      </c>
      <c r="AC29" s="41">
        <v>2986.68</v>
      </c>
      <c r="AD29" s="42">
        <v>1</v>
      </c>
      <c r="AE29" s="42">
        <v>1</v>
      </c>
      <c r="AF29" s="42">
        <v>1</v>
      </c>
      <c r="AG29" s="41">
        <v>0.91</v>
      </c>
      <c r="AH29" s="41">
        <v>1</v>
      </c>
      <c r="AI29" s="43">
        <v>0</v>
      </c>
      <c r="AJ29" s="44"/>
      <c r="AK29" s="41">
        <v>2986.68</v>
      </c>
      <c r="AL29" s="41">
        <v>2986.68</v>
      </c>
      <c r="AM29" s="50">
        <v>2986.68</v>
      </c>
      <c r="AN29" s="50">
        <v>2986.68</v>
      </c>
      <c r="AO29" s="50">
        <v>2986.68</v>
      </c>
      <c r="AP29" s="44"/>
      <c r="AQ29" s="42">
        <v>25322.44</v>
      </c>
      <c r="AR29" s="42">
        <v>2986.68</v>
      </c>
      <c r="AS29" s="41">
        <v>0</v>
      </c>
      <c r="AT29" s="42">
        <v>0</v>
      </c>
      <c r="AU29" s="42">
        <v>0</v>
      </c>
      <c r="AV29" s="43">
        <v>0</v>
      </c>
      <c r="AW29" s="40" t="s">
        <v>432</v>
      </c>
      <c r="AX29" s="40" t="s">
        <v>789</v>
      </c>
      <c r="AY29" s="40" t="s">
        <v>433</v>
      </c>
      <c r="AZ29" s="40" t="s">
        <v>790</v>
      </c>
      <c r="BA29" s="44"/>
      <c r="BB29" s="40" t="s">
        <v>53</v>
      </c>
      <c r="BC29" s="40" t="s">
        <v>63</v>
      </c>
      <c r="BD29" s="41">
        <v>1</v>
      </c>
      <c r="BE29" s="40" t="s">
        <v>324</v>
      </c>
      <c r="BF29" s="40" t="s">
        <v>77</v>
      </c>
      <c r="BG29" s="40" t="s">
        <v>78</v>
      </c>
      <c r="BH29" s="40" t="s">
        <v>66</v>
      </c>
      <c r="BI29" s="40" t="s">
        <v>53</v>
      </c>
      <c r="BJ29" s="40" t="s">
        <v>60</v>
      </c>
      <c r="BK29" s="40" t="s">
        <v>61</v>
      </c>
      <c r="BL29" s="40" t="s">
        <v>627</v>
      </c>
      <c r="BM29" s="40" t="s">
        <v>59</v>
      </c>
      <c r="BP29" s="13" t="str">
        <f>INDEX(Summary!N:N,MATCH(A29,Summary!A:A,0),1)</f>
        <v>OK</v>
      </c>
      <c r="BQ29" s="89">
        <f>AM29/INDEX('ex rate'!C:C,MATCH(Y29,'ex rate'!A:A,0),1)</f>
        <v>2986.68</v>
      </c>
      <c r="BR29" s="89">
        <f>AO29/INDEX('ex rate'!C:C,MATCH(Z29,'ex rate'!A:A,0),1)</f>
        <v>2986.68</v>
      </c>
      <c r="BS29" t="s">
        <v>787</v>
      </c>
      <c r="BT29" t="s">
        <v>788</v>
      </c>
    </row>
    <row r="30" spans="1:72" ht="15.6" x14ac:dyDescent="0.3">
      <c r="A30" s="12" t="str">
        <f t="shared" si="3"/>
        <v>119907-February</v>
      </c>
      <c r="B30" s="40" t="s">
        <v>558</v>
      </c>
      <c r="C30" s="40" t="s">
        <v>625</v>
      </c>
      <c r="D30" s="40" t="s">
        <v>626</v>
      </c>
      <c r="E30" s="40" t="s">
        <v>627</v>
      </c>
      <c r="F30" s="40" t="s">
        <v>584</v>
      </c>
      <c r="G30" s="40" t="s">
        <v>741</v>
      </c>
      <c r="H30" s="40" t="s">
        <v>585</v>
      </c>
      <c r="I30" s="40" t="s">
        <v>742</v>
      </c>
      <c r="J30" s="40" t="s">
        <v>49</v>
      </c>
      <c r="K30" s="40" t="s">
        <v>50</v>
      </c>
      <c r="L30" s="40" t="s">
        <v>758</v>
      </c>
      <c r="M30" s="40" t="s">
        <v>586</v>
      </c>
      <c r="N30" s="40" t="s">
        <v>587</v>
      </c>
      <c r="O30" s="40" t="s">
        <v>51</v>
      </c>
      <c r="P30" s="40" t="s">
        <v>52</v>
      </c>
      <c r="Q30" s="40" t="s">
        <v>64</v>
      </c>
      <c r="R30" s="40" t="s">
        <v>53</v>
      </c>
      <c r="S30" s="40" t="s">
        <v>54</v>
      </c>
      <c r="T30" s="40" t="s">
        <v>65</v>
      </c>
      <c r="U30" s="40" t="s">
        <v>55</v>
      </c>
      <c r="V30" s="40" t="s">
        <v>56</v>
      </c>
      <c r="W30" s="40" t="s">
        <v>57</v>
      </c>
      <c r="X30" s="40" t="s">
        <v>57</v>
      </c>
      <c r="Y30" s="40" t="s">
        <v>58</v>
      </c>
      <c r="Z30" s="40" t="s">
        <v>58</v>
      </c>
      <c r="AA30" s="40" t="s">
        <v>549</v>
      </c>
      <c r="AB30" s="41">
        <v>8000</v>
      </c>
      <c r="AC30" s="41">
        <v>8000</v>
      </c>
      <c r="AD30" s="42">
        <v>1</v>
      </c>
      <c r="AE30" s="42">
        <v>1</v>
      </c>
      <c r="AF30" s="42">
        <v>1</v>
      </c>
      <c r="AG30" s="41">
        <v>0.91</v>
      </c>
      <c r="AH30" s="41">
        <v>1</v>
      </c>
      <c r="AI30" s="43">
        <v>0</v>
      </c>
      <c r="AJ30" s="44"/>
      <c r="AK30" s="41">
        <v>8000</v>
      </c>
      <c r="AL30" s="41">
        <v>8000</v>
      </c>
      <c r="AM30" s="50">
        <v>8000</v>
      </c>
      <c r="AN30" s="50">
        <v>8000</v>
      </c>
      <c r="AO30" s="50">
        <v>8000</v>
      </c>
      <c r="AP30" s="44"/>
      <c r="AQ30" s="42">
        <v>16823.87</v>
      </c>
      <c r="AR30" s="42">
        <v>8000</v>
      </c>
      <c r="AS30" s="41">
        <v>0</v>
      </c>
      <c r="AT30" s="42">
        <v>0</v>
      </c>
      <c r="AU30" s="42">
        <v>0</v>
      </c>
      <c r="AV30" s="43">
        <v>0</v>
      </c>
      <c r="AW30" s="40" t="s">
        <v>599</v>
      </c>
      <c r="AX30" s="40" t="s">
        <v>789</v>
      </c>
      <c r="AY30" s="40" t="s">
        <v>600</v>
      </c>
      <c r="AZ30" s="40" t="s">
        <v>790</v>
      </c>
      <c r="BA30" s="44"/>
      <c r="BB30" s="40" t="s">
        <v>53</v>
      </c>
      <c r="BC30" s="40" t="s">
        <v>63</v>
      </c>
      <c r="BD30" s="41">
        <v>1</v>
      </c>
      <c r="BE30" s="40" t="s">
        <v>588</v>
      </c>
      <c r="BF30" s="40" t="s">
        <v>589</v>
      </c>
      <c r="BG30" s="40" t="s">
        <v>590</v>
      </c>
      <c r="BH30" s="40" t="s">
        <v>66</v>
      </c>
      <c r="BI30" s="40" t="s">
        <v>53</v>
      </c>
      <c r="BJ30" s="40" t="s">
        <v>60</v>
      </c>
      <c r="BK30" s="40" t="s">
        <v>61</v>
      </c>
      <c r="BL30" s="40" t="s">
        <v>627</v>
      </c>
      <c r="BM30" s="40" t="s">
        <v>67</v>
      </c>
      <c r="BP30" s="13" t="str">
        <f>INDEX(Summary!N:N,MATCH(A30,Summary!A:A,0),1)</f>
        <v>OK</v>
      </c>
      <c r="BQ30" s="89">
        <f>AM30/INDEX('ex rate'!C:C,MATCH(Y30,'ex rate'!A:A,0),1)</f>
        <v>8000</v>
      </c>
      <c r="BR30" s="89">
        <f>AO30/INDEX('ex rate'!C:C,MATCH(Z30,'ex rate'!A:A,0),1)</f>
        <v>8000</v>
      </c>
      <c r="BS30" t="s">
        <v>787</v>
      </c>
      <c r="BT30" t="s">
        <v>788</v>
      </c>
    </row>
    <row r="31" spans="1:72" ht="15.6" x14ac:dyDescent="0.3">
      <c r="A31" s="12" t="str">
        <f t="shared" ref="A31:A43" si="4">+AA31&amp;"-"&amp;C31</f>
        <v>31764-February</v>
      </c>
      <c r="B31" s="40" t="s">
        <v>558</v>
      </c>
      <c r="C31" s="40" t="s">
        <v>625</v>
      </c>
      <c r="D31" s="40" t="s">
        <v>626</v>
      </c>
      <c r="E31" s="40" t="s">
        <v>627</v>
      </c>
      <c r="F31" s="40" t="s">
        <v>743</v>
      </c>
      <c r="G31" s="40" t="s">
        <v>746</v>
      </c>
      <c r="H31" s="40" t="s">
        <v>744</v>
      </c>
      <c r="I31" s="40" t="s">
        <v>747</v>
      </c>
      <c r="J31" s="40" t="s">
        <v>49</v>
      </c>
      <c r="K31" s="40" t="s">
        <v>50</v>
      </c>
      <c r="L31" s="40" t="s">
        <v>758</v>
      </c>
      <c r="M31" s="40" t="s">
        <v>101</v>
      </c>
      <c r="N31" s="40" t="s">
        <v>291</v>
      </c>
      <c r="O31" s="40" t="s">
        <v>51</v>
      </c>
      <c r="P31" s="40" t="s">
        <v>52</v>
      </c>
      <c r="Q31" s="40" t="s">
        <v>83</v>
      </c>
      <c r="R31" s="40" t="s">
        <v>53</v>
      </c>
      <c r="S31" s="40" t="s">
        <v>54</v>
      </c>
      <c r="T31" s="40" t="s">
        <v>62</v>
      </c>
      <c r="U31" s="40" t="s">
        <v>55</v>
      </c>
      <c r="V31" s="40" t="s">
        <v>56</v>
      </c>
      <c r="W31" s="40" t="s">
        <v>57</v>
      </c>
      <c r="X31" s="40" t="s">
        <v>57</v>
      </c>
      <c r="Y31" s="40" t="s">
        <v>58</v>
      </c>
      <c r="Z31" s="40" t="s">
        <v>58</v>
      </c>
      <c r="AA31" s="40" t="s">
        <v>273</v>
      </c>
      <c r="AB31" s="41">
        <v>288.47000000000003</v>
      </c>
      <c r="AC31" s="41">
        <v>288.47000000000003</v>
      </c>
      <c r="AD31" s="42">
        <v>1</v>
      </c>
      <c r="AE31" s="42">
        <v>1</v>
      </c>
      <c r="AF31" s="42">
        <v>1</v>
      </c>
      <c r="AG31" s="41">
        <v>0.91</v>
      </c>
      <c r="AH31" s="41">
        <v>1</v>
      </c>
      <c r="AI31" s="43">
        <v>0</v>
      </c>
      <c r="AJ31" s="44"/>
      <c r="AK31" s="41">
        <v>288.47000000000003</v>
      </c>
      <c r="AL31" s="41">
        <v>288.47000000000003</v>
      </c>
      <c r="AM31" s="50">
        <v>288.47000000000003</v>
      </c>
      <c r="AN31" s="50">
        <v>288.47000000000003</v>
      </c>
      <c r="AO31" s="50">
        <v>288.47000000000003</v>
      </c>
      <c r="AP31" s="44"/>
      <c r="AQ31" s="42">
        <v>288.47000000000003</v>
      </c>
      <c r="AR31" s="42">
        <v>288.47000000000003</v>
      </c>
      <c r="AS31" s="41">
        <v>0</v>
      </c>
      <c r="AT31" s="42">
        <v>0</v>
      </c>
      <c r="AU31" s="42">
        <v>0</v>
      </c>
      <c r="AV31" s="43">
        <v>0</v>
      </c>
      <c r="AW31" s="40" t="s">
        <v>821</v>
      </c>
      <c r="AX31" s="40" t="s">
        <v>789</v>
      </c>
      <c r="AY31" s="40" t="s">
        <v>822</v>
      </c>
      <c r="AZ31" s="40" t="s">
        <v>790</v>
      </c>
      <c r="BA31" s="44"/>
      <c r="BB31" s="40" t="s">
        <v>53</v>
      </c>
      <c r="BC31" s="40" t="s">
        <v>63</v>
      </c>
      <c r="BD31" s="41">
        <v>1</v>
      </c>
      <c r="BE31" s="40" t="s">
        <v>745</v>
      </c>
      <c r="BF31" s="40" t="s">
        <v>291</v>
      </c>
      <c r="BG31" s="40" t="s">
        <v>334</v>
      </c>
      <c r="BH31" s="40" t="s">
        <v>86</v>
      </c>
      <c r="BI31" s="40" t="s">
        <v>53</v>
      </c>
      <c r="BJ31" s="40" t="s">
        <v>60</v>
      </c>
      <c r="BK31" s="40" t="s">
        <v>61</v>
      </c>
      <c r="BL31" s="40" t="s">
        <v>627</v>
      </c>
      <c r="BM31" s="40" t="s">
        <v>59</v>
      </c>
      <c r="BP31" s="13" t="str">
        <f>INDEX(Summary!N:N,MATCH(A31,Summary!A:A,0),1)</f>
        <v>OK</v>
      </c>
      <c r="BQ31" s="89">
        <f>AM31/INDEX('ex rate'!C:C,MATCH(Y31,'ex rate'!A:A,0),1)</f>
        <v>288.47000000000003</v>
      </c>
      <c r="BR31" s="89">
        <f>AO31/INDEX('ex rate'!C:C,MATCH(Z31,'ex rate'!A:A,0),1)</f>
        <v>288.47000000000003</v>
      </c>
      <c r="BS31" t="s">
        <v>787</v>
      </c>
      <c r="BT31" t="s">
        <v>788</v>
      </c>
    </row>
    <row r="32" spans="1:72" ht="15.6" x14ac:dyDescent="0.3">
      <c r="A32" s="12" t="str">
        <f t="shared" si="4"/>
        <v>120332-February</v>
      </c>
      <c r="B32" s="40" t="s">
        <v>558</v>
      </c>
      <c r="C32" s="40" t="s">
        <v>625</v>
      </c>
      <c r="D32" s="40" t="s">
        <v>626</v>
      </c>
      <c r="E32" s="40" t="s">
        <v>627</v>
      </c>
      <c r="F32" s="40" t="s">
        <v>748</v>
      </c>
      <c r="G32" s="40" t="s">
        <v>749</v>
      </c>
      <c r="H32" s="40" t="s">
        <v>750</v>
      </c>
      <c r="I32" s="40" t="s">
        <v>751</v>
      </c>
      <c r="J32" s="40" t="s">
        <v>49</v>
      </c>
      <c r="K32" s="40" t="s">
        <v>50</v>
      </c>
      <c r="L32" s="40" t="s">
        <v>758</v>
      </c>
      <c r="M32" s="40" t="s">
        <v>752</v>
      </c>
      <c r="N32" s="40" t="s">
        <v>753</v>
      </c>
      <c r="O32" s="40" t="s">
        <v>51</v>
      </c>
      <c r="P32" s="40" t="s">
        <v>52</v>
      </c>
      <c r="Q32" s="40" t="s">
        <v>83</v>
      </c>
      <c r="R32" s="40" t="s">
        <v>53</v>
      </c>
      <c r="S32" s="40" t="s">
        <v>54</v>
      </c>
      <c r="T32" s="40" t="s">
        <v>84</v>
      </c>
      <c r="U32" s="40" t="s">
        <v>55</v>
      </c>
      <c r="V32" s="40" t="s">
        <v>56</v>
      </c>
      <c r="W32" s="40" t="s">
        <v>57</v>
      </c>
      <c r="X32" s="40" t="s">
        <v>57</v>
      </c>
      <c r="Y32" s="40" t="s">
        <v>85</v>
      </c>
      <c r="Z32" s="40" t="s">
        <v>58</v>
      </c>
      <c r="AA32" s="40" t="s">
        <v>616</v>
      </c>
      <c r="AB32" s="41">
        <v>2065.75</v>
      </c>
      <c r="AC32" s="41">
        <v>2065.75</v>
      </c>
      <c r="AD32" s="42">
        <v>1</v>
      </c>
      <c r="AE32" s="42">
        <v>1</v>
      </c>
      <c r="AF32" s="42">
        <v>1</v>
      </c>
      <c r="AG32" s="41">
        <v>0.85</v>
      </c>
      <c r="AH32" s="41">
        <v>1</v>
      </c>
      <c r="AI32" s="43">
        <v>0</v>
      </c>
      <c r="AJ32" s="44"/>
      <c r="AK32" s="41">
        <v>2065.75</v>
      </c>
      <c r="AL32" s="41">
        <v>2065.75</v>
      </c>
      <c r="AM32" s="50">
        <v>7953137.5</v>
      </c>
      <c r="AN32" s="50">
        <v>2065.75</v>
      </c>
      <c r="AO32" s="50">
        <v>2065.75</v>
      </c>
      <c r="AP32" s="44">
        <v>3850</v>
      </c>
      <c r="AQ32" s="42">
        <v>2065.75</v>
      </c>
      <c r="AR32" s="42">
        <v>2065.75</v>
      </c>
      <c r="AS32" s="41">
        <v>172903.27499999999</v>
      </c>
      <c r="AT32" s="42">
        <v>0</v>
      </c>
      <c r="AU32" s="42">
        <v>0</v>
      </c>
      <c r="AV32" s="43">
        <v>0</v>
      </c>
      <c r="AW32" s="40" t="s">
        <v>823</v>
      </c>
      <c r="AX32" s="40" t="s">
        <v>789</v>
      </c>
      <c r="AY32" s="40" t="s">
        <v>824</v>
      </c>
      <c r="AZ32" s="40" t="s">
        <v>790</v>
      </c>
      <c r="BA32" s="44"/>
      <c r="BB32" s="40" t="s">
        <v>53</v>
      </c>
      <c r="BC32" s="40" t="s">
        <v>63</v>
      </c>
      <c r="BD32" s="41">
        <v>3766.3</v>
      </c>
      <c r="BE32" s="40" t="s">
        <v>754</v>
      </c>
      <c r="BF32" s="40" t="s">
        <v>755</v>
      </c>
      <c r="BG32" s="40" t="s">
        <v>756</v>
      </c>
      <c r="BH32" s="40" t="s">
        <v>86</v>
      </c>
      <c r="BI32" s="40" t="s">
        <v>53</v>
      </c>
      <c r="BJ32" s="40" t="s">
        <v>60</v>
      </c>
      <c r="BK32" s="40" t="s">
        <v>61</v>
      </c>
      <c r="BL32" s="40" t="s">
        <v>627</v>
      </c>
      <c r="BM32" s="40" t="s">
        <v>67</v>
      </c>
      <c r="BP32" s="13" t="str">
        <f>INDEX(Summary!N:N,MATCH(A32,Summary!A:A,0),1)</f>
        <v>OK</v>
      </c>
      <c r="BQ32" s="89">
        <f>AM32/INDEX('ex rate'!C:C,MATCH(Y32,'ex rate'!A:A,0),1)</f>
        <v>2111.6579932559807</v>
      </c>
      <c r="BR32" s="89">
        <f>AO32/INDEX('ex rate'!C:C,MATCH(Z32,'ex rate'!A:A,0),1)</f>
        <v>2065.75</v>
      </c>
      <c r="BS32" t="s">
        <v>787</v>
      </c>
      <c r="BT32" t="s">
        <v>788</v>
      </c>
    </row>
    <row r="33" spans="1:72" ht="15.6" x14ac:dyDescent="0.3">
      <c r="A33" s="12" t="str">
        <f t="shared" si="4"/>
        <v>115741-February</v>
      </c>
      <c r="B33" s="40" t="s">
        <v>558</v>
      </c>
      <c r="C33" s="40" t="s">
        <v>625</v>
      </c>
      <c r="D33" s="40" t="s">
        <v>626</v>
      </c>
      <c r="E33" s="40" t="s">
        <v>627</v>
      </c>
      <c r="F33" s="40" t="s">
        <v>726</v>
      </c>
      <c r="G33" s="40" t="s">
        <v>1016</v>
      </c>
      <c r="H33" s="40" t="s">
        <v>727</v>
      </c>
      <c r="I33" s="40" t="s">
        <v>1017</v>
      </c>
      <c r="J33" s="40" t="s">
        <v>49</v>
      </c>
      <c r="K33" s="40" t="s">
        <v>50</v>
      </c>
      <c r="L33" s="40" t="s">
        <v>758</v>
      </c>
      <c r="M33" s="40" t="s">
        <v>258</v>
      </c>
      <c r="N33" s="40" t="s">
        <v>259</v>
      </c>
      <c r="O33" s="40" t="s">
        <v>51</v>
      </c>
      <c r="P33" s="40" t="s">
        <v>52</v>
      </c>
      <c r="Q33" s="40" t="s">
        <v>80</v>
      </c>
      <c r="R33" s="40" t="s">
        <v>53</v>
      </c>
      <c r="S33" s="40" t="s">
        <v>54</v>
      </c>
      <c r="T33" s="40" t="s">
        <v>364</v>
      </c>
      <c r="U33" s="40" t="s">
        <v>55</v>
      </c>
      <c r="V33" s="40" t="s">
        <v>56</v>
      </c>
      <c r="W33" s="40" t="s">
        <v>57</v>
      </c>
      <c r="X33" s="40" t="s">
        <v>57</v>
      </c>
      <c r="Y33" s="40" t="s">
        <v>58</v>
      </c>
      <c r="Z33" s="40" t="s">
        <v>58</v>
      </c>
      <c r="AA33" s="40" t="s">
        <v>1018</v>
      </c>
      <c r="AB33" s="41">
        <v>5499.38</v>
      </c>
      <c r="AC33" s="41">
        <v>5499.38</v>
      </c>
      <c r="AD33" s="42">
        <v>1</v>
      </c>
      <c r="AE33" s="42">
        <v>1</v>
      </c>
      <c r="AF33" s="42">
        <v>1</v>
      </c>
      <c r="AG33" s="41">
        <v>0.91</v>
      </c>
      <c r="AH33" s="41">
        <v>1</v>
      </c>
      <c r="AI33" s="43">
        <v>0</v>
      </c>
      <c r="AJ33" s="44"/>
      <c r="AK33" s="41">
        <v>5499.38</v>
      </c>
      <c r="AL33" s="41">
        <v>5499.38</v>
      </c>
      <c r="AM33" s="50">
        <v>5499.38</v>
      </c>
      <c r="AN33" s="50">
        <v>5499.38</v>
      </c>
      <c r="AO33" s="50">
        <v>5499.38</v>
      </c>
      <c r="AP33" s="44"/>
      <c r="AQ33" s="42">
        <v>5499.38</v>
      </c>
      <c r="AR33" s="42">
        <v>5499.38</v>
      </c>
      <c r="AS33" s="41">
        <v>0</v>
      </c>
      <c r="AT33" s="42">
        <v>0</v>
      </c>
      <c r="AU33" s="42">
        <v>0</v>
      </c>
      <c r="AV33" s="43">
        <v>0</v>
      </c>
      <c r="AW33" s="40" t="s">
        <v>819</v>
      </c>
      <c r="AX33" s="40" t="s">
        <v>789</v>
      </c>
      <c r="AY33" s="40" t="s">
        <v>820</v>
      </c>
      <c r="AZ33" s="40" t="s">
        <v>790</v>
      </c>
      <c r="BA33" s="44"/>
      <c r="BB33" s="40" t="s">
        <v>53</v>
      </c>
      <c r="BC33" s="40" t="s">
        <v>63</v>
      </c>
      <c r="BD33" s="41">
        <v>1</v>
      </c>
      <c r="BE33" s="40" t="s">
        <v>728</v>
      </c>
      <c r="BF33" s="40" t="s">
        <v>258</v>
      </c>
      <c r="BG33" s="40" t="s">
        <v>260</v>
      </c>
      <c r="BH33" s="40" t="s">
        <v>583</v>
      </c>
      <c r="BI33" s="40" t="s">
        <v>53</v>
      </c>
      <c r="BJ33" s="40" t="s">
        <v>60</v>
      </c>
      <c r="BK33" s="40" t="s">
        <v>61</v>
      </c>
      <c r="BL33" s="40" t="s">
        <v>627</v>
      </c>
      <c r="BM33" s="40" t="s">
        <v>67</v>
      </c>
      <c r="BP33" s="13" t="e">
        <f>INDEX(Summary!N:N,MATCH(A33,Summary!A:A,0),1)</f>
        <v>#N/A</v>
      </c>
      <c r="BQ33" s="89">
        <f>AM33/INDEX('ex rate'!C:C,MATCH(Y33,'ex rate'!A:A,0),1)</f>
        <v>5499.38</v>
      </c>
      <c r="BR33" s="89">
        <f>AO33/INDEX('ex rate'!C:C,MATCH(Z33,'ex rate'!A:A,0),1)</f>
        <v>5499.38</v>
      </c>
      <c r="BS33" t="s">
        <v>787</v>
      </c>
      <c r="BT33" t="s">
        <v>788</v>
      </c>
    </row>
    <row r="34" spans="1:72" ht="15.6" x14ac:dyDescent="0.3">
      <c r="A34" s="12" t="str">
        <f t="shared" si="4"/>
        <v>98890-February</v>
      </c>
      <c r="B34" s="40" t="s">
        <v>558</v>
      </c>
      <c r="C34" s="40" t="s">
        <v>625</v>
      </c>
      <c r="D34" s="40" t="s">
        <v>626</v>
      </c>
      <c r="E34" s="40" t="s">
        <v>627</v>
      </c>
      <c r="F34" s="40" t="s">
        <v>726</v>
      </c>
      <c r="G34" s="40" t="s">
        <v>1019</v>
      </c>
      <c r="H34" s="40" t="s">
        <v>727</v>
      </c>
      <c r="I34" s="40" t="s">
        <v>1020</v>
      </c>
      <c r="J34" s="40" t="s">
        <v>49</v>
      </c>
      <c r="K34" s="40" t="s">
        <v>50</v>
      </c>
      <c r="L34" s="40" t="s">
        <v>758</v>
      </c>
      <c r="M34" s="40" t="s">
        <v>258</v>
      </c>
      <c r="N34" s="40" t="s">
        <v>259</v>
      </c>
      <c r="O34" s="40" t="s">
        <v>51</v>
      </c>
      <c r="P34" s="40" t="s">
        <v>52</v>
      </c>
      <c r="Q34" s="40" t="s">
        <v>80</v>
      </c>
      <c r="R34" s="40" t="s">
        <v>53</v>
      </c>
      <c r="S34" s="40" t="s">
        <v>54</v>
      </c>
      <c r="T34" s="40" t="s">
        <v>364</v>
      </c>
      <c r="U34" s="40" t="s">
        <v>55</v>
      </c>
      <c r="V34" s="40" t="s">
        <v>56</v>
      </c>
      <c r="W34" s="40" t="s">
        <v>57</v>
      </c>
      <c r="X34" s="40" t="s">
        <v>57</v>
      </c>
      <c r="Y34" s="40" t="s">
        <v>58</v>
      </c>
      <c r="Z34" s="40" t="s">
        <v>58</v>
      </c>
      <c r="AA34" s="40" t="s">
        <v>1021</v>
      </c>
      <c r="AB34" s="41">
        <v>5000</v>
      </c>
      <c r="AC34" s="41">
        <v>5000</v>
      </c>
      <c r="AD34" s="42">
        <v>1</v>
      </c>
      <c r="AE34" s="42">
        <v>1</v>
      </c>
      <c r="AF34" s="42">
        <v>1</v>
      </c>
      <c r="AG34" s="41">
        <v>0.91</v>
      </c>
      <c r="AH34" s="41">
        <v>1</v>
      </c>
      <c r="AI34" s="43">
        <v>0</v>
      </c>
      <c r="AJ34" s="44"/>
      <c r="AK34" s="41">
        <v>5000</v>
      </c>
      <c r="AL34" s="41">
        <v>5000</v>
      </c>
      <c r="AM34" s="50">
        <v>5000</v>
      </c>
      <c r="AN34" s="50">
        <v>5000</v>
      </c>
      <c r="AO34" s="50">
        <v>5000</v>
      </c>
      <c r="AP34" s="44"/>
      <c r="AQ34" s="42">
        <v>5000</v>
      </c>
      <c r="AR34" s="42">
        <v>5000</v>
      </c>
      <c r="AS34" s="41">
        <v>0</v>
      </c>
      <c r="AT34" s="42">
        <v>0</v>
      </c>
      <c r="AU34" s="42">
        <v>0</v>
      </c>
      <c r="AV34" s="43">
        <v>0</v>
      </c>
      <c r="AW34" s="40" t="s">
        <v>819</v>
      </c>
      <c r="AX34" s="40" t="s">
        <v>789</v>
      </c>
      <c r="AY34" s="40" t="s">
        <v>820</v>
      </c>
      <c r="AZ34" s="40" t="s">
        <v>790</v>
      </c>
      <c r="BA34" s="44"/>
      <c r="BB34" s="40" t="s">
        <v>53</v>
      </c>
      <c r="BC34" s="40" t="s">
        <v>63</v>
      </c>
      <c r="BD34" s="41">
        <v>1</v>
      </c>
      <c r="BE34" s="40" t="s">
        <v>728</v>
      </c>
      <c r="BF34" s="40" t="s">
        <v>258</v>
      </c>
      <c r="BG34" s="40" t="s">
        <v>260</v>
      </c>
      <c r="BH34" s="40" t="s">
        <v>583</v>
      </c>
      <c r="BI34" s="40" t="s">
        <v>53</v>
      </c>
      <c r="BJ34" s="40" t="s">
        <v>60</v>
      </c>
      <c r="BK34" s="40" t="s">
        <v>61</v>
      </c>
      <c r="BL34" s="40" t="s">
        <v>627</v>
      </c>
      <c r="BM34" s="40" t="s">
        <v>67</v>
      </c>
      <c r="BP34" s="13" t="e">
        <f>INDEX(Summary!N:N,MATCH(A34,Summary!A:A,0),1)</f>
        <v>#N/A</v>
      </c>
      <c r="BQ34" s="89">
        <f>AM34/INDEX('ex rate'!C:C,MATCH(Y34,'ex rate'!A:A,0),1)</f>
        <v>5000</v>
      </c>
      <c r="BR34" s="89">
        <f>AO34/INDEX('ex rate'!C:C,MATCH(Z34,'ex rate'!A:A,0),1)</f>
        <v>5000</v>
      </c>
      <c r="BS34" t="s">
        <v>787</v>
      </c>
      <c r="BT34" t="s">
        <v>788</v>
      </c>
    </row>
    <row r="35" spans="1:72" ht="15.6" x14ac:dyDescent="0.3">
      <c r="A35" s="12" t="str">
        <f t="shared" si="4"/>
        <v>98888-February</v>
      </c>
      <c r="B35" s="40" t="s">
        <v>558</v>
      </c>
      <c r="C35" s="40" t="s">
        <v>625</v>
      </c>
      <c r="D35" s="40" t="s">
        <v>626</v>
      </c>
      <c r="E35" s="40" t="s">
        <v>627</v>
      </c>
      <c r="F35" s="40" t="s">
        <v>726</v>
      </c>
      <c r="G35" s="40" t="s">
        <v>1022</v>
      </c>
      <c r="H35" s="40" t="s">
        <v>727</v>
      </c>
      <c r="I35" s="40" t="s">
        <v>1023</v>
      </c>
      <c r="J35" s="40" t="s">
        <v>49</v>
      </c>
      <c r="K35" s="40" t="s">
        <v>50</v>
      </c>
      <c r="L35" s="40" t="s">
        <v>758</v>
      </c>
      <c r="M35" s="40" t="s">
        <v>258</v>
      </c>
      <c r="N35" s="40" t="s">
        <v>259</v>
      </c>
      <c r="O35" s="40" t="s">
        <v>51</v>
      </c>
      <c r="P35" s="40" t="s">
        <v>52</v>
      </c>
      <c r="Q35" s="40" t="s">
        <v>80</v>
      </c>
      <c r="R35" s="40" t="s">
        <v>53</v>
      </c>
      <c r="S35" s="40" t="s">
        <v>54</v>
      </c>
      <c r="T35" s="40" t="s">
        <v>364</v>
      </c>
      <c r="U35" s="40" t="s">
        <v>55</v>
      </c>
      <c r="V35" s="40" t="s">
        <v>56</v>
      </c>
      <c r="W35" s="40" t="s">
        <v>57</v>
      </c>
      <c r="X35" s="40" t="s">
        <v>57</v>
      </c>
      <c r="Y35" s="40" t="s">
        <v>58</v>
      </c>
      <c r="Z35" s="40" t="s">
        <v>58</v>
      </c>
      <c r="AA35" s="40" t="s">
        <v>1024</v>
      </c>
      <c r="AB35" s="41">
        <v>2988.6</v>
      </c>
      <c r="AC35" s="41">
        <v>2988.6</v>
      </c>
      <c r="AD35" s="42">
        <v>1</v>
      </c>
      <c r="AE35" s="42">
        <v>1</v>
      </c>
      <c r="AF35" s="42">
        <v>1</v>
      </c>
      <c r="AG35" s="41">
        <v>0.91</v>
      </c>
      <c r="AH35" s="41">
        <v>1</v>
      </c>
      <c r="AI35" s="43">
        <v>0</v>
      </c>
      <c r="AJ35" s="44"/>
      <c r="AK35" s="41">
        <v>2988.6</v>
      </c>
      <c r="AL35" s="41">
        <v>2988.6</v>
      </c>
      <c r="AM35" s="50">
        <v>2988.6</v>
      </c>
      <c r="AN35" s="50">
        <v>2988.6</v>
      </c>
      <c r="AO35" s="50">
        <v>2988.6</v>
      </c>
      <c r="AP35" s="44"/>
      <c r="AQ35" s="42">
        <v>2988.6</v>
      </c>
      <c r="AR35" s="42">
        <v>2988.6</v>
      </c>
      <c r="AS35" s="41">
        <v>0</v>
      </c>
      <c r="AT35" s="42">
        <v>0</v>
      </c>
      <c r="AU35" s="42">
        <v>0</v>
      </c>
      <c r="AV35" s="43">
        <v>0</v>
      </c>
      <c r="AW35" s="40" t="s">
        <v>819</v>
      </c>
      <c r="AX35" s="40" t="s">
        <v>789</v>
      </c>
      <c r="AY35" s="40" t="s">
        <v>820</v>
      </c>
      <c r="AZ35" s="40" t="s">
        <v>790</v>
      </c>
      <c r="BA35" s="44"/>
      <c r="BB35" s="40" t="s">
        <v>53</v>
      </c>
      <c r="BC35" s="40" t="s">
        <v>63</v>
      </c>
      <c r="BD35" s="41">
        <v>1</v>
      </c>
      <c r="BE35" s="40" t="s">
        <v>728</v>
      </c>
      <c r="BF35" s="40" t="s">
        <v>258</v>
      </c>
      <c r="BG35" s="40" t="s">
        <v>260</v>
      </c>
      <c r="BH35" s="40" t="s">
        <v>583</v>
      </c>
      <c r="BI35" s="40" t="s">
        <v>53</v>
      </c>
      <c r="BJ35" s="40" t="s">
        <v>60</v>
      </c>
      <c r="BK35" s="40" t="s">
        <v>61</v>
      </c>
      <c r="BL35" s="40" t="s">
        <v>627</v>
      </c>
      <c r="BM35" s="40" t="s">
        <v>67</v>
      </c>
      <c r="BP35" s="13" t="e">
        <f>INDEX(Summary!N:N,MATCH(A35,Summary!A:A,0),1)</f>
        <v>#N/A</v>
      </c>
      <c r="BQ35" s="89">
        <f>AM35/INDEX('ex rate'!C:C,MATCH(Y35,'ex rate'!A:A,0),1)</f>
        <v>2988.6</v>
      </c>
      <c r="BR35" s="89">
        <f>AO35/INDEX('ex rate'!C:C,MATCH(Z35,'ex rate'!A:A,0),1)</f>
        <v>2988.6</v>
      </c>
      <c r="BS35" t="s">
        <v>787</v>
      </c>
      <c r="BT35" t="s">
        <v>788</v>
      </c>
    </row>
    <row r="36" spans="1:72" ht="15.6" x14ac:dyDescent="0.3">
      <c r="A36" s="12" t="str">
        <f t="shared" si="4"/>
        <v>118620-February</v>
      </c>
      <c r="B36" s="40" t="s">
        <v>558</v>
      </c>
      <c r="C36" s="40" t="s">
        <v>625</v>
      </c>
      <c r="D36" s="40" t="s">
        <v>626</v>
      </c>
      <c r="E36" s="40" t="s">
        <v>627</v>
      </c>
      <c r="F36" s="40" t="s">
        <v>726</v>
      </c>
      <c r="G36" s="40" t="s">
        <v>1025</v>
      </c>
      <c r="H36" s="40" t="s">
        <v>727</v>
      </c>
      <c r="I36" s="40" t="s">
        <v>1026</v>
      </c>
      <c r="J36" s="40" t="s">
        <v>49</v>
      </c>
      <c r="K36" s="40" t="s">
        <v>50</v>
      </c>
      <c r="L36" s="40" t="s">
        <v>758</v>
      </c>
      <c r="M36" s="40" t="s">
        <v>258</v>
      </c>
      <c r="N36" s="40" t="s">
        <v>259</v>
      </c>
      <c r="O36" s="40" t="s">
        <v>51</v>
      </c>
      <c r="P36" s="40" t="s">
        <v>52</v>
      </c>
      <c r="Q36" s="40" t="s">
        <v>80</v>
      </c>
      <c r="R36" s="40" t="s">
        <v>53</v>
      </c>
      <c r="S36" s="40" t="s">
        <v>54</v>
      </c>
      <c r="T36" s="40" t="s">
        <v>364</v>
      </c>
      <c r="U36" s="40" t="s">
        <v>55</v>
      </c>
      <c r="V36" s="40" t="s">
        <v>56</v>
      </c>
      <c r="W36" s="40" t="s">
        <v>57</v>
      </c>
      <c r="X36" s="40" t="s">
        <v>57</v>
      </c>
      <c r="Y36" s="40" t="s">
        <v>58</v>
      </c>
      <c r="Z36" s="40" t="s">
        <v>58</v>
      </c>
      <c r="AA36" s="40" t="s">
        <v>1027</v>
      </c>
      <c r="AB36" s="41">
        <v>3000</v>
      </c>
      <c r="AC36" s="41">
        <v>3000</v>
      </c>
      <c r="AD36" s="42">
        <v>1</v>
      </c>
      <c r="AE36" s="42">
        <v>1</v>
      </c>
      <c r="AF36" s="42">
        <v>1</v>
      </c>
      <c r="AG36" s="41">
        <v>0.85</v>
      </c>
      <c r="AH36" s="41">
        <v>1</v>
      </c>
      <c r="AI36" s="43">
        <v>0</v>
      </c>
      <c r="AJ36" s="44"/>
      <c r="AK36" s="41">
        <v>3000</v>
      </c>
      <c r="AL36" s="41">
        <v>3000</v>
      </c>
      <c r="AM36" s="50">
        <v>3000</v>
      </c>
      <c r="AN36" s="50">
        <v>3000</v>
      </c>
      <c r="AO36" s="50">
        <v>3000</v>
      </c>
      <c r="AP36" s="44"/>
      <c r="AQ36" s="42">
        <v>3000</v>
      </c>
      <c r="AR36" s="42">
        <v>3000</v>
      </c>
      <c r="AS36" s="41">
        <v>0</v>
      </c>
      <c r="AT36" s="42">
        <v>0</v>
      </c>
      <c r="AU36" s="42">
        <v>0</v>
      </c>
      <c r="AV36" s="43">
        <v>0</v>
      </c>
      <c r="AW36" s="40" t="s">
        <v>819</v>
      </c>
      <c r="AX36" s="40" t="s">
        <v>789</v>
      </c>
      <c r="AY36" s="40" t="s">
        <v>820</v>
      </c>
      <c r="AZ36" s="40" t="s">
        <v>790</v>
      </c>
      <c r="BA36" s="44"/>
      <c r="BB36" s="40" t="s">
        <v>53</v>
      </c>
      <c r="BC36" s="40" t="s">
        <v>63</v>
      </c>
      <c r="BD36" s="41">
        <v>1</v>
      </c>
      <c r="BE36" s="40" t="s">
        <v>728</v>
      </c>
      <c r="BF36" s="40" t="s">
        <v>258</v>
      </c>
      <c r="BG36" s="40" t="s">
        <v>260</v>
      </c>
      <c r="BH36" s="40" t="s">
        <v>583</v>
      </c>
      <c r="BI36" s="40" t="s">
        <v>53</v>
      </c>
      <c r="BJ36" s="40" t="s">
        <v>60</v>
      </c>
      <c r="BK36" s="40" t="s">
        <v>61</v>
      </c>
      <c r="BL36" s="40" t="s">
        <v>627</v>
      </c>
      <c r="BM36" s="40" t="s">
        <v>67</v>
      </c>
      <c r="BP36" s="13" t="e">
        <f>INDEX(Summary!N:N,MATCH(A36,Summary!A:A,0),1)</f>
        <v>#N/A</v>
      </c>
      <c r="BQ36" s="89">
        <f>AM36/INDEX('ex rate'!C:C,MATCH(Y36,'ex rate'!A:A,0),1)</f>
        <v>3000</v>
      </c>
      <c r="BR36" s="89">
        <f>AO36/INDEX('ex rate'!C:C,MATCH(Z36,'ex rate'!A:A,0),1)</f>
        <v>3000</v>
      </c>
      <c r="BS36" t="s">
        <v>787</v>
      </c>
      <c r="BT36" t="s">
        <v>788</v>
      </c>
    </row>
    <row r="37" spans="1:72" ht="15.6" x14ac:dyDescent="0.3">
      <c r="A37" s="12" t="str">
        <f t="shared" si="4"/>
        <v>101280-February</v>
      </c>
      <c r="B37" s="40" t="s">
        <v>558</v>
      </c>
      <c r="C37" s="40" t="s">
        <v>625</v>
      </c>
      <c r="D37" s="40" t="s">
        <v>626</v>
      </c>
      <c r="E37" s="40" t="s">
        <v>627</v>
      </c>
      <c r="F37" s="40" t="s">
        <v>726</v>
      </c>
      <c r="G37" s="40" t="s">
        <v>1028</v>
      </c>
      <c r="H37" s="40" t="s">
        <v>727</v>
      </c>
      <c r="I37" s="40" t="s">
        <v>1029</v>
      </c>
      <c r="J37" s="40" t="s">
        <v>49</v>
      </c>
      <c r="K37" s="40" t="s">
        <v>50</v>
      </c>
      <c r="L37" s="40" t="s">
        <v>758</v>
      </c>
      <c r="M37" s="40" t="s">
        <v>258</v>
      </c>
      <c r="N37" s="40" t="s">
        <v>259</v>
      </c>
      <c r="O37" s="40" t="s">
        <v>51</v>
      </c>
      <c r="P37" s="40" t="s">
        <v>52</v>
      </c>
      <c r="Q37" s="40" t="s">
        <v>80</v>
      </c>
      <c r="R37" s="40" t="s">
        <v>53</v>
      </c>
      <c r="S37" s="40" t="s">
        <v>54</v>
      </c>
      <c r="T37" s="40" t="s">
        <v>364</v>
      </c>
      <c r="U37" s="40" t="s">
        <v>55</v>
      </c>
      <c r="V37" s="40" t="s">
        <v>56</v>
      </c>
      <c r="W37" s="40" t="s">
        <v>57</v>
      </c>
      <c r="X37" s="40" t="s">
        <v>57</v>
      </c>
      <c r="Y37" s="40" t="s">
        <v>58</v>
      </c>
      <c r="Z37" s="40" t="s">
        <v>58</v>
      </c>
      <c r="AA37" s="40" t="s">
        <v>1030</v>
      </c>
      <c r="AB37" s="41">
        <v>3000</v>
      </c>
      <c r="AC37" s="41">
        <v>3000</v>
      </c>
      <c r="AD37" s="42">
        <v>1</v>
      </c>
      <c r="AE37" s="42">
        <v>1</v>
      </c>
      <c r="AF37" s="42">
        <v>1</v>
      </c>
      <c r="AG37" s="41">
        <v>0.91</v>
      </c>
      <c r="AH37" s="41">
        <v>1</v>
      </c>
      <c r="AI37" s="43">
        <v>0</v>
      </c>
      <c r="AJ37" s="44"/>
      <c r="AK37" s="41">
        <v>3000</v>
      </c>
      <c r="AL37" s="41">
        <v>3000</v>
      </c>
      <c r="AM37" s="50">
        <v>3000</v>
      </c>
      <c r="AN37" s="50">
        <v>3000</v>
      </c>
      <c r="AO37" s="50">
        <v>3000</v>
      </c>
      <c r="AP37" s="44"/>
      <c r="AQ37" s="42">
        <v>3000</v>
      </c>
      <c r="AR37" s="42">
        <v>3000</v>
      </c>
      <c r="AS37" s="41">
        <v>0</v>
      </c>
      <c r="AT37" s="42">
        <v>0</v>
      </c>
      <c r="AU37" s="42">
        <v>0</v>
      </c>
      <c r="AV37" s="43">
        <v>0</v>
      </c>
      <c r="AW37" s="40" t="s">
        <v>819</v>
      </c>
      <c r="AX37" s="40" t="s">
        <v>789</v>
      </c>
      <c r="AY37" s="40" t="s">
        <v>820</v>
      </c>
      <c r="AZ37" s="40" t="s">
        <v>790</v>
      </c>
      <c r="BA37" s="44"/>
      <c r="BB37" s="40" t="s">
        <v>53</v>
      </c>
      <c r="BC37" s="40" t="s">
        <v>63</v>
      </c>
      <c r="BD37" s="41">
        <v>1</v>
      </c>
      <c r="BE37" s="40" t="s">
        <v>728</v>
      </c>
      <c r="BF37" s="40" t="s">
        <v>258</v>
      </c>
      <c r="BG37" s="40" t="s">
        <v>260</v>
      </c>
      <c r="BH37" s="40" t="s">
        <v>583</v>
      </c>
      <c r="BI37" s="40" t="s">
        <v>53</v>
      </c>
      <c r="BJ37" s="40" t="s">
        <v>60</v>
      </c>
      <c r="BK37" s="40" t="s">
        <v>61</v>
      </c>
      <c r="BL37" s="40" t="s">
        <v>627</v>
      </c>
      <c r="BM37" s="40" t="s">
        <v>67</v>
      </c>
      <c r="BP37" s="13" t="e">
        <f>INDEX(Summary!N:N,MATCH(A37,Summary!A:A,0),1)</f>
        <v>#N/A</v>
      </c>
      <c r="BQ37" s="89">
        <f>AM37/INDEX('ex rate'!C:C,MATCH(Y37,'ex rate'!A:A,0),1)</f>
        <v>3000</v>
      </c>
      <c r="BR37" s="89">
        <f>AO37/INDEX('ex rate'!C:C,MATCH(Z37,'ex rate'!A:A,0),1)</f>
        <v>3000</v>
      </c>
      <c r="BS37" t="s">
        <v>787</v>
      </c>
      <c r="BT37" t="s">
        <v>788</v>
      </c>
    </row>
    <row r="38" spans="1:72" ht="15.6" x14ac:dyDescent="0.3">
      <c r="A38" s="12" t="str">
        <f t="shared" si="4"/>
        <v>118622-February</v>
      </c>
      <c r="B38" s="40" t="s">
        <v>558</v>
      </c>
      <c r="C38" s="40" t="s">
        <v>625</v>
      </c>
      <c r="D38" s="40" t="s">
        <v>626</v>
      </c>
      <c r="E38" s="40" t="s">
        <v>627</v>
      </c>
      <c r="F38" s="40" t="s">
        <v>726</v>
      </c>
      <c r="G38" s="40" t="s">
        <v>1031</v>
      </c>
      <c r="H38" s="40" t="s">
        <v>727</v>
      </c>
      <c r="I38" s="40" t="s">
        <v>1032</v>
      </c>
      <c r="J38" s="40" t="s">
        <v>49</v>
      </c>
      <c r="K38" s="40" t="s">
        <v>50</v>
      </c>
      <c r="L38" s="40" t="s">
        <v>758</v>
      </c>
      <c r="M38" s="40" t="s">
        <v>258</v>
      </c>
      <c r="N38" s="40" t="s">
        <v>259</v>
      </c>
      <c r="O38" s="40" t="s">
        <v>51</v>
      </c>
      <c r="P38" s="40" t="s">
        <v>52</v>
      </c>
      <c r="Q38" s="40" t="s">
        <v>80</v>
      </c>
      <c r="R38" s="40" t="s">
        <v>53</v>
      </c>
      <c r="S38" s="40" t="s">
        <v>54</v>
      </c>
      <c r="T38" s="40" t="s">
        <v>364</v>
      </c>
      <c r="U38" s="40" t="s">
        <v>55</v>
      </c>
      <c r="V38" s="40" t="s">
        <v>56</v>
      </c>
      <c r="W38" s="40" t="s">
        <v>57</v>
      </c>
      <c r="X38" s="40" t="s">
        <v>57</v>
      </c>
      <c r="Y38" s="40" t="s">
        <v>58</v>
      </c>
      <c r="Z38" s="40" t="s">
        <v>58</v>
      </c>
      <c r="AA38" s="40" t="s">
        <v>1033</v>
      </c>
      <c r="AB38" s="41">
        <v>4000</v>
      </c>
      <c r="AC38" s="41">
        <v>4000</v>
      </c>
      <c r="AD38" s="42">
        <v>1</v>
      </c>
      <c r="AE38" s="42">
        <v>1</v>
      </c>
      <c r="AF38" s="42">
        <v>1</v>
      </c>
      <c r="AG38" s="41">
        <v>0.85</v>
      </c>
      <c r="AH38" s="41">
        <v>1</v>
      </c>
      <c r="AI38" s="43">
        <v>0</v>
      </c>
      <c r="AJ38" s="44"/>
      <c r="AK38" s="41">
        <v>4000</v>
      </c>
      <c r="AL38" s="41">
        <v>4000</v>
      </c>
      <c r="AM38" s="50">
        <v>4000</v>
      </c>
      <c r="AN38" s="50">
        <v>4000</v>
      </c>
      <c r="AO38" s="50">
        <v>4000</v>
      </c>
      <c r="AP38" s="44"/>
      <c r="AQ38" s="42">
        <v>4000</v>
      </c>
      <c r="AR38" s="42">
        <v>4000</v>
      </c>
      <c r="AS38" s="41">
        <v>0</v>
      </c>
      <c r="AT38" s="42">
        <v>0</v>
      </c>
      <c r="AU38" s="42">
        <v>0</v>
      </c>
      <c r="AV38" s="43">
        <v>0</v>
      </c>
      <c r="AW38" s="40" t="s">
        <v>819</v>
      </c>
      <c r="AX38" s="40" t="s">
        <v>789</v>
      </c>
      <c r="AY38" s="40" t="s">
        <v>820</v>
      </c>
      <c r="AZ38" s="40" t="s">
        <v>790</v>
      </c>
      <c r="BA38" s="44"/>
      <c r="BB38" s="40" t="s">
        <v>53</v>
      </c>
      <c r="BC38" s="40" t="s">
        <v>63</v>
      </c>
      <c r="BD38" s="41">
        <v>1</v>
      </c>
      <c r="BE38" s="40" t="s">
        <v>728</v>
      </c>
      <c r="BF38" s="40" t="s">
        <v>258</v>
      </c>
      <c r="BG38" s="40" t="s">
        <v>260</v>
      </c>
      <c r="BH38" s="40" t="s">
        <v>583</v>
      </c>
      <c r="BI38" s="40" t="s">
        <v>53</v>
      </c>
      <c r="BJ38" s="40" t="s">
        <v>60</v>
      </c>
      <c r="BK38" s="40" t="s">
        <v>61</v>
      </c>
      <c r="BL38" s="40" t="s">
        <v>627</v>
      </c>
      <c r="BM38" s="40" t="s">
        <v>67</v>
      </c>
      <c r="BP38" s="13" t="e">
        <f>INDEX(Summary!N:N,MATCH(A38,Summary!A:A,0),1)</f>
        <v>#N/A</v>
      </c>
      <c r="BQ38" s="89">
        <f>AM38/INDEX('ex rate'!C:C,MATCH(Y38,'ex rate'!A:A,0),1)</f>
        <v>4000</v>
      </c>
      <c r="BR38" s="89">
        <f>AO38/INDEX('ex rate'!C:C,MATCH(Z38,'ex rate'!A:A,0),1)</f>
        <v>4000</v>
      </c>
      <c r="BS38" t="s">
        <v>787</v>
      </c>
      <c r="BT38" t="s">
        <v>788</v>
      </c>
    </row>
    <row r="39" spans="1:72" ht="15.6" x14ac:dyDescent="0.3">
      <c r="A39" s="12" t="str">
        <f t="shared" si="4"/>
        <v>110436-February</v>
      </c>
      <c r="B39" s="40" t="s">
        <v>558</v>
      </c>
      <c r="C39" s="40" t="s">
        <v>625</v>
      </c>
      <c r="D39" s="40" t="s">
        <v>626</v>
      </c>
      <c r="E39" s="40" t="s">
        <v>627</v>
      </c>
      <c r="F39" s="40" t="s">
        <v>726</v>
      </c>
      <c r="G39" s="40" t="s">
        <v>1034</v>
      </c>
      <c r="H39" s="40" t="s">
        <v>727</v>
      </c>
      <c r="I39" s="40" t="s">
        <v>1035</v>
      </c>
      <c r="J39" s="40" t="s">
        <v>49</v>
      </c>
      <c r="K39" s="40" t="s">
        <v>50</v>
      </c>
      <c r="L39" s="40" t="s">
        <v>758</v>
      </c>
      <c r="M39" s="40" t="s">
        <v>258</v>
      </c>
      <c r="N39" s="40" t="s">
        <v>259</v>
      </c>
      <c r="O39" s="40" t="s">
        <v>51</v>
      </c>
      <c r="P39" s="40" t="s">
        <v>52</v>
      </c>
      <c r="Q39" s="40" t="s">
        <v>80</v>
      </c>
      <c r="R39" s="40" t="s">
        <v>53</v>
      </c>
      <c r="S39" s="40" t="s">
        <v>54</v>
      </c>
      <c r="T39" s="40" t="s">
        <v>364</v>
      </c>
      <c r="U39" s="40" t="s">
        <v>55</v>
      </c>
      <c r="V39" s="40" t="s">
        <v>56</v>
      </c>
      <c r="W39" s="40" t="s">
        <v>57</v>
      </c>
      <c r="X39" s="40" t="s">
        <v>57</v>
      </c>
      <c r="Y39" s="40" t="s">
        <v>58</v>
      </c>
      <c r="Z39" s="40" t="s">
        <v>58</v>
      </c>
      <c r="AA39" s="40" t="s">
        <v>1036</v>
      </c>
      <c r="AB39" s="41">
        <v>6000</v>
      </c>
      <c r="AC39" s="41">
        <v>6000</v>
      </c>
      <c r="AD39" s="42">
        <v>1</v>
      </c>
      <c r="AE39" s="42">
        <v>1</v>
      </c>
      <c r="AF39" s="42">
        <v>1</v>
      </c>
      <c r="AG39" s="41">
        <v>0.85</v>
      </c>
      <c r="AH39" s="41">
        <v>1</v>
      </c>
      <c r="AI39" s="43">
        <v>0</v>
      </c>
      <c r="AJ39" s="44"/>
      <c r="AK39" s="41">
        <v>6000</v>
      </c>
      <c r="AL39" s="41">
        <v>6000</v>
      </c>
      <c r="AM39" s="50">
        <v>6000</v>
      </c>
      <c r="AN39" s="50">
        <v>6000</v>
      </c>
      <c r="AO39" s="50">
        <v>6000</v>
      </c>
      <c r="AP39" s="44"/>
      <c r="AQ39" s="42">
        <v>6000</v>
      </c>
      <c r="AR39" s="42">
        <v>6000</v>
      </c>
      <c r="AS39" s="41">
        <v>0</v>
      </c>
      <c r="AT39" s="42">
        <v>0</v>
      </c>
      <c r="AU39" s="42">
        <v>0</v>
      </c>
      <c r="AV39" s="43">
        <v>0</v>
      </c>
      <c r="AW39" s="40" t="s">
        <v>819</v>
      </c>
      <c r="AX39" s="40" t="s">
        <v>789</v>
      </c>
      <c r="AY39" s="40" t="s">
        <v>820</v>
      </c>
      <c r="AZ39" s="40" t="s">
        <v>790</v>
      </c>
      <c r="BA39" s="44"/>
      <c r="BB39" s="40" t="s">
        <v>53</v>
      </c>
      <c r="BC39" s="40" t="s">
        <v>63</v>
      </c>
      <c r="BD39" s="41">
        <v>1</v>
      </c>
      <c r="BE39" s="40" t="s">
        <v>728</v>
      </c>
      <c r="BF39" s="40" t="s">
        <v>258</v>
      </c>
      <c r="BG39" s="40" t="s">
        <v>260</v>
      </c>
      <c r="BH39" s="40" t="s">
        <v>583</v>
      </c>
      <c r="BI39" s="40" t="s">
        <v>53</v>
      </c>
      <c r="BJ39" s="40" t="s">
        <v>60</v>
      </c>
      <c r="BK39" s="40" t="s">
        <v>61</v>
      </c>
      <c r="BL39" s="40" t="s">
        <v>627</v>
      </c>
      <c r="BM39" s="40" t="s">
        <v>67</v>
      </c>
      <c r="BP39" s="13" t="e">
        <f>INDEX(Summary!N:N,MATCH(A39,Summary!A:A,0),1)</f>
        <v>#N/A</v>
      </c>
      <c r="BQ39" s="89">
        <f>AM39/INDEX('ex rate'!C:C,MATCH(Y39,'ex rate'!A:A,0),1)</f>
        <v>6000</v>
      </c>
      <c r="BR39" s="89">
        <f>AO39/INDEX('ex rate'!C:C,MATCH(Z39,'ex rate'!A:A,0),1)</f>
        <v>6000</v>
      </c>
      <c r="BS39" t="s">
        <v>787</v>
      </c>
      <c r="BT39" t="s">
        <v>788</v>
      </c>
    </row>
    <row r="40" spans="1:72" ht="15.6" x14ac:dyDescent="0.3">
      <c r="A40" s="12" t="str">
        <f t="shared" si="4"/>
        <v>31762-February</v>
      </c>
      <c r="B40" s="40" t="s">
        <v>558</v>
      </c>
      <c r="C40" s="40" t="s">
        <v>625</v>
      </c>
      <c r="D40" s="40" t="s">
        <v>626</v>
      </c>
      <c r="E40" s="40" t="s">
        <v>627</v>
      </c>
      <c r="F40" s="40" t="s">
        <v>743</v>
      </c>
      <c r="G40" s="40" t="s">
        <v>1037</v>
      </c>
      <c r="H40" s="40" t="s">
        <v>744</v>
      </c>
      <c r="I40" s="40" t="s">
        <v>1038</v>
      </c>
      <c r="J40" s="40" t="s">
        <v>49</v>
      </c>
      <c r="K40" s="40" t="s">
        <v>50</v>
      </c>
      <c r="L40" s="40" t="s">
        <v>758</v>
      </c>
      <c r="M40" s="40" t="s">
        <v>101</v>
      </c>
      <c r="N40" s="40" t="s">
        <v>291</v>
      </c>
      <c r="O40" s="40" t="s">
        <v>51</v>
      </c>
      <c r="P40" s="40" t="s">
        <v>52</v>
      </c>
      <c r="Q40" s="40" t="s">
        <v>83</v>
      </c>
      <c r="R40" s="40" t="s">
        <v>53</v>
      </c>
      <c r="S40" s="40" t="s">
        <v>54</v>
      </c>
      <c r="T40" s="40" t="s">
        <v>62</v>
      </c>
      <c r="U40" s="40" t="s">
        <v>55</v>
      </c>
      <c r="V40" s="40" t="s">
        <v>56</v>
      </c>
      <c r="W40" s="40" t="s">
        <v>57</v>
      </c>
      <c r="X40" s="40" t="s">
        <v>57</v>
      </c>
      <c r="Y40" s="40" t="s">
        <v>58</v>
      </c>
      <c r="Z40" s="40" t="s">
        <v>58</v>
      </c>
      <c r="AA40" s="40" t="s">
        <v>1039</v>
      </c>
      <c r="AB40" s="41">
        <v>296.01</v>
      </c>
      <c r="AC40" s="41">
        <v>296.01</v>
      </c>
      <c r="AD40" s="42">
        <v>1</v>
      </c>
      <c r="AE40" s="42">
        <v>1</v>
      </c>
      <c r="AF40" s="42">
        <v>1</v>
      </c>
      <c r="AG40" s="41">
        <v>0.91</v>
      </c>
      <c r="AH40" s="41">
        <v>1</v>
      </c>
      <c r="AI40" s="43">
        <v>0</v>
      </c>
      <c r="AJ40" s="44"/>
      <c r="AK40" s="41">
        <v>296.01</v>
      </c>
      <c r="AL40" s="41">
        <v>296.01</v>
      </c>
      <c r="AM40" s="50">
        <v>296.01</v>
      </c>
      <c r="AN40" s="50">
        <v>296.01</v>
      </c>
      <c r="AO40" s="50">
        <v>296.01</v>
      </c>
      <c r="AP40" s="44"/>
      <c r="AQ40" s="42">
        <v>296.01</v>
      </c>
      <c r="AR40" s="42">
        <v>296.01</v>
      </c>
      <c r="AS40" s="41">
        <v>0</v>
      </c>
      <c r="AT40" s="42">
        <v>0</v>
      </c>
      <c r="AU40" s="42">
        <v>0</v>
      </c>
      <c r="AV40" s="43">
        <v>0</v>
      </c>
      <c r="AW40" s="40" t="s">
        <v>821</v>
      </c>
      <c r="AX40" s="40" t="s">
        <v>789</v>
      </c>
      <c r="AY40" s="40" t="s">
        <v>822</v>
      </c>
      <c r="AZ40" s="40" t="s">
        <v>790</v>
      </c>
      <c r="BA40" s="44"/>
      <c r="BB40" s="40" t="s">
        <v>53</v>
      </c>
      <c r="BC40" s="40" t="s">
        <v>63</v>
      </c>
      <c r="BD40" s="41">
        <v>1</v>
      </c>
      <c r="BE40" s="40" t="s">
        <v>745</v>
      </c>
      <c r="BF40" s="40" t="s">
        <v>291</v>
      </c>
      <c r="BG40" s="40" t="s">
        <v>334</v>
      </c>
      <c r="BH40" s="40" t="s">
        <v>86</v>
      </c>
      <c r="BI40" s="40" t="s">
        <v>53</v>
      </c>
      <c r="BJ40" s="40" t="s">
        <v>60</v>
      </c>
      <c r="BK40" s="40" t="s">
        <v>61</v>
      </c>
      <c r="BL40" s="40" t="s">
        <v>627</v>
      </c>
      <c r="BM40" s="40" t="s">
        <v>59</v>
      </c>
      <c r="BP40" s="13" t="e">
        <f>INDEX(Summary!N:N,MATCH(A40,Summary!A:A,0),1)</f>
        <v>#N/A</v>
      </c>
      <c r="BQ40" s="89">
        <f>AM40/INDEX('ex rate'!C:C,MATCH(Y40,'ex rate'!A:A,0),1)</f>
        <v>296.01</v>
      </c>
      <c r="BR40" s="89">
        <f>AO40/INDEX('ex rate'!C:C,MATCH(Z40,'ex rate'!A:A,0),1)</f>
        <v>296.01</v>
      </c>
      <c r="BS40" t="s">
        <v>787</v>
      </c>
      <c r="BT40" t="s">
        <v>788</v>
      </c>
    </row>
    <row r="41" spans="1:72" ht="15.6" x14ac:dyDescent="0.3">
      <c r="A41" s="12" t="str">
        <f t="shared" si="4"/>
        <v>31763-February</v>
      </c>
      <c r="B41" s="40" t="s">
        <v>558</v>
      </c>
      <c r="C41" s="40" t="s">
        <v>625</v>
      </c>
      <c r="D41" s="40" t="s">
        <v>626</v>
      </c>
      <c r="E41" s="40" t="s">
        <v>627</v>
      </c>
      <c r="F41" s="40" t="s">
        <v>743</v>
      </c>
      <c r="G41" s="40" t="s">
        <v>1040</v>
      </c>
      <c r="H41" s="40" t="s">
        <v>744</v>
      </c>
      <c r="I41" s="40" t="s">
        <v>1041</v>
      </c>
      <c r="J41" s="40" t="s">
        <v>49</v>
      </c>
      <c r="K41" s="40" t="s">
        <v>50</v>
      </c>
      <c r="L41" s="40" t="s">
        <v>758</v>
      </c>
      <c r="M41" s="40" t="s">
        <v>101</v>
      </c>
      <c r="N41" s="40" t="s">
        <v>291</v>
      </c>
      <c r="O41" s="40" t="s">
        <v>51</v>
      </c>
      <c r="P41" s="40" t="s">
        <v>52</v>
      </c>
      <c r="Q41" s="40" t="s">
        <v>83</v>
      </c>
      <c r="R41" s="40" t="s">
        <v>53</v>
      </c>
      <c r="S41" s="40" t="s">
        <v>54</v>
      </c>
      <c r="T41" s="40" t="s">
        <v>62</v>
      </c>
      <c r="U41" s="40" t="s">
        <v>55</v>
      </c>
      <c r="V41" s="40" t="s">
        <v>56</v>
      </c>
      <c r="W41" s="40" t="s">
        <v>57</v>
      </c>
      <c r="X41" s="40" t="s">
        <v>57</v>
      </c>
      <c r="Y41" s="40" t="s">
        <v>58</v>
      </c>
      <c r="Z41" s="40" t="s">
        <v>58</v>
      </c>
      <c r="AA41" s="40" t="s">
        <v>1042</v>
      </c>
      <c r="AB41" s="41">
        <v>253.33</v>
      </c>
      <c r="AC41" s="41">
        <v>253.33</v>
      </c>
      <c r="AD41" s="42">
        <v>1</v>
      </c>
      <c r="AE41" s="42">
        <v>1</v>
      </c>
      <c r="AF41" s="42">
        <v>1</v>
      </c>
      <c r="AG41" s="41">
        <v>0.91</v>
      </c>
      <c r="AH41" s="41">
        <v>1</v>
      </c>
      <c r="AI41" s="43">
        <v>0</v>
      </c>
      <c r="AJ41" s="44"/>
      <c r="AK41" s="41">
        <v>253.33</v>
      </c>
      <c r="AL41" s="41">
        <v>253.33</v>
      </c>
      <c r="AM41" s="50">
        <v>253.33</v>
      </c>
      <c r="AN41" s="50">
        <v>253.33</v>
      </c>
      <c r="AO41" s="50">
        <v>253.33</v>
      </c>
      <c r="AP41" s="44"/>
      <c r="AQ41" s="42">
        <v>253.33</v>
      </c>
      <c r="AR41" s="42">
        <v>253.33</v>
      </c>
      <c r="AS41" s="41">
        <v>0</v>
      </c>
      <c r="AT41" s="42">
        <v>0</v>
      </c>
      <c r="AU41" s="42">
        <v>0</v>
      </c>
      <c r="AV41" s="43">
        <v>0</v>
      </c>
      <c r="AW41" s="40" t="s">
        <v>821</v>
      </c>
      <c r="AX41" s="40" t="s">
        <v>789</v>
      </c>
      <c r="AY41" s="40" t="s">
        <v>822</v>
      </c>
      <c r="AZ41" s="40" t="s">
        <v>790</v>
      </c>
      <c r="BA41" s="44"/>
      <c r="BB41" s="40" t="s">
        <v>53</v>
      </c>
      <c r="BC41" s="40" t="s">
        <v>63</v>
      </c>
      <c r="BD41" s="41">
        <v>1</v>
      </c>
      <c r="BE41" s="40" t="s">
        <v>745</v>
      </c>
      <c r="BF41" s="40" t="s">
        <v>291</v>
      </c>
      <c r="BG41" s="40" t="s">
        <v>334</v>
      </c>
      <c r="BH41" s="40" t="s">
        <v>86</v>
      </c>
      <c r="BI41" s="40" t="s">
        <v>53</v>
      </c>
      <c r="BJ41" s="40" t="s">
        <v>60</v>
      </c>
      <c r="BK41" s="40" t="s">
        <v>61</v>
      </c>
      <c r="BL41" s="40" t="s">
        <v>627</v>
      </c>
      <c r="BM41" s="40" t="s">
        <v>59</v>
      </c>
      <c r="BP41" s="13" t="e">
        <f>INDEX(Summary!N:N,MATCH(A41,Summary!A:A,0),1)</f>
        <v>#N/A</v>
      </c>
      <c r="BQ41" s="89">
        <f>AM41/INDEX('ex rate'!C:C,MATCH(Y41,'ex rate'!A:A,0),1)</f>
        <v>253.33</v>
      </c>
      <c r="BR41" s="89">
        <f>AO41/INDEX('ex rate'!C:C,MATCH(Z41,'ex rate'!A:A,0),1)</f>
        <v>253.33</v>
      </c>
      <c r="BS41" t="s">
        <v>787</v>
      </c>
      <c r="BT41" t="s">
        <v>788</v>
      </c>
    </row>
    <row r="42" spans="1:72" ht="15.6" x14ac:dyDescent="0.3">
      <c r="A42" s="12" t="str">
        <f t="shared" si="4"/>
        <v>36112-February</v>
      </c>
      <c r="B42" s="40" t="s">
        <v>558</v>
      </c>
      <c r="C42" s="40" t="s">
        <v>625</v>
      </c>
      <c r="D42" s="40" t="s">
        <v>626</v>
      </c>
      <c r="E42" s="40" t="s">
        <v>627</v>
      </c>
      <c r="F42" s="40" t="s">
        <v>743</v>
      </c>
      <c r="G42" s="40" t="s">
        <v>1043</v>
      </c>
      <c r="H42" s="40" t="s">
        <v>744</v>
      </c>
      <c r="I42" s="40" t="s">
        <v>1044</v>
      </c>
      <c r="J42" s="40" t="s">
        <v>49</v>
      </c>
      <c r="K42" s="40" t="s">
        <v>50</v>
      </c>
      <c r="L42" s="40" t="s">
        <v>758</v>
      </c>
      <c r="M42" s="40" t="s">
        <v>101</v>
      </c>
      <c r="N42" s="40" t="s">
        <v>291</v>
      </c>
      <c r="O42" s="40" t="s">
        <v>51</v>
      </c>
      <c r="P42" s="40" t="s">
        <v>52</v>
      </c>
      <c r="Q42" s="40" t="s">
        <v>83</v>
      </c>
      <c r="R42" s="40" t="s">
        <v>53</v>
      </c>
      <c r="S42" s="40" t="s">
        <v>54</v>
      </c>
      <c r="T42" s="40" t="s">
        <v>62</v>
      </c>
      <c r="U42" s="40" t="s">
        <v>55</v>
      </c>
      <c r="V42" s="40" t="s">
        <v>56</v>
      </c>
      <c r="W42" s="40" t="s">
        <v>57</v>
      </c>
      <c r="X42" s="40" t="s">
        <v>57</v>
      </c>
      <c r="Y42" s="40" t="s">
        <v>58</v>
      </c>
      <c r="Z42" s="40" t="s">
        <v>58</v>
      </c>
      <c r="AA42" s="40" t="s">
        <v>1045</v>
      </c>
      <c r="AB42" s="41">
        <v>300.73</v>
      </c>
      <c r="AC42" s="41">
        <v>300.73</v>
      </c>
      <c r="AD42" s="42">
        <v>1</v>
      </c>
      <c r="AE42" s="42">
        <v>1</v>
      </c>
      <c r="AF42" s="42">
        <v>1</v>
      </c>
      <c r="AG42" s="41">
        <v>0.91</v>
      </c>
      <c r="AH42" s="41">
        <v>1</v>
      </c>
      <c r="AI42" s="43">
        <v>0</v>
      </c>
      <c r="AJ42" s="44"/>
      <c r="AK42" s="41">
        <v>300.73</v>
      </c>
      <c r="AL42" s="41">
        <v>300.73</v>
      </c>
      <c r="AM42" s="50">
        <v>300.73</v>
      </c>
      <c r="AN42" s="50">
        <v>300.73</v>
      </c>
      <c r="AO42" s="50">
        <v>300.73</v>
      </c>
      <c r="AP42" s="44"/>
      <c r="AQ42" s="42">
        <v>300.73</v>
      </c>
      <c r="AR42" s="42">
        <v>300.73</v>
      </c>
      <c r="AS42" s="41">
        <v>0</v>
      </c>
      <c r="AT42" s="42">
        <v>0</v>
      </c>
      <c r="AU42" s="42">
        <v>0</v>
      </c>
      <c r="AV42" s="43">
        <v>0</v>
      </c>
      <c r="AW42" s="40" t="s">
        <v>821</v>
      </c>
      <c r="AX42" s="40" t="s">
        <v>789</v>
      </c>
      <c r="AY42" s="40" t="s">
        <v>822</v>
      </c>
      <c r="AZ42" s="40" t="s">
        <v>790</v>
      </c>
      <c r="BA42" s="44"/>
      <c r="BB42" s="40" t="s">
        <v>53</v>
      </c>
      <c r="BC42" s="40" t="s">
        <v>63</v>
      </c>
      <c r="BD42" s="41">
        <v>1</v>
      </c>
      <c r="BE42" s="40" t="s">
        <v>745</v>
      </c>
      <c r="BF42" s="40" t="s">
        <v>291</v>
      </c>
      <c r="BG42" s="40" t="s">
        <v>334</v>
      </c>
      <c r="BH42" s="40" t="s">
        <v>86</v>
      </c>
      <c r="BI42" s="40" t="s">
        <v>53</v>
      </c>
      <c r="BJ42" s="40" t="s">
        <v>60</v>
      </c>
      <c r="BK42" s="40" t="s">
        <v>61</v>
      </c>
      <c r="BL42" s="40" t="s">
        <v>627</v>
      </c>
      <c r="BM42" s="40" t="s">
        <v>59</v>
      </c>
      <c r="BP42" s="13" t="e">
        <f>INDEX(Summary!N:N,MATCH(A42,Summary!A:A,0),1)</f>
        <v>#N/A</v>
      </c>
      <c r="BQ42" s="89">
        <f>AM42/INDEX('ex rate'!C:C,MATCH(Y42,'ex rate'!A:A,0),1)</f>
        <v>300.73</v>
      </c>
      <c r="BR42" s="89">
        <f>AO42/INDEX('ex rate'!C:C,MATCH(Z42,'ex rate'!A:A,0),1)</f>
        <v>300.73</v>
      </c>
      <c r="BS42" t="s">
        <v>787</v>
      </c>
      <c r="BT42" t="s">
        <v>788</v>
      </c>
    </row>
    <row r="43" spans="1:72" ht="15.6" x14ac:dyDescent="0.3">
      <c r="A43" s="12" t="str">
        <f t="shared" si="4"/>
        <v>31276-February</v>
      </c>
      <c r="B43" s="40" t="s">
        <v>558</v>
      </c>
      <c r="C43" s="40" t="s">
        <v>625</v>
      </c>
      <c r="D43" s="40" t="s">
        <v>626</v>
      </c>
      <c r="E43" s="40" t="s">
        <v>627</v>
      </c>
      <c r="F43" s="40" t="s">
        <v>743</v>
      </c>
      <c r="G43" s="40" t="s">
        <v>1046</v>
      </c>
      <c r="H43" s="40" t="s">
        <v>744</v>
      </c>
      <c r="I43" s="40" t="s">
        <v>1047</v>
      </c>
      <c r="J43" s="40" t="s">
        <v>49</v>
      </c>
      <c r="K43" s="40" t="s">
        <v>50</v>
      </c>
      <c r="L43" s="40" t="s">
        <v>758</v>
      </c>
      <c r="M43" s="40" t="s">
        <v>101</v>
      </c>
      <c r="N43" s="40" t="s">
        <v>291</v>
      </c>
      <c r="O43" s="40" t="s">
        <v>51</v>
      </c>
      <c r="P43" s="40" t="s">
        <v>52</v>
      </c>
      <c r="Q43" s="40" t="s">
        <v>83</v>
      </c>
      <c r="R43" s="40" t="s">
        <v>53</v>
      </c>
      <c r="S43" s="40" t="s">
        <v>54</v>
      </c>
      <c r="T43" s="40" t="s">
        <v>62</v>
      </c>
      <c r="U43" s="40" t="s">
        <v>55</v>
      </c>
      <c r="V43" s="40" t="s">
        <v>56</v>
      </c>
      <c r="W43" s="40" t="s">
        <v>57</v>
      </c>
      <c r="X43" s="40" t="s">
        <v>57</v>
      </c>
      <c r="Y43" s="40" t="s">
        <v>58</v>
      </c>
      <c r="Z43" s="40" t="s">
        <v>58</v>
      </c>
      <c r="AA43" s="40" t="s">
        <v>1048</v>
      </c>
      <c r="AB43" s="41">
        <v>1816.55</v>
      </c>
      <c r="AC43" s="41">
        <v>1816.55</v>
      </c>
      <c r="AD43" s="42">
        <v>1</v>
      </c>
      <c r="AE43" s="42">
        <v>1</v>
      </c>
      <c r="AF43" s="42">
        <v>1</v>
      </c>
      <c r="AG43" s="41">
        <v>0.91</v>
      </c>
      <c r="AH43" s="41">
        <v>1</v>
      </c>
      <c r="AI43" s="43">
        <v>0</v>
      </c>
      <c r="AJ43" s="44"/>
      <c r="AK43" s="41">
        <v>1816.55</v>
      </c>
      <c r="AL43" s="41">
        <v>1816.55</v>
      </c>
      <c r="AM43" s="50">
        <v>1816.55</v>
      </c>
      <c r="AN43" s="50">
        <v>1816.55</v>
      </c>
      <c r="AO43" s="50">
        <v>1816.55</v>
      </c>
      <c r="AP43" s="44"/>
      <c r="AQ43" s="42">
        <v>1816.55</v>
      </c>
      <c r="AR43" s="42">
        <v>1816.55</v>
      </c>
      <c r="AS43" s="41">
        <v>0</v>
      </c>
      <c r="AT43" s="42">
        <v>0</v>
      </c>
      <c r="AU43" s="42">
        <v>0</v>
      </c>
      <c r="AV43" s="43">
        <v>0</v>
      </c>
      <c r="AW43" s="40" t="s">
        <v>821</v>
      </c>
      <c r="AX43" s="40" t="s">
        <v>789</v>
      </c>
      <c r="AY43" s="40" t="s">
        <v>822</v>
      </c>
      <c r="AZ43" s="40" t="s">
        <v>790</v>
      </c>
      <c r="BA43" s="44"/>
      <c r="BB43" s="40" t="s">
        <v>53</v>
      </c>
      <c r="BC43" s="40" t="s">
        <v>63</v>
      </c>
      <c r="BD43" s="41">
        <v>1</v>
      </c>
      <c r="BE43" s="40" t="s">
        <v>745</v>
      </c>
      <c r="BF43" s="40" t="s">
        <v>291</v>
      </c>
      <c r="BG43" s="40" t="s">
        <v>334</v>
      </c>
      <c r="BH43" s="40" t="s">
        <v>86</v>
      </c>
      <c r="BI43" s="40" t="s">
        <v>53</v>
      </c>
      <c r="BJ43" s="40" t="s">
        <v>60</v>
      </c>
      <c r="BK43" s="40" t="s">
        <v>61</v>
      </c>
      <c r="BL43" s="40" t="s">
        <v>627</v>
      </c>
      <c r="BM43" s="40" t="s">
        <v>59</v>
      </c>
      <c r="BP43" s="13" t="e">
        <f>INDEX(Summary!N:N,MATCH(A43,Summary!A:A,0),1)</f>
        <v>#N/A</v>
      </c>
      <c r="BQ43" s="89">
        <f>AM43/INDEX('ex rate'!C:C,MATCH(Y43,'ex rate'!A:A,0),1)</f>
        <v>1816.55</v>
      </c>
      <c r="BR43" s="89">
        <f>AO43/INDEX('ex rate'!C:C,MATCH(Z43,'ex rate'!A:A,0),1)</f>
        <v>1816.55</v>
      </c>
      <c r="BS43" t="s">
        <v>787</v>
      </c>
      <c r="BT43" t="s">
        <v>788</v>
      </c>
    </row>
  </sheetData>
  <autoFilter ref="A2:BT32" xr:uid="{00000000-0001-0000-00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53E7-2CBD-4B70-9BF4-7E3FB1468FD0}">
  <dimension ref="A1:BU5"/>
  <sheetViews>
    <sheetView topLeftCell="AB1" workbookViewId="0">
      <selection activeCell="AN4" sqref="AN4"/>
    </sheetView>
  </sheetViews>
  <sheetFormatPr baseColWidth="10" defaultRowHeight="14.4" x14ac:dyDescent="0.3"/>
  <sheetData>
    <row r="1" spans="1:73" ht="15.6" x14ac:dyDescent="0.3">
      <c r="A1" s="1" t="s">
        <v>15</v>
      </c>
      <c r="B1" s="19" t="s">
        <v>0</v>
      </c>
      <c r="C1" s="19" t="s">
        <v>1</v>
      </c>
      <c r="D1" s="19" t="s">
        <v>2</v>
      </c>
      <c r="E1" s="19" t="s">
        <v>3</v>
      </c>
      <c r="F1" s="19" t="s">
        <v>391</v>
      </c>
      <c r="G1" s="19" t="s">
        <v>4</v>
      </c>
      <c r="H1" s="19" t="s">
        <v>392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393</v>
      </c>
      <c r="N1" s="19" t="s">
        <v>9</v>
      </c>
      <c r="O1" s="19" t="s">
        <v>394</v>
      </c>
      <c r="P1" s="19" t="s">
        <v>10</v>
      </c>
      <c r="Q1" s="19" t="s">
        <v>395</v>
      </c>
      <c r="R1" s="19" t="s">
        <v>396</v>
      </c>
      <c r="S1" s="19" t="s">
        <v>397</v>
      </c>
      <c r="T1" s="19" t="s">
        <v>398</v>
      </c>
      <c r="U1" s="19" t="s">
        <v>399</v>
      </c>
      <c r="V1" s="19" t="s">
        <v>400</v>
      </c>
      <c r="W1" s="19" t="s">
        <v>11</v>
      </c>
      <c r="X1" s="19" t="s">
        <v>12</v>
      </c>
      <c r="Y1" s="19" t="s">
        <v>13</v>
      </c>
      <c r="Z1" s="19" t="s">
        <v>14</v>
      </c>
      <c r="AA1" s="19" t="s">
        <v>15</v>
      </c>
      <c r="AB1" s="19" t="s">
        <v>16</v>
      </c>
      <c r="AC1" s="19" t="s">
        <v>17</v>
      </c>
      <c r="AD1" s="19" t="s">
        <v>18</v>
      </c>
      <c r="AE1" s="19" t="s">
        <v>19</v>
      </c>
      <c r="AF1" s="19" t="s">
        <v>20</v>
      </c>
      <c r="AG1" s="19" t="s">
        <v>21</v>
      </c>
      <c r="AH1" s="19" t="s">
        <v>22</v>
      </c>
      <c r="AI1" s="19" t="s">
        <v>23</v>
      </c>
      <c r="AJ1" s="19" t="s">
        <v>24</v>
      </c>
      <c r="AK1" s="19" t="s">
        <v>25</v>
      </c>
      <c r="AL1" s="19" t="s">
        <v>26</v>
      </c>
      <c r="AM1" s="30" t="s">
        <v>27</v>
      </c>
      <c r="AN1" s="30" t="s">
        <v>28</v>
      </c>
      <c r="AO1" s="19" t="s">
        <v>29</v>
      </c>
      <c r="AP1" s="19" t="s">
        <v>30</v>
      </c>
      <c r="AQ1" s="19" t="s">
        <v>31</v>
      </c>
      <c r="AR1" s="19" t="s">
        <v>32</v>
      </c>
      <c r="AS1" s="19" t="s">
        <v>33</v>
      </c>
      <c r="AT1" s="19" t="s">
        <v>34</v>
      </c>
      <c r="AU1" s="19" t="s">
        <v>35</v>
      </c>
      <c r="AV1" s="19" t="s">
        <v>36</v>
      </c>
      <c r="AW1" s="19" t="s">
        <v>37</v>
      </c>
      <c r="AX1" s="19" t="s">
        <v>38</v>
      </c>
      <c r="AY1" s="19" t="s">
        <v>39</v>
      </c>
      <c r="AZ1" s="19" t="s">
        <v>40</v>
      </c>
      <c r="BA1" s="19" t="s">
        <v>41</v>
      </c>
      <c r="BB1" s="19" t="s">
        <v>42</v>
      </c>
      <c r="BC1" s="19" t="s">
        <v>401</v>
      </c>
      <c r="BD1" s="19" t="s">
        <v>43</v>
      </c>
      <c r="BE1" s="19" t="s">
        <v>44</v>
      </c>
      <c r="BF1" s="19" t="s">
        <v>402</v>
      </c>
      <c r="BG1" s="19" t="s">
        <v>45</v>
      </c>
      <c r="BH1" s="19" t="s">
        <v>403</v>
      </c>
      <c r="BI1" s="19" t="s">
        <v>404</v>
      </c>
      <c r="BJ1" s="19" t="s">
        <v>47</v>
      </c>
      <c r="BK1" s="19" t="s">
        <v>48</v>
      </c>
      <c r="BL1" s="19" t="s">
        <v>46</v>
      </c>
      <c r="BM1" s="19" t="s">
        <v>405</v>
      </c>
      <c r="BN1" s="1" t="s">
        <v>47</v>
      </c>
      <c r="BO1" s="1" t="s">
        <v>48</v>
      </c>
      <c r="BP1" s="11" t="s">
        <v>7</v>
      </c>
      <c r="BQ1" s="91" t="s">
        <v>503</v>
      </c>
      <c r="BR1" s="91" t="s">
        <v>542</v>
      </c>
      <c r="BT1" s="49" t="s">
        <v>419</v>
      </c>
      <c r="BU1" s="49" t="s">
        <v>418</v>
      </c>
    </row>
    <row r="2" spans="1:73" ht="15.6" x14ac:dyDescent="0.3">
      <c r="A2" s="12" t="str">
        <f t="shared" ref="A2:A5" si="0">+AA2&amp;"-"&amp;C2</f>
        <v>115957-February</v>
      </c>
      <c r="B2" s="40" t="s">
        <v>558</v>
      </c>
      <c r="C2" s="40" t="s">
        <v>625</v>
      </c>
      <c r="D2" s="40" t="s">
        <v>626</v>
      </c>
      <c r="E2" s="40" t="s">
        <v>627</v>
      </c>
      <c r="F2" s="40" t="s">
        <v>559</v>
      </c>
      <c r="G2" s="40" t="s">
        <v>628</v>
      </c>
      <c r="H2" s="40" t="s">
        <v>629</v>
      </c>
      <c r="I2" s="40" t="s">
        <v>630</v>
      </c>
      <c r="J2" s="40" t="s">
        <v>49</v>
      </c>
      <c r="K2" s="40" t="s">
        <v>50</v>
      </c>
      <c r="L2" s="40" t="s">
        <v>758</v>
      </c>
      <c r="M2" s="40" t="s">
        <v>258</v>
      </c>
      <c r="N2" s="40" t="s">
        <v>407</v>
      </c>
      <c r="O2" s="40" t="s">
        <v>51</v>
      </c>
      <c r="P2" s="40" t="s">
        <v>560</v>
      </c>
      <c r="Q2" s="40" t="s">
        <v>80</v>
      </c>
      <c r="R2" s="40" t="s">
        <v>53</v>
      </c>
      <c r="S2" s="40" t="s">
        <v>54</v>
      </c>
      <c r="T2" s="40" t="s">
        <v>631</v>
      </c>
      <c r="U2" s="40" t="s">
        <v>55</v>
      </c>
      <c r="V2" s="40" t="s">
        <v>56</v>
      </c>
      <c r="W2" s="40" t="s">
        <v>57</v>
      </c>
      <c r="X2" s="40" t="s">
        <v>57</v>
      </c>
      <c r="Y2" s="40" t="s">
        <v>58</v>
      </c>
      <c r="Z2" s="40" t="s">
        <v>58</v>
      </c>
      <c r="AA2" s="40" t="s">
        <v>632</v>
      </c>
      <c r="AB2" s="41">
        <v>1389.89</v>
      </c>
      <c r="AC2" s="41">
        <v>1389.89</v>
      </c>
      <c r="AD2" s="42">
        <v>1</v>
      </c>
      <c r="AE2" s="42">
        <v>1</v>
      </c>
      <c r="AF2" s="42">
        <v>1</v>
      </c>
      <c r="AG2" s="41">
        <v>1</v>
      </c>
      <c r="AH2" s="41">
        <v>1</v>
      </c>
      <c r="AI2" s="43">
        <v>0</v>
      </c>
      <c r="AJ2" s="44"/>
      <c r="AK2" s="41">
        <v>1389.89</v>
      </c>
      <c r="AL2" s="41">
        <v>1389.89</v>
      </c>
      <c r="AM2" s="50">
        <v>1389.89</v>
      </c>
      <c r="AN2" s="50">
        <v>1389.89</v>
      </c>
      <c r="AO2" s="45">
        <v>1389.89</v>
      </c>
      <c r="AP2" s="41"/>
      <c r="AQ2" s="42">
        <v>8376.11</v>
      </c>
      <c r="AR2" s="42">
        <v>1389.89</v>
      </c>
      <c r="AS2" s="41">
        <v>166.7868</v>
      </c>
      <c r="AT2" s="42">
        <v>166.7868</v>
      </c>
      <c r="AU2" s="42">
        <v>166.7868</v>
      </c>
      <c r="AV2" s="43">
        <v>0.12</v>
      </c>
      <c r="AW2" s="40" t="s">
        <v>53</v>
      </c>
      <c r="AX2" s="40" t="s">
        <v>53</v>
      </c>
      <c r="AY2" s="40" t="s">
        <v>53</v>
      </c>
      <c r="AZ2" s="40" t="s">
        <v>53</v>
      </c>
      <c r="BA2" s="44"/>
      <c r="BB2" s="40" t="s">
        <v>53</v>
      </c>
      <c r="BC2" s="40" t="s">
        <v>63</v>
      </c>
      <c r="BD2" s="41">
        <v>1</v>
      </c>
      <c r="BE2" s="40" t="s">
        <v>633</v>
      </c>
      <c r="BF2" s="40" t="s">
        <v>52</v>
      </c>
      <c r="BG2" s="40" t="s">
        <v>409</v>
      </c>
      <c r="BH2" s="40" t="s">
        <v>309</v>
      </c>
      <c r="BI2" s="40" t="s">
        <v>53</v>
      </c>
      <c r="BJ2" s="40" t="s">
        <v>60</v>
      </c>
      <c r="BK2" s="40" t="s">
        <v>61</v>
      </c>
      <c r="BL2" s="40" t="s">
        <v>627</v>
      </c>
      <c r="BM2" s="40" t="s">
        <v>266</v>
      </c>
      <c r="BP2" s="13" t="e">
        <v>#N/A</v>
      </c>
      <c r="BQ2" s="89">
        <v>1499.95</v>
      </c>
      <c r="BR2" s="89">
        <v>1499.95</v>
      </c>
    </row>
    <row r="3" spans="1:73" ht="15.6" x14ac:dyDescent="0.3">
      <c r="A3" s="12" t="str">
        <f t="shared" si="0"/>
        <v>111236-February</v>
      </c>
      <c r="B3" s="40" t="s">
        <v>558</v>
      </c>
      <c r="C3" s="40" t="s">
        <v>625</v>
      </c>
      <c r="D3" s="40" t="s">
        <v>626</v>
      </c>
      <c r="E3" s="40" t="s">
        <v>627</v>
      </c>
      <c r="F3" s="40" t="s">
        <v>410</v>
      </c>
      <c r="G3" s="40" t="s">
        <v>635</v>
      </c>
      <c r="H3" s="40" t="s">
        <v>561</v>
      </c>
      <c r="I3" s="40" t="s">
        <v>636</v>
      </c>
      <c r="J3" s="40" t="s">
        <v>49</v>
      </c>
      <c r="K3" s="40" t="s">
        <v>50</v>
      </c>
      <c r="L3" s="40" t="s">
        <v>758</v>
      </c>
      <c r="M3" s="40" t="s">
        <v>562</v>
      </c>
      <c r="N3" s="40" t="s">
        <v>407</v>
      </c>
      <c r="O3" s="40" t="s">
        <v>51</v>
      </c>
      <c r="P3" s="40" t="s">
        <v>560</v>
      </c>
      <c r="Q3" s="40" t="s">
        <v>64</v>
      </c>
      <c r="R3" s="40" t="s">
        <v>53</v>
      </c>
      <c r="S3" s="40" t="s">
        <v>54</v>
      </c>
      <c r="T3" s="40" t="s">
        <v>65</v>
      </c>
      <c r="U3" s="40" t="s">
        <v>55</v>
      </c>
      <c r="V3" s="40" t="s">
        <v>56</v>
      </c>
      <c r="W3" s="40" t="s">
        <v>57</v>
      </c>
      <c r="X3" s="40" t="s">
        <v>57</v>
      </c>
      <c r="Y3" s="40" t="s">
        <v>58</v>
      </c>
      <c r="Z3" s="40" t="s">
        <v>58</v>
      </c>
      <c r="AA3" s="40" t="s">
        <v>563</v>
      </c>
      <c r="AB3" s="41">
        <v>1533.98</v>
      </c>
      <c r="AC3" s="41">
        <v>1533.98</v>
      </c>
      <c r="AD3" s="42">
        <v>1</v>
      </c>
      <c r="AE3" s="42">
        <v>1</v>
      </c>
      <c r="AF3" s="42">
        <v>1</v>
      </c>
      <c r="AG3" s="41">
        <v>1</v>
      </c>
      <c r="AH3" s="41">
        <v>1</v>
      </c>
      <c r="AI3" s="43">
        <v>0</v>
      </c>
      <c r="AJ3" s="44"/>
      <c r="AK3" s="41">
        <v>1533.98</v>
      </c>
      <c r="AL3" s="41">
        <v>1533.98</v>
      </c>
      <c r="AM3" s="50">
        <v>1533.98</v>
      </c>
      <c r="AN3" s="50">
        <v>1533.98</v>
      </c>
      <c r="AO3" s="45">
        <v>1533.98</v>
      </c>
      <c r="AP3" s="41"/>
      <c r="AQ3" s="42">
        <v>16030.74</v>
      </c>
      <c r="AR3" s="42">
        <v>1533.98</v>
      </c>
      <c r="AS3" s="41">
        <v>184.07759999999999</v>
      </c>
      <c r="AT3" s="42">
        <v>184.07759999999999</v>
      </c>
      <c r="AU3" s="42">
        <v>184.07759999999999</v>
      </c>
      <c r="AV3" s="43">
        <v>0.12</v>
      </c>
      <c r="AW3" s="40" t="s">
        <v>53</v>
      </c>
      <c r="AX3" s="40" t="s">
        <v>53</v>
      </c>
      <c r="AY3" s="40" t="s">
        <v>53</v>
      </c>
      <c r="AZ3" s="40" t="s">
        <v>53</v>
      </c>
      <c r="BA3" s="44"/>
      <c r="BB3" s="40" t="s">
        <v>53</v>
      </c>
      <c r="BC3" s="40" t="s">
        <v>63</v>
      </c>
      <c r="BD3" s="41">
        <v>1</v>
      </c>
      <c r="BE3" s="40" t="s">
        <v>411</v>
      </c>
      <c r="BF3" s="40" t="s">
        <v>52</v>
      </c>
      <c r="BG3" s="40" t="s">
        <v>409</v>
      </c>
      <c r="BH3" s="40" t="s">
        <v>349</v>
      </c>
      <c r="BI3" s="40" t="s">
        <v>53</v>
      </c>
      <c r="BJ3" s="40" t="s">
        <v>60</v>
      </c>
      <c r="BK3" s="40" t="s">
        <v>61</v>
      </c>
      <c r="BL3" s="40" t="s">
        <v>627</v>
      </c>
      <c r="BM3" s="40" t="s">
        <v>266</v>
      </c>
      <c r="BP3" s="13" t="e">
        <v>#N/A</v>
      </c>
      <c r="BQ3" s="89">
        <v>2503.04</v>
      </c>
      <c r="BR3" s="89">
        <v>2503.04</v>
      </c>
    </row>
    <row r="4" spans="1:73" ht="15.6" x14ac:dyDescent="0.3">
      <c r="A4" s="12" t="str">
        <f t="shared" si="0"/>
        <v>111235-February</v>
      </c>
      <c r="B4" s="40" t="s">
        <v>558</v>
      </c>
      <c r="C4" s="40" t="s">
        <v>625</v>
      </c>
      <c r="D4" s="40" t="s">
        <v>626</v>
      </c>
      <c r="E4" s="40" t="s">
        <v>627</v>
      </c>
      <c r="F4" s="40" t="s">
        <v>412</v>
      </c>
      <c r="G4" s="40" t="s">
        <v>637</v>
      </c>
      <c r="H4" s="40" t="s">
        <v>564</v>
      </c>
      <c r="I4" s="40" t="s">
        <v>638</v>
      </c>
      <c r="J4" s="40" t="s">
        <v>49</v>
      </c>
      <c r="K4" s="40" t="s">
        <v>50</v>
      </c>
      <c r="L4" s="40" t="s">
        <v>758</v>
      </c>
      <c r="M4" s="40" t="s">
        <v>562</v>
      </c>
      <c r="N4" s="40" t="s">
        <v>407</v>
      </c>
      <c r="O4" s="40" t="s">
        <v>51</v>
      </c>
      <c r="P4" s="40" t="s">
        <v>560</v>
      </c>
      <c r="Q4" s="40" t="s">
        <v>64</v>
      </c>
      <c r="R4" s="40" t="s">
        <v>53</v>
      </c>
      <c r="S4" s="40" t="s">
        <v>54</v>
      </c>
      <c r="T4" s="40" t="s">
        <v>65</v>
      </c>
      <c r="U4" s="40" t="s">
        <v>55</v>
      </c>
      <c r="V4" s="40" t="s">
        <v>56</v>
      </c>
      <c r="W4" s="40" t="s">
        <v>57</v>
      </c>
      <c r="X4" s="40" t="s">
        <v>57</v>
      </c>
      <c r="Y4" s="40" t="s">
        <v>58</v>
      </c>
      <c r="Z4" s="40" t="s">
        <v>58</v>
      </c>
      <c r="AA4" s="40" t="s">
        <v>565</v>
      </c>
      <c r="AB4" s="41">
        <v>2530.6999999999998</v>
      </c>
      <c r="AC4" s="41">
        <v>2530.6999999999998</v>
      </c>
      <c r="AD4" s="42">
        <v>1</v>
      </c>
      <c r="AE4" s="42">
        <v>1</v>
      </c>
      <c r="AF4" s="42">
        <v>1</v>
      </c>
      <c r="AG4" s="41">
        <v>1</v>
      </c>
      <c r="AH4" s="41">
        <v>1</v>
      </c>
      <c r="AI4" s="43">
        <v>0</v>
      </c>
      <c r="AJ4" s="44"/>
      <c r="AK4" s="41">
        <v>2530.6999999999998</v>
      </c>
      <c r="AL4" s="41">
        <v>2530.6999999999998</v>
      </c>
      <c r="AM4" s="50">
        <v>2530.6999999999998</v>
      </c>
      <c r="AN4" s="50">
        <v>2530.6999999999998</v>
      </c>
      <c r="AO4" s="45">
        <v>2530.6999999999998</v>
      </c>
      <c r="AP4" s="41"/>
      <c r="AQ4" s="42">
        <v>29896.19</v>
      </c>
      <c r="AR4" s="42">
        <v>2530.6999999999998</v>
      </c>
      <c r="AS4" s="41">
        <v>303.68400000000003</v>
      </c>
      <c r="AT4" s="42">
        <v>303.68400000000003</v>
      </c>
      <c r="AU4" s="42">
        <v>303.68400000000003</v>
      </c>
      <c r="AV4" s="43">
        <v>0.12</v>
      </c>
      <c r="AW4" s="40" t="s">
        <v>53</v>
      </c>
      <c r="AX4" s="40" t="s">
        <v>53</v>
      </c>
      <c r="AY4" s="40" t="s">
        <v>53</v>
      </c>
      <c r="AZ4" s="40" t="s">
        <v>53</v>
      </c>
      <c r="BA4" s="44"/>
      <c r="BB4" s="40" t="s">
        <v>53</v>
      </c>
      <c r="BC4" s="40" t="s">
        <v>63</v>
      </c>
      <c r="BD4" s="41">
        <v>1</v>
      </c>
      <c r="BE4" s="40" t="s">
        <v>413</v>
      </c>
      <c r="BF4" s="40" t="s">
        <v>52</v>
      </c>
      <c r="BG4" s="40" t="s">
        <v>409</v>
      </c>
      <c r="BH4" s="40" t="s">
        <v>349</v>
      </c>
      <c r="BI4" s="40" t="s">
        <v>53</v>
      </c>
      <c r="BJ4" s="40" t="s">
        <v>60</v>
      </c>
      <c r="BK4" s="40" t="s">
        <v>61</v>
      </c>
      <c r="BL4" s="40" t="s">
        <v>627</v>
      </c>
      <c r="BM4" s="40" t="s">
        <v>266</v>
      </c>
      <c r="BP4" s="13" t="e">
        <v>#N/A</v>
      </c>
      <c r="BQ4" s="89">
        <v>7043.68</v>
      </c>
      <c r="BR4" s="89">
        <v>7043.68</v>
      </c>
    </row>
    <row r="5" spans="1:73" ht="15.6" x14ac:dyDescent="0.3">
      <c r="A5" s="12" t="str">
        <f t="shared" si="0"/>
        <v>86037-February</v>
      </c>
      <c r="B5" s="40" t="s">
        <v>558</v>
      </c>
      <c r="C5" s="40" t="s">
        <v>625</v>
      </c>
      <c r="D5" s="40" t="s">
        <v>626</v>
      </c>
      <c r="E5" s="40" t="s">
        <v>627</v>
      </c>
      <c r="F5" s="40" t="s">
        <v>406</v>
      </c>
      <c r="G5" s="40" t="s">
        <v>639</v>
      </c>
      <c r="H5" s="40" t="s">
        <v>566</v>
      </c>
      <c r="I5" s="40" t="s">
        <v>640</v>
      </c>
      <c r="J5" s="40" t="s">
        <v>49</v>
      </c>
      <c r="K5" s="40" t="s">
        <v>50</v>
      </c>
      <c r="L5" s="40" t="s">
        <v>758</v>
      </c>
      <c r="M5" s="40" t="s">
        <v>562</v>
      </c>
      <c r="N5" s="40" t="s">
        <v>407</v>
      </c>
      <c r="O5" s="40" t="s">
        <v>51</v>
      </c>
      <c r="P5" s="40" t="s">
        <v>560</v>
      </c>
      <c r="Q5" s="40" t="s">
        <v>64</v>
      </c>
      <c r="R5" s="40" t="s">
        <v>53</v>
      </c>
      <c r="S5" s="40" t="s">
        <v>54</v>
      </c>
      <c r="T5" s="40" t="s">
        <v>65</v>
      </c>
      <c r="U5" s="40" t="s">
        <v>55</v>
      </c>
      <c r="V5" s="40" t="s">
        <v>56</v>
      </c>
      <c r="W5" s="40" t="s">
        <v>57</v>
      </c>
      <c r="X5" s="40" t="s">
        <v>57</v>
      </c>
      <c r="Y5" s="40" t="s">
        <v>58</v>
      </c>
      <c r="Z5" s="40" t="s">
        <v>58</v>
      </c>
      <c r="AA5" s="40" t="s">
        <v>567</v>
      </c>
      <c r="AB5" s="41">
        <v>7036.65</v>
      </c>
      <c r="AC5" s="41">
        <v>7036.65</v>
      </c>
      <c r="AD5" s="42">
        <v>1</v>
      </c>
      <c r="AE5" s="42">
        <v>1</v>
      </c>
      <c r="AF5" s="42">
        <v>1</v>
      </c>
      <c r="AG5" s="41">
        <v>1</v>
      </c>
      <c r="AH5" s="41">
        <v>1</v>
      </c>
      <c r="AI5" s="43">
        <v>0</v>
      </c>
      <c r="AJ5" s="44"/>
      <c r="AK5" s="41">
        <v>7036.65</v>
      </c>
      <c r="AL5" s="41">
        <v>7036.65</v>
      </c>
      <c r="AM5" s="50">
        <v>7036.65</v>
      </c>
      <c r="AN5" s="50">
        <v>7036.65</v>
      </c>
      <c r="AO5" s="45">
        <v>7036.65</v>
      </c>
      <c r="AP5" s="41"/>
      <c r="AQ5" s="42">
        <v>54077.64</v>
      </c>
      <c r="AR5" s="42">
        <v>7036.65</v>
      </c>
      <c r="AS5" s="41">
        <v>844.39800000000002</v>
      </c>
      <c r="AT5" s="42">
        <v>844.39800000000002</v>
      </c>
      <c r="AU5" s="42">
        <v>844.39800000000002</v>
      </c>
      <c r="AV5" s="43">
        <v>0.12</v>
      </c>
      <c r="AW5" s="40" t="s">
        <v>53</v>
      </c>
      <c r="AX5" s="40" t="s">
        <v>53</v>
      </c>
      <c r="AY5" s="40" t="s">
        <v>53</v>
      </c>
      <c r="AZ5" s="40" t="s">
        <v>53</v>
      </c>
      <c r="BA5" s="44"/>
      <c r="BB5" s="40" t="s">
        <v>53</v>
      </c>
      <c r="BC5" s="40" t="s">
        <v>63</v>
      </c>
      <c r="BD5" s="41">
        <v>1</v>
      </c>
      <c r="BE5" s="40" t="s">
        <v>408</v>
      </c>
      <c r="BF5" s="40" t="s">
        <v>52</v>
      </c>
      <c r="BG5" s="40" t="s">
        <v>409</v>
      </c>
      <c r="BH5" s="40" t="s">
        <v>349</v>
      </c>
      <c r="BI5" s="40" t="s">
        <v>53</v>
      </c>
      <c r="BJ5" s="40" t="s">
        <v>60</v>
      </c>
      <c r="BK5" s="40" t="s">
        <v>61</v>
      </c>
      <c r="BL5" s="40" t="s">
        <v>627</v>
      </c>
      <c r="BM5" s="40" t="s">
        <v>266</v>
      </c>
      <c r="BP5" s="13"/>
      <c r="BQ5" s="89"/>
      <c r="BR5" s="8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C8791-53E1-4380-8D52-436F298917EC}">
  <dimension ref="A1:C1000"/>
  <sheetViews>
    <sheetView workbookViewId="0">
      <selection activeCell="C1" sqref="A1:C1048576"/>
    </sheetView>
  </sheetViews>
  <sheetFormatPr baseColWidth="10" defaultRowHeight="14.4" x14ac:dyDescent="0.3"/>
  <cols>
    <col min="1" max="1" width="10.33203125" customWidth="1"/>
    <col min="2" max="2" width="18.44140625" customWidth="1"/>
    <col min="3" max="3" width="13" bestFit="1" customWidth="1"/>
  </cols>
  <sheetData>
    <row r="1" spans="1:3" x14ac:dyDescent="0.3">
      <c r="A1" s="21" t="s">
        <v>557</v>
      </c>
      <c r="B1" s="22"/>
      <c r="C1" s="22"/>
    </row>
    <row r="2" spans="1:3" ht="15" thickBot="1" x14ac:dyDescent="0.35">
      <c r="A2" s="23"/>
      <c r="B2" s="24" t="s">
        <v>108</v>
      </c>
      <c r="C2" s="31">
        <v>46081</v>
      </c>
    </row>
    <row r="3" spans="1:3" x14ac:dyDescent="0.3">
      <c r="A3" s="26" t="s">
        <v>88</v>
      </c>
      <c r="B3" s="26" t="s">
        <v>102</v>
      </c>
      <c r="C3" s="32">
        <v>46054</v>
      </c>
    </row>
    <row r="4" spans="1:3" x14ac:dyDescent="0.3">
      <c r="A4" s="25" t="s">
        <v>58</v>
      </c>
      <c r="B4" s="27" t="s">
        <v>109</v>
      </c>
      <c r="C4" s="33">
        <v>1</v>
      </c>
    </row>
    <row r="5" spans="1:3" x14ac:dyDescent="0.3">
      <c r="A5" s="25" t="s">
        <v>110</v>
      </c>
      <c r="B5" s="27" t="s">
        <v>111</v>
      </c>
      <c r="C5" s="33">
        <v>0.84709868699703506</v>
      </c>
    </row>
    <row r="6" spans="1:3" x14ac:dyDescent="0.3">
      <c r="A6" s="25" t="s">
        <v>81</v>
      </c>
      <c r="B6" s="27" t="s">
        <v>80</v>
      </c>
      <c r="C6" s="33">
        <v>1397</v>
      </c>
    </row>
    <row r="7" spans="1:3" x14ac:dyDescent="0.3">
      <c r="A7" s="25" t="s">
        <v>104</v>
      </c>
      <c r="B7" s="27" t="s">
        <v>112</v>
      </c>
      <c r="C7" s="33">
        <v>5.1494999999999997</v>
      </c>
    </row>
    <row r="8" spans="1:3" x14ac:dyDescent="0.3">
      <c r="A8" s="25" t="s">
        <v>94</v>
      </c>
      <c r="B8" s="27" t="s">
        <v>82</v>
      </c>
      <c r="C8" s="33">
        <v>861.19</v>
      </c>
    </row>
    <row r="9" spans="1:3" x14ac:dyDescent="0.3">
      <c r="A9" s="25" t="s">
        <v>79</v>
      </c>
      <c r="B9" s="27" t="s">
        <v>55</v>
      </c>
      <c r="C9" s="33">
        <v>17.2563</v>
      </c>
    </row>
    <row r="10" spans="1:3" x14ac:dyDescent="0.3">
      <c r="A10" s="25" t="s">
        <v>113</v>
      </c>
      <c r="B10" s="27" t="s">
        <v>114</v>
      </c>
      <c r="C10" s="33">
        <v>38.402000000000001</v>
      </c>
    </row>
    <row r="11" spans="1:3" x14ac:dyDescent="0.3">
      <c r="A11" s="25" t="s">
        <v>115</v>
      </c>
      <c r="B11" s="27" t="s">
        <v>116</v>
      </c>
      <c r="C11" s="33">
        <v>0.7399534302909111</v>
      </c>
    </row>
    <row r="12" spans="1:3" x14ac:dyDescent="0.3">
      <c r="A12" s="25" t="s">
        <v>85</v>
      </c>
      <c r="B12" s="27" t="s">
        <v>83</v>
      </c>
      <c r="C12" s="33">
        <v>3766.3</v>
      </c>
    </row>
    <row r="13" spans="1:3" x14ac:dyDescent="0.3">
      <c r="A13" s="25" t="s">
        <v>117</v>
      </c>
      <c r="B13" s="27" t="s">
        <v>64</v>
      </c>
      <c r="C13" s="33">
        <v>3.3610000000000002</v>
      </c>
    </row>
    <row r="14" spans="1:3" x14ac:dyDescent="0.3">
      <c r="A14" s="25" t="s">
        <v>118</v>
      </c>
      <c r="B14" s="27" t="s">
        <v>119</v>
      </c>
      <c r="C14" s="33">
        <v>7.6647600000000002</v>
      </c>
    </row>
    <row r="15" spans="1:3" x14ac:dyDescent="0.3">
      <c r="A15" s="25" t="s">
        <v>120</v>
      </c>
      <c r="B15" s="27" t="s">
        <v>121</v>
      </c>
      <c r="C15" s="33">
        <v>474.25</v>
      </c>
    </row>
    <row r="16" spans="1:3" x14ac:dyDescent="0.3">
      <c r="A16" s="25" t="s">
        <v>122</v>
      </c>
      <c r="B16" s="27" t="s">
        <v>123</v>
      </c>
      <c r="C16" s="33">
        <v>1.656781024989411</v>
      </c>
    </row>
    <row r="17" spans="1:3" x14ac:dyDescent="0.3">
      <c r="A17" s="25" t="s">
        <v>124</v>
      </c>
      <c r="B17" s="27" t="s">
        <v>125</v>
      </c>
      <c r="C17" s="33">
        <v>20.537907666243115</v>
      </c>
    </row>
    <row r="18" spans="1:3" x14ac:dyDescent="0.3">
      <c r="A18" s="25" t="s">
        <v>126</v>
      </c>
      <c r="B18" s="27" t="s">
        <v>127</v>
      </c>
      <c r="C18" s="33">
        <v>7.8237187632359166</v>
      </c>
    </row>
    <row r="19" spans="1:3" x14ac:dyDescent="0.3">
      <c r="A19" s="25" t="s">
        <v>128</v>
      </c>
      <c r="B19" s="27" t="s">
        <v>129</v>
      </c>
      <c r="C19" s="33">
        <v>91.0804743752647</v>
      </c>
    </row>
    <row r="20" spans="1:3" x14ac:dyDescent="0.3">
      <c r="A20" s="25" t="s">
        <v>130</v>
      </c>
      <c r="B20" s="27" t="s">
        <v>131</v>
      </c>
      <c r="C20" s="33">
        <v>52.261584074544679</v>
      </c>
    </row>
    <row r="21" spans="1:3" x14ac:dyDescent="0.3">
      <c r="A21" s="25" t="s">
        <v>132</v>
      </c>
      <c r="B21" s="27" t="s">
        <v>133</v>
      </c>
      <c r="C21" s="33">
        <v>3.5775518847945782</v>
      </c>
    </row>
    <row r="22" spans="1:3" x14ac:dyDescent="0.3">
      <c r="A22" s="25" t="s">
        <v>134</v>
      </c>
      <c r="B22" s="27" t="s">
        <v>135</v>
      </c>
      <c r="C22" s="33">
        <v>4.3165607793307919</v>
      </c>
    </row>
    <row r="23" spans="1:3" x14ac:dyDescent="0.3">
      <c r="A23" s="25" t="s">
        <v>136</v>
      </c>
      <c r="B23" s="27" t="s">
        <v>137</v>
      </c>
      <c r="C23" s="33">
        <v>77.33714527742481</v>
      </c>
    </row>
    <row r="24" spans="1:3" x14ac:dyDescent="0.3">
      <c r="A24" s="25" t="s">
        <v>138</v>
      </c>
      <c r="B24" s="27" t="s">
        <v>139</v>
      </c>
      <c r="C24" s="33">
        <v>99.450487081745024</v>
      </c>
    </row>
    <row r="25" spans="1:3" x14ac:dyDescent="0.3">
      <c r="A25" s="25" t="s">
        <v>140</v>
      </c>
      <c r="B25" s="27" t="s">
        <v>141</v>
      </c>
      <c r="C25" s="33">
        <v>43.222702244811515</v>
      </c>
    </row>
    <row r="26" spans="1:3" x14ac:dyDescent="0.3">
      <c r="A26" s="25" t="s">
        <v>142</v>
      </c>
      <c r="B26" s="27" t="s">
        <v>143</v>
      </c>
      <c r="C26" s="33">
        <v>318.28886065226595</v>
      </c>
    </row>
    <row r="27" spans="1:3" x14ac:dyDescent="0.3">
      <c r="A27" s="25" t="s">
        <v>144</v>
      </c>
      <c r="B27" s="27" t="s">
        <v>145</v>
      </c>
      <c r="C27" s="33">
        <v>3.8909783989834814</v>
      </c>
    </row>
    <row r="28" spans="1:3" x14ac:dyDescent="0.3">
      <c r="A28" s="25" t="s">
        <v>146</v>
      </c>
      <c r="B28" s="27" t="s">
        <v>147</v>
      </c>
      <c r="C28" s="33">
        <v>0.84709868699703506</v>
      </c>
    </row>
    <row r="29" spans="1:3" x14ac:dyDescent="0.3">
      <c r="A29" s="25" t="s">
        <v>148</v>
      </c>
      <c r="B29" s="27" t="s">
        <v>149</v>
      </c>
      <c r="C29" s="33">
        <v>3.6724999999999999</v>
      </c>
    </row>
    <row r="30" spans="1:3" x14ac:dyDescent="0.3">
      <c r="A30" s="25" t="s">
        <v>150</v>
      </c>
      <c r="B30" s="27" t="s">
        <v>151</v>
      </c>
      <c r="C30" s="33">
        <v>16801.101228293093</v>
      </c>
    </row>
    <row r="31" spans="1:3" x14ac:dyDescent="0.3">
      <c r="A31" s="25" t="s">
        <v>152</v>
      </c>
      <c r="B31" s="27" t="s">
        <v>153</v>
      </c>
      <c r="C31" s="33">
        <v>0.77119864464210075</v>
      </c>
    </row>
    <row r="32" spans="1:3" x14ac:dyDescent="0.3">
      <c r="A32" s="25" t="s">
        <v>154</v>
      </c>
      <c r="B32" s="27" t="s">
        <v>155</v>
      </c>
      <c r="C32" s="33">
        <v>1.2657348581109698</v>
      </c>
    </row>
    <row r="33" spans="1:3" x14ac:dyDescent="0.3">
      <c r="A33" s="25" t="s">
        <v>156</v>
      </c>
      <c r="B33" s="27" t="s">
        <v>157</v>
      </c>
      <c r="C33" s="33">
        <v>3.143329097839898</v>
      </c>
    </row>
    <row r="34" spans="1:3" x14ac:dyDescent="0.3">
      <c r="A34" s="25" t="s">
        <v>158</v>
      </c>
      <c r="B34" s="27" t="s">
        <v>159</v>
      </c>
      <c r="C34" s="33">
        <v>6.8581956797966956</v>
      </c>
    </row>
    <row r="35" spans="1:3" x14ac:dyDescent="0.3">
      <c r="A35" s="25" t="s">
        <v>160</v>
      </c>
      <c r="B35" s="27" t="s">
        <v>161</v>
      </c>
      <c r="C35" s="33">
        <v>155.97628123676407</v>
      </c>
    </row>
    <row r="36" spans="1:3" x14ac:dyDescent="0.3">
      <c r="A36" s="25" t="s">
        <v>162</v>
      </c>
      <c r="B36" s="27" t="s">
        <v>163</v>
      </c>
      <c r="C36" s="33">
        <v>1.656781024989411</v>
      </c>
    </row>
    <row r="37" spans="1:3" x14ac:dyDescent="0.3">
      <c r="A37" s="25" t="s">
        <v>164</v>
      </c>
      <c r="B37" s="27" t="s">
        <v>165</v>
      </c>
      <c r="C37" s="33">
        <v>122.38254976704785</v>
      </c>
    </row>
    <row r="38" spans="1:3" x14ac:dyDescent="0.3">
      <c r="A38" s="25" t="s">
        <v>166</v>
      </c>
      <c r="B38" s="27" t="s">
        <v>167</v>
      </c>
      <c r="C38" s="33">
        <v>6.3293519695044465</v>
      </c>
    </row>
    <row r="39" spans="1:3" x14ac:dyDescent="0.3">
      <c r="A39" s="25" t="s">
        <v>168</v>
      </c>
      <c r="B39" s="27" t="s">
        <v>169</v>
      </c>
      <c r="C39" s="33">
        <v>4030.495552731893</v>
      </c>
    </row>
    <row r="40" spans="1:3" x14ac:dyDescent="0.3">
      <c r="A40" s="25" t="s">
        <v>170</v>
      </c>
      <c r="B40" s="27" t="s">
        <v>171</v>
      </c>
      <c r="C40" s="33">
        <v>21581.533248623462</v>
      </c>
    </row>
    <row r="41" spans="1:3" x14ac:dyDescent="0.3">
      <c r="A41" s="25" t="s">
        <v>172</v>
      </c>
      <c r="B41" s="27" t="s">
        <v>173</v>
      </c>
      <c r="C41" s="33">
        <v>2099.8221092757303</v>
      </c>
    </row>
    <row r="42" spans="1:3" x14ac:dyDescent="0.3">
      <c r="A42" s="25" t="s">
        <v>174</v>
      </c>
      <c r="B42" s="27" t="s">
        <v>175</v>
      </c>
      <c r="C42" s="33">
        <v>9.4947056332062676</v>
      </c>
    </row>
    <row r="43" spans="1:3" x14ac:dyDescent="0.3">
      <c r="A43" s="25" t="s">
        <v>176</v>
      </c>
      <c r="B43" s="27" t="s">
        <v>177</v>
      </c>
      <c r="C43" s="33">
        <v>9.0337145277424824</v>
      </c>
    </row>
    <row r="44" spans="1:3" x14ac:dyDescent="0.3">
      <c r="A44" s="25" t="s">
        <v>178</v>
      </c>
      <c r="B44" s="27" t="s">
        <v>179</v>
      </c>
      <c r="C44" s="33">
        <v>1.3671325709445148</v>
      </c>
    </row>
    <row r="45" spans="1:3" x14ac:dyDescent="0.3">
      <c r="A45" s="25" t="s">
        <v>180</v>
      </c>
      <c r="B45" s="27" t="s">
        <v>181</v>
      </c>
      <c r="C45" s="33">
        <v>1.4072003388394747</v>
      </c>
    </row>
    <row r="46" spans="1:3" x14ac:dyDescent="0.3">
      <c r="A46" s="25" t="s">
        <v>182</v>
      </c>
      <c r="B46" s="27" t="s">
        <v>183</v>
      </c>
      <c r="C46" s="33">
        <v>497.1791613722998</v>
      </c>
    </row>
    <row r="47" spans="1:3" x14ac:dyDescent="0.3">
      <c r="A47" s="25" t="s">
        <v>184</v>
      </c>
      <c r="B47" s="27" t="s">
        <v>185</v>
      </c>
      <c r="C47" s="33">
        <v>2.6285472257518001</v>
      </c>
    </row>
    <row r="48" spans="1:3" x14ac:dyDescent="0.3">
      <c r="A48" s="25" t="s">
        <v>186</v>
      </c>
      <c r="B48" s="27" t="s">
        <v>187</v>
      </c>
      <c r="C48" s="33">
        <v>1362.6644642100803</v>
      </c>
    </row>
    <row r="49" spans="1:3" x14ac:dyDescent="0.3">
      <c r="A49" s="25" t="s">
        <v>188</v>
      </c>
      <c r="B49" s="27" t="s">
        <v>189</v>
      </c>
      <c r="C49" s="33">
        <v>15.940533672172805</v>
      </c>
    </row>
    <row r="50" spans="1:3" x14ac:dyDescent="0.3">
      <c r="A50" s="25" t="s">
        <v>190</v>
      </c>
      <c r="B50" s="27" t="s">
        <v>191</v>
      </c>
      <c r="C50" s="33">
        <v>129.08936891147815</v>
      </c>
    </row>
    <row r="51" spans="1:3" x14ac:dyDescent="0.3">
      <c r="A51" s="25" t="s">
        <v>192</v>
      </c>
      <c r="B51" s="27" t="s">
        <v>193</v>
      </c>
      <c r="C51" s="33">
        <v>3568.2676831850908</v>
      </c>
    </row>
    <row r="52" spans="1:3" x14ac:dyDescent="0.3">
      <c r="A52" s="25" t="s">
        <v>194</v>
      </c>
      <c r="B52" s="27" t="s">
        <v>195</v>
      </c>
      <c r="C52" s="33">
        <v>31.378568403218971</v>
      </c>
    </row>
    <row r="53" spans="1:3" x14ac:dyDescent="0.3">
      <c r="A53" s="25" t="s">
        <v>196</v>
      </c>
      <c r="B53" s="27" t="s">
        <v>197</v>
      </c>
      <c r="C53" s="33">
        <v>43.959847522236331</v>
      </c>
    </row>
    <row r="54" spans="1:3" x14ac:dyDescent="0.3">
      <c r="A54" s="25" t="s">
        <v>198</v>
      </c>
      <c r="B54" s="27" t="s">
        <v>199</v>
      </c>
      <c r="C54" s="33">
        <v>3.75</v>
      </c>
    </row>
    <row r="55" spans="1:3" x14ac:dyDescent="0.3">
      <c r="A55" s="25" t="s">
        <v>200</v>
      </c>
      <c r="B55" s="27" t="s">
        <v>201</v>
      </c>
      <c r="C55" s="33">
        <v>47.9955</v>
      </c>
    </row>
    <row r="56" spans="1:3" x14ac:dyDescent="0.3">
      <c r="A56" s="25" t="s">
        <v>202</v>
      </c>
      <c r="B56" s="27" t="s">
        <v>203</v>
      </c>
      <c r="C56" s="33">
        <v>31.351122405760265</v>
      </c>
    </row>
    <row r="57" spans="1:3" x14ac:dyDescent="0.3">
      <c r="A57" s="25" t="s">
        <v>204</v>
      </c>
      <c r="B57" s="27" t="s">
        <v>205</v>
      </c>
      <c r="C57" s="33">
        <v>145.85345192714951</v>
      </c>
    </row>
    <row r="58" spans="1:3" x14ac:dyDescent="0.3">
      <c r="A58" s="25" t="s">
        <v>206</v>
      </c>
      <c r="B58" s="27" t="s">
        <v>207</v>
      </c>
      <c r="C58" s="33">
        <v>87.461075815332478</v>
      </c>
    </row>
    <row r="59" spans="1:3" x14ac:dyDescent="0.3">
      <c r="A59" s="25" t="s">
        <v>208</v>
      </c>
      <c r="B59" s="27" t="s">
        <v>100</v>
      </c>
      <c r="C59" s="33">
        <v>1</v>
      </c>
    </row>
    <row r="60" spans="1:3" x14ac:dyDescent="0.3">
      <c r="A60" s="25" t="s">
        <v>209</v>
      </c>
      <c r="B60" s="27" t="s">
        <v>210</v>
      </c>
      <c r="C60" s="33">
        <v>12129.377382465056</v>
      </c>
    </row>
    <row r="61" spans="1:3" x14ac:dyDescent="0.3">
      <c r="A61" s="25" t="s">
        <v>211</v>
      </c>
      <c r="B61" s="27" t="s">
        <v>212</v>
      </c>
      <c r="C61" s="33">
        <v>3.6462515883100379</v>
      </c>
    </row>
    <row r="62" spans="1:3" x14ac:dyDescent="0.3">
      <c r="A62" s="25" t="s">
        <v>213</v>
      </c>
      <c r="B62" s="27" t="s">
        <v>214</v>
      </c>
      <c r="C62" s="33">
        <v>81.6264294790343</v>
      </c>
    </row>
    <row r="63" spans="1:3" x14ac:dyDescent="0.3">
      <c r="A63" s="25" t="s">
        <v>110</v>
      </c>
      <c r="B63" s="27" t="s">
        <v>215</v>
      </c>
      <c r="C63" s="33">
        <v>0.84709868699703506</v>
      </c>
    </row>
    <row r="64" spans="1:3" x14ac:dyDescent="0.3">
      <c r="A64" s="25" t="s">
        <v>216</v>
      </c>
      <c r="B64" s="27" t="s">
        <v>217</v>
      </c>
      <c r="C64" s="33">
        <v>17.113595933926302</v>
      </c>
    </row>
    <row r="65" spans="1:3" x14ac:dyDescent="0.3">
      <c r="A65" s="25" t="s">
        <v>218</v>
      </c>
      <c r="B65" s="27" t="s">
        <v>219</v>
      </c>
      <c r="C65" s="33">
        <v>9.1591000000000005</v>
      </c>
    </row>
    <row r="66" spans="1:3" x14ac:dyDescent="0.3">
      <c r="A66" s="25" t="s">
        <v>220</v>
      </c>
      <c r="B66" s="27" t="s">
        <v>221</v>
      </c>
      <c r="C66" s="33">
        <v>1300</v>
      </c>
    </row>
    <row r="67" spans="1:3" x14ac:dyDescent="0.3">
      <c r="A67" s="25" t="s">
        <v>222</v>
      </c>
      <c r="B67" s="27" t="s">
        <v>223</v>
      </c>
      <c r="C67" s="33">
        <v>26030.6</v>
      </c>
    </row>
    <row r="68" spans="1:3" x14ac:dyDescent="0.3">
      <c r="A68" s="25" t="s">
        <v>224</v>
      </c>
      <c r="B68" s="27" t="s">
        <v>225</v>
      </c>
      <c r="C68" s="33">
        <v>57.683185091063102</v>
      </c>
    </row>
    <row r="69" spans="1:3" x14ac:dyDescent="0.3">
      <c r="A69" s="25" t="s">
        <v>226</v>
      </c>
      <c r="B69" s="27" t="s">
        <v>227</v>
      </c>
      <c r="C69" s="33">
        <v>60.146000000000001</v>
      </c>
    </row>
    <row r="70" spans="1:3" x14ac:dyDescent="0.3">
      <c r="A70" s="25" t="s">
        <v>228</v>
      </c>
      <c r="B70" s="27" t="s">
        <v>229</v>
      </c>
      <c r="C70" s="33">
        <v>6.96</v>
      </c>
    </row>
    <row r="71" spans="1:3" x14ac:dyDescent="0.3">
      <c r="A71" s="25" t="s">
        <v>230</v>
      </c>
      <c r="B71" s="27" t="s">
        <v>231</v>
      </c>
      <c r="C71" s="33">
        <v>6459.98</v>
      </c>
    </row>
    <row r="72" spans="1:3" x14ac:dyDescent="0.3">
      <c r="A72" s="25" t="s">
        <v>58</v>
      </c>
      <c r="B72" s="27" t="s">
        <v>232</v>
      </c>
      <c r="C72" s="33">
        <v>1</v>
      </c>
    </row>
    <row r="73" spans="1:3" x14ac:dyDescent="0.3">
      <c r="A73" s="25" t="s">
        <v>233</v>
      </c>
      <c r="B73" s="27" t="s">
        <v>234</v>
      </c>
      <c r="C73" s="33">
        <v>279.03800000000001</v>
      </c>
    </row>
    <row r="74" spans="1:3" x14ac:dyDescent="0.3">
      <c r="A74" s="25" t="s">
        <v>235</v>
      </c>
      <c r="B74" s="27" t="s">
        <v>236</v>
      </c>
      <c r="C74" s="33">
        <v>1441.9737399407029</v>
      </c>
    </row>
    <row r="75" spans="1:3" x14ac:dyDescent="0.3">
      <c r="A75" s="25" t="s">
        <v>237</v>
      </c>
      <c r="B75" s="27" t="s">
        <v>238</v>
      </c>
      <c r="C75" s="33">
        <v>121.55866158407453</v>
      </c>
    </row>
    <row r="76" spans="1:3" x14ac:dyDescent="0.3">
      <c r="A76" s="25" t="s">
        <v>239</v>
      </c>
      <c r="B76" s="27" t="s">
        <v>240</v>
      </c>
      <c r="C76" s="33">
        <v>1.6714104193138499</v>
      </c>
    </row>
    <row r="77" spans="1:3" x14ac:dyDescent="0.3">
      <c r="A77" s="25" t="s">
        <v>241</v>
      </c>
      <c r="B77" s="27" t="s">
        <v>242</v>
      </c>
      <c r="C77" s="33">
        <v>26.6097</v>
      </c>
    </row>
    <row r="78" spans="1:3" x14ac:dyDescent="0.3">
      <c r="A78" s="25" t="s">
        <v>243</v>
      </c>
      <c r="B78" s="27" t="s">
        <v>244</v>
      </c>
      <c r="C78" s="33">
        <v>309.07327403642518</v>
      </c>
    </row>
    <row r="79" spans="1:3" x14ac:dyDescent="0.3">
      <c r="A79" s="25" t="s">
        <v>245</v>
      </c>
      <c r="B79" s="27" t="s">
        <v>246</v>
      </c>
      <c r="C79" s="33">
        <v>1.7009741634900464</v>
      </c>
    </row>
    <row r="80" spans="1:3" x14ac:dyDescent="0.3">
      <c r="A80" s="25" t="s">
        <v>58</v>
      </c>
      <c r="B80" s="27" t="s">
        <v>247</v>
      </c>
      <c r="C80" s="33">
        <v>1</v>
      </c>
    </row>
    <row r="81" spans="1:3" x14ac:dyDescent="0.3">
      <c r="A81" s="25" t="s">
        <v>58</v>
      </c>
      <c r="B81" s="27" t="s">
        <v>248</v>
      </c>
      <c r="C81" s="33">
        <v>1</v>
      </c>
    </row>
    <row r="82" spans="1:3" x14ac:dyDescent="0.3">
      <c r="A82" s="21"/>
      <c r="B82" s="22"/>
      <c r="C82" s="22"/>
    </row>
    <row r="83" spans="1:3" x14ac:dyDescent="0.3">
      <c r="A83" s="21"/>
      <c r="B83" s="22"/>
      <c r="C83" s="22"/>
    </row>
    <row r="84" spans="1:3" x14ac:dyDescent="0.3">
      <c r="A84" s="21"/>
      <c r="B84" s="22"/>
      <c r="C84" s="22"/>
    </row>
    <row r="85" spans="1:3" x14ac:dyDescent="0.3">
      <c r="A85" s="21"/>
      <c r="B85" s="22"/>
      <c r="C85" s="22"/>
    </row>
    <row r="86" spans="1:3" x14ac:dyDescent="0.3">
      <c r="A86" s="21"/>
      <c r="B86" s="22"/>
      <c r="C86" s="22"/>
    </row>
    <row r="87" spans="1:3" x14ac:dyDescent="0.3">
      <c r="A87" s="21"/>
      <c r="B87" s="22"/>
      <c r="C87" s="22"/>
    </row>
    <row r="88" spans="1:3" x14ac:dyDescent="0.3">
      <c r="A88" s="21"/>
      <c r="B88" s="22"/>
      <c r="C88" s="22"/>
    </row>
    <row r="89" spans="1:3" x14ac:dyDescent="0.3">
      <c r="A89" s="21"/>
      <c r="B89" s="22"/>
      <c r="C89" s="22"/>
    </row>
    <row r="90" spans="1:3" x14ac:dyDescent="0.3">
      <c r="A90" s="21"/>
      <c r="B90" s="22"/>
      <c r="C90" s="22"/>
    </row>
    <row r="91" spans="1:3" x14ac:dyDescent="0.3">
      <c r="A91" s="21"/>
      <c r="B91" s="22"/>
      <c r="C91" s="22"/>
    </row>
    <row r="92" spans="1:3" x14ac:dyDescent="0.3">
      <c r="A92" s="21"/>
      <c r="B92" s="22"/>
      <c r="C92" s="22"/>
    </row>
    <row r="93" spans="1:3" x14ac:dyDescent="0.3">
      <c r="A93" s="21"/>
      <c r="B93" s="22"/>
      <c r="C93" s="22"/>
    </row>
    <row r="94" spans="1:3" x14ac:dyDescent="0.3">
      <c r="A94" s="21"/>
      <c r="B94" s="22"/>
      <c r="C94" s="22"/>
    </row>
    <row r="95" spans="1:3" x14ac:dyDescent="0.3">
      <c r="A95" s="21"/>
      <c r="B95" s="22"/>
      <c r="C95" s="22"/>
    </row>
    <row r="96" spans="1:3" x14ac:dyDescent="0.3">
      <c r="A96" s="21"/>
      <c r="B96" s="22"/>
      <c r="C96" s="22"/>
    </row>
    <row r="97" spans="1:3" x14ac:dyDescent="0.3">
      <c r="A97" s="21"/>
      <c r="B97" s="22"/>
      <c r="C97" s="22"/>
    </row>
    <row r="98" spans="1:3" x14ac:dyDescent="0.3">
      <c r="A98" s="21"/>
      <c r="B98" s="22"/>
      <c r="C98" s="22"/>
    </row>
    <row r="99" spans="1:3" x14ac:dyDescent="0.3">
      <c r="A99" s="21"/>
      <c r="B99" s="22"/>
      <c r="C99" s="22"/>
    </row>
    <row r="100" spans="1:3" x14ac:dyDescent="0.3">
      <c r="A100" s="21"/>
      <c r="B100" s="22"/>
      <c r="C100" s="22"/>
    </row>
    <row r="101" spans="1:3" x14ac:dyDescent="0.3">
      <c r="A101" s="21"/>
      <c r="B101" s="22"/>
      <c r="C101" s="22"/>
    </row>
    <row r="102" spans="1:3" x14ac:dyDescent="0.3">
      <c r="A102" s="21"/>
      <c r="B102" s="22"/>
      <c r="C102" s="22"/>
    </row>
    <row r="103" spans="1:3" x14ac:dyDescent="0.3">
      <c r="A103" s="21"/>
      <c r="B103" s="22"/>
      <c r="C103" s="22"/>
    </row>
    <row r="104" spans="1:3" x14ac:dyDescent="0.3">
      <c r="A104" s="21"/>
      <c r="B104" s="22"/>
      <c r="C104" s="22"/>
    </row>
    <row r="105" spans="1:3" x14ac:dyDescent="0.3">
      <c r="A105" s="21"/>
      <c r="B105" s="22"/>
      <c r="C105" s="22"/>
    </row>
    <row r="106" spans="1:3" x14ac:dyDescent="0.3">
      <c r="A106" s="21"/>
      <c r="B106" s="22"/>
      <c r="C106" s="22"/>
    </row>
    <row r="107" spans="1:3" x14ac:dyDescent="0.3">
      <c r="A107" s="21"/>
      <c r="B107" s="22"/>
      <c r="C107" s="22"/>
    </row>
    <row r="108" spans="1:3" x14ac:dyDescent="0.3">
      <c r="A108" s="21"/>
      <c r="B108" s="22"/>
      <c r="C108" s="22"/>
    </row>
    <row r="109" spans="1:3" x14ac:dyDescent="0.3">
      <c r="A109" s="21"/>
      <c r="B109" s="22"/>
      <c r="C109" s="22"/>
    </row>
    <row r="110" spans="1:3" x14ac:dyDescent="0.3">
      <c r="A110" s="21"/>
      <c r="B110" s="22"/>
      <c r="C110" s="22"/>
    </row>
    <row r="111" spans="1:3" x14ac:dyDescent="0.3">
      <c r="A111" s="21"/>
      <c r="B111" s="22"/>
      <c r="C111" s="22"/>
    </row>
    <row r="112" spans="1:3" x14ac:dyDescent="0.3">
      <c r="A112" s="21"/>
      <c r="B112" s="22"/>
      <c r="C112" s="22"/>
    </row>
    <row r="113" spans="1:3" x14ac:dyDescent="0.3">
      <c r="A113" s="21"/>
      <c r="B113" s="22"/>
      <c r="C113" s="22"/>
    </row>
    <row r="114" spans="1:3" x14ac:dyDescent="0.3">
      <c r="A114" s="21"/>
      <c r="B114" s="22"/>
      <c r="C114" s="22"/>
    </row>
    <row r="115" spans="1:3" x14ac:dyDescent="0.3">
      <c r="A115" s="21"/>
      <c r="B115" s="22"/>
      <c r="C115" s="22"/>
    </row>
    <row r="116" spans="1:3" x14ac:dyDescent="0.3">
      <c r="A116" s="21"/>
      <c r="B116" s="22"/>
      <c r="C116" s="22"/>
    </row>
    <row r="117" spans="1:3" x14ac:dyDescent="0.3">
      <c r="A117" s="21"/>
      <c r="B117" s="22"/>
      <c r="C117" s="22"/>
    </row>
    <row r="118" spans="1:3" x14ac:dyDescent="0.3">
      <c r="A118" s="21"/>
      <c r="B118" s="22"/>
      <c r="C118" s="22"/>
    </row>
    <row r="119" spans="1:3" x14ac:dyDescent="0.3">
      <c r="A119" s="21"/>
      <c r="B119" s="22"/>
      <c r="C119" s="22"/>
    </row>
    <row r="120" spans="1:3" x14ac:dyDescent="0.3">
      <c r="A120" s="21"/>
      <c r="B120" s="22"/>
      <c r="C120" s="22"/>
    </row>
    <row r="121" spans="1:3" x14ac:dyDescent="0.3">
      <c r="A121" s="21"/>
      <c r="B121" s="22"/>
      <c r="C121" s="22"/>
    </row>
    <row r="122" spans="1:3" x14ac:dyDescent="0.3">
      <c r="A122" s="21"/>
      <c r="B122" s="22"/>
      <c r="C122" s="22"/>
    </row>
    <row r="123" spans="1:3" x14ac:dyDescent="0.3">
      <c r="A123" s="21"/>
      <c r="B123" s="22"/>
      <c r="C123" s="22"/>
    </row>
    <row r="124" spans="1:3" x14ac:dyDescent="0.3">
      <c r="A124" s="21"/>
      <c r="B124" s="22"/>
      <c r="C124" s="22"/>
    </row>
    <row r="125" spans="1:3" x14ac:dyDescent="0.3">
      <c r="A125" s="21"/>
      <c r="B125" s="22"/>
      <c r="C125" s="22"/>
    </row>
    <row r="126" spans="1:3" x14ac:dyDescent="0.3">
      <c r="A126" s="21"/>
      <c r="B126" s="22"/>
      <c r="C126" s="22"/>
    </row>
    <row r="127" spans="1:3" x14ac:dyDescent="0.3">
      <c r="A127" s="21"/>
      <c r="B127" s="22"/>
      <c r="C127" s="22"/>
    </row>
    <row r="128" spans="1:3" x14ac:dyDescent="0.3">
      <c r="A128" s="21"/>
      <c r="B128" s="22"/>
      <c r="C128" s="22"/>
    </row>
    <row r="129" spans="1:3" x14ac:dyDescent="0.3">
      <c r="A129" s="21"/>
      <c r="B129" s="22"/>
      <c r="C129" s="22"/>
    </row>
    <row r="130" spans="1:3" x14ac:dyDescent="0.3">
      <c r="A130" s="21"/>
      <c r="B130" s="22"/>
      <c r="C130" s="22"/>
    </row>
    <row r="131" spans="1:3" x14ac:dyDescent="0.3">
      <c r="A131" s="21"/>
      <c r="B131" s="22"/>
      <c r="C131" s="22"/>
    </row>
    <row r="132" spans="1:3" x14ac:dyDescent="0.3">
      <c r="A132" s="21"/>
      <c r="B132" s="22"/>
      <c r="C132" s="22"/>
    </row>
    <row r="133" spans="1:3" x14ac:dyDescent="0.3">
      <c r="A133" s="21"/>
      <c r="B133" s="22"/>
      <c r="C133" s="22"/>
    </row>
    <row r="134" spans="1:3" x14ac:dyDescent="0.3">
      <c r="A134" s="21"/>
      <c r="B134" s="22"/>
      <c r="C134" s="22"/>
    </row>
    <row r="135" spans="1:3" x14ac:dyDescent="0.3">
      <c r="A135" s="21"/>
      <c r="B135" s="22"/>
      <c r="C135" s="22"/>
    </row>
    <row r="136" spans="1:3" x14ac:dyDescent="0.3">
      <c r="A136" s="21"/>
      <c r="B136" s="22"/>
      <c r="C136" s="22"/>
    </row>
    <row r="137" spans="1:3" x14ac:dyDescent="0.3">
      <c r="A137" s="21"/>
      <c r="B137" s="22"/>
      <c r="C137" s="22"/>
    </row>
    <row r="138" spans="1:3" x14ac:dyDescent="0.3">
      <c r="A138" s="21"/>
      <c r="B138" s="22"/>
      <c r="C138" s="22"/>
    </row>
    <row r="139" spans="1:3" x14ac:dyDescent="0.3">
      <c r="A139" s="21"/>
      <c r="B139" s="22"/>
      <c r="C139" s="22"/>
    </row>
    <row r="140" spans="1:3" x14ac:dyDescent="0.3">
      <c r="A140" s="21"/>
      <c r="B140" s="22"/>
      <c r="C140" s="22"/>
    </row>
    <row r="141" spans="1:3" x14ac:dyDescent="0.3">
      <c r="A141" s="21"/>
      <c r="B141" s="22"/>
      <c r="C141" s="22"/>
    </row>
    <row r="142" spans="1:3" x14ac:dyDescent="0.3">
      <c r="A142" s="21"/>
      <c r="B142" s="22"/>
      <c r="C142" s="22"/>
    </row>
    <row r="143" spans="1:3" x14ac:dyDescent="0.3">
      <c r="A143" s="21"/>
      <c r="B143" s="22"/>
      <c r="C143" s="22"/>
    </row>
    <row r="144" spans="1:3" x14ac:dyDescent="0.3">
      <c r="A144" s="21"/>
      <c r="B144" s="22"/>
      <c r="C144" s="22"/>
    </row>
    <row r="145" spans="1:3" x14ac:dyDescent="0.3">
      <c r="A145" s="21"/>
      <c r="B145" s="22"/>
      <c r="C145" s="22"/>
    </row>
    <row r="146" spans="1:3" x14ac:dyDescent="0.3">
      <c r="A146" s="21"/>
      <c r="B146" s="22"/>
      <c r="C146" s="22"/>
    </row>
    <row r="147" spans="1:3" x14ac:dyDescent="0.3">
      <c r="A147" s="21"/>
      <c r="B147" s="22"/>
      <c r="C147" s="22"/>
    </row>
    <row r="148" spans="1:3" x14ac:dyDescent="0.3">
      <c r="A148" s="21"/>
      <c r="B148" s="22"/>
      <c r="C148" s="22"/>
    </row>
    <row r="149" spans="1:3" x14ac:dyDescent="0.3">
      <c r="A149" s="21"/>
      <c r="B149" s="22"/>
      <c r="C149" s="22"/>
    </row>
    <row r="150" spans="1:3" x14ac:dyDescent="0.3">
      <c r="A150" s="21"/>
      <c r="B150" s="22"/>
      <c r="C150" s="22"/>
    </row>
    <row r="151" spans="1:3" x14ac:dyDescent="0.3">
      <c r="A151" s="21"/>
      <c r="B151" s="22"/>
      <c r="C151" s="22"/>
    </row>
    <row r="152" spans="1:3" x14ac:dyDescent="0.3">
      <c r="A152" s="21"/>
      <c r="B152" s="22"/>
      <c r="C152" s="22"/>
    </row>
    <row r="153" spans="1:3" x14ac:dyDescent="0.3">
      <c r="A153" s="21"/>
      <c r="B153" s="22"/>
      <c r="C153" s="22"/>
    </row>
    <row r="154" spans="1:3" x14ac:dyDescent="0.3">
      <c r="A154" s="21"/>
      <c r="B154" s="22"/>
      <c r="C154" s="22"/>
    </row>
    <row r="155" spans="1:3" x14ac:dyDescent="0.3">
      <c r="A155" s="21"/>
      <c r="B155" s="22"/>
      <c r="C155" s="22"/>
    </row>
    <row r="156" spans="1:3" x14ac:dyDescent="0.3">
      <c r="A156" s="21"/>
      <c r="B156" s="22"/>
      <c r="C156" s="22"/>
    </row>
    <row r="157" spans="1:3" x14ac:dyDescent="0.3">
      <c r="A157" s="21"/>
      <c r="B157" s="22"/>
      <c r="C157" s="22"/>
    </row>
    <row r="158" spans="1:3" x14ac:dyDescent="0.3">
      <c r="A158" s="21"/>
      <c r="B158" s="22"/>
      <c r="C158" s="22"/>
    </row>
    <row r="159" spans="1:3" x14ac:dyDescent="0.3">
      <c r="A159" s="21"/>
      <c r="B159" s="22"/>
      <c r="C159" s="22"/>
    </row>
    <row r="160" spans="1:3" x14ac:dyDescent="0.3">
      <c r="A160" s="21"/>
      <c r="B160" s="22"/>
      <c r="C160" s="22"/>
    </row>
    <row r="161" spans="1:3" x14ac:dyDescent="0.3">
      <c r="A161" s="21"/>
      <c r="B161" s="22"/>
      <c r="C161" s="22"/>
    </row>
    <row r="162" spans="1:3" x14ac:dyDescent="0.3">
      <c r="A162" s="21"/>
      <c r="B162" s="22"/>
      <c r="C162" s="22"/>
    </row>
    <row r="163" spans="1:3" x14ac:dyDescent="0.3">
      <c r="A163" s="21"/>
      <c r="B163" s="22"/>
      <c r="C163" s="22"/>
    </row>
    <row r="164" spans="1:3" x14ac:dyDescent="0.3">
      <c r="A164" s="21"/>
      <c r="B164" s="22"/>
      <c r="C164" s="22"/>
    </row>
    <row r="165" spans="1:3" x14ac:dyDescent="0.3">
      <c r="A165" s="21"/>
      <c r="B165" s="22"/>
      <c r="C165" s="22"/>
    </row>
    <row r="166" spans="1:3" x14ac:dyDescent="0.3">
      <c r="A166" s="21"/>
      <c r="B166" s="22"/>
      <c r="C166" s="22"/>
    </row>
    <row r="167" spans="1:3" x14ac:dyDescent="0.3">
      <c r="A167" s="21"/>
      <c r="B167" s="22"/>
      <c r="C167" s="22"/>
    </row>
    <row r="168" spans="1:3" x14ac:dyDescent="0.3">
      <c r="A168" s="21"/>
      <c r="B168" s="22"/>
      <c r="C168" s="22"/>
    </row>
    <row r="169" spans="1:3" x14ac:dyDescent="0.3">
      <c r="A169" s="21"/>
      <c r="B169" s="22"/>
      <c r="C169" s="22"/>
    </row>
    <row r="170" spans="1:3" x14ac:dyDescent="0.3">
      <c r="A170" s="21"/>
      <c r="B170" s="22"/>
      <c r="C170" s="22"/>
    </row>
    <row r="171" spans="1:3" x14ac:dyDescent="0.3">
      <c r="A171" s="21"/>
      <c r="B171" s="22"/>
      <c r="C171" s="22"/>
    </row>
    <row r="172" spans="1:3" x14ac:dyDescent="0.3">
      <c r="A172" s="21"/>
      <c r="B172" s="22"/>
      <c r="C172" s="22"/>
    </row>
    <row r="173" spans="1:3" x14ac:dyDescent="0.3">
      <c r="A173" s="21"/>
      <c r="B173" s="22"/>
      <c r="C173" s="22"/>
    </row>
    <row r="174" spans="1:3" x14ac:dyDescent="0.3">
      <c r="A174" s="21"/>
      <c r="B174" s="22"/>
      <c r="C174" s="22"/>
    </row>
    <row r="175" spans="1:3" x14ac:dyDescent="0.3">
      <c r="A175" s="21"/>
      <c r="B175" s="22"/>
      <c r="C175" s="22"/>
    </row>
    <row r="176" spans="1:3" x14ac:dyDescent="0.3">
      <c r="A176" s="21"/>
      <c r="B176" s="22"/>
      <c r="C176" s="22"/>
    </row>
    <row r="177" spans="1:3" x14ac:dyDescent="0.3">
      <c r="A177" s="21"/>
      <c r="B177" s="22"/>
      <c r="C177" s="22"/>
    </row>
    <row r="178" spans="1:3" x14ac:dyDescent="0.3">
      <c r="A178" s="21"/>
      <c r="B178" s="22"/>
      <c r="C178" s="22"/>
    </row>
    <row r="179" spans="1:3" x14ac:dyDescent="0.3">
      <c r="A179" s="21"/>
      <c r="B179" s="22"/>
      <c r="C179" s="22"/>
    </row>
    <row r="180" spans="1:3" x14ac:dyDescent="0.3">
      <c r="A180" s="21"/>
      <c r="B180" s="22"/>
      <c r="C180" s="22"/>
    </row>
    <row r="181" spans="1:3" x14ac:dyDescent="0.3">
      <c r="A181" s="21"/>
      <c r="B181" s="22"/>
      <c r="C181" s="22"/>
    </row>
    <row r="182" spans="1:3" x14ac:dyDescent="0.3">
      <c r="A182" s="21"/>
      <c r="B182" s="22"/>
      <c r="C182" s="22"/>
    </row>
    <row r="183" spans="1:3" x14ac:dyDescent="0.3">
      <c r="A183" s="21"/>
      <c r="B183" s="22"/>
      <c r="C183" s="22"/>
    </row>
    <row r="184" spans="1:3" x14ac:dyDescent="0.3">
      <c r="A184" s="21"/>
      <c r="B184" s="22"/>
      <c r="C184" s="22"/>
    </row>
    <row r="185" spans="1:3" x14ac:dyDescent="0.3">
      <c r="A185" s="21"/>
      <c r="B185" s="22"/>
      <c r="C185" s="22"/>
    </row>
    <row r="186" spans="1:3" x14ac:dyDescent="0.3">
      <c r="A186" s="21"/>
      <c r="B186" s="22"/>
      <c r="C186" s="22"/>
    </row>
    <row r="187" spans="1:3" x14ac:dyDescent="0.3">
      <c r="A187" s="21"/>
      <c r="B187" s="22"/>
      <c r="C187" s="22"/>
    </row>
    <row r="188" spans="1:3" x14ac:dyDescent="0.3">
      <c r="A188" s="21"/>
      <c r="B188" s="22"/>
      <c r="C188" s="22"/>
    </row>
    <row r="189" spans="1:3" x14ac:dyDescent="0.3">
      <c r="A189" s="21"/>
      <c r="B189" s="22"/>
      <c r="C189" s="22"/>
    </row>
    <row r="190" spans="1:3" x14ac:dyDescent="0.3">
      <c r="A190" s="21"/>
      <c r="B190" s="22"/>
      <c r="C190" s="22"/>
    </row>
    <row r="191" spans="1:3" x14ac:dyDescent="0.3">
      <c r="A191" s="21"/>
      <c r="B191" s="22"/>
      <c r="C191" s="22"/>
    </row>
    <row r="192" spans="1:3" x14ac:dyDescent="0.3">
      <c r="A192" s="21"/>
      <c r="B192" s="22"/>
      <c r="C192" s="22"/>
    </row>
    <row r="193" spans="1:3" x14ac:dyDescent="0.3">
      <c r="A193" s="21"/>
      <c r="B193" s="22"/>
      <c r="C193" s="22"/>
    </row>
    <row r="194" spans="1:3" x14ac:dyDescent="0.3">
      <c r="A194" s="21"/>
      <c r="B194" s="22"/>
      <c r="C194" s="22"/>
    </row>
    <row r="195" spans="1:3" x14ac:dyDescent="0.3">
      <c r="A195" s="21"/>
      <c r="B195" s="22"/>
      <c r="C195" s="22"/>
    </row>
    <row r="196" spans="1:3" x14ac:dyDescent="0.3">
      <c r="A196" s="21"/>
      <c r="B196" s="22"/>
      <c r="C196" s="22"/>
    </row>
    <row r="197" spans="1:3" x14ac:dyDescent="0.3">
      <c r="A197" s="21"/>
      <c r="B197" s="22"/>
      <c r="C197" s="22"/>
    </row>
    <row r="198" spans="1:3" x14ac:dyDescent="0.3">
      <c r="A198" s="21"/>
      <c r="B198" s="22"/>
      <c r="C198" s="22"/>
    </row>
    <row r="199" spans="1:3" x14ac:dyDescent="0.3">
      <c r="A199" s="21"/>
      <c r="B199" s="22"/>
      <c r="C199" s="22"/>
    </row>
    <row r="200" spans="1:3" x14ac:dyDescent="0.3">
      <c r="A200" s="21"/>
      <c r="B200" s="22"/>
      <c r="C200" s="22"/>
    </row>
    <row r="201" spans="1:3" x14ac:dyDescent="0.3">
      <c r="A201" s="21"/>
      <c r="B201" s="22"/>
      <c r="C201" s="22"/>
    </row>
    <row r="202" spans="1:3" x14ac:dyDescent="0.3">
      <c r="A202" s="21"/>
      <c r="B202" s="22"/>
      <c r="C202" s="22"/>
    </row>
    <row r="203" spans="1:3" x14ac:dyDescent="0.3">
      <c r="A203" s="21"/>
      <c r="B203" s="22"/>
      <c r="C203" s="22"/>
    </row>
    <row r="204" spans="1:3" x14ac:dyDescent="0.3">
      <c r="A204" s="21"/>
      <c r="B204" s="22"/>
      <c r="C204" s="22"/>
    </row>
    <row r="205" spans="1:3" x14ac:dyDescent="0.3">
      <c r="A205" s="21"/>
      <c r="B205" s="22"/>
      <c r="C205" s="22"/>
    </row>
    <row r="206" spans="1:3" x14ac:dyDescent="0.3">
      <c r="A206" s="21"/>
      <c r="B206" s="22"/>
      <c r="C206" s="22"/>
    </row>
    <row r="207" spans="1:3" x14ac:dyDescent="0.3">
      <c r="A207" s="21"/>
      <c r="B207" s="22"/>
      <c r="C207" s="22"/>
    </row>
    <row r="208" spans="1:3" x14ac:dyDescent="0.3">
      <c r="A208" s="21"/>
      <c r="B208" s="22"/>
      <c r="C208" s="22"/>
    </row>
    <row r="209" spans="1:3" x14ac:dyDescent="0.3">
      <c r="A209" s="21"/>
      <c r="B209" s="22"/>
      <c r="C209" s="22"/>
    </row>
    <row r="210" spans="1:3" x14ac:dyDescent="0.3">
      <c r="A210" s="21"/>
      <c r="B210" s="22"/>
      <c r="C210" s="22"/>
    </row>
    <row r="211" spans="1:3" x14ac:dyDescent="0.3">
      <c r="A211" s="21"/>
      <c r="B211" s="22"/>
      <c r="C211" s="22"/>
    </row>
    <row r="212" spans="1:3" x14ac:dyDescent="0.3">
      <c r="A212" s="21"/>
      <c r="B212" s="22"/>
      <c r="C212" s="22"/>
    </row>
    <row r="213" spans="1:3" x14ac:dyDescent="0.3">
      <c r="A213" s="21"/>
      <c r="B213" s="22"/>
      <c r="C213" s="22"/>
    </row>
    <row r="214" spans="1:3" x14ac:dyDescent="0.3">
      <c r="A214" s="21"/>
      <c r="B214" s="22"/>
      <c r="C214" s="22"/>
    </row>
    <row r="215" spans="1:3" x14ac:dyDescent="0.3">
      <c r="A215" s="21"/>
      <c r="B215" s="22"/>
      <c r="C215" s="22"/>
    </row>
    <row r="216" spans="1:3" x14ac:dyDescent="0.3">
      <c r="A216" s="21"/>
      <c r="B216" s="22"/>
      <c r="C216" s="22"/>
    </row>
    <row r="217" spans="1:3" x14ac:dyDescent="0.3">
      <c r="A217" s="21"/>
      <c r="B217" s="22"/>
      <c r="C217" s="22"/>
    </row>
    <row r="218" spans="1:3" x14ac:dyDescent="0.3">
      <c r="A218" s="21"/>
      <c r="B218" s="22"/>
      <c r="C218" s="22"/>
    </row>
    <row r="219" spans="1:3" x14ac:dyDescent="0.3">
      <c r="A219" s="21"/>
      <c r="B219" s="22"/>
      <c r="C219" s="22"/>
    </row>
    <row r="220" spans="1:3" x14ac:dyDescent="0.3">
      <c r="A220" s="21"/>
      <c r="B220" s="22"/>
      <c r="C220" s="22"/>
    </row>
    <row r="221" spans="1:3" x14ac:dyDescent="0.3">
      <c r="A221" s="21"/>
      <c r="B221" s="22"/>
      <c r="C221" s="22"/>
    </row>
    <row r="222" spans="1:3" x14ac:dyDescent="0.3">
      <c r="A222" s="21"/>
      <c r="B222" s="22"/>
      <c r="C222" s="22"/>
    </row>
    <row r="223" spans="1:3" x14ac:dyDescent="0.3">
      <c r="A223" s="21"/>
      <c r="B223" s="22"/>
      <c r="C223" s="22"/>
    </row>
    <row r="224" spans="1:3" x14ac:dyDescent="0.3">
      <c r="A224" s="21"/>
      <c r="B224" s="22"/>
      <c r="C224" s="22"/>
    </row>
    <row r="225" spans="1:3" x14ac:dyDescent="0.3">
      <c r="A225" s="21"/>
      <c r="B225" s="22"/>
      <c r="C225" s="22"/>
    </row>
    <row r="226" spans="1:3" x14ac:dyDescent="0.3">
      <c r="A226" s="21"/>
      <c r="B226" s="22"/>
      <c r="C226" s="22"/>
    </row>
    <row r="227" spans="1:3" x14ac:dyDescent="0.3">
      <c r="A227" s="21"/>
      <c r="B227" s="22"/>
      <c r="C227" s="22"/>
    </row>
    <row r="228" spans="1:3" x14ac:dyDescent="0.3">
      <c r="A228" s="21"/>
      <c r="B228" s="22"/>
      <c r="C228" s="22"/>
    </row>
    <row r="229" spans="1:3" x14ac:dyDescent="0.3">
      <c r="A229" s="21"/>
      <c r="B229" s="22"/>
      <c r="C229" s="22"/>
    </row>
    <row r="230" spans="1:3" x14ac:dyDescent="0.3">
      <c r="A230" s="21"/>
      <c r="B230" s="22"/>
      <c r="C230" s="22"/>
    </row>
    <row r="231" spans="1:3" x14ac:dyDescent="0.3">
      <c r="A231" s="21"/>
      <c r="B231" s="22"/>
      <c r="C231" s="22"/>
    </row>
    <row r="232" spans="1:3" x14ac:dyDescent="0.3">
      <c r="A232" s="21"/>
      <c r="B232" s="22"/>
      <c r="C232" s="22"/>
    </row>
    <row r="233" spans="1:3" x14ac:dyDescent="0.3">
      <c r="A233" s="21"/>
      <c r="B233" s="22"/>
      <c r="C233" s="22"/>
    </row>
    <row r="234" spans="1:3" x14ac:dyDescent="0.3">
      <c r="A234" s="21"/>
      <c r="B234" s="22"/>
      <c r="C234" s="22"/>
    </row>
    <row r="235" spans="1:3" x14ac:dyDescent="0.3">
      <c r="A235" s="21"/>
      <c r="B235" s="22"/>
      <c r="C235" s="22"/>
    </row>
    <row r="236" spans="1:3" x14ac:dyDescent="0.3">
      <c r="A236" s="21"/>
      <c r="B236" s="22"/>
      <c r="C236" s="22"/>
    </row>
    <row r="237" spans="1:3" x14ac:dyDescent="0.3">
      <c r="A237" s="21"/>
      <c r="B237" s="22"/>
      <c r="C237" s="22"/>
    </row>
    <row r="238" spans="1:3" x14ac:dyDescent="0.3">
      <c r="A238" s="21"/>
      <c r="B238" s="22"/>
      <c r="C238" s="22"/>
    </row>
    <row r="239" spans="1:3" x14ac:dyDescent="0.3">
      <c r="A239" s="21"/>
      <c r="B239" s="22"/>
      <c r="C239" s="22"/>
    </row>
    <row r="240" spans="1:3" x14ac:dyDescent="0.3">
      <c r="A240" s="21"/>
      <c r="B240" s="22"/>
      <c r="C240" s="22"/>
    </row>
    <row r="241" spans="1:3" x14ac:dyDescent="0.3">
      <c r="A241" s="21"/>
      <c r="B241" s="22"/>
      <c r="C241" s="22"/>
    </row>
    <row r="242" spans="1:3" x14ac:dyDescent="0.3">
      <c r="A242" s="21"/>
      <c r="B242" s="22"/>
      <c r="C242" s="22"/>
    </row>
    <row r="243" spans="1:3" x14ac:dyDescent="0.3">
      <c r="A243" s="21"/>
      <c r="B243" s="22"/>
      <c r="C243" s="22"/>
    </row>
    <row r="244" spans="1:3" x14ac:dyDescent="0.3">
      <c r="A244" s="21"/>
      <c r="B244" s="22"/>
      <c r="C244" s="22"/>
    </row>
    <row r="245" spans="1:3" x14ac:dyDescent="0.3">
      <c r="A245" s="21"/>
      <c r="B245" s="22"/>
      <c r="C245" s="22"/>
    </row>
    <row r="246" spans="1:3" x14ac:dyDescent="0.3">
      <c r="A246" s="21"/>
      <c r="B246" s="22"/>
      <c r="C246" s="22"/>
    </row>
    <row r="247" spans="1:3" x14ac:dyDescent="0.3">
      <c r="A247" s="21"/>
      <c r="B247" s="22"/>
      <c r="C247" s="22"/>
    </row>
    <row r="248" spans="1:3" x14ac:dyDescent="0.3">
      <c r="A248" s="21"/>
      <c r="B248" s="22"/>
      <c r="C248" s="22"/>
    </row>
    <row r="249" spans="1:3" x14ac:dyDescent="0.3">
      <c r="A249" s="21"/>
      <c r="B249" s="22"/>
      <c r="C249" s="22"/>
    </row>
    <row r="250" spans="1:3" x14ac:dyDescent="0.3">
      <c r="A250" s="21"/>
      <c r="B250" s="22"/>
      <c r="C250" s="22"/>
    </row>
    <row r="251" spans="1:3" x14ac:dyDescent="0.3">
      <c r="A251" s="21"/>
      <c r="B251" s="22"/>
      <c r="C251" s="22"/>
    </row>
    <row r="252" spans="1:3" x14ac:dyDescent="0.3">
      <c r="A252" s="21"/>
      <c r="B252" s="22"/>
      <c r="C252" s="22"/>
    </row>
    <row r="253" spans="1:3" x14ac:dyDescent="0.3">
      <c r="A253" s="21"/>
      <c r="B253" s="22"/>
      <c r="C253" s="22"/>
    </row>
    <row r="254" spans="1:3" x14ac:dyDescent="0.3">
      <c r="A254" s="21"/>
      <c r="B254" s="22"/>
      <c r="C254" s="22"/>
    </row>
    <row r="255" spans="1:3" x14ac:dyDescent="0.3">
      <c r="A255" s="21"/>
      <c r="B255" s="22"/>
      <c r="C255" s="22"/>
    </row>
    <row r="256" spans="1:3" x14ac:dyDescent="0.3">
      <c r="A256" s="21"/>
      <c r="B256" s="22"/>
      <c r="C256" s="22"/>
    </row>
    <row r="257" spans="1:3" x14ac:dyDescent="0.3">
      <c r="A257" s="21"/>
      <c r="B257" s="22"/>
      <c r="C257" s="22"/>
    </row>
    <row r="258" spans="1:3" x14ac:dyDescent="0.3">
      <c r="A258" s="21"/>
      <c r="B258" s="22"/>
      <c r="C258" s="22"/>
    </row>
    <row r="259" spans="1:3" x14ac:dyDescent="0.3">
      <c r="A259" s="21"/>
      <c r="B259" s="22"/>
      <c r="C259" s="22"/>
    </row>
    <row r="260" spans="1:3" x14ac:dyDescent="0.3">
      <c r="A260" s="21"/>
      <c r="B260" s="22"/>
      <c r="C260" s="22"/>
    </row>
    <row r="261" spans="1:3" x14ac:dyDescent="0.3">
      <c r="A261" s="21"/>
      <c r="B261" s="22"/>
      <c r="C261" s="22"/>
    </row>
    <row r="262" spans="1:3" x14ac:dyDescent="0.3">
      <c r="A262" s="21"/>
      <c r="B262" s="22"/>
      <c r="C262" s="22"/>
    </row>
    <row r="263" spans="1:3" x14ac:dyDescent="0.3">
      <c r="A263" s="21"/>
      <c r="B263" s="22"/>
      <c r="C263" s="22"/>
    </row>
    <row r="264" spans="1:3" x14ac:dyDescent="0.3">
      <c r="A264" s="21"/>
      <c r="B264" s="22"/>
      <c r="C264" s="22"/>
    </row>
    <row r="265" spans="1:3" x14ac:dyDescent="0.3">
      <c r="A265" s="21"/>
      <c r="B265" s="22"/>
      <c r="C265" s="22"/>
    </row>
    <row r="266" spans="1:3" x14ac:dyDescent="0.3">
      <c r="A266" s="21"/>
      <c r="B266" s="22"/>
      <c r="C266" s="22"/>
    </row>
    <row r="267" spans="1:3" x14ac:dyDescent="0.3">
      <c r="A267" s="21"/>
      <c r="B267" s="22"/>
      <c r="C267" s="22"/>
    </row>
    <row r="268" spans="1:3" x14ac:dyDescent="0.3">
      <c r="A268" s="21"/>
      <c r="B268" s="22"/>
      <c r="C268" s="22"/>
    </row>
    <row r="269" spans="1:3" x14ac:dyDescent="0.3">
      <c r="A269" s="21"/>
      <c r="B269" s="22"/>
      <c r="C269" s="22"/>
    </row>
    <row r="270" spans="1:3" x14ac:dyDescent="0.3">
      <c r="A270" s="21"/>
      <c r="B270" s="22"/>
      <c r="C270" s="22"/>
    </row>
    <row r="271" spans="1:3" x14ac:dyDescent="0.3">
      <c r="A271" s="21"/>
      <c r="B271" s="22"/>
      <c r="C271" s="22"/>
    </row>
    <row r="272" spans="1:3" x14ac:dyDescent="0.3">
      <c r="A272" s="21"/>
      <c r="B272" s="22"/>
      <c r="C272" s="22"/>
    </row>
    <row r="273" spans="1:3" x14ac:dyDescent="0.3">
      <c r="A273" s="21"/>
      <c r="B273" s="22"/>
      <c r="C273" s="22"/>
    </row>
    <row r="274" spans="1:3" x14ac:dyDescent="0.3">
      <c r="A274" s="21"/>
      <c r="B274" s="22"/>
      <c r="C274" s="22"/>
    </row>
    <row r="275" spans="1:3" x14ac:dyDescent="0.3">
      <c r="A275" s="21"/>
      <c r="B275" s="22"/>
      <c r="C275" s="22"/>
    </row>
    <row r="276" spans="1:3" x14ac:dyDescent="0.3">
      <c r="A276" s="21"/>
      <c r="B276" s="22"/>
      <c r="C276" s="22"/>
    </row>
    <row r="277" spans="1:3" x14ac:dyDescent="0.3">
      <c r="A277" s="21"/>
      <c r="B277" s="22"/>
      <c r="C277" s="22"/>
    </row>
    <row r="278" spans="1:3" x14ac:dyDescent="0.3">
      <c r="A278" s="21"/>
      <c r="B278" s="22"/>
      <c r="C278" s="22"/>
    </row>
    <row r="279" spans="1:3" x14ac:dyDescent="0.3">
      <c r="A279" s="21"/>
      <c r="B279" s="22"/>
      <c r="C279" s="22"/>
    </row>
    <row r="280" spans="1:3" x14ac:dyDescent="0.3">
      <c r="A280" s="21"/>
      <c r="B280" s="22"/>
      <c r="C280" s="22"/>
    </row>
    <row r="281" spans="1:3" x14ac:dyDescent="0.3">
      <c r="A281" s="21"/>
      <c r="B281" s="22"/>
      <c r="C281" s="22"/>
    </row>
    <row r="282" spans="1:3" x14ac:dyDescent="0.3">
      <c r="A282" s="21"/>
      <c r="B282" s="22"/>
      <c r="C282" s="22"/>
    </row>
    <row r="283" spans="1:3" x14ac:dyDescent="0.3">
      <c r="A283" s="21"/>
      <c r="B283" s="22"/>
      <c r="C283" s="22"/>
    </row>
    <row r="284" spans="1:3" x14ac:dyDescent="0.3">
      <c r="A284" s="21"/>
      <c r="B284" s="22"/>
      <c r="C284" s="22"/>
    </row>
    <row r="285" spans="1:3" x14ac:dyDescent="0.3">
      <c r="A285" s="21"/>
      <c r="B285" s="22"/>
      <c r="C285" s="22"/>
    </row>
    <row r="286" spans="1:3" x14ac:dyDescent="0.3">
      <c r="A286" s="21"/>
      <c r="B286" s="22"/>
      <c r="C286" s="22"/>
    </row>
    <row r="287" spans="1:3" x14ac:dyDescent="0.3">
      <c r="A287" s="21"/>
      <c r="B287" s="22"/>
      <c r="C287" s="22"/>
    </row>
    <row r="288" spans="1:3" x14ac:dyDescent="0.3">
      <c r="A288" s="21"/>
      <c r="B288" s="22"/>
      <c r="C288" s="22"/>
    </row>
    <row r="289" spans="1:3" x14ac:dyDescent="0.3">
      <c r="A289" s="21"/>
      <c r="B289" s="22"/>
      <c r="C289" s="22"/>
    </row>
    <row r="290" spans="1:3" x14ac:dyDescent="0.3">
      <c r="A290" s="21"/>
      <c r="B290" s="22"/>
      <c r="C290" s="22"/>
    </row>
    <row r="291" spans="1:3" x14ac:dyDescent="0.3">
      <c r="A291" s="21"/>
      <c r="B291" s="22"/>
      <c r="C291" s="22"/>
    </row>
    <row r="292" spans="1:3" x14ac:dyDescent="0.3">
      <c r="A292" s="21"/>
      <c r="B292" s="22"/>
      <c r="C292" s="22"/>
    </row>
    <row r="293" spans="1:3" x14ac:dyDescent="0.3">
      <c r="A293" s="21"/>
      <c r="B293" s="22"/>
      <c r="C293" s="22"/>
    </row>
    <row r="294" spans="1:3" x14ac:dyDescent="0.3">
      <c r="A294" s="21"/>
      <c r="B294" s="22"/>
      <c r="C294" s="22"/>
    </row>
    <row r="295" spans="1:3" x14ac:dyDescent="0.3">
      <c r="A295" s="21"/>
      <c r="B295" s="22"/>
      <c r="C295" s="22"/>
    </row>
    <row r="296" spans="1:3" x14ac:dyDescent="0.3">
      <c r="A296" s="21"/>
      <c r="B296" s="22"/>
      <c r="C296" s="22"/>
    </row>
    <row r="297" spans="1:3" x14ac:dyDescent="0.3">
      <c r="A297" s="21"/>
      <c r="B297" s="22"/>
      <c r="C297" s="22"/>
    </row>
    <row r="298" spans="1:3" x14ac:dyDescent="0.3">
      <c r="A298" s="21"/>
      <c r="B298" s="22"/>
      <c r="C298" s="22"/>
    </row>
    <row r="299" spans="1:3" x14ac:dyDescent="0.3">
      <c r="A299" s="21"/>
      <c r="B299" s="22"/>
      <c r="C299" s="22"/>
    </row>
    <row r="300" spans="1:3" x14ac:dyDescent="0.3">
      <c r="A300" s="21"/>
      <c r="B300" s="22"/>
      <c r="C300" s="22"/>
    </row>
    <row r="301" spans="1:3" x14ac:dyDescent="0.3">
      <c r="A301" s="21"/>
      <c r="B301" s="22"/>
      <c r="C301" s="22"/>
    </row>
    <row r="302" spans="1:3" x14ac:dyDescent="0.3">
      <c r="A302" s="21"/>
      <c r="B302" s="22"/>
      <c r="C302" s="22"/>
    </row>
    <row r="303" spans="1:3" x14ac:dyDescent="0.3">
      <c r="A303" s="21"/>
      <c r="B303" s="22"/>
      <c r="C303" s="22"/>
    </row>
    <row r="304" spans="1:3" x14ac:dyDescent="0.3">
      <c r="A304" s="21"/>
      <c r="B304" s="22"/>
      <c r="C304" s="22"/>
    </row>
    <row r="305" spans="1:3" x14ac:dyDescent="0.3">
      <c r="A305" s="21"/>
      <c r="B305" s="22"/>
      <c r="C305" s="22"/>
    </row>
    <row r="306" spans="1:3" x14ac:dyDescent="0.3">
      <c r="A306" s="21"/>
      <c r="B306" s="22"/>
      <c r="C306" s="22"/>
    </row>
    <row r="307" spans="1:3" x14ac:dyDescent="0.3">
      <c r="A307" s="21"/>
      <c r="B307" s="22"/>
      <c r="C307" s="22"/>
    </row>
    <row r="308" spans="1:3" x14ac:dyDescent="0.3">
      <c r="A308" s="21"/>
      <c r="B308" s="22"/>
      <c r="C308" s="22"/>
    </row>
    <row r="309" spans="1:3" x14ac:dyDescent="0.3">
      <c r="A309" s="21"/>
      <c r="B309" s="22"/>
      <c r="C309" s="22"/>
    </row>
    <row r="310" spans="1:3" x14ac:dyDescent="0.3">
      <c r="A310" s="21"/>
      <c r="B310" s="22"/>
      <c r="C310" s="22"/>
    </row>
    <row r="311" spans="1:3" x14ac:dyDescent="0.3">
      <c r="A311" s="21"/>
      <c r="B311" s="22"/>
      <c r="C311" s="22"/>
    </row>
    <row r="312" spans="1:3" x14ac:dyDescent="0.3">
      <c r="A312" s="21"/>
      <c r="B312" s="22"/>
      <c r="C312" s="22"/>
    </row>
    <row r="313" spans="1:3" x14ac:dyDescent="0.3">
      <c r="A313" s="21"/>
      <c r="B313" s="22"/>
      <c r="C313" s="22"/>
    </row>
    <row r="314" spans="1:3" x14ac:dyDescent="0.3">
      <c r="A314" s="21"/>
      <c r="B314" s="22"/>
      <c r="C314" s="22"/>
    </row>
    <row r="315" spans="1:3" x14ac:dyDescent="0.3">
      <c r="A315" s="21"/>
      <c r="B315" s="22"/>
      <c r="C315" s="22"/>
    </row>
    <row r="316" spans="1:3" x14ac:dyDescent="0.3">
      <c r="A316" s="21"/>
      <c r="B316" s="22"/>
      <c r="C316" s="22"/>
    </row>
    <row r="317" spans="1:3" x14ac:dyDescent="0.3">
      <c r="A317" s="21"/>
      <c r="B317" s="22"/>
      <c r="C317" s="22"/>
    </row>
    <row r="318" spans="1:3" x14ac:dyDescent="0.3">
      <c r="A318" s="21"/>
      <c r="B318" s="22"/>
      <c r="C318" s="22"/>
    </row>
    <row r="319" spans="1:3" x14ac:dyDescent="0.3">
      <c r="A319" s="21"/>
      <c r="B319" s="22"/>
      <c r="C319" s="22"/>
    </row>
    <row r="320" spans="1:3" x14ac:dyDescent="0.3">
      <c r="A320" s="21"/>
      <c r="B320" s="22"/>
      <c r="C320" s="22"/>
    </row>
    <row r="321" spans="1:3" x14ac:dyDescent="0.3">
      <c r="A321" s="21"/>
      <c r="B321" s="22"/>
      <c r="C321" s="22"/>
    </row>
    <row r="322" spans="1:3" x14ac:dyDescent="0.3">
      <c r="A322" s="21"/>
      <c r="B322" s="22"/>
      <c r="C322" s="22"/>
    </row>
    <row r="323" spans="1:3" x14ac:dyDescent="0.3">
      <c r="A323" s="21"/>
      <c r="B323" s="22"/>
      <c r="C323" s="22"/>
    </row>
    <row r="324" spans="1:3" x14ac:dyDescent="0.3">
      <c r="A324" s="21"/>
      <c r="B324" s="22"/>
      <c r="C324" s="22"/>
    </row>
    <row r="325" spans="1:3" x14ac:dyDescent="0.3">
      <c r="A325" s="21"/>
      <c r="B325" s="22"/>
      <c r="C325" s="22"/>
    </row>
    <row r="326" spans="1:3" x14ac:dyDescent="0.3">
      <c r="A326" s="21"/>
      <c r="B326" s="22"/>
      <c r="C326" s="22"/>
    </row>
    <row r="327" spans="1:3" x14ac:dyDescent="0.3">
      <c r="A327" s="21"/>
      <c r="B327" s="22"/>
      <c r="C327" s="22"/>
    </row>
    <row r="328" spans="1:3" x14ac:dyDescent="0.3">
      <c r="A328" s="21"/>
      <c r="B328" s="22"/>
      <c r="C328" s="22"/>
    </row>
    <row r="329" spans="1:3" x14ac:dyDescent="0.3">
      <c r="A329" s="21"/>
      <c r="B329" s="22"/>
      <c r="C329" s="22"/>
    </row>
    <row r="330" spans="1:3" x14ac:dyDescent="0.3">
      <c r="A330" s="21"/>
      <c r="B330" s="22"/>
      <c r="C330" s="22"/>
    </row>
    <row r="331" spans="1:3" x14ac:dyDescent="0.3">
      <c r="A331" s="21"/>
      <c r="B331" s="22"/>
      <c r="C331" s="22"/>
    </row>
    <row r="332" spans="1:3" x14ac:dyDescent="0.3">
      <c r="A332" s="21"/>
      <c r="B332" s="22"/>
      <c r="C332" s="22"/>
    </row>
    <row r="333" spans="1:3" x14ac:dyDescent="0.3">
      <c r="A333" s="21"/>
      <c r="B333" s="22"/>
      <c r="C333" s="22"/>
    </row>
    <row r="334" spans="1:3" x14ac:dyDescent="0.3">
      <c r="A334" s="21"/>
      <c r="B334" s="22"/>
      <c r="C334" s="22"/>
    </row>
    <row r="335" spans="1:3" x14ac:dyDescent="0.3">
      <c r="A335" s="21"/>
      <c r="B335" s="22"/>
      <c r="C335" s="22"/>
    </row>
    <row r="336" spans="1:3" x14ac:dyDescent="0.3">
      <c r="A336" s="21"/>
      <c r="B336" s="22"/>
      <c r="C336" s="22"/>
    </row>
    <row r="337" spans="1:3" x14ac:dyDescent="0.3">
      <c r="A337" s="21"/>
      <c r="B337" s="22"/>
      <c r="C337" s="22"/>
    </row>
    <row r="338" spans="1:3" x14ac:dyDescent="0.3">
      <c r="A338" s="21"/>
      <c r="B338" s="22"/>
      <c r="C338" s="22"/>
    </row>
    <row r="339" spans="1:3" x14ac:dyDescent="0.3">
      <c r="A339" s="21"/>
      <c r="B339" s="22"/>
      <c r="C339" s="22"/>
    </row>
    <row r="340" spans="1:3" x14ac:dyDescent="0.3">
      <c r="A340" s="21"/>
      <c r="B340" s="22"/>
      <c r="C340" s="22"/>
    </row>
    <row r="341" spans="1:3" x14ac:dyDescent="0.3">
      <c r="A341" s="21"/>
      <c r="B341" s="22"/>
      <c r="C341" s="22"/>
    </row>
    <row r="342" spans="1:3" x14ac:dyDescent="0.3">
      <c r="A342" s="21"/>
      <c r="B342" s="22"/>
      <c r="C342" s="22"/>
    </row>
    <row r="343" spans="1:3" x14ac:dyDescent="0.3">
      <c r="A343" s="21"/>
      <c r="B343" s="22"/>
      <c r="C343" s="22"/>
    </row>
    <row r="344" spans="1:3" x14ac:dyDescent="0.3">
      <c r="A344" s="21"/>
      <c r="B344" s="22"/>
      <c r="C344" s="22"/>
    </row>
    <row r="345" spans="1:3" x14ac:dyDescent="0.3">
      <c r="A345" s="21"/>
      <c r="B345" s="22"/>
      <c r="C345" s="22"/>
    </row>
    <row r="346" spans="1:3" x14ac:dyDescent="0.3">
      <c r="A346" s="21"/>
      <c r="B346" s="22"/>
      <c r="C346" s="22"/>
    </row>
    <row r="347" spans="1:3" x14ac:dyDescent="0.3">
      <c r="A347" s="21"/>
      <c r="B347" s="22"/>
      <c r="C347" s="22"/>
    </row>
    <row r="348" spans="1:3" x14ac:dyDescent="0.3">
      <c r="A348" s="21"/>
      <c r="B348" s="22"/>
      <c r="C348" s="22"/>
    </row>
    <row r="349" spans="1:3" x14ac:dyDescent="0.3">
      <c r="A349" s="21"/>
      <c r="B349" s="22"/>
      <c r="C349" s="22"/>
    </row>
    <row r="350" spans="1:3" x14ac:dyDescent="0.3">
      <c r="A350" s="21"/>
      <c r="B350" s="22"/>
      <c r="C350" s="22"/>
    </row>
    <row r="351" spans="1:3" x14ac:dyDescent="0.3">
      <c r="A351" s="21"/>
      <c r="B351" s="22"/>
      <c r="C351" s="22"/>
    </row>
    <row r="352" spans="1:3" x14ac:dyDescent="0.3">
      <c r="A352" s="21"/>
      <c r="B352" s="22"/>
      <c r="C352" s="22"/>
    </row>
    <row r="353" spans="1:3" x14ac:dyDescent="0.3">
      <c r="A353" s="21"/>
      <c r="B353" s="22"/>
      <c r="C353" s="22"/>
    </row>
    <row r="354" spans="1:3" x14ac:dyDescent="0.3">
      <c r="A354" s="21"/>
      <c r="B354" s="22"/>
      <c r="C354" s="22"/>
    </row>
    <row r="355" spans="1:3" x14ac:dyDescent="0.3">
      <c r="A355" s="21"/>
      <c r="B355" s="22"/>
      <c r="C355" s="22"/>
    </row>
    <row r="356" spans="1:3" x14ac:dyDescent="0.3">
      <c r="A356" s="21"/>
      <c r="B356" s="22"/>
      <c r="C356" s="22"/>
    </row>
    <row r="357" spans="1:3" x14ac:dyDescent="0.3">
      <c r="A357" s="21"/>
      <c r="B357" s="22"/>
      <c r="C357" s="22"/>
    </row>
    <row r="358" spans="1:3" x14ac:dyDescent="0.3">
      <c r="A358" s="21"/>
      <c r="B358" s="22"/>
      <c r="C358" s="22"/>
    </row>
    <row r="359" spans="1:3" x14ac:dyDescent="0.3">
      <c r="A359" s="21"/>
      <c r="B359" s="22"/>
      <c r="C359" s="22"/>
    </row>
    <row r="360" spans="1:3" x14ac:dyDescent="0.3">
      <c r="A360" s="21"/>
      <c r="B360" s="22"/>
      <c r="C360" s="22"/>
    </row>
    <row r="361" spans="1:3" x14ac:dyDescent="0.3">
      <c r="A361" s="21"/>
      <c r="B361" s="22"/>
      <c r="C361" s="22"/>
    </row>
    <row r="362" spans="1:3" x14ac:dyDescent="0.3">
      <c r="A362" s="21"/>
      <c r="B362" s="22"/>
      <c r="C362" s="22"/>
    </row>
    <row r="363" spans="1:3" x14ac:dyDescent="0.3">
      <c r="A363" s="21"/>
      <c r="B363" s="22"/>
      <c r="C363" s="22"/>
    </row>
    <row r="364" spans="1:3" x14ac:dyDescent="0.3">
      <c r="A364" s="21"/>
      <c r="B364" s="22"/>
      <c r="C364" s="22"/>
    </row>
    <row r="365" spans="1:3" x14ac:dyDescent="0.3">
      <c r="A365" s="21"/>
      <c r="B365" s="22"/>
      <c r="C365" s="22"/>
    </row>
    <row r="366" spans="1:3" x14ac:dyDescent="0.3">
      <c r="A366" s="21"/>
      <c r="B366" s="22"/>
      <c r="C366" s="22"/>
    </row>
    <row r="367" spans="1:3" x14ac:dyDescent="0.3">
      <c r="A367" s="21"/>
      <c r="B367" s="22"/>
      <c r="C367" s="22"/>
    </row>
    <row r="368" spans="1:3" x14ac:dyDescent="0.3">
      <c r="A368" s="21"/>
      <c r="B368" s="22"/>
      <c r="C368" s="22"/>
    </row>
    <row r="369" spans="1:3" x14ac:dyDescent="0.3">
      <c r="A369" s="21"/>
      <c r="B369" s="22"/>
      <c r="C369" s="22"/>
    </row>
    <row r="370" spans="1:3" x14ac:dyDescent="0.3">
      <c r="A370" s="21"/>
      <c r="B370" s="22"/>
      <c r="C370" s="22"/>
    </row>
    <row r="371" spans="1:3" x14ac:dyDescent="0.3">
      <c r="A371" s="21"/>
      <c r="B371" s="22"/>
      <c r="C371" s="22"/>
    </row>
    <row r="372" spans="1:3" x14ac:dyDescent="0.3">
      <c r="A372" s="21"/>
      <c r="B372" s="22"/>
      <c r="C372" s="22"/>
    </row>
    <row r="373" spans="1:3" x14ac:dyDescent="0.3">
      <c r="A373" s="21"/>
      <c r="B373" s="22"/>
      <c r="C373" s="22"/>
    </row>
    <row r="374" spans="1:3" x14ac:dyDescent="0.3">
      <c r="A374" s="21"/>
      <c r="B374" s="22"/>
      <c r="C374" s="22"/>
    </row>
    <row r="375" spans="1:3" x14ac:dyDescent="0.3">
      <c r="A375" s="21"/>
      <c r="B375" s="22"/>
      <c r="C375" s="22"/>
    </row>
    <row r="376" spans="1:3" x14ac:dyDescent="0.3">
      <c r="A376" s="21"/>
      <c r="B376" s="22"/>
      <c r="C376" s="22"/>
    </row>
    <row r="377" spans="1:3" x14ac:dyDescent="0.3">
      <c r="A377" s="21"/>
      <c r="B377" s="22"/>
      <c r="C377" s="22"/>
    </row>
    <row r="378" spans="1:3" x14ac:dyDescent="0.3">
      <c r="A378" s="21"/>
      <c r="B378" s="22"/>
      <c r="C378" s="22"/>
    </row>
    <row r="379" spans="1:3" x14ac:dyDescent="0.3">
      <c r="A379" s="21"/>
      <c r="B379" s="22"/>
      <c r="C379" s="22"/>
    </row>
    <row r="380" spans="1:3" x14ac:dyDescent="0.3">
      <c r="A380" s="21"/>
      <c r="B380" s="22"/>
      <c r="C380" s="22"/>
    </row>
    <row r="381" spans="1:3" x14ac:dyDescent="0.3">
      <c r="A381" s="21"/>
      <c r="B381" s="22"/>
      <c r="C381" s="22"/>
    </row>
    <row r="382" spans="1:3" x14ac:dyDescent="0.3">
      <c r="A382" s="21"/>
      <c r="B382" s="22"/>
      <c r="C382" s="22"/>
    </row>
    <row r="383" spans="1:3" x14ac:dyDescent="0.3">
      <c r="A383" s="21"/>
      <c r="B383" s="22"/>
      <c r="C383" s="22"/>
    </row>
    <row r="384" spans="1:3" x14ac:dyDescent="0.3">
      <c r="A384" s="21"/>
      <c r="B384" s="22"/>
      <c r="C384" s="22"/>
    </row>
    <row r="385" spans="1:3" x14ac:dyDescent="0.3">
      <c r="A385" s="21"/>
      <c r="B385" s="22"/>
      <c r="C385" s="22"/>
    </row>
    <row r="386" spans="1:3" x14ac:dyDescent="0.3">
      <c r="A386" s="21"/>
      <c r="B386" s="22"/>
      <c r="C386" s="22"/>
    </row>
    <row r="387" spans="1:3" x14ac:dyDescent="0.3">
      <c r="A387" s="21"/>
      <c r="B387" s="22"/>
      <c r="C387" s="22"/>
    </row>
    <row r="388" spans="1:3" x14ac:dyDescent="0.3">
      <c r="A388" s="21"/>
      <c r="B388" s="22"/>
      <c r="C388" s="22"/>
    </row>
    <row r="389" spans="1:3" x14ac:dyDescent="0.3">
      <c r="A389" s="21"/>
      <c r="B389" s="22"/>
      <c r="C389" s="22"/>
    </row>
    <row r="390" spans="1:3" x14ac:dyDescent="0.3">
      <c r="A390" s="21"/>
      <c r="B390" s="22"/>
      <c r="C390" s="22"/>
    </row>
    <row r="391" spans="1:3" x14ac:dyDescent="0.3">
      <c r="A391" s="21"/>
      <c r="B391" s="22"/>
      <c r="C391" s="22"/>
    </row>
    <row r="392" spans="1:3" x14ac:dyDescent="0.3">
      <c r="A392" s="21"/>
      <c r="B392" s="22"/>
      <c r="C392" s="22"/>
    </row>
    <row r="393" spans="1:3" x14ac:dyDescent="0.3">
      <c r="A393" s="21"/>
      <c r="B393" s="22"/>
      <c r="C393" s="22"/>
    </row>
    <row r="394" spans="1:3" x14ac:dyDescent="0.3">
      <c r="A394" s="21"/>
      <c r="B394" s="22"/>
      <c r="C394" s="22"/>
    </row>
    <row r="395" spans="1:3" x14ac:dyDescent="0.3">
      <c r="A395" s="21"/>
      <c r="B395" s="22"/>
      <c r="C395" s="22"/>
    </row>
    <row r="396" spans="1:3" x14ac:dyDescent="0.3">
      <c r="A396" s="21"/>
      <c r="B396" s="22"/>
      <c r="C396" s="22"/>
    </row>
    <row r="397" spans="1:3" x14ac:dyDescent="0.3">
      <c r="A397" s="21"/>
      <c r="B397" s="22"/>
      <c r="C397" s="22"/>
    </row>
    <row r="398" spans="1:3" x14ac:dyDescent="0.3">
      <c r="A398" s="21"/>
      <c r="B398" s="22"/>
      <c r="C398" s="22"/>
    </row>
    <row r="399" spans="1:3" x14ac:dyDescent="0.3">
      <c r="A399" s="21"/>
      <c r="B399" s="22"/>
      <c r="C399" s="22"/>
    </row>
    <row r="400" spans="1:3" x14ac:dyDescent="0.3">
      <c r="A400" s="21"/>
      <c r="B400" s="22"/>
      <c r="C400" s="22"/>
    </row>
    <row r="401" spans="1:3" x14ac:dyDescent="0.3">
      <c r="A401" s="21"/>
      <c r="B401" s="22"/>
      <c r="C401" s="22"/>
    </row>
    <row r="402" spans="1:3" x14ac:dyDescent="0.3">
      <c r="A402" s="21"/>
      <c r="B402" s="22"/>
      <c r="C402" s="22"/>
    </row>
    <row r="403" spans="1:3" x14ac:dyDescent="0.3">
      <c r="A403" s="21"/>
      <c r="B403" s="22"/>
      <c r="C403" s="22"/>
    </row>
    <row r="404" spans="1:3" x14ac:dyDescent="0.3">
      <c r="A404" s="21"/>
      <c r="B404" s="22"/>
      <c r="C404" s="22"/>
    </row>
    <row r="405" spans="1:3" x14ac:dyDescent="0.3">
      <c r="A405" s="21"/>
      <c r="B405" s="22"/>
      <c r="C405" s="22"/>
    </row>
    <row r="406" spans="1:3" x14ac:dyDescent="0.3">
      <c r="A406" s="21"/>
      <c r="B406" s="22"/>
      <c r="C406" s="22"/>
    </row>
    <row r="407" spans="1:3" x14ac:dyDescent="0.3">
      <c r="A407" s="21"/>
      <c r="B407" s="22"/>
      <c r="C407" s="22"/>
    </row>
    <row r="408" spans="1:3" x14ac:dyDescent="0.3">
      <c r="A408" s="21"/>
      <c r="B408" s="22"/>
      <c r="C408" s="22"/>
    </row>
    <row r="409" spans="1:3" x14ac:dyDescent="0.3">
      <c r="A409" s="21"/>
      <c r="B409" s="22"/>
      <c r="C409" s="22"/>
    </row>
    <row r="410" spans="1:3" x14ac:dyDescent="0.3">
      <c r="A410" s="21"/>
      <c r="B410" s="22"/>
      <c r="C410" s="22"/>
    </row>
    <row r="411" spans="1:3" x14ac:dyDescent="0.3">
      <c r="A411" s="21"/>
      <c r="B411" s="22"/>
      <c r="C411" s="22"/>
    </row>
    <row r="412" spans="1:3" x14ac:dyDescent="0.3">
      <c r="A412" s="21"/>
      <c r="B412" s="22"/>
      <c r="C412" s="22"/>
    </row>
    <row r="413" spans="1:3" x14ac:dyDescent="0.3">
      <c r="A413" s="21"/>
      <c r="B413" s="22"/>
      <c r="C413" s="22"/>
    </row>
    <row r="414" spans="1:3" x14ac:dyDescent="0.3">
      <c r="A414" s="21"/>
      <c r="B414" s="22"/>
      <c r="C414" s="22"/>
    </row>
    <row r="415" spans="1:3" x14ac:dyDescent="0.3">
      <c r="A415" s="21"/>
      <c r="B415" s="22"/>
      <c r="C415" s="22"/>
    </row>
    <row r="416" spans="1:3" x14ac:dyDescent="0.3">
      <c r="A416" s="21"/>
      <c r="B416" s="22"/>
      <c r="C416" s="22"/>
    </row>
    <row r="417" spans="1:3" x14ac:dyDescent="0.3">
      <c r="A417" s="21"/>
      <c r="B417" s="22"/>
      <c r="C417" s="22"/>
    </row>
    <row r="418" spans="1:3" x14ac:dyDescent="0.3">
      <c r="A418" s="21"/>
      <c r="B418" s="22"/>
      <c r="C418" s="22"/>
    </row>
    <row r="419" spans="1:3" x14ac:dyDescent="0.3">
      <c r="A419" s="21"/>
      <c r="B419" s="22"/>
      <c r="C419" s="22"/>
    </row>
    <row r="420" spans="1:3" x14ac:dyDescent="0.3">
      <c r="A420" s="21"/>
      <c r="B420" s="22"/>
      <c r="C420" s="22"/>
    </row>
    <row r="421" spans="1:3" x14ac:dyDescent="0.3">
      <c r="A421" s="21"/>
      <c r="B421" s="22"/>
      <c r="C421" s="22"/>
    </row>
    <row r="422" spans="1:3" x14ac:dyDescent="0.3">
      <c r="A422" s="21"/>
      <c r="B422" s="22"/>
      <c r="C422" s="22"/>
    </row>
    <row r="423" spans="1:3" x14ac:dyDescent="0.3">
      <c r="A423" s="21"/>
      <c r="B423" s="22"/>
      <c r="C423" s="22"/>
    </row>
    <row r="424" spans="1:3" x14ac:dyDescent="0.3">
      <c r="A424" s="21"/>
      <c r="B424" s="22"/>
      <c r="C424" s="22"/>
    </row>
    <row r="425" spans="1:3" x14ac:dyDescent="0.3">
      <c r="A425" s="21"/>
      <c r="B425" s="22"/>
      <c r="C425" s="22"/>
    </row>
    <row r="426" spans="1:3" x14ac:dyDescent="0.3">
      <c r="A426" s="21"/>
      <c r="B426" s="22"/>
      <c r="C426" s="22"/>
    </row>
    <row r="427" spans="1:3" x14ac:dyDescent="0.3">
      <c r="A427" s="21"/>
      <c r="B427" s="22"/>
      <c r="C427" s="22"/>
    </row>
    <row r="428" spans="1:3" x14ac:dyDescent="0.3">
      <c r="A428" s="21"/>
      <c r="B428" s="22"/>
      <c r="C428" s="22"/>
    </row>
    <row r="429" spans="1:3" x14ac:dyDescent="0.3">
      <c r="A429" s="21"/>
      <c r="B429" s="22"/>
      <c r="C429" s="22"/>
    </row>
    <row r="430" spans="1:3" x14ac:dyDescent="0.3">
      <c r="A430" s="21"/>
      <c r="B430" s="22"/>
      <c r="C430" s="22"/>
    </row>
    <row r="431" spans="1:3" x14ac:dyDescent="0.3">
      <c r="A431" s="21"/>
      <c r="B431" s="22"/>
      <c r="C431" s="22"/>
    </row>
    <row r="432" spans="1:3" x14ac:dyDescent="0.3">
      <c r="A432" s="21"/>
      <c r="B432" s="22"/>
      <c r="C432" s="22"/>
    </row>
    <row r="433" spans="1:3" x14ac:dyDescent="0.3">
      <c r="A433" s="21"/>
      <c r="B433" s="22"/>
      <c r="C433" s="22"/>
    </row>
    <row r="434" spans="1:3" x14ac:dyDescent="0.3">
      <c r="A434" s="21"/>
      <c r="B434" s="22"/>
      <c r="C434" s="22"/>
    </row>
    <row r="435" spans="1:3" x14ac:dyDescent="0.3">
      <c r="A435" s="21"/>
      <c r="B435" s="22"/>
      <c r="C435" s="22"/>
    </row>
    <row r="436" spans="1:3" x14ac:dyDescent="0.3">
      <c r="A436" s="21"/>
      <c r="B436" s="22"/>
      <c r="C436" s="22"/>
    </row>
    <row r="437" spans="1:3" x14ac:dyDescent="0.3">
      <c r="A437" s="21"/>
      <c r="B437" s="22"/>
      <c r="C437" s="22"/>
    </row>
    <row r="438" spans="1:3" x14ac:dyDescent="0.3">
      <c r="A438" s="21"/>
      <c r="B438" s="22"/>
      <c r="C438" s="22"/>
    </row>
    <row r="439" spans="1:3" x14ac:dyDescent="0.3">
      <c r="A439" s="21"/>
      <c r="B439" s="22"/>
      <c r="C439" s="22"/>
    </row>
    <row r="440" spans="1:3" x14ac:dyDescent="0.3">
      <c r="A440" s="21"/>
      <c r="B440" s="22"/>
      <c r="C440" s="22"/>
    </row>
    <row r="441" spans="1:3" x14ac:dyDescent="0.3">
      <c r="A441" s="21"/>
      <c r="B441" s="22"/>
      <c r="C441" s="22"/>
    </row>
    <row r="442" spans="1:3" x14ac:dyDescent="0.3">
      <c r="A442" s="21"/>
      <c r="B442" s="22"/>
      <c r="C442" s="22"/>
    </row>
    <row r="443" spans="1:3" x14ac:dyDescent="0.3">
      <c r="A443" s="21"/>
      <c r="B443" s="22"/>
      <c r="C443" s="22"/>
    </row>
    <row r="444" spans="1:3" x14ac:dyDescent="0.3">
      <c r="A444" s="21"/>
      <c r="B444" s="22"/>
      <c r="C444" s="22"/>
    </row>
    <row r="445" spans="1:3" x14ac:dyDescent="0.3">
      <c r="A445" s="21"/>
      <c r="B445" s="22"/>
      <c r="C445" s="22"/>
    </row>
    <row r="446" spans="1:3" x14ac:dyDescent="0.3">
      <c r="A446" s="21"/>
      <c r="B446" s="22"/>
      <c r="C446" s="22"/>
    </row>
    <row r="447" spans="1:3" x14ac:dyDescent="0.3">
      <c r="A447" s="21"/>
      <c r="B447" s="22"/>
      <c r="C447" s="22"/>
    </row>
    <row r="448" spans="1:3" x14ac:dyDescent="0.3">
      <c r="A448" s="21"/>
      <c r="B448" s="22"/>
      <c r="C448" s="22"/>
    </row>
    <row r="449" spans="1:3" x14ac:dyDescent="0.3">
      <c r="A449" s="21"/>
      <c r="B449" s="22"/>
      <c r="C449" s="22"/>
    </row>
    <row r="450" spans="1:3" x14ac:dyDescent="0.3">
      <c r="A450" s="21"/>
      <c r="B450" s="22"/>
      <c r="C450" s="22"/>
    </row>
    <row r="451" spans="1:3" x14ac:dyDescent="0.3">
      <c r="A451" s="21"/>
      <c r="B451" s="22"/>
      <c r="C451" s="22"/>
    </row>
    <row r="452" spans="1:3" x14ac:dyDescent="0.3">
      <c r="A452" s="21"/>
      <c r="B452" s="22"/>
      <c r="C452" s="22"/>
    </row>
    <row r="453" spans="1:3" x14ac:dyDescent="0.3">
      <c r="A453" s="21"/>
      <c r="B453" s="22"/>
      <c r="C453" s="22"/>
    </row>
    <row r="454" spans="1:3" x14ac:dyDescent="0.3">
      <c r="A454" s="21"/>
      <c r="B454" s="22"/>
      <c r="C454" s="22"/>
    </row>
    <row r="455" spans="1:3" x14ac:dyDescent="0.3">
      <c r="A455" s="21"/>
      <c r="B455" s="22"/>
      <c r="C455" s="22"/>
    </row>
    <row r="456" spans="1:3" x14ac:dyDescent="0.3">
      <c r="A456" s="21"/>
      <c r="B456" s="22"/>
      <c r="C456" s="22"/>
    </row>
    <row r="457" spans="1:3" x14ac:dyDescent="0.3">
      <c r="A457" s="21"/>
      <c r="B457" s="22"/>
      <c r="C457" s="22"/>
    </row>
    <row r="458" spans="1:3" x14ac:dyDescent="0.3">
      <c r="A458" s="21"/>
      <c r="B458" s="22"/>
      <c r="C458" s="22"/>
    </row>
    <row r="459" spans="1:3" x14ac:dyDescent="0.3">
      <c r="A459" s="21"/>
      <c r="B459" s="22"/>
      <c r="C459" s="22"/>
    </row>
    <row r="460" spans="1:3" x14ac:dyDescent="0.3">
      <c r="A460" s="21"/>
      <c r="B460" s="22"/>
      <c r="C460" s="22"/>
    </row>
    <row r="461" spans="1:3" x14ac:dyDescent="0.3">
      <c r="A461" s="21"/>
      <c r="B461" s="22"/>
      <c r="C461" s="22"/>
    </row>
    <row r="462" spans="1:3" x14ac:dyDescent="0.3">
      <c r="A462" s="21"/>
      <c r="B462" s="22"/>
      <c r="C462" s="22"/>
    </row>
    <row r="463" spans="1:3" x14ac:dyDescent="0.3">
      <c r="A463" s="21"/>
      <c r="B463" s="22"/>
      <c r="C463" s="22"/>
    </row>
    <row r="464" spans="1:3" x14ac:dyDescent="0.3">
      <c r="A464" s="21"/>
      <c r="B464" s="22"/>
      <c r="C464" s="22"/>
    </row>
    <row r="465" spans="1:3" x14ac:dyDescent="0.3">
      <c r="A465" s="21"/>
      <c r="B465" s="22"/>
      <c r="C465" s="22"/>
    </row>
    <row r="466" spans="1:3" x14ac:dyDescent="0.3">
      <c r="A466" s="21"/>
      <c r="B466" s="22"/>
      <c r="C466" s="22"/>
    </row>
    <row r="467" spans="1:3" x14ac:dyDescent="0.3">
      <c r="A467" s="21"/>
      <c r="B467" s="22"/>
      <c r="C467" s="22"/>
    </row>
    <row r="468" spans="1:3" x14ac:dyDescent="0.3">
      <c r="A468" s="21"/>
      <c r="B468" s="22"/>
      <c r="C468" s="22"/>
    </row>
    <row r="469" spans="1:3" x14ac:dyDescent="0.3">
      <c r="A469" s="21"/>
      <c r="B469" s="22"/>
      <c r="C469" s="22"/>
    </row>
    <row r="470" spans="1:3" x14ac:dyDescent="0.3">
      <c r="A470" s="21"/>
      <c r="B470" s="22"/>
      <c r="C470" s="22"/>
    </row>
    <row r="471" spans="1:3" x14ac:dyDescent="0.3">
      <c r="A471" s="21"/>
      <c r="B471" s="22"/>
      <c r="C471" s="22"/>
    </row>
    <row r="472" spans="1:3" x14ac:dyDescent="0.3">
      <c r="A472" s="21"/>
      <c r="B472" s="22"/>
      <c r="C472" s="22"/>
    </row>
    <row r="473" spans="1:3" x14ac:dyDescent="0.3">
      <c r="A473" s="21"/>
      <c r="B473" s="22"/>
      <c r="C473" s="22"/>
    </row>
    <row r="474" spans="1:3" x14ac:dyDescent="0.3">
      <c r="A474" s="21"/>
      <c r="B474" s="22"/>
      <c r="C474" s="22"/>
    </row>
    <row r="475" spans="1:3" x14ac:dyDescent="0.3">
      <c r="A475" s="21"/>
      <c r="B475" s="22"/>
      <c r="C475" s="22"/>
    </row>
    <row r="476" spans="1:3" x14ac:dyDescent="0.3">
      <c r="A476" s="21"/>
      <c r="B476" s="22"/>
      <c r="C476" s="22"/>
    </row>
    <row r="477" spans="1:3" x14ac:dyDescent="0.3">
      <c r="A477" s="21"/>
      <c r="B477" s="22"/>
      <c r="C477" s="22"/>
    </row>
    <row r="478" spans="1:3" x14ac:dyDescent="0.3">
      <c r="A478" s="21"/>
      <c r="B478" s="22"/>
      <c r="C478" s="22"/>
    </row>
    <row r="479" spans="1:3" x14ac:dyDescent="0.3">
      <c r="A479" s="21"/>
      <c r="B479" s="22"/>
      <c r="C479" s="22"/>
    </row>
    <row r="480" spans="1:3" x14ac:dyDescent="0.3">
      <c r="A480" s="21"/>
      <c r="B480" s="22"/>
      <c r="C480" s="22"/>
    </row>
    <row r="481" spans="1:3" x14ac:dyDescent="0.3">
      <c r="A481" s="21"/>
      <c r="B481" s="22"/>
      <c r="C481" s="22"/>
    </row>
    <row r="482" spans="1:3" x14ac:dyDescent="0.3">
      <c r="A482" s="21"/>
      <c r="B482" s="22"/>
      <c r="C482" s="22"/>
    </row>
    <row r="483" spans="1:3" x14ac:dyDescent="0.3">
      <c r="A483" s="21"/>
      <c r="B483" s="22"/>
      <c r="C483" s="22"/>
    </row>
    <row r="484" spans="1:3" x14ac:dyDescent="0.3">
      <c r="A484" s="21"/>
      <c r="B484" s="22"/>
      <c r="C484" s="22"/>
    </row>
    <row r="485" spans="1:3" x14ac:dyDescent="0.3">
      <c r="A485" s="21"/>
      <c r="B485" s="22"/>
      <c r="C485" s="22"/>
    </row>
    <row r="486" spans="1:3" x14ac:dyDescent="0.3">
      <c r="A486" s="21"/>
      <c r="B486" s="22"/>
      <c r="C486" s="22"/>
    </row>
    <row r="487" spans="1:3" x14ac:dyDescent="0.3">
      <c r="A487" s="21"/>
      <c r="B487" s="22"/>
      <c r="C487" s="22"/>
    </row>
    <row r="488" spans="1:3" x14ac:dyDescent="0.3">
      <c r="A488" s="21"/>
      <c r="B488" s="22"/>
      <c r="C488" s="22"/>
    </row>
    <row r="489" spans="1:3" x14ac:dyDescent="0.3">
      <c r="A489" s="21"/>
      <c r="B489" s="22"/>
      <c r="C489" s="22"/>
    </row>
    <row r="490" spans="1:3" x14ac:dyDescent="0.3">
      <c r="A490" s="21"/>
      <c r="B490" s="22"/>
      <c r="C490" s="22"/>
    </row>
    <row r="491" spans="1:3" x14ac:dyDescent="0.3">
      <c r="A491" s="21"/>
      <c r="B491" s="22"/>
      <c r="C491" s="22"/>
    </row>
    <row r="492" spans="1:3" x14ac:dyDescent="0.3">
      <c r="A492" s="21"/>
      <c r="B492" s="22"/>
      <c r="C492" s="22"/>
    </row>
    <row r="493" spans="1:3" x14ac:dyDescent="0.3">
      <c r="A493" s="21"/>
      <c r="B493" s="22"/>
      <c r="C493" s="22"/>
    </row>
    <row r="494" spans="1:3" x14ac:dyDescent="0.3">
      <c r="A494" s="21"/>
      <c r="B494" s="22"/>
      <c r="C494" s="22"/>
    </row>
    <row r="495" spans="1:3" x14ac:dyDescent="0.3">
      <c r="A495" s="21"/>
      <c r="B495" s="22"/>
      <c r="C495" s="22"/>
    </row>
    <row r="496" spans="1:3" x14ac:dyDescent="0.3">
      <c r="A496" s="21"/>
      <c r="B496" s="22"/>
      <c r="C496" s="22"/>
    </row>
    <row r="497" spans="1:3" x14ac:dyDescent="0.3">
      <c r="A497" s="21"/>
      <c r="B497" s="22"/>
      <c r="C497" s="22"/>
    </row>
    <row r="498" spans="1:3" x14ac:dyDescent="0.3">
      <c r="A498" s="21"/>
      <c r="B498" s="22"/>
      <c r="C498" s="22"/>
    </row>
    <row r="499" spans="1:3" x14ac:dyDescent="0.3">
      <c r="A499" s="21"/>
      <c r="B499" s="22"/>
      <c r="C499" s="22"/>
    </row>
    <row r="500" spans="1:3" x14ac:dyDescent="0.3">
      <c r="A500" s="21"/>
      <c r="B500" s="22"/>
      <c r="C500" s="22"/>
    </row>
    <row r="501" spans="1:3" x14ac:dyDescent="0.3">
      <c r="A501" s="21"/>
      <c r="B501" s="22"/>
      <c r="C501" s="22"/>
    </row>
    <row r="502" spans="1:3" x14ac:dyDescent="0.3">
      <c r="A502" s="21"/>
      <c r="B502" s="22"/>
      <c r="C502" s="22"/>
    </row>
    <row r="503" spans="1:3" x14ac:dyDescent="0.3">
      <c r="A503" s="21"/>
      <c r="B503" s="22"/>
      <c r="C503" s="22"/>
    </row>
    <row r="504" spans="1:3" x14ac:dyDescent="0.3">
      <c r="A504" s="21"/>
      <c r="B504" s="22"/>
      <c r="C504" s="22"/>
    </row>
    <row r="505" spans="1:3" x14ac:dyDescent="0.3">
      <c r="A505" s="21"/>
      <c r="B505" s="22"/>
      <c r="C505" s="22"/>
    </row>
    <row r="506" spans="1:3" x14ac:dyDescent="0.3">
      <c r="A506" s="21"/>
      <c r="B506" s="22"/>
      <c r="C506" s="22"/>
    </row>
    <row r="507" spans="1:3" x14ac:dyDescent="0.3">
      <c r="A507" s="21"/>
      <c r="B507" s="22"/>
      <c r="C507" s="22"/>
    </row>
    <row r="508" spans="1:3" x14ac:dyDescent="0.3">
      <c r="A508" s="21"/>
      <c r="B508" s="22"/>
      <c r="C508" s="22"/>
    </row>
    <row r="509" spans="1:3" x14ac:dyDescent="0.3">
      <c r="A509" s="21"/>
      <c r="B509" s="22"/>
      <c r="C509" s="22"/>
    </row>
    <row r="510" spans="1:3" x14ac:dyDescent="0.3">
      <c r="A510" s="21"/>
      <c r="B510" s="22"/>
      <c r="C510" s="22"/>
    </row>
    <row r="511" spans="1:3" x14ac:dyDescent="0.3">
      <c r="A511" s="21"/>
      <c r="B511" s="22"/>
      <c r="C511" s="22"/>
    </row>
    <row r="512" spans="1:3" x14ac:dyDescent="0.3">
      <c r="A512" s="21"/>
      <c r="B512" s="22"/>
      <c r="C512" s="22"/>
    </row>
    <row r="513" spans="1:3" x14ac:dyDescent="0.3">
      <c r="A513" s="21"/>
      <c r="B513" s="22"/>
      <c r="C513" s="22"/>
    </row>
    <row r="514" spans="1:3" x14ac:dyDescent="0.3">
      <c r="A514" s="21"/>
      <c r="B514" s="22"/>
      <c r="C514" s="22"/>
    </row>
    <row r="515" spans="1:3" x14ac:dyDescent="0.3">
      <c r="A515" s="21"/>
      <c r="B515" s="22"/>
      <c r="C515" s="22"/>
    </row>
    <row r="516" spans="1:3" x14ac:dyDescent="0.3">
      <c r="A516" s="21"/>
      <c r="B516" s="22"/>
      <c r="C516" s="22"/>
    </row>
    <row r="517" spans="1:3" x14ac:dyDescent="0.3">
      <c r="A517" s="21"/>
      <c r="B517" s="22"/>
      <c r="C517" s="22"/>
    </row>
    <row r="518" spans="1:3" x14ac:dyDescent="0.3">
      <c r="A518" s="21"/>
      <c r="B518" s="22"/>
      <c r="C518" s="22"/>
    </row>
    <row r="519" spans="1:3" x14ac:dyDescent="0.3">
      <c r="A519" s="21"/>
      <c r="B519" s="22"/>
      <c r="C519" s="22"/>
    </row>
    <row r="520" spans="1:3" x14ac:dyDescent="0.3">
      <c r="A520" s="21"/>
      <c r="B520" s="22"/>
      <c r="C520" s="22"/>
    </row>
    <row r="521" spans="1:3" x14ac:dyDescent="0.3">
      <c r="A521" s="21"/>
      <c r="B521" s="22"/>
      <c r="C521" s="22"/>
    </row>
    <row r="522" spans="1:3" x14ac:dyDescent="0.3">
      <c r="A522" s="21"/>
      <c r="B522" s="22"/>
      <c r="C522" s="22"/>
    </row>
    <row r="523" spans="1:3" x14ac:dyDescent="0.3">
      <c r="A523" s="21"/>
      <c r="B523" s="22"/>
      <c r="C523" s="22"/>
    </row>
    <row r="524" spans="1:3" x14ac:dyDescent="0.3">
      <c r="A524" s="21"/>
      <c r="B524" s="22"/>
      <c r="C524" s="22"/>
    </row>
    <row r="525" spans="1:3" x14ac:dyDescent="0.3">
      <c r="A525" s="21"/>
      <c r="B525" s="22"/>
      <c r="C525" s="22"/>
    </row>
    <row r="526" spans="1:3" x14ac:dyDescent="0.3">
      <c r="A526" s="21"/>
      <c r="B526" s="22"/>
      <c r="C526" s="22"/>
    </row>
    <row r="527" spans="1:3" x14ac:dyDescent="0.3">
      <c r="A527" s="21"/>
      <c r="B527" s="22"/>
      <c r="C527" s="22"/>
    </row>
    <row r="528" spans="1:3" x14ac:dyDescent="0.3">
      <c r="A528" s="21"/>
      <c r="B528" s="22"/>
      <c r="C528" s="22"/>
    </row>
    <row r="529" spans="1:3" x14ac:dyDescent="0.3">
      <c r="A529" s="21"/>
      <c r="B529" s="22"/>
      <c r="C529" s="22"/>
    </row>
    <row r="530" spans="1:3" x14ac:dyDescent="0.3">
      <c r="A530" s="21"/>
      <c r="B530" s="22"/>
      <c r="C530" s="22"/>
    </row>
    <row r="531" spans="1:3" x14ac:dyDescent="0.3">
      <c r="A531" s="21"/>
      <c r="B531" s="22"/>
      <c r="C531" s="22"/>
    </row>
    <row r="532" spans="1:3" x14ac:dyDescent="0.3">
      <c r="A532" s="21"/>
      <c r="B532" s="22"/>
      <c r="C532" s="22"/>
    </row>
    <row r="533" spans="1:3" x14ac:dyDescent="0.3">
      <c r="A533" s="21"/>
      <c r="B533" s="22"/>
      <c r="C533" s="22"/>
    </row>
    <row r="534" spans="1:3" x14ac:dyDescent="0.3">
      <c r="A534" s="21"/>
      <c r="B534" s="22"/>
      <c r="C534" s="22"/>
    </row>
    <row r="535" spans="1:3" x14ac:dyDescent="0.3">
      <c r="A535" s="21"/>
      <c r="B535" s="22"/>
      <c r="C535" s="22"/>
    </row>
    <row r="536" spans="1:3" x14ac:dyDescent="0.3">
      <c r="A536" s="21"/>
      <c r="B536" s="22"/>
      <c r="C536" s="22"/>
    </row>
    <row r="537" spans="1:3" x14ac:dyDescent="0.3">
      <c r="A537" s="21"/>
      <c r="B537" s="22"/>
      <c r="C537" s="22"/>
    </row>
    <row r="538" spans="1:3" x14ac:dyDescent="0.3">
      <c r="A538" s="21"/>
      <c r="B538" s="22"/>
      <c r="C538" s="22"/>
    </row>
    <row r="539" spans="1:3" x14ac:dyDescent="0.3">
      <c r="A539" s="21"/>
      <c r="B539" s="22"/>
      <c r="C539" s="22"/>
    </row>
    <row r="540" spans="1:3" x14ac:dyDescent="0.3">
      <c r="A540" s="21"/>
      <c r="B540" s="22"/>
      <c r="C540" s="22"/>
    </row>
    <row r="541" spans="1:3" x14ac:dyDescent="0.3">
      <c r="A541" s="21"/>
      <c r="B541" s="22"/>
      <c r="C541" s="22"/>
    </row>
    <row r="542" spans="1:3" x14ac:dyDescent="0.3">
      <c r="A542" s="21"/>
      <c r="B542" s="22"/>
      <c r="C542" s="22"/>
    </row>
    <row r="543" spans="1:3" x14ac:dyDescent="0.3">
      <c r="A543" s="21"/>
      <c r="B543" s="22"/>
      <c r="C543" s="22"/>
    </row>
    <row r="544" spans="1:3" x14ac:dyDescent="0.3">
      <c r="A544" s="21"/>
      <c r="B544" s="22"/>
      <c r="C544" s="22"/>
    </row>
    <row r="545" spans="1:3" x14ac:dyDescent="0.3">
      <c r="A545" s="21"/>
      <c r="B545" s="22"/>
      <c r="C545" s="22"/>
    </row>
    <row r="546" spans="1:3" x14ac:dyDescent="0.3">
      <c r="A546" s="21"/>
      <c r="B546" s="22"/>
      <c r="C546" s="22"/>
    </row>
    <row r="547" spans="1:3" x14ac:dyDescent="0.3">
      <c r="A547" s="21"/>
      <c r="B547" s="22"/>
      <c r="C547" s="22"/>
    </row>
    <row r="548" spans="1:3" x14ac:dyDescent="0.3">
      <c r="A548" s="21"/>
      <c r="B548" s="22"/>
      <c r="C548" s="22"/>
    </row>
    <row r="549" spans="1:3" x14ac:dyDescent="0.3">
      <c r="A549" s="21"/>
      <c r="B549" s="22"/>
      <c r="C549" s="22"/>
    </row>
    <row r="550" spans="1:3" x14ac:dyDescent="0.3">
      <c r="A550" s="21"/>
      <c r="B550" s="22"/>
      <c r="C550" s="22"/>
    </row>
    <row r="551" spans="1:3" x14ac:dyDescent="0.3">
      <c r="A551" s="21"/>
      <c r="B551" s="22"/>
      <c r="C551" s="22"/>
    </row>
    <row r="552" spans="1:3" x14ac:dyDescent="0.3">
      <c r="A552" s="21"/>
      <c r="B552" s="22"/>
      <c r="C552" s="22"/>
    </row>
    <row r="553" spans="1:3" x14ac:dyDescent="0.3">
      <c r="A553" s="21"/>
      <c r="B553" s="22"/>
      <c r="C553" s="22"/>
    </row>
    <row r="554" spans="1:3" x14ac:dyDescent="0.3">
      <c r="A554" s="21"/>
      <c r="B554" s="22"/>
      <c r="C554" s="22"/>
    </row>
    <row r="555" spans="1:3" x14ac:dyDescent="0.3">
      <c r="A555" s="21"/>
      <c r="B555" s="22"/>
      <c r="C555" s="22"/>
    </row>
    <row r="556" spans="1:3" x14ac:dyDescent="0.3">
      <c r="A556" s="21"/>
      <c r="B556" s="22"/>
      <c r="C556" s="22"/>
    </row>
    <row r="557" spans="1:3" x14ac:dyDescent="0.3">
      <c r="A557" s="21"/>
      <c r="B557" s="22"/>
      <c r="C557" s="22"/>
    </row>
    <row r="558" spans="1:3" x14ac:dyDescent="0.3">
      <c r="A558" s="21"/>
      <c r="B558" s="22"/>
      <c r="C558" s="22"/>
    </row>
    <row r="559" spans="1:3" x14ac:dyDescent="0.3">
      <c r="A559" s="21"/>
      <c r="B559" s="22"/>
      <c r="C559" s="22"/>
    </row>
    <row r="560" spans="1:3" x14ac:dyDescent="0.3">
      <c r="A560" s="21"/>
      <c r="B560" s="22"/>
      <c r="C560" s="22"/>
    </row>
    <row r="561" spans="1:3" x14ac:dyDescent="0.3">
      <c r="A561" s="21"/>
      <c r="B561" s="22"/>
      <c r="C561" s="22"/>
    </row>
    <row r="562" spans="1:3" x14ac:dyDescent="0.3">
      <c r="A562" s="21"/>
      <c r="B562" s="22"/>
      <c r="C562" s="22"/>
    </row>
    <row r="563" spans="1:3" x14ac:dyDescent="0.3">
      <c r="A563" s="21"/>
      <c r="B563" s="22"/>
      <c r="C563" s="22"/>
    </row>
    <row r="564" spans="1:3" x14ac:dyDescent="0.3">
      <c r="A564" s="21"/>
      <c r="B564" s="22"/>
      <c r="C564" s="22"/>
    </row>
    <row r="565" spans="1:3" x14ac:dyDescent="0.3">
      <c r="A565" s="21"/>
      <c r="B565" s="22"/>
      <c r="C565" s="22"/>
    </row>
    <row r="566" spans="1:3" x14ac:dyDescent="0.3">
      <c r="A566" s="21"/>
      <c r="B566" s="22"/>
      <c r="C566" s="22"/>
    </row>
    <row r="567" spans="1:3" x14ac:dyDescent="0.3">
      <c r="A567" s="21"/>
      <c r="B567" s="22"/>
      <c r="C567" s="22"/>
    </row>
    <row r="568" spans="1:3" x14ac:dyDescent="0.3">
      <c r="A568" s="21"/>
      <c r="B568" s="22"/>
      <c r="C568" s="22"/>
    </row>
    <row r="569" spans="1:3" x14ac:dyDescent="0.3">
      <c r="A569" s="21"/>
      <c r="B569" s="22"/>
      <c r="C569" s="22"/>
    </row>
    <row r="570" spans="1:3" x14ac:dyDescent="0.3">
      <c r="A570" s="21"/>
      <c r="B570" s="22"/>
      <c r="C570" s="22"/>
    </row>
    <row r="571" spans="1:3" x14ac:dyDescent="0.3">
      <c r="A571" s="21"/>
      <c r="B571" s="22"/>
      <c r="C571" s="22"/>
    </row>
    <row r="572" spans="1:3" x14ac:dyDescent="0.3">
      <c r="A572" s="21"/>
      <c r="B572" s="22"/>
      <c r="C572" s="22"/>
    </row>
    <row r="573" spans="1:3" x14ac:dyDescent="0.3">
      <c r="A573" s="21"/>
      <c r="B573" s="22"/>
      <c r="C573" s="22"/>
    </row>
    <row r="574" spans="1:3" x14ac:dyDescent="0.3">
      <c r="A574" s="21"/>
      <c r="B574" s="22"/>
      <c r="C574" s="22"/>
    </row>
    <row r="575" spans="1:3" x14ac:dyDescent="0.3">
      <c r="A575" s="21"/>
      <c r="B575" s="22"/>
      <c r="C575" s="22"/>
    </row>
    <row r="576" spans="1:3" x14ac:dyDescent="0.3">
      <c r="A576" s="21"/>
      <c r="B576" s="22"/>
      <c r="C576" s="22"/>
    </row>
    <row r="577" spans="1:3" x14ac:dyDescent="0.3">
      <c r="A577" s="21"/>
      <c r="B577" s="22"/>
      <c r="C577" s="22"/>
    </row>
    <row r="578" spans="1:3" x14ac:dyDescent="0.3">
      <c r="A578" s="21"/>
      <c r="B578" s="22"/>
      <c r="C578" s="22"/>
    </row>
    <row r="579" spans="1:3" x14ac:dyDescent="0.3">
      <c r="A579" s="21"/>
      <c r="B579" s="22"/>
      <c r="C579" s="22"/>
    </row>
    <row r="580" spans="1:3" x14ac:dyDescent="0.3">
      <c r="A580" s="21"/>
      <c r="B580" s="22"/>
      <c r="C580" s="22"/>
    </row>
    <row r="581" spans="1:3" x14ac:dyDescent="0.3">
      <c r="A581" s="21"/>
      <c r="B581" s="22"/>
      <c r="C581" s="22"/>
    </row>
    <row r="582" spans="1:3" x14ac:dyDescent="0.3">
      <c r="A582" s="21"/>
      <c r="B582" s="22"/>
      <c r="C582" s="22"/>
    </row>
    <row r="583" spans="1:3" x14ac:dyDescent="0.3">
      <c r="A583" s="21"/>
      <c r="B583" s="22"/>
      <c r="C583" s="22"/>
    </row>
    <row r="584" spans="1:3" x14ac:dyDescent="0.3">
      <c r="A584" s="21"/>
      <c r="B584" s="22"/>
      <c r="C584" s="22"/>
    </row>
    <row r="585" spans="1:3" x14ac:dyDescent="0.3">
      <c r="A585" s="21"/>
      <c r="B585" s="22"/>
      <c r="C585" s="22"/>
    </row>
    <row r="586" spans="1:3" x14ac:dyDescent="0.3">
      <c r="A586" s="21"/>
      <c r="B586" s="22"/>
      <c r="C586" s="22"/>
    </row>
    <row r="587" spans="1:3" x14ac:dyDescent="0.3">
      <c r="A587" s="21"/>
      <c r="B587" s="22"/>
      <c r="C587" s="22"/>
    </row>
    <row r="588" spans="1:3" x14ac:dyDescent="0.3">
      <c r="A588" s="21"/>
      <c r="B588" s="22"/>
      <c r="C588" s="22"/>
    </row>
    <row r="589" spans="1:3" x14ac:dyDescent="0.3">
      <c r="A589" s="21"/>
      <c r="B589" s="22"/>
      <c r="C589" s="22"/>
    </row>
    <row r="590" spans="1:3" x14ac:dyDescent="0.3">
      <c r="A590" s="21"/>
      <c r="B590" s="22"/>
      <c r="C590" s="22"/>
    </row>
    <row r="591" spans="1:3" x14ac:dyDescent="0.3">
      <c r="A591" s="21"/>
      <c r="B591" s="22"/>
      <c r="C591" s="22"/>
    </row>
    <row r="592" spans="1:3" x14ac:dyDescent="0.3">
      <c r="A592" s="21"/>
      <c r="B592" s="22"/>
      <c r="C592" s="22"/>
    </row>
    <row r="593" spans="1:3" x14ac:dyDescent="0.3">
      <c r="A593" s="21"/>
      <c r="B593" s="22"/>
      <c r="C593" s="22"/>
    </row>
    <row r="594" spans="1:3" x14ac:dyDescent="0.3">
      <c r="A594" s="21"/>
      <c r="B594" s="22"/>
      <c r="C594" s="22"/>
    </row>
    <row r="595" spans="1:3" x14ac:dyDescent="0.3">
      <c r="A595" s="21"/>
      <c r="B595" s="22"/>
      <c r="C595" s="22"/>
    </row>
    <row r="596" spans="1:3" x14ac:dyDescent="0.3">
      <c r="A596" s="21"/>
      <c r="B596" s="22"/>
      <c r="C596" s="22"/>
    </row>
    <row r="597" spans="1:3" x14ac:dyDescent="0.3">
      <c r="A597" s="21"/>
      <c r="B597" s="22"/>
      <c r="C597" s="22"/>
    </row>
    <row r="598" spans="1:3" x14ac:dyDescent="0.3">
      <c r="A598" s="21"/>
      <c r="B598" s="22"/>
      <c r="C598" s="22"/>
    </row>
    <row r="599" spans="1:3" x14ac:dyDescent="0.3">
      <c r="A599" s="21"/>
      <c r="B599" s="22"/>
      <c r="C599" s="22"/>
    </row>
    <row r="600" spans="1:3" x14ac:dyDescent="0.3">
      <c r="A600" s="21"/>
      <c r="B600" s="22"/>
      <c r="C600" s="22"/>
    </row>
    <row r="601" spans="1:3" x14ac:dyDescent="0.3">
      <c r="A601" s="21"/>
      <c r="B601" s="22"/>
      <c r="C601" s="22"/>
    </row>
    <row r="602" spans="1:3" x14ac:dyDescent="0.3">
      <c r="A602" s="21"/>
      <c r="B602" s="22"/>
      <c r="C602" s="22"/>
    </row>
    <row r="603" spans="1:3" x14ac:dyDescent="0.3">
      <c r="A603" s="21"/>
      <c r="B603" s="22"/>
      <c r="C603" s="22"/>
    </row>
    <row r="604" spans="1:3" x14ac:dyDescent="0.3">
      <c r="A604" s="21"/>
      <c r="B604" s="22"/>
      <c r="C604" s="22"/>
    </row>
    <row r="605" spans="1:3" x14ac:dyDescent="0.3">
      <c r="A605" s="21"/>
      <c r="B605" s="22"/>
      <c r="C605" s="22"/>
    </row>
    <row r="606" spans="1:3" x14ac:dyDescent="0.3">
      <c r="A606" s="21"/>
      <c r="B606" s="22"/>
      <c r="C606" s="22"/>
    </row>
    <row r="607" spans="1:3" x14ac:dyDescent="0.3">
      <c r="A607" s="21"/>
      <c r="B607" s="22"/>
      <c r="C607" s="22"/>
    </row>
    <row r="608" spans="1:3" x14ac:dyDescent="0.3">
      <c r="A608" s="21"/>
      <c r="B608" s="22"/>
      <c r="C608" s="22"/>
    </row>
    <row r="609" spans="1:3" x14ac:dyDescent="0.3">
      <c r="A609" s="21"/>
      <c r="B609" s="22"/>
      <c r="C609" s="22"/>
    </row>
    <row r="610" spans="1:3" x14ac:dyDescent="0.3">
      <c r="A610" s="21"/>
      <c r="B610" s="22"/>
      <c r="C610" s="22"/>
    </row>
    <row r="611" spans="1:3" x14ac:dyDescent="0.3">
      <c r="A611" s="21"/>
      <c r="B611" s="22"/>
      <c r="C611" s="22"/>
    </row>
    <row r="612" spans="1:3" x14ac:dyDescent="0.3">
      <c r="A612" s="21"/>
      <c r="B612" s="22"/>
      <c r="C612" s="22"/>
    </row>
    <row r="613" spans="1:3" x14ac:dyDescent="0.3">
      <c r="A613" s="21"/>
      <c r="B613" s="22"/>
      <c r="C613" s="22"/>
    </row>
    <row r="614" spans="1:3" x14ac:dyDescent="0.3">
      <c r="A614" s="21"/>
      <c r="B614" s="22"/>
      <c r="C614" s="22"/>
    </row>
    <row r="615" spans="1:3" x14ac:dyDescent="0.3">
      <c r="A615" s="21"/>
      <c r="B615" s="22"/>
      <c r="C615" s="22"/>
    </row>
    <row r="616" spans="1:3" x14ac:dyDescent="0.3">
      <c r="A616" s="21"/>
      <c r="B616" s="22"/>
      <c r="C616" s="22"/>
    </row>
    <row r="617" spans="1:3" x14ac:dyDescent="0.3">
      <c r="A617" s="21"/>
      <c r="B617" s="22"/>
      <c r="C617" s="22"/>
    </row>
    <row r="618" spans="1:3" x14ac:dyDescent="0.3">
      <c r="A618" s="21"/>
      <c r="B618" s="22"/>
      <c r="C618" s="22"/>
    </row>
    <row r="619" spans="1:3" x14ac:dyDescent="0.3">
      <c r="A619" s="21"/>
      <c r="B619" s="22"/>
      <c r="C619" s="22"/>
    </row>
    <row r="620" spans="1:3" x14ac:dyDescent="0.3">
      <c r="A620" s="21"/>
      <c r="B620" s="22"/>
      <c r="C620" s="22"/>
    </row>
    <row r="621" spans="1:3" x14ac:dyDescent="0.3">
      <c r="A621" s="21"/>
      <c r="B621" s="22"/>
      <c r="C621" s="22"/>
    </row>
    <row r="622" spans="1:3" x14ac:dyDescent="0.3">
      <c r="A622" s="21"/>
      <c r="B622" s="22"/>
      <c r="C622" s="22"/>
    </row>
    <row r="623" spans="1:3" x14ac:dyDescent="0.3">
      <c r="A623" s="21"/>
      <c r="B623" s="22"/>
      <c r="C623" s="22"/>
    </row>
    <row r="624" spans="1:3" x14ac:dyDescent="0.3">
      <c r="A624" s="21"/>
      <c r="B624" s="22"/>
      <c r="C624" s="22"/>
    </row>
    <row r="625" spans="1:3" x14ac:dyDescent="0.3">
      <c r="A625" s="21"/>
      <c r="B625" s="22"/>
      <c r="C625" s="22"/>
    </row>
    <row r="626" spans="1:3" x14ac:dyDescent="0.3">
      <c r="A626" s="21"/>
      <c r="B626" s="22"/>
      <c r="C626" s="22"/>
    </row>
    <row r="627" spans="1:3" x14ac:dyDescent="0.3">
      <c r="A627" s="21"/>
      <c r="B627" s="22"/>
      <c r="C627" s="22"/>
    </row>
    <row r="628" spans="1:3" x14ac:dyDescent="0.3">
      <c r="A628" s="21"/>
      <c r="B628" s="22"/>
      <c r="C628" s="22"/>
    </row>
    <row r="629" spans="1:3" x14ac:dyDescent="0.3">
      <c r="A629" s="21"/>
      <c r="B629" s="22"/>
      <c r="C629" s="22"/>
    </row>
    <row r="630" spans="1:3" x14ac:dyDescent="0.3">
      <c r="A630" s="21"/>
      <c r="B630" s="22"/>
      <c r="C630" s="22"/>
    </row>
    <row r="631" spans="1:3" x14ac:dyDescent="0.3">
      <c r="A631" s="21"/>
      <c r="B631" s="22"/>
      <c r="C631" s="22"/>
    </row>
    <row r="632" spans="1:3" x14ac:dyDescent="0.3">
      <c r="A632" s="21"/>
      <c r="B632" s="22"/>
      <c r="C632" s="22"/>
    </row>
    <row r="633" spans="1:3" x14ac:dyDescent="0.3">
      <c r="A633" s="21"/>
      <c r="B633" s="22"/>
      <c r="C633" s="22"/>
    </row>
    <row r="634" spans="1:3" x14ac:dyDescent="0.3">
      <c r="A634" s="21"/>
      <c r="B634" s="22"/>
      <c r="C634" s="22"/>
    </row>
    <row r="635" spans="1:3" x14ac:dyDescent="0.3">
      <c r="A635" s="21"/>
      <c r="B635" s="22"/>
      <c r="C635" s="22"/>
    </row>
    <row r="636" spans="1:3" x14ac:dyDescent="0.3">
      <c r="A636" s="21"/>
      <c r="B636" s="22"/>
      <c r="C636" s="22"/>
    </row>
    <row r="637" spans="1:3" x14ac:dyDescent="0.3">
      <c r="A637" s="21"/>
      <c r="B637" s="22"/>
      <c r="C637" s="22"/>
    </row>
    <row r="638" spans="1:3" x14ac:dyDescent="0.3">
      <c r="A638" s="21"/>
      <c r="B638" s="22"/>
      <c r="C638" s="22"/>
    </row>
    <row r="639" spans="1:3" x14ac:dyDescent="0.3">
      <c r="A639" s="21"/>
      <c r="B639" s="22"/>
      <c r="C639" s="22"/>
    </row>
    <row r="640" spans="1:3" x14ac:dyDescent="0.3">
      <c r="A640" s="21"/>
      <c r="B640" s="22"/>
      <c r="C640" s="22"/>
    </row>
    <row r="641" spans="1:3" x14ac:dyDescent="0.3">
      <c r="A641" s="21"/>
      <c r="B641" s="22"/>
      <c r="C641" s="22"/>
    </row>
    <row r="642" spans="1:3" x14ac:dyDescent="0.3">
      <c r="A642" s="21"/>
      <c r="B642" s="22"/>
      <c r="C642" s="22"/>
    </row>
    <row r="643" spans="1:3" x14ac:dyDescent="0.3">
      <c r="A643" s="21"/>
      <c r="B643" s="22"/>
      <c r="C643" s="22"/>
    </row>
    <row r="644" spans="1:3" x14ac:dyDescent="0.3">
      <c r="A644" s="21"/>
      <c r="B644" s="22"/>
      <c r="C644" s="22"/>
    </row>
    <row r="645" spans="1:3" x14ac:dyDescent="0.3">
      <c r="A645" s="21"/>
      <c r="B645" s="22"/>
      <c r="C645" s="22"/>
    </row>
    <row r="646" spans="1:3" x14ac:dyDescent="0.3">
      <c r="A646" s="21"/>
      <c r="B646" s="22"/>
      <c r="C646" s="22"/>
    </row>
    <row r="647" spans="1:3" x14ac:dyDescent="0.3">
      <c r="A647" s="21"/>
      <c r="B647" s="22"/>
      <c r="C647" s="22"/>
    </row>
    <row r="648" spans="1:3" x14ac:dyDescent="0.3">
      <c r="A648" s="21"/>
      <c r="B648" s="22"/>
      <c r="C648" s="22"/>
    </row>
    <row r="649" spans="1:3" x14ac:dyDescent="0.3">
      <c r="A649" s="21"/>
      <c r="B649" s="22"/>
      <c r="C649" s="22"/>
    </row>
    <row r="650" spans="1:3" x14ac:dyDescent="0.3">
      <c r="A650" s="21"/>
      <c r="B650" s="22"/>
      <c r="C650" s="22"/>
    </row>
    <row r="651" spans="1:3" x14ac:dyDescent="0.3">
      <c r="A651" s="21"/>
      <c r="B651" s="22"/>
      <c r="C651" s="22"/>
    </row>
    <row r="652" spans="1:3" x14ac:dyDescent="0.3">
      <c r="A652" s="21"/>
      <c r="B652" s="22"/>
      <c r="C652" s="22"/>
    </row>
    <row r="653" spans="1:3" x14ac:dyDescent="0.3">
      <c r="A653" s="21"/>
      <c r="B653" s="22"/>
      <c r="C653" s="22"/>
    </row>
    <row r="654" spans="1:3" x14ac:dyDescent="0.3">
      <c r="A654" s="21"/>
      <c r="B654" s="22"/>
      <c r="C654" s="22"/>
    </row>
    <row r="655" spans="1:3" x14ac:dyDescent="0.3">
      <c r="A655" s="21"/>
      <c r="B655" s="22"/>
      <c r="C655" s="22"/>
    </row>
    <row r="656" spans="1:3" x14ac:dyDescent="0.3">
      <c r="A656" s="21"/>
      <c r="B656" s="22"/>
      <c r="C656" s="22"/>
    </row>
    <row r="657" spans="1:3" x14ac:dyDescent="0.3">
      <c r="A657" s="21"/>
      <c r="B657" s="22"/>
      <c r="C657" s="22"/>
    </row>
    <row r="658" spans="1:3" x14ac:dyDescent="0.3">
      <c r="A658" s="21"/>
      <c r="B658" s="22"/>
      <c r="C658" s="22"/>
    </row>
    <row r="659" spans="1:3" x14ac:dyDescent="0.3">
      <c r="A659" s="21"/>
      <c r="B659" s="22"/>
      <c r="C659" s="22"/>
    </row>
    <row r="660" spans="1:3" x14ac:dyDescent="0.3">
      <c r="A660" s="21"/>
      <c r="B660" s="22"/>
      <c r="C660" s="22"/>
    </row>
    <row r="661" spans="1:3" x14ac:dyDescent="0.3">
      <c r="A661" s="21"/>
      <c r="B661" s="22"/>
      <c r="C661" s="22"/>
    </row>
    <row r="662" spans="1:3" x14ac:dyDescent="0.3">
      <c r="A662" s="21"/>
      <c r="B662" s="22"/>
      <c r="C662" s="22"/>
    </row>
    <row r="663" spans="1:3" x14ac:dyDescent="0.3">
      <c r="A663" s="21"/>
      <c r="B663" s="22"/>
      <c r="C663" s="22"/>
    </row>
    <row r="664" spans="1:3" x14ac:dyDescent="0.3">
      <c r="A664" s="21"/>
      <c r="B664" s="22"/>
      <c r="C664" s="22"/>
    </row>
    <row r="665" spans="1:3" x14ac:dyDescent="0.3">
      <c r="A665" s="21"/>
      <c r="B665" s="22"/>
      <c r="C665" s="22"/>
    </row>
    <row r="666" spans="1:3" x14ac:dyDescent="0.3">
      <c r="A666" s="21"/>
      <c r="B666" s="22"/>
      <c r="C666" s="22"/>
    </row>
    <row r="667" spans="1:3" x14ac:dyDescent="0.3">
      <c r="A667" s="21"/>
      <c r="B667" s="22"/>
      <c r="C667" s="22"/>
    </row>
    <row r="668" spans="1:3" x14ac:dyDescent="0.3">
      <c r="A668" s="21"/>
      <c r="B668" s="22"/>
      <c r="C668" s="22"/>
    </row>
    <row r="669" spans="1:3" x14ac:dyDescent="0.3">
      <c r="A669" s="21"/>
      <c r="B669" s="22"/>
      <c r="C669" s="22"/>
    </row>
    <row r="670" spans="1:3" x14ac:dyDescent="0.3">
      <c r="A670" s="21"/>
      <c r="B670" s="22"/>
      <c r="C670" s="22"/>
    </row>
    <row r="671" spans="1:3" x14ac:dyDescent="0.3">
      <c r="A671" s="21"/>
      <c r="B671" s="22"/>
      <c r="C671" s="22"/>
    </row>
    <row r="672" spans="1:3" x14ac:dyDescent="0.3">
      <c r="A672" s="21"/>
      <c r="B672" s="22"/>
      <c r="C672" s="22"/>
    </row>
    <row r="673" spans="1:3" x14ac:dyDescent="0.3">
      <c r="A673" s="21"/>
      <c r="B673" s="22"/>
      <c r="C673" s="22"/>
    </row>
    <row r="674" spans="1:3" x14ac:dyDescent="0.3">
      <c r="A674" s="21"/>
      <c r="B674" s="22"/>
      <c r="C674" s="22"/>
    </row>
    <row r="675" spans="1:3" x14ac:dyDescent="0.3">
      <c r="A675" s="21"/>
      <c r="B675" s="22"/>
      <c r="C675" s="22"/>
    </row>
    <row r="676" spans="1:3" x14ac:dyDescent="0.3">
      <c r="A676" s="21"/>
      <c r="B676" s="22"/>
      <c r="C676" s="22"/>
    </row>
    <row r="677" spans="1:3" x14ac:dyDescent="0.3">
      <c r="A677" s="21"/>
      <c r="B677" s="22"/>
      <c r="C677" s="22"/>
    </row>
    <row r="678" spans="1:3" x14ac:dyDescent="0.3">
      <c r="A678" s="21"/>
      <c r="B678" s="22"/>
      <c r="C678" s="22"/>
    </row>
    <row r="679" spans="1:3" x14ac:dyDescent="0.3">
      <c r="A679" s="21"/>
      <c r="B679" s="22"/>
      <c r="C679" s="22"/>
    </row>
    <row r="680" spans="1:3" x14ac:dyDescent="0.3">
      <c r="A680" s="21"/>
      <c r="B680" s="22"/>
      <c r="C680" s="22"/>
    </row>
    <row r="681" spans="1:3" x14ac:dyDescent="0.3">
      <c r="A681" s="21"/>
      <c r="B681" s="22"/>
      <c r="C681" s="22"/>
    </row>
    <row r="682" spans="1:3" x14ac:dyDescent="0.3">
      <c r="A682" s="21"/>
      <c r="B682" s="22"/>
      <c r="C682" s="22"/>
    </row>
    <row r="683" spans="1:3" x14ac:dyDescent="0.3">
      <c r="A683" s="21"/>
      <c r="B683" s="22"/>
      <c r="C683" s="22"/>
    </row>
    <row r="684" spans="1:3" x14ac:dyDescent="0.3">
      <c r="A684" s="21"/>
      <c r="B684" s="22"/>
      <c r="C684" s="22"/>
    </row>
    <row r="685" spans="1:3" x14ac:dyDescent="0.3">
      <c r="A685" s="21"/>
      <c r="B685" s="22"/>
      <c r="C685" s="22"/>
    </row>
    <row r="686" spans="1:3" x14ac:dyDescent="0.3">
      <c r="A686" s="21"/>
      <c r="B686" s="22"/>
      <c r="C686" s="22"/>
    </row>
    <row r="687" spans="1:3" x14ac:dyDescent="0.3">
      <c r="A687" s="21"/>
      <c r="B687" s="22"/>
      <c r="C687" s="22"/>
    </row>
    <row r="688" spans="1:3" x14ac:dyDescent="0.3">
      <c r="A688" s="21"/>
      <c r="B688" s="22"/>
      <c r="C688" s="22"/>
    </row>
    <row r="689" spans="1:3" x14ac:dyDescent="0.3">
      <c r="A689" s="21"/>
      <c r="B689" s="22"/>
      <c r="C689" s="22"/>
    </row>
    <row r="690" spans="1:3" x14ac:dyDescent="0.3">
      <c r="A690" s="21"/>
      <c r="B690" s="22"/>
      <c r="C690" s="22"/>
    </row>
    <row r="691" spans="1:3" x14ac:dyDescent="0.3">
      <c r="A691" s="21"/>
      <c r="B691" s="22"/>
      <c r="C691" s="22"/>
    </row>
    <row r="692" spans="1:3" x14ac:dyDescent="0.3">
      <c r="A692" s="21"/>
      <c r="B692" s="22"/>
      <c r="C692" s="22"/>
    </row>
    <row r="693" spans="1:3" x14ac:dyDescent="0.3">
      <c r="A693" s="21"/>
      <c r="B693" s="22"/>
      <c r="C693" s="22"/>
    </row>
    <row r="694" spans="1:3" x14ac:dyDescent="0.3">
      <c r="A694" s="21"/>
      <c r="B694" s="22"/>
      <c r="C694" s="22"/>
    </row>
    <row r="695" spans="1:3" x14ac:dyDescent="0.3">
      <c r="A695" s="21"/>
      <c r="B695" s="22"/>
      <c r="C695" s="22"/>
    </row>
    <row r="696" spans="1:3" x14ac:dyDescent="0.3">
      <c r="A696" s="21"/>
      <c r="B696" s="22"/>
      <c r="C696" s="22"/>
    </row>
    <row r="697" spans="1:3" x14ac:dyDescent="0.3">
      <c r="A697" s="21"/>
      <c r="B697" s="22"/>
      <c r="C697" s="22"/>
    </row>
    <row r="698" spans="1:3" x14ac:dyDescent="0.3">
      <c r="A698" s="21"/>
      <c r="B698" s="22"/>
      <c r="C698" s="22"/>
    </row>
    <row r="699" spans="1:3" x14ac:dyDescent="0.3">
      <c r="A699" s="21"/>
      <c r="B699" s="22"/>
      <c r="C699" s="22"/>
    </row>
    <row r="700" spans="1:3" x14ac:dyDescent="0.3">
      <c r="A700" s="21"/>
      <c r="B700" s="22"/>
      <c r="C700" s="22"/>
    </row>
    <row r="701" spans="1:3" x14ac:dyDescent="0.3">
      <c r="A701" s="21"/>
      <c r="B701" s="22"/>
      <c r="C701" s="22"/>
    </row>
    <row r="702" spans="1:3" x14ac:dyDescent="0.3">
      <c r="A702" s="21"/>
      <c r="B702" s="22"/>
      <c r="C702" s="22"/>
    </row>
    <row r="703" spans="1:3" x14ac:dyDescent="0.3">
      <c r="A703" s="21"/>
      <c r="B703" s="22"/>
      <c r="C703" s="22"/>
    </row>
    <row r="704" spans="1:3" x14ac:dyDescent="0.3">
      <c r="A704" s="21"/>
      <c r="B704" s="22"/>
      <c r="C704" s="22"/>
    </row>
    <row r="705" spans="1:3" x14ac:dyDescent="0.3">
      <c r="A705" s="21"/>
      <c r="B705" s="22"/>
      <c r="C705" s="22"/>
    </row>
    <row r="706" spans="1:3" x14ac:dyDescent="0.3">
      <c r="A706" s="21"/>
      <c r="B706" s="22"/>
      <c r="C706" s="22"/>
    </row>
    <row r="707" spans="1:3" x14ac:dyDescent="0.3">
      <c r="A707" s="21"/>
      <c r="B707" s="22"/>
      <c r="C707" s="22"/>
    </row>
    <row r="708" spans="1:3" x14ac:dyDescent="0.3">
      <c r="A708" s="21"/>
      <c r="B708" s="22"/>
      <c r="C708" s="22"/>
    </row>
    <row r="709" spans="1:3" x14ac:dyDescent="0.3">
      <c r="A709" s="21"/>
      <c r="B709" s="22"/>
      <c r="C709" s="22"/>
    </row>
    <row r="710" spans="1:3" x14ac:dyDescent="0.3">
      <c r="A710" s="21"/>
      <c r="B710" s="22"/>
      <c r="C710" s="22"/>
    </row>
    <row r="711" spans="1:3" x14ac:dyDescent="0.3">
      <c r="A711" s="21"/>
      <c r="B711" s="22"/>
      <c r="C711" s="22"/>
    </row>
    <row r="712" spans="1:3" x14ac:dyDescent="0.3">
      <c r="A712" s="21"/>
      <c r="B712" s="22"/>
      <c r="C712" s="22"/>
    </row>
    <row r="713" spans="1:3" x14ac:dyDescent="0.3">
      <c r="A713" s="21"/>
      <c r="B713" s="22"/>
      <c r="C713" s="22"/>
    </row>
    <row r="714" spans="1:3" x14ac:dyDescent="0.3">
      <c r="A714" s="21"/>
      <c r="B714" s="22"/>
      <c r="C714" s="22"/>
    </row>
    <row r="715" spans="1:3" x14ac:dyDescent="0.3">
      <c r="A715" s="21"/>
      <c r="B715" s="22"/>
      <c r="C715" s="22"/>
    </row>
    <row r="716" spans="1:3" x14ac:dyDescent="0.3">
      <c r="A716" s="21"/>
      <c r="B716" s="22"/>
      <c r="C716" s="22"/>
    </row>
    <row r="717" spans="1:3" x14ac:dyDescent="0.3">
      <c r="A717" s="21"/>
      <c r="B717" s="22"/>
      <c r="C717" s="22"/>
    </row>
    <row r="718" spans="1:3" x14ac:dyDescent="0.3">
      <c r="A718" s="21"/>
      <c r="B718" s="22"/>
      <c r="C718" s="22"/>
    </row>
    <row r="719" spans="1:3" x14ac:dyDescent="0.3">
      <c r="A719" s="21"/>
      <c r="B719" s="22"/>
      <c r="C719" s="22"/>
    </row>
    <row r="720" spans="1:3" x14ac:dyDescent="0.3">
      <c r="A720" s="21"/>
      <c r="B720" s="22"/>
      <c r="C720" s="22"/>
    </row>
    <row r="721" spans="1:3" x14ac:dyDescent="0.3">
      <c r="A721" s="21"/>
      <c r="B721" s="22"/>
      <c r="C721" s="22"/>
    </row>
    <row r="722" spans="1:3" x14ac:dyDescent="0.3">
      <c r="A722" s="21"/>
      <c r="B722" s="22"/>
      <c r="C722" s="22"/>
    </row>
    <row r="723" spans="1:3" x14ac:dyDescent="0.3">
      <c r="A723" s="21"/>
      <c r="B723" s="22"/>
      <c r="C723" s="22"/>
    </row>
    <row r="724" spans="1:3" x14ac:dyDescent="0.3">
      <c r="A724" s="21"/>
      <c r="B724" s="22"/>
      <c r="C724" s="22"/>
    </row>
    <row r="725" spans="1:3" x14ac:dyDescent="0.3">
      <c r="A725" s="21"/>
      <c r="B725" s="22"/>
      <c r="C725" s="22"/>
    </row>
    <row r="726" spans="1:3" x14ac:dyDescent="0.3">
      <c r="A726" s="21"/>
      <c r="B726" s="22"/>
      <c r="C726" s="22"/>
    </row>
    <row r="727" spans="1:3" x14ac:dyDescent="0.3">
      <c r="A727" s="21"/>
      <c r="B727" s="22"/>
      <c r="C727" s="22"/>
    </row>
    <row r="728" spans="1:3" x14ac:dyDescent="0.3">
      <c r="A728" s="21"/>
      <c r="B728" s="22"/>
      <c r="C728" s="22"/>
    </row>
    <row r="729" spans="1:3" x14ac:dyDescent="0.3">
      <c r="A729" s="21"/>
      <c r="B729" s="22"/>
      <c r="C729" s="22"/>
    </row>
    <row r="730" spans="1:3" x14ac:dyDescent="0.3">
      <c r="A730" s="21"/>
      <c r="B730" s="22"/>
      <c r="C730" s="22"/>
    </row>
    <row r="731" spans="1:3" x14ac:dyDescent="0.3">
      <c r="A731" s="21"/>
      <c r="B731" s="22"/>
      <c r="C731" s="22"/>
    </row>
    <row r="732" spans="1:3" x14ac:dyDescent="0.3">
      <c r="A732" s="21"/>
      <c r="B732" s="22"/>
      <c r="C732" s="22"/>
    </row>
    <row r="733" spans="1:3" x14ac:dyDescent="0.3">
      <c r="A733" s="21"/>
      <c r="B733" s="22"/>
      <c r="C733" s="22"/>
    </row>
    <row r="734" spans="1:3" x14ac:dyDescent="0.3">
      <c r="A734" s="21"/>
      <c r="B734" s="22"/>
      <c r="C734" s="22"/>
    </row>
    <row r="735" spans="1:3" x14ac:dyDescent="0.3">
      <c r="A735" s="21"/>
      <c r="B735" s="22"/>
      <c r="C735" s="22"/>
    </row>
    <row r="736" spans="1:3" x14ac:dyDescent="0.3">
      <c r="A736" s="21"/>
      <c r="B736" s="22"/>
      <c r="C736" s="22"/>
    </row>
    <row r="737" spans="1:3" x14ac:dyDescent="0.3">
      <c r="A737" s="21"/>
      <c r="B737" s="22"/>
      <c r="C737" s="22"/>
    </row>
    <row r="738" spans="1:3" x14ac:dyDescent="0.3">
      <c r="A738" s="21"/>
      <c r="B738" s="22"/>
      <c r="C738" s="22"/>
    </row>
    <row r="739" spans="1:3" x14ac:dyDescent="0.3">
      <c r="A739" s="21"/>
      <c r="B739" s="22"/>
      <c r="C739" s="22"/>
    </row>
    <row r="740" spans="1:3" x14ac:dyDescent="0.3">
      <c r="A740" s="21"/>
      <c r="B740" s="22"/>
      <c r="C740" s="22"/>
    </row>
    <row r="741" spans="1:3" x14ac:dyDescent="0.3">
      <c r="A741" s="21"/>
      <c r="B741" s="22"/>
      <c r="C741" s="22"/>
    </row>
    <row r="742" spans="1:3" x14ac:dyDescent="0.3">
      <c r="A742" s="21"/>
      <c r="B742" s="22"/>
      <c r="C742" s="22"/>
    </row>
    <row r="743" spans="1:3" x14ac:dyDescent="0.3">
      <c r="A743" s="21"/>
      <c r="B743" s="22"/>
      <c r="C743" s="22"/>
    </row>
    <row r="744" spans="1:3" x14ac:dyDescent="0.3">
      <c r="A744" s="21"/>
      <c r="B744" s="22"/>
      <c r="C744" s="22"/>
    </row>
    <row r="745" spans="1:3" x14ac:dyDescent="0.3">
      <c r="A745" s="21"/>
      <c r="B745" s="22"/>
      <c r="C745" s="22"/>
    </row>
    <row r="746" spans="1:3" x14ac:dyDescent="0.3">
      <c r="A746" s="21"/>
      <c r="B746" s="22"/>
      <c r="C746" s="22"/>
    </row>
    <row r="747" spans="1:3" x14ac:dyDescent="0.3">
      <c r="A747" s="21"/>
      <c r="B747" s="22"/>
      <c r="C747" s="22"/>
    </row>
    <row r="748" spans="1:3" x14ac:dyDescent="0.3">
      <c r="A748" s="21"/>
      <c r="B748" s="22"/>
      <c r="C748" s="22"/>
    </row>
    <row r="749" spans="1:3" x14ac:dyDescent="0.3">
      <c r="A749" s="21"/>
      <c r="B749" s="22"/>
      <c r="C749" s="22"/>
    </row>
    <row r="750" spans="1:3" x14ac:dyDescent="0.3">
      <c r="A750" s="21"/>
      <c r="B750" s="22"/>
      <c r="C750" s="22"/>
    </row>
    <row r="751" spans="1:3" x14ac:dyDescent="0.3">
      <c r="A751" s="21"/>
      <c r="B751" s="22"/>
      <c r="C751" s="22"/>
    </row>
    <row r="752" spans="1:3" x14ac:dyDescent="0.3">
      <c r="A752" s="21"/>
      <c r="B752" s="22"/>
      <c r="C752" s="22"/>
    </row>
    <row r="753" spans="1:3" x14ac:dyDescent="0.3">
      <c r="A753" s="21"/>
      <c r="B753" s="22"/>
      <c r="C753" s="22"/>
    </row>
    <row r="754" spans="1:3" x14ac:dyDescent="0.3">
      <c r="A754" s="21"/>
      <c r="B754" s="22"/>
      <c r="C754" s="22"/>
    </row>
    <row r="755" spans="1:3" x14ac:dyDescent="0.3">
      <c r="A755" s="21"/>
      <c r="B755" s="22"/>
      <c r="C755" s="22"/>
    </row>
    <row r="756" spans="1:3" x14ac:dyDescent="0.3">
      <c r="A756" s="21"/>
      <c r="B756" s="22"/>
      <c r="C756" s="22"/>
    </row>
    <row r="757" spans="1:3" x14ac:dyDescent="0.3">
      <c r="A757" s="21"/>
      <c r="B757" s="22"/>
      <c r="C757" s="22"/>
    </row>
    <row r="758" spans="1:3" x14ac:dyDescent="0.3">
      <c r="A758" s="21"/>
      <c r="B758" s="22"/>
      <c r="C758" s="22"/>
    </row>
    <row r="759" spans="1:3" x14ac:dyDescent="0.3">
      <c r="A759" s="21"/>
      <c r="B759" s="22"/>
      <c r="C759" s="22"/>
    </row>
    <row r="760" spans="1:3" x14ac:dyDescent="0.3">
      <c r="A760" s="21"/>
      <c r="B760" s="22"/>
      <c r="C760" s="22"/>
    </row>
    <row r="761" spans="1:3" x14ac:dyDescent="0.3">
      <c r="A761" s="21"/>
      <c r="B761" s="22"/>
      <c r="C761" s="22"/>
    </row>
    <row r="762" spans="1:3" x14ac:dyDescent="0.3">
      <c r="A762" s="21"/>
      <c r="B762" s="22"/>
      <c r="C762" s="22"/>
    </row>
    <row r="763" spans="1:3" x14ac:dyDescent="0.3">
      <c r="A763" s="21"/>
      <c r="B763" s="22"/>
      <c r="C763" s="22"/>
    </row>
    <row r="764" spans="1:3" x14ac:dyDescent="0.3">
      <c r="A764" s="21"/>
      <c r="B764" s="22"/>
      <c r="C764" s="22"/>
    </row>
    <row r="765" spans="1:3" x14ac:dyDescent="0.3">
      <c r="A765" s="21"/>
      <c r="B765" s="22"/>
      <c r="C765" s="22"/>
    </row>
    <row r="766" spans="1:3" x14ac:dyDescent="0.3">
      <c r="A766" s="21"/>
      <c r="B766" s="22"/>
      <c r="C766" s="22"/>
    </row>
    <row r="767" spans="1:3" x14ac:dyDescent="0.3">
      <c r="A767" s="21"/>
      <c r="B767" s="22"/>
      <c r="C767" s="22"/>
    </row>
    <row r="768" spans="1:3" x14ac:dyDescent="0.3">
      <c r="A768" s="21"/>
      <c r="B768" s="22"/>
      <c r="C768" s="22"/>
    </row>
    <row r="769" spans="1:3" x14ac:dyDescent="0.3">
      <c r="A769" s="21"/>
      <c r="B769" s="22"/>
      <c r="C769" s="22"/>
    </row>
    <row r="770" spans="1:3" x14ac:dyDescent="0.3">
      <c r="A770" s="21"/>
      <c r="B770" s="22"/>
      <c r="C770" s="22"/>
    </row>
    <row r="771" spans="1:3" x14ac:dyDescent="0.3">
      <c r="A771" s="21"/>
      <c r="B771" s="22"/>
      <c r="C771" s="22"/>
    </row>
    <row r="772" spans="1:3" x14ac:dyDescent="0.3">
      <c r="A772" s="21"/>
      <c r="B772" s="22"/>
      <c r="C772" s="22"/>
    </row>
    <row r="773" spans="1:3" x14ac:dyDescent="0.3">
      <c r="A773" s="21"/>
      <c r="B773" s="22"/>
      <c r="C773" s="22"/>
    </row>
    <row r="774" spans="1:3" x14ac:dyDescent="0.3">
      <c r="A774" s="21"/>
      <c r="B774" s="22"/>
      <c r="C774" s="22"/>
    </row>
    <row r="775" spans="1:3" x14ac:dyDescent="0.3">
      <c r="A775" s="21"/>
      <c r="B775" s="22"/>
      <c r="C775" s="22"/>
    </row>
    <row r="776" spans="1:3" x14ac:dyDescent="0.3">
      <c r="A776" s="21"/>
      <c r="B776" s="22"/>
      <c r="C776" s="22"/>
    </row>
    <row r="777" spans="1:3" x14ac:dyDescent="0.3">
      <c r="A777" s="21"/>
      <c r="B777" s="22"/>
      <c r="C777" s="22"/>
    </row>
    <row r="778" spans="1:3" x14ac:dyDescent="0.3">
      <c r="A778" s="21"/>
      <c r="B778" s="22"/>
      <c r="C778" s="22"/>
    </row>
    <row r="779" spans="1:3" x14ac:dyDescent="0.3">
      <c r="A779" s="21"/>
      <c r="B779" s="22"/>
      <c r="C779" s="22"/>
    </row>
    <row r="780" spans="1:3" x14ac:dyDescent="0.3">
      <c r="A780" s="21"/>
      <c r="B780" s="22"/>
      <c r="C780" s="22"/>
    </row>
    <row r="781" spans="1:3" x14ac:dyDescent="0.3">
      <c r="A781" s="21"/>
      <c r="B781" s="22"/>
      <c r="C781" s="22"/>
    </row>
    <row r="782" spans="1:3" x14ac:dyDescent="0.3">
      <c r="A782" s="21"/>
      <c r="B782" s="22"/>
      <c r="C782" s="22"/>
    </row>
    <row r="783" spans="1:3" x14ac:dyDescent="0.3">
      <c r="A783" s="21"/>
      <c r="B783" s="22"/>
      <c r="C783" s="22"/>
    </row>
    <row r="784" spans="1:3" x14ac:dyDescent="0.3">
      <c r="A784" s="21"/>
      <c r="B784" s="22"/>
      <c r="C784" s="22"/>
    </row>
    <row r="785" spans="1:3" x14ac:dyDescent="0.3">
      <c r="A785" s="21"/>
      <c r="B785" s="22"/>
      <c r="C785" s="22"/>
    </row>
    <row r="786" spans="1:3" x14ac:dyDescent="0.3">
      <c r="A786" s="21"/>
      <c r="B786" s="22"/>
      <c r="C786" s="22"/>
    </row>
    <row r="787" spans="1:3" x14ac:dyDescent="0.3">
      <c r="A787" s="21"/>
      <c r="B787" s="22"/>
      <c r="C787" s="22"/>
    </row>
    <row r="788" spans="1:3" x14ac:dyDescent="0.3">
      <c r="A788" s="21"/>
      <c r="B788" s="22"/>
      <c r="C788" s="22"/>
    </row>
    <row r="789" spans="1:3" x14ac:dyDescent="0.3">
      <c r="A789" s="21"/>
      <c r="B789" s="22"/>
      <c r="C789" s="22"/>
    </row>
    <row r="790" spans="1:3" x14ac:dyDescent="0.3">
      <c r="A790" s="21"/>
      <c r="B790" s="22"/>
      <c r="C790" s="22"/>
    </row>
    <row r="791" spans="1:3" x14ac:dyDescent="0.3">
      <c r="A791" s="21"/>
      <c r="B791" s="22"/>
      <c r="C791" s="22"/>
    </row>
    <row r="792" spans="1:3" x14ac:dyDescent="0.3">
      <c r="A792" s="21"/>
      <c r="B792" s="22"/>
      <c r="C792" s="22"/>
    </row>
    <row r="793" spans="1:3" x14ac:dyDescent="0.3">
      <c r="A793" s="21"/>
      <c r="B793" s="22"/>
      <c r="C793" s="22"/>
    </row>
    <row r="794" spans="1:3" x14ac:dyDescent="0.3">
      <c r="A794" s="21"/>
      <c r="B794" s="22"/>
      <c r="C794" s="22"/>
    </row>
    <row r="795" spans="1:3" x14ac:dyDescent="0.3">
      <c r="A795" s="21"/>
      <c r="B795" s="22"/>
      <c r="C795" s="22"/>
    </row>
    <row r="796" spans="1:3" x14ac:dyDescent="0.3">
      <c r="A796" s="21"/>
      <c r="B796" s="22"/>
      <c r="C796" s="22"/>
    </row>
    <row r="797" spans="1:3" x14ac:dyDescent="0.3">
      <c r="A797" s="21"/>
      <c r="B797" s="22"/>
      <c r="C797" s="22"/>
    </row>
    <row r="798" spans="1:3" x14ac:dyDescent="0.3">
      <c r="A798" s="21"/>
      <c r="B798" s="22"/>
      <c r="C798" s="22"/>
    </row>
    <row r="799" spans="1:3" x14ac:dyDescent="0.3">
      <c r="A799" s="21"/>
      <c r="B799" s="22"/>
      <c r="C799" s="22"/>
    </row>
    <row r="800" spans="1:3" x14ac:dyDescent="0.3">
      <c r="A800" s="21"/>
      <c r="B800" s="22"/>
      <c r="C800" s="22"/>
    </row>
    <row r="801" spans="1:3" x14ac:dyDescent="0.3">
      <c r="A801" s="21"/>
      <c r="B801" s="22"/>
      <c r="C801" s="22"/>
    </row>
    <row r="802" spans="1:3" x14ac:dyDescent="0.3">
      <c r="A802" s="21"/>
      <c r="B802" s="22"/>
      <c r="C802" s="22"/>
    </row>
    <row r="803" spans="1:3" x14ac:dyDescent="0.3">
      <c r="A803" s="21"/>
      <c r="B803" s="22"/>
      <c r="C803" s="22"/>
    </row>
    <row r="804" spans="1:3" x14ac:dyDescent="0.3">
      <c r="A804" s="21"/>
      <c r="B804" s="22"/>
      <c r="C804" s="22"/>
    </row>
    <row r="805" spans="1:3" x14ac:dyDescent="0.3">
      <c r="A805" s="21"/>
      <c r="B805" s="22"/>
      <c r="C805" s="22"/>
    </row>
    <row r="806" spans="1:3" x14ac:dyDescent="0.3">
      <c r="A806" s="21"/>
      <c r="B806" s="22"/>
      <c r="C806" s="22"/>
    </row>
    <row r="807" spans="1:3" x14ac:dyDescent="0.3">
      <c r="A807" s="21"/>
      <c r="B807" s="22"/>
      <c r="C807" s="22"/>
    </row>
    <row r="808" spans="1:3" x14ac:dyDescent="0.3">
      <c r="A808" s="21"/>
      <c r="B808" s="22"/>
      <c r="C808" s="22"/>
    </row>
    <row r="809" spans="1:3" x14ac:dyDescent="0.3">
      <c r="A809" s="21"/>
      <c r="B809" s="22"/>
      <c r="C809" s="22"/>
    </row>
    <row r="810" spans="1:3" x14ac:dyDescent="0.3">
      <c r="A810" s="21"/>
      <c r="B810" s="22"/>
      <c r="C810" s="22"/>
    </row>
    <row r="811" spans="1:3" x14ac:dyDescent="0.3">
      <c r="A811" s="21"/>
      <c r="B811" s="22"/>
      <c r="C811" s="22"/>
    </row>
    <row r="812" spans="1:3" x14ac:dyDescent="0.3">
      <c r="A812" s="21"/>
      <c r="B812" s="22"/>
      <c r="C812" s="22"/>
    </row>
    <row r="813" spans="1:3" x14ac:dyDescent="0.3">
      <c r="A813" s="21"/>
      <c r="B813" s="22"/>
      <c r="C813" s="22"/>
    </row>
    <row r="814" spans="1:3" x14ac:dyDescent="0.3">
      <c r="A814" s="21"/>
      <c r="B814" s="22"/>
      <c r="C814" s="22"/>
    </row>
    <row r="815" spans="1:3" x14ac:dyDescent="0.3">
      <c r="A815" s="21"/>
      <c r="B815" s="22"/>
      <c r="C815" s="22"/>
    </row>
    <row r="816" spans="1:3" x14ac:dyDescent="0.3">
      <c r="A816" s="21"/>
      <c r="B816" s="22"/>
      <c r="C816" s="22"/>
    </row>
    <row r="817" spans="1:3" x14ac:dyDescent="0.3">
      <c r="A817" s="21"/>
      <c r="B817" s="22"/>
      <c r="C817" s="22"/>
    </row>
    <row r="818" spans="1:3" x14ac:dyDescent="0.3">
      <c r="A818" s="21"/>
      <c r="B818" s="22"/>
      <c r="C818" s="22"/>
    </row>
    <row r="819" spans="1:3" x14ac:dyDescent="0.3">
      <c r="A819" s="21"/>
      <c r="B819" s="22"/>
      <c r="C819" s="22"/>
    </row>
    <row r="820" spans="1:3" x14ac:dyDescent="0.3">
      <c r="A820" s="21"/>
      <c r="B820" s="22"/>
      <c r="C820" s="22"/>
    </row>
    <row r="821" spans="1:3" x14ac:dyDescent="0.3">
      <c r="A821" s="21"/>
      <c r="B821" s="22"/>
      <c r="C821" s="22"/>
    </row>
    <row r="822" spans="1:3" x14ac:dyDescent="0.3">
      <c r="A822" s="21"/>
      <c r="B822" s="22"/>
      <c r="C822" s="22"/>
    </row>
    <row r="823" spans="1:3" x14ac:dyDescent="0.3">
      <c r="A823" s="21"/>
      <c r="B823" s="22"/>
      <c r="C823" s="22"/>
    </row>
    <row r="824" spans="1:3" x14ac:dyDescent="0.3">
      <c r="A824" s="21"/>
      <c r="B824" s="22"/>
      <c r="C824" s="22"/>
    </row>
    <row r="825" spans="1:3" x14ac:dyDescent="0.3">
      <c r="A825" s="21"/>
      <c r="B825" s="22"/>
      <c r="C825" s="22"/>
    </row>
    <row r="826" spans="1:3" x14ac:dyDescent="0.3">
      <c r="A826" s="21"/>
      <c r="B826" s="22"/>
      <c r="C826" s="22"/>
    </row>
    <row r="827" spans="1:3" x14ac:dyDescent="0.3">
      <c r="A827" s="21"/>
      <c r="B827" s="22"/>
      <c r="C827" s="22"/>
    </row>
    <row r="828" spans="1:3" x14ac:dyDescent="0.3">
      <c r="A828" s="21"/>
      <c r="B828" s="22"/>
      <c r="C828" s="22"/>
    </row>
    <row r="829" spans="1:3" x14ac:dyDescent="0.3">
      <c r="A829" s="21"/>
      <c r="B829" s="22"/>
      <c r="C829" s="22"/>
    </row>
    <row r="830" spans="1:3" x14ac:dyDescent="0.3">
      <c r="A830" s="21"/>
      <c r="B830" s="22"/>
      <c r="C830" s="22"/>
    </row>
    <row r="831" spans="1:3" x14ac:dyDescent="0.3">
      <c r="A831" s="21"/>
      <c r="B831" s="22"/>
      <c r="C831" s="22"/>
    </row>
    <row r="832" spans="1:3" x14ac:dyDescent="0.3">
      <c r="A832" s="21"/>
      <c r="B832" s="22"/>
      <c r="C832" s="22"/>
    </row>
    <row r="833" spans="1:3" x14ac:dyDescent="0.3">
      <c r="A833" s="21"/>
      <c r="B833" s="22"/>
      <c r="C833" s="22"/>
    </row>
    <row r="834" spans="1:3" x14ac:dyDescent="0.3">
      <c r="A834" s="21"/>
      <c r="B834" s="22"/>
      <c r="C834" s="22"/>
    </row>
    <row r="835" spans="1:3" x14ac:dyDescent="0.3">
      <c r="A835" s="21"/>
      <c r="B835" s="22"/>
      <c r="C835" s="22"/>
    </row>
    <row r="836" spans="1:3" x14ac:dyDescent="0.3">
      <c r="A836" s="21"/>
      <c r="B836" s="22"/>
      <c r="C836" s="22"/>
    </row>
    <row r="837" spans="1:3" x14ac:dyDescent="0.3">
      <c r="A837" s="21"/>
      <c r="B837" s="22"/>
      <c r="C837" s="22"/>
    </row>
    <row r="838" spans="1:3" x14ac:dyDescent="0.3">
      <c r="A838" s="21"/>
      <c r="B838" s="22"/>
      <c r="C838" s="22"/>
    </row>
    <row r="839" spans="1:3" x14ac:dyDescent="0.3">
      <c r="A839" s="21"/>
      <c r="B839" s="22"/>
      <c r="C839" s="22"/>
    </row>
    <row r="840" spans="1:3" x14ac:dyDescent="0.3">
      <c r="A840" s="21"/>
      <c r="B840" s="22"/>
      <c r="C840" s="22"/>
    </row>
    <row r="841" spans="1:3" x14ac:dyDescent="0.3">
      <c r="A841" s="21"/>
      <c r="B841" s="22"/>
      <c r="C841" s="22"/>
    </row>
    <row r="842" spans="1:3" x14ac:dyDescent="0.3">
      <c r="A842" s="21"/>
      <c r="B842" s="22"/>
      <c r="C842" s="22"/>
    </row>
    <row r="843" spans="1:3" x14ac:dyDescent="0.3">
      <c r="A843" s="21"/>
      <c r="B843" s="22"/>
      <c r="C843" s="22"/>
    </row>
    <row r="844" spans="1:3" x14ac:dyDescent="0.3">
      <c r="A844" s="21"/>
      <c r="B844" s="22"/>
      <c r="C844" s="22"/>
    </row>
    <row r="845" spans="1:3" x14ac:dyDescent="0.3">
      <c r="A845" s="21"/>
      <c r="B845" s="22"/>
      <c r="C845" s="22"/>
    </row>
    <row r="846" spans="1:3" x14ac:dyDescent="0.3">
      <c r="A846" s="21"/>
      <c r="B846" s="22"/>
      <c r="C846" s="22"/>
    </row>
    <row r="847" spans="1:3" x14ac:dyDescent="0.3">
      <c r="A847" s="21"/>
      <c r="B847" s="22"/>
      <c r="C847" s="22"/>
    </row>
    <row r="848" spans="1:3" x14ac:dyDescent="0.3">
      <c r="A848" s="21"/>
      <c r="B848" s="22"/>
      <c r="C848" s="22"/>
    </row>
    <row r="849" spans="1:3" x14ac:dyDescent="0.3">
      <c r="A849" s="21"/>
      <c r="B849" s="22"/>
      <c r="C849" s="22"/>
    </row>
    <row r="850" spans="1:3" x14ac:dyDescent="0.3">
      <c r="A850" s="21"/>
      <c r="B850" s="22"/>
      <c r="C850" s="22"/>
    </row>
    <row r="851" spans="1:3" x14ac:dyDescent="0.3">
      <c r="A851" s="21"/>
      <c r="B851" s="22"/>
      <c r="C851" s="22"/>
    </row>
    <row r="852" spans="1:3" x14ac:dyDescent="0.3">
      <c r="A852" s="21"/>
      <c r="B852" s="22"/>
      <c r="C852" s="22"/>
    </row>
    <row r="853" spans="1:3" x14ac:dyDescent="0.3">
      <c r="A853" s="21"/>
      <c r="B853" s="22"/>
      <c r="C853" s="22"/>
    </row>
    <row r="854" spans="1:3" x14ac:dyDescent="0.3">
      <c r="A854" s="21"/>
      <c r="B854" s="22"/>
      <c r="C854" s="22"/>
    </row>
    <row r="855" spans="1:3" x14ac:dyDescent="0.3">
      <c r="A855" s="21"/>
      <c r="B855" s="22"/>
      <c r="C855" s="22"/>
    </row>
    <row r="856" spans="1:3" x14ac:dyDescent="0.3">
      <c r="A856" s="21"/>
      <c r="B856" s="22"/>
      <c r="C856" s="22"/>
    </row>
    <row r="857" spans="1:3" x14ac:dyDescent="0.3">
      <c r="A857" s="21"/>
      <c r="B857" s="22"/>
      <c r="C857" s="22"/>
    </row>
    <row r="858" spans="1:3" x14ac:dyDescent="0.3">
      <c r="A858" s="21"/>
      <c r="B858" s="22"/>
      <c r="C858" s="22"/>
    </row>
    <row r="859" spans="1:3" x14ac:dyDescent="0.3">
      <c r="A859" s="21"/>
      <c r="B859" s="22"/>
      <c r="C859" s="22"/>
    </row>
    <row r="860" spans="1:3" x14ac:dyDescent="0.3">
      <c r="A860" s="21"/>
      <c r="B860" s="22"/>
      <c r="C860" s="22"/>
    </row>
    <row r="861" spans="1:3" x14ac:dyDescent="0.3">
      <c r="A861" s="21"/>
      <c r="B861" s="22"/>
      <c r="C861" s="22"/>
    </row>
    <row r="862" spans="1:3" x14ac:dyDescent="0.3">
      <c r="A862" s="21"/>
      <c r="B862" s="22"/>
      <c r="C862" s="22"/>
    </row>
    <row r="863" spans="1:3" x14ac:dyDescent="0.3">
      <c r="A863" s="21"/>
      <c r="B863" s="22"/>
      <c r="C863" s="22"/>
    </row>
    <row r="864" spans="1:3" x14ac:dyDescent="0.3">
      <c r="A864" s="21"/>
      <c r="B864" s="22"/>
      <c r="C864" s="22"/>
    </row>
    <row r="865" spans="1:3" x14ac:dyDescent="0.3">
      <c r="A865" s="21"/>
      <c r="B865" s="22"/>
      <c r="C865" s="22"/>
    </row>
    <row r="866" spans="1:3" x14ac:dyDescent="0.3">
      <c r="A866" s="21"/>
      <c r="B866" s="22"/>
      <c r="C866" s="22"/>
    </row>
    <row r="867" spans="1:3" x14ac:dyDescent="0.3">
      <c r="A867" s="21"/>
      <c r="B867" s="22"/>
      <c r="C867" s="22"/>
    </row>
    <row r="868" spans="1:3" x14ac:dyDescent="0.3">
      <c r="A868" s="21"/>
      <c r="B868" s="22"/>
      <c r="C868" s="22"/>
    </row>
    <row r="869" spans="1:3" x14ac:dyDescent="0.3">
      <c r="A869" s="21"/>
      <c r="B869" s="22"/>
      <c r="C869" s="22"/>
    </row>
    <row r="870" spans="1:3" x14ac:dyDescent="0.3">
      <c r="A870" s="21"/>
      <c r="B870" s="22"/>
      <c r="C870" s="22"/>
    </row>
    <row r="871" spans="1:3" x14ac:dyDescent="0.3">
      <c r="A871" s="21"/>
      <c r="B871" s="22"/>
      <c r="C871" s="22"/>
    </row>
    <row r="872" spans="1:3" x14ac:dyDescent="0.3">
      <c r="A872" s="21"/>
      <c r="B872" s="22"/>
      <c r="C872" s="22"/>
    </row>
    <row r="873" spans="1:3" x14ac:dyDescent="0.3">
      <c r="A873" s="21"/>
      <c r="B873" s="22"/>
      <c r="C873" s="22"/>
    </row>
    <row r="874" spans="1:3" x14ac:dyDescent="0.3">
      <c r="A874" s="21"/>
      <c r="B874" s="22"/>
      <c r="C874" s="22"/>
    </row>
    <row r="875" spans="1:3" x14ac:dyDescent="0.3">
      <c r="A875" s="21"/>
      <c r="B875" s="22"/>
      <c r="C875" s="22"/>
    </row>
    <row r="876" spans="1:3" x14ac:dyDescent="0.3">
      <c r="A876" s="21"/>
      <c r="B876" s="22"/>
      <c r="C876" s="22"/>
    </row>
    <row r="877" spans="1:3" x14ac:dyDescent="0.3">
      <c r="A877" s="21"/>
      <c r="B877" s="22"/>
      <c r="C877" s="22"/>
    </row>
    <row r="878" spans="1:3" x14ac:dyDescent="0.3">
      <c r="A878" s="21"/>
      <c r="B878" s="22"/>
      <c r="C878" s="22"/>
    </row>
    <row r="879" spans="1:3" x14ac:dyDescent="0.3">
      <c r="A879" s="21"/>
      <c r="B879" s="22"/>
      <c r="C879" s="22"/>
    </row>
    <row r="880" spans="1:3" x14ac:dyDescent="0.3">
      <c r="A880" s="21"/>
      <c r="B880" s="22"/>
      <c r="C880" s="22"/>
    </row>
    <row r="881" spans="1:3" x14ac:dyDescent="0.3">
      <c r="A881" s="21"/>
      <c r="B881" s="22"/>
      <c r="C881" s="22"/>
    </row>
    <row r="882" spans="1:3" x14ac:dyDescent="0.3">
      <c r="A882" s="21"/>
      <c r="B882" s="22"/>
      <c r="C882" s="22"/>
    </row>
    <row r="883" spans="1:3" x14ac:dyDescent="0.3">
      <c r="A883" s="21"/>
      <c r="B883" s="22"/>
      <c r="C883" s="22"/>
    </row>
    <row r="884" spans="1:3" x14ac:dyDescent="0.3">
      <c r="A884" s="21"/>
      <c r="B884" s="22"/>
      <c r="C884" s="22"/>
    </row>
    <row r="885" spans="1:3" x14ac:dyDescent="0.3">
      <c r="A885" s="21"/>
      <c r="B885" s="22"/>
      <c r="C885" s="22"/>
    </row>
    <row r="886" spans="1:3" x14ac:dyDescent="0.3">
      <c r="A886" s="21"/>
      <c r="B886" s="22"/>
      <c r="C886" s="22"/>
    </row>
    <row r="887" spans="1:3" x14ac:dyDescent="0.3">
      <c r="A887" s="21"/>
      <c r="B887" s="22"/>
      <c r="C887" s="22"/>
    </row>
    <row r="888" spans="1:3" x14ac:dyDescent="0.3">
      <c r="A888" s="21"/>
      <c r="B888" s="22"/>
      <c r="C888" s="22"/>
    </row>
    <row r="889" spans="1:3" x14ac:dyDescent="0.3">
      <c r="A889" s="21"/>
      <c r="B889" s="22"/>
      <c r="C889" s="22"/>
    </row>
    <row r="890" spans="1:3" x14ac:dyDescent="0.3">
      <c r="A890" s="21"/>
      <c r="B890" s="22"/>
      <c r="C890" s="22"/>
    </row>
    <row r="891" spans="1:3" x14ac:dyDescent="0.3">
      <c r="A891" s="21"/>
      <c r="B891" s="22"/>
      <c r="C891" s="22"/>
    </row>
    <row r="892" spans="1:3" x14ac:dyDescent="0.3">
      <c r="A892" s="21"/>
      <c r="B892" s="22"/>
      <c r="C892" s="22"/>
    </row>
    <row r="893" spans="1:3" x14ac:dyDescent="0.3">
      <c r="A893" s="21"/>
      <c r="B893" s="22"/>
      <c r="C893" s="22"/>
    </row>
    <row r="894" spans="1:3" x14ac:dyDescent="0.3">
      <c r="A894" s="21"/>
      <c r="B894" s="22"/>
      <c r="C894" s="22"/>
    </row>
    <row r="895" spans="1:3" x14ac:dyDescent="0.3">
      <c r="A895" s="21"/>
      <c r="B895" s="22"/>
      <c r="C895" s="22"/>
    </row>
    <row r="896" spans="1:3" x14ac:dyDescent="0.3">
      <c r="A896" s="21"/>
      <c r="B896" s="22"/>
      <c r="C896" s="22"/>
    </row>
    <row r="897" spans="1:3" x14ac:dyDescent="0.3">
      <c r="A897" s="21"/>
      <c r="B897" s="22"/>
      <c r="C897" s="22"/>
    </row>
    <row r="898" spans="1:3" x14ac:dyDescent="0.3">
      <c r="A898" s="21"/>
      <c r="B898" s="22"/>
      <c r="C898" s="22"/>
    </row>
    <row r="899" spans="1:3" x14ac:dyDescent="0.3">
      <c r="A899" s="21"/>
      <c r="B899" s="22"/>
      <c r="C899" s="22"/>
    </row>
    <row r="900" spans="1:3" x14ac:dyDescent="0.3">
      <c r="A900" s="21"/>
      <c r="B900" s="22"/>
      <c r="C900" s="22"/>
    </row>
    <row r="901" spans="1:3" x14ac:dyDescent="0.3">
      <c r="A901" s="21"/>
      <c r="B901" s="22"/>
      <c r="C901" s="22"/>
    </row>
    <row r="902" spans="1:3" x14ac:dyDescent="0.3">
      <c r="A902" s="21"/>
      <c r="B902" s="22"/>
      <c r="C902" s="22"/>
    </row>
    <row r="903" spans="1:3" x14ac:dyDescent="0.3">
      <c r="A903" s="21"/>
      <c r="B903" s="22"/>
      <c r="C903" s="22"/>
    </row>
    <row r="904" spans="1:3" x14ac:dyDescent="0.3">
      <c r="A904" s="21"/>
      <c r="B904" s="22"/>
      <c r="C904" s="22"/>
    </row>
    <row r="905" spans="1:3" x14ac:dyDescent="0.3">
      <c r="A905" s="21"/>
      <c r="B905" s="22"/>
      <c r="C905" s="22"/>
    </row>
    <row r="906" spans="1:3" x14ac:dyDescent="0.3">
      <c r="A906" s="21"/>
      <c r="B906" s="22"/>
      <c r="C906" s="22"/>
    </row>
    <row r="907" spans="1:3" x14ac:dyDescent="0.3">
      <c r="A907" s="21"/>
      <c r="B907" s="22"/>
      <c r="C907" s="22"/>
    </row>
    <row r="908" spans="1:3" x14ac:dyDescent="0.3">
      <c r="A908" s="21"/>
      <c r="B908" s="22"/>
      <c r="C908" s="22"/>
    </row>
    <row r="909" spans="1:3" x14ac:dyDescent="0.3">
      <c r="A909" s="21"/>
      <c r="B909" s="22"/>
      <c r="C909" s="22"/>
    </row>
    <row r="910" spans="1:3" x14ac:dyDescent="0.3">
      <c r="A910" s="21"/>
      <c r="B910" s="22"/>
      <c r="C910" s="22"/>
    </row>
    <row r="911" spans="1:3" x14ac:dyDescent="0.3">
      <c r="A911" s="21"/>
      <c r="B911" s="22"/>
      <c r="C911" s="22"/>
    </row>
    <row r="912" spans="1:3" x14ac:dyDescent="0.3">
      <c r="A912" s="21"/>
      <c r="B912" s="22"/>
      <c r="C912" s="22"/>
    </row>
    <row r="913" spans="1:3" x14ac:dyDescent="0.3">
      <c r="A913" s="21"/>
      <c r="B913" s="22"/>
      <c r="C913" s="22"/>
    </row>
    <row r="914" spans="1:3" x14ac:dyDescent="0.3">
      <c r="A914" s="21"/>
      <c r="B914" s="22"/>
      <c r="C914" s="22"/>
    </row>
    <row r="915" spans="1:3" x14ac:dyDescent="0.3">
      <c r="A915" s="21"/>
      <c r="B915" s="22"/>
      <c r="C915" s="22"/>
    </row>
    <row r="916" spans="1:3" x14ac:dyDescent="0.3">
      <c r="A916" s="21"/>
      <c r="B916" s="22"/>
      <c r="C916" s="22"/>
    </row>
    <row r="917" spans="1:3" x14ac:dyDescent="0.3">
      <c r="A917" s="21"/>
      <c r="B917" s="22"/>
      <c r="C917" s="22"/>
    </row>
    <row r="918" spans="1:3" x14ac:dyDescent="0.3">
      <c r="A918" s="21"/>
      <c r="B918" s="22"/>
      <c r="C918" s="22"/>
    </row>
    <row r="919" spans="1:3" x14ac:dyDescent="0.3">
      <c r="A919" s="21"/>
      <c r="B919" s="22"/>
      <c r="C919" s="22"/>
    </row>
    <row r="920" spans="1:3" x14ac:dyDescent="0.3">
      <c r="A920" s="21"/>
      <c r="B920" s="22"/>
      <c r="C920" s="22"/>
    </row>
    <row r="921" spans="1:3" x14ac:dyDescent="0.3">
      <c r="A921" s="21"/>
      <c r="B921" s="22"/>
      <c r="C921" s="22"/>
    </row>
    <row r="922" spans="1:3" x14ac:dyDescent="0.3">
      <c r="A922" s="21"/>
      <c r="B922" s="22"/>
      <c r="C922" s="22"/>
    </row>
    <row r="923" spans="1:3" x14ac:dyDescent="0.3">
      <c r="A923" s="21"/>
      <c r="B923" s="22"/>
      <c r="C923" s="22"/>
    </row>
    <row r="924" spans="1:3" x14ac:dyDescent="0.3">
      <c r="A924" s="21"/>
      <c r="B924" s="22"/>
      <c r="C924" s="22"/>
    </row>
    <row r="925" spans="1:3" x14ac:dyDescent="0.3">
      <c r="A925" s="21"/>
      <c r="B925" s="22"/>
      <c r="C925" s="22"/>
    </row>
    <row r="926" spans="1:3" x14ac:dyDescent="0.3">
      <c r="A926" s="21"/>
      <c r="B926" s="22"/>
      <c r="C926" s="22"/>
    </row>
    <row r="927" spans="1:3" x14ac:dyDescent="0.3">
      <c r="A927" s="21"/>
      <c r="B927" s="22"/>
      <c r="C927" s="22"/>
    </row>
    <row r="928" spans="1:3" x14ac:dyDescent="0.3">
      <c r="A928" s="21"/>
      <c r="B928" s="22"/>
      <c r="C928" s="22"/>
    </row>
    <row r="929" spans="1:3" x14ac:dyDescent="0.3">
      <c r="A929" s="21"/>
      <c r="B929" s="22"/>
      <c r="C929" s="22"/>
    </row>
    <row r="930" spans="1:3" x14ac:dyDescent="0.3">
      <c r="A930" s="21"/>
      <c r="B930" s="22"/>
      <c r="C930" s="22"/>
    </row>
    <row r="931" spans="1:3" x14ac:dyDescent="0.3">
      <c r="A931" s="21"/>
      <c r="B931" s="22"/>
      <c r="C931" s="22"/>
    </row>
    <row r="932" spans="1:3" x14ac:dyDescent="0.3">
      <c r="A932" s="21"/>
      <c r="B932" s="22"/>
      <c r="C932" s="22"/>
    </row>
    <row r="933" spans="1:3" x14ac:dyDescent="0.3">
      <c r="A933" s="21"/>
      <c r="B933" s="22"/>
      <c r="C933" s="22"/>
    </row>
    <row r="934" spans="1:3" x14ac:dyDescent="0.3">
      <c r="A934" s="21"/>
      <c r="B934" s="22"/>
      <c r="C934" s="22"/>
    </row>
    <row r="935" spans="1:3" x14ac:dyDescent="0.3">
      <c r="A935" s="21"/>
      <c r="B935" s="22"/>
      <c r="C935" s="22"/>
    </row>
    <row r="936" spans="1:3" x14ac:dyDescent="0.3">
      <c r="A936" s="21"/>
      <c r="B936" s="22"/>
      <c r="C936" s="22"/>
    </row>
    <row r="937" spans="1:3" x14ac:dyDescent="0.3">
      <c r="A937" s="21"/>
      <c r="B937" s="22"/>
      <c r="C937" s="22"/>
    </row>
    <row r="938" spans="1:3" x14ac:dyDescent="0.3">
      <c r="A938" s="21"/>
      <c r="B938" s="22"/>
      <c r="C938" s="22"/>
    </row>
    <row r="939" spans="1:3" x14ac:dyDescent="0.3">
      <c r="A939" s="21"/>
      <c r="B939" s="22"/>
      <c r="C939" s="22"/>
    </row>
    <row r="940" spans="1:3" x14ac:dyDescent="0.3">
      <c r="A940" s="21"/>
      <c r="B940" s="22"/>
      <c r="C940" s="22"/>
    </row>
    <row r="941" spans="1:3" x14ac:dyDescent="0.3">
      <c r="A941" s="21"/>
      <c r="B941" s="22"/>
      <c r="C941" s="22"/>
    </row>
    <row r="942" spans="1:3" x14ac:dyDescent="0.3">
      <c r="A942" s="21"/>
      <c r="B942" s="22"/>
      <c r="C942" s="22"/>
    </row>
    <row r="943" spans="1:3" x14ac:dyDescent="0.3">
      <c r="A943" s="21"/>
      <c r="B943" s="22"/>
      <c r="C943" s="22"/>
    </row>
    <row r="944" spans="1:3" x14ac:dyDescent="0.3">
      <c r="A944" s="21"/>
      <c r="B944" s="22"/>
      <c r="C944" s="22"/>
    </row>
    <row r="945" spans="1:3" x14ac:dyDescent="0.3">
      <c r="A945" s="21"/>
      <c r="B945" s="22"/>
      <c r="C945" s="22"/>
    </row>
    <row r="946" spans="1:3" x14ac:dyDescent="0.3">
      <c r="A946" s="21"/>
      <c r="B946" s="22"/>
      <c r="C946" s="22"/>
    </row>
    <row r="947" spans="1:3" x14ac:dyDescent="0.3">
      <c r="A947" s="21"/>
      <c r="B947" s="22"/>
      <c r="C947" s="22"/>
    </row>
    <row r="948" spans="1:3" x14ac:dyDescent="0.3">
      <c r="A948" s="21"/>
      <c r="B948" s="22"/>
      <c r="C948" s="22"/>
    </row>
    <row r="949" spans="1:3" x14ac:dyDescent="0.3">
      <c r="A949" s="21"/>
      <c r="B949" s="22"/>
      <c r="C949" s="22"/>
    </row>
    <row r="950" spans="1:3" x14ac:dyDescent="0.3">
      <c r="A950" s="21"/>
      <c r="B950" s="22"/>
      <c r="C950" s="22"/>
    </row>
    <row r="951" spans="1:3" x14ac:dyDescent="0.3">
      <c r="A951" s="21"/>
      <c r="B951" s="22"/>
      <c r="C951" s="22"/>
    </row>
    <row r="952" spans="1:3" x14ac:dyDescent="0.3">
      <c r="A952" s="21"/>
      <c r="B952" s="22"/>
      <c r="C952" s="22"/>
    </row>
    <row r="953" spans="1:3" x14ac:dyDescent="0.3">
      <c r="A953" s="21"/>
      <c r="B953" s="22"/>
      <c r="C953" s="22"/>
    </row>
    <row r="954" spans="1:3" x14ac:dyDescent="0.3">
      <c r="A954" s="21"/>
      <c r="B954" s="22"/>
      <c r="C954" s="22"/>
    </row>
    <row r="955" spans="1:3" x14ac:dyDescent="0.3">
      <c r="A955" s="21"/>
      <c r="B955" s="22"/>
      <c r="C955" s="22"/>
    </row>
    <row r="956" spans="1:3" x14ac:dyDescent="0.3">
      <c r="A956" s="21"/>
      <c r="B956" s="22"/>
      <c r="C956" s="22"/>
    </row>
    <row r="957" spans="1:3" x14ac:dyDescent="0.3">
      <c r="A957" s="21"/>
      <c r="B957" s="22"/>
      <c r="C957" s="22"/>
    </row>
    <row r="958" spans="1:3" x14ac:dyDescent="0.3">
      <c r="A958" s="21"/>
      <c r="B958" s="22"/>
      <c r="C958" s="22"/>
    </row>
    <row r="959" spans="1:3" x14ac:dyDescent="0.3">
      <c r="A959" s="21"/>
      <c r="B959" s="22"/>
      <c r="C959" s="22"/>
    </row>
    <row r="960" spans="1:3" x14ac:dyDescent="0.3">
      <c r="A960" s="21"/>
      <c r="B960" s="22"/>
      <c r="C960" s="22"/>
    </row>
    <row r="961" spans="1:3" x14ac:dyDescent="0.3">
      <c r="A961" s="21"/>
      <c r="B961" s="22"/>
      <c r="C961" s="22"/>
    </row>
    <row r="962" spans="1:3" x14ac:dyDescent="0.3">
      <c r="A962" s="21"/>
      <c r="B962" s="22"/>
      <c r="C962" s="22"/>
    </row>
    <row r="963" spans="1:3" x14ac:dyDescent="0.3">
      <c r="A963" s="21"/>
      <c r="B963" s="22"/>
      <c r="C963" s="22"/>
    </row>
    <row r="964" spans="1:3" x14ac:dyDescent="0.3">
      <c r="A964" s="21"/>
      <c r="B964" s="22"/>
      <c r="C964" s="22"/>
    </row>
    <row r="965" spans="1:3" x14ac:dyDescent="0.3">
      <c r="A965" s="21"/>
      <c r="B965" s="22"/>
      <c r="C965" s="22"/>
    </row>
    <row r="966" spans="1:3" x14ac:dyDescent="0.3">
      <c r="A966" s="21"/>
      <c r="B966" s="22"/>
      <c r="C966" s="22"/>
    </row>
    <row r="967" spans="1:3" x14ac:dyDescent="0.3">
      <c r="A967" s="21"/>
      <c r="B967" s="22"/>
      <c r="C967" s="22"/>
    </row>
    <row r="968" spans="1:3" x14ac:dyDescent="0.3">
      <c r="A968" s="21"/>
      <c r="B968" s="22"/>
      <c r="C968" s="22"/>
    </row>
    <row r="969" spans="1:3" x14ac:dyDescent="0.3">
      <c r="A969" s="21"/>
      <c r="B969" s="22"/>
      <c r="C969" s="22"/>
    </row>
    <row r="970" spans="1:3" x14ac:dyDescent="0.3">
      <c r="A970" s="21"/>
      <c r="B970" s="22"/>
      <c r="C970" s="22"/>
    </row>
    <row r="971" spans="1:3" x14ac:dyDescent="0.3">
      <c r="A971" s="21"/>
      <c r="B971" s="22"/>
      <c r="C971" s="22"/>
    </row>
    <row r="972" spans="1:3" x14ac:dyDescent="0.3">
      <c r="A972" s="21"/>
      <c r="B972" s="22"/>
      <c r="C972" s="22"/>
    </row>
    <row r="973" spans="1:3" x14ac:dyDescent="0.3">
      <c r="A973" s="21"/>
      <c r="B973" s="22"/>
      <c r="C973" s="22"/>
    </row>
    <row r="974" spans="1:3" x14ac:dyDescent="0.3">
      <c r="A974" s="21"/>
      <c r="B974" s="22"/>
      <c r="C974" s="22"/>
    </row>
    <row r="975" spans="1:3" x14ac:dyDescent="0.3">
      <c r="A975" s="21"/>
      <c r="B975" s="22"/>
      <c r="C975" s="22"/>
    </row>
    <row r="976" spans="1:3" x14ac:dyDescent="0.3">
      <c r="A976" s="21"/>
      <c r="B976" s="22"/>
      <c r="C976" s="22"/>
    </row>
    <row r="977" spans="1:3" x14ac:dyDescent="0.3">
      <c r="A977" s="21"/>
      <c r="B977" s="22"/>
      <c r="C977" s="22"/>
    </row>
    <row r="978" spans="1:3" x14ac:dyDescent="0.3">
      <c r="A978" s="21"/>
      <c r="B978" s="22"/>
      <c r="C978" s="22"/>
    </row>
    <row r="979" spans="1:3" x14ac:dyDescent="0.3">
      <c r="A979" s="21"/>
      <c r="B979" s="22"/>
      <c r="C979" s="22"/>
    </row>
    <row r="980" spans="1:3" x14ac:dyDescent="0.3">
      <c r="A980" s="21"/>
      <c r="B980" s="22"/>
      <c r="C980" s="22"/>
    </row>
    <row r="981" spans="1:3" x14ac:dyDescent="0.3">
      <c r="A981" s="21"/>
      <c r="B981" s="22"/>
      <c r="C981" s="22"/>
    </row>
    <row r="982" spans="1:3" x14ac:dyDescent="0.3">
      <c r="A982" s="21"/>
      <c r="B982" s="22"/>
      <c r="C982" s="22"/>
    </row>
    <row r="983" spans="1:3" x14ac:dyDescent="0.3">
      <c r="A983" s="21"/>
      <c r="B983" s="22"/>
      <c r="C983" s="22"/>
    </row>
    <row r="984" spans="1:3" x14ac:dyDescent="0.3">
      <c r="A984" s="21"/>
      <c r="B984" s="22"/>
      <c r="C984" s="22"/>
    </row>
    <row r="985" spans="1:3" x14ac:dyDescent="0.3">
      <c r="A985" s="21"/>
      <c r="B985" s="22"/>
      <c r="C985" s="22"/>
    </row>
    <row r="986" spans="1:3" x14ac:dyDescent="0.3">
      <c r="A986" s="21"/>
      <c r="B986" s="22"/>
      <c r="C986" s="22"/>
    </row>
    <row r="987" spans="1:3" x14ac:dyDescent="0.3">
      <c r="A987" s="21"/>
      <c r="B987" s="22"/>
      <c r="C987" s="22"/>
    </row>
    <row r="988" spans="1:3" x14ac:dyDescent="0.3">
      <c r="A988" s="21"/>
      <c r="B988" s="22"/>
      <c r="C988" s="22"/>
    </row>
    <row r="989" spans="1:3" x14ac:dyDescent="0.3">
      <c r="A989" s="21"/>
      <c r="B989" s="22"/>
      <c r="C989" s="22"/>
    </row>
    <row r="990" spans="1:3" x14ac:dyDescent="0.3">
      <c r="A990" s="21"/>
      <c r="B990" s="22"/>
      <c r="C990" s="22"/>
    </row>
    <row r="991" spans="1:3" x14ac:dyDescent="0.3">
      <c r="A991" s="21"/>
      <c r="B991" s="22"/>
      <c r="C991" s="22"/>
    </row>
    <row r="992" spans="1:3" x14ac:dyDescent="0.3">
      <c r="A992" s="21"/>
      <c r="B992" s="22"/>
      <c r="C992" s="22"/>
    </row>
    <row r="993" spans="1:3" x14ac:dyDescent="0.3">
      <c r="A993" s="21"/>
      <c r="B993" s="22"/>
      <c r="C993" s="22"/>
    </row>
    <row r="994" spans="1:3" x14ac:dyDescent="0.3">
      <c r="A994" s="21"/>
      <c r="B994" s="22"/>
      <c r="C994" s="22"/>
    </row>
    <row r="995" spans="1:3" x14ac:dyDescent="0.3">
      <c r="A995" s="21"/>
      <c r="B995" s="22"/>
      <c r="C995" s="22"/>
    </row>
    <row r="996" spans="1:3" x14ac:dyDescent="0.3">
      <c r="A996" s="21"/>
      <c r="B996" s="22"/>
      <c r="C996" s="22"/>
    </row>
    <row r="997" spans="1:3" x14ac:dyDescent="0.3">
      <c r="A997" s="21"/>
      <c r="B997" s="22"/>
      <c r="C997" s="22"/>
    </row>
    <row r="998" spans="1:3" x14ac:dyDescent="0.3">
      <c r="A998" s="21"/>
      <c r="B998" s="22"/>
      <c r="C998" s="22"/>
    </row>
    <row r="999" spans="1:3" x14ac:dyDescent="0.3">
      <c r="A999" s="21"/>
      <c r="B999" s="22"/>
      <c r="C999" s="22"/>
    </row>
    <row r="1000" spans="1:3" x14ac:dyDescent="0.3">
      <c r="A1000" s="21"/>
      <c r="B1000" s="22"/>
      <c r="C1000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6838E-D7FD-40F6-9A40-91ADA321B966}">
  <sheetPr>
    <tabColor theme="4" tint="0.79998168889431442"/>
  </sheetPr>
  <dimension ref="A1:U29"/>
  <sheetViews>
    <sheetView topLeftCell="K1" workbookViewId="0">
      <selection activeCell="V1" sqref="V1:V1048576"/>
    </sheetView>
  </sheetViews>
  <sheetFormatPr baseColWidth="10" defaultColWidth="11.5546875" defaultRowHeight="14.4" outlineLevelCol="1" x14ac:dyDescent="0.3"/>
  <cols>
    <col min="1" max="1" width="18" bestFit="1" customWidth="1"/>
    <col min="2" max="2" width="9.109375" bestFit="1" customWidth="1"/>
    <col min="3" max="3" width="12.109375" bestFit="1" customWidth="1"/>
    <col min="4" max="4" width="10.88671875" bestFit="1" customWidth="1"/>
    <col min="5" max="5" width="10.109375" bestFit="1" customWidth="1"/>
    <col min="6" max="6" width="29.44140625" bestFit="1" customWidth="1"/>
    <col min="7" max="7" width="12.33203125" bestFit="1" customWidth="1"/>
    <col min="8" max="8" width="6.6640625" bestFit="1" customWidth="1"/>
    <col min="9" max="9" width="13.109375" bestFit="1" customWidth="1"/>
    <col min="10" max="10" width="29.44140625" bestFit="1" customWidth="1"/>
    <col min="11" max="11" width="9.109375" customWidth="1" outlineLevel="1"/>
    <col min="12" max="12" width="8.44140625" bestFit="1" customWidth="1"/>
    <col min="13" max="13" width="17.5546875" bestFit="1" customWidth="1"/>
    <col min="14" max="14" width="13.109375" customWidth="1" outlineLevel="1"/>
    <col min="15" max="15" width="11.33203125" customWidth="1" outlineLevel="1"/>
    <col min="16" max="16" width="39.109375" customWidth="1" outlineLevel="1"/>
    <col min="17" max="17" width="4.88671875" customWidth="1" outlineLevel="1"/>
    <col min="18" max="18" width="40.109375" bestFit="1" customWidth="1"/>
    <col min="19" max="19" width="15.88671875" bestFit="1" customWidth="1"/>
    <col min="20" max="20" width="14.6640625" bestFit="1" customWidth="1"/>
    <col min="21" max="21" width="14" bestFit="1" customWidth="1"/>
  </cols>
  <sheetData>
    <row r="1" spans="1:21" s="20" customFormat="1" x14ac:dyDescent="0.3">
      <c r="A1" s="34" t="s">
        <v>380</v>
      </c>
      <c r="B1" s="34" t="s">
        <v>381</v>
      </c>
      <c r="C1" s="34" t="s">
        <v>382</v>
      </c>
      <c r="D1" s="34" t="s">
        <v>250</v>
      </c>
      <c r="E1" s="34" t="s">
        <v>251</v>
      </c>
      <c r="F1" s="34" t="s">
        <v>252</v>
      </c>
      <c r="G1" s="34" t="s">
        <v>253</v>
      </c>
      <c r="H1" s="34" t="s">
        <v>383</v>
      </c>
      <c r="I1" s="34" t="s">
        <v>384</v>
      </c>
      <c r="J1" s="34" t="s">
        <v>249</v>
      </c>
      <c r="K1" s="34" t="s">
        <v>385</v>
      </c>
      <c r="L1" s="34" t="s">
        <v>386</v>
      </c>
      <c r="M1" s="34" t="s">
        <v>254</v>
      </c>
      <c r="N1" s="34" t="s">
        <v>255</v>
      </c>
      <c r="O1" s="34" t="s">
        <v>256</v>
      </c>
      <c r="P1" s="34" t="s">
        <v>257</v>
      </c>
      <c r="Q1" s="34" t="s">
        <v>387</v>
      </c>
      <c r="R1" s="34" t="s">
        <v>88</v>
      </c>
      <c r="S1" s="34" t="s">
        <v>388</v>
      </c>
      <c r="T1" s="34" t="s">
        <v>105</v>
      </c>
      <c r="U1" s="34" t="s">
        <v>389</v>
      </c>
    </row>
    <row r="2" spans="1:21" ht="15.75" customHeight="1" x14ac:dyDescent="0.3">
      <c r="A2" s="35" t="s">
        <v>615</v>
      </c>
      <c r="B2" s="35" t="s">
        <v>357</v>
      </c>
      <c r="C2" s="36">
        <v>46081</v>
      </c>
      <c r="D2" s="36">
        <v>46054</v>
      </c>
      <c r="E2" s="36">
        <v>46081</v>
      </c>
      <c r="F2" s="35" t="s">
        <v>275</v>
      </c>
      <c r="G2" s="35" t="s">
        <v>276</v>
      </c>
      <c r="H2" s="35" t="s">
        <v>279</v>
      </c>
      <c r="I2" s="35" t="s">
        <v>273</v>
      </c>
      <c r="J2" s="35" t="s">
        <v>280</v>
      </c>
      <c r="K2" s="35" t="s">
        <v>53</v>
      </c>
      <c r="L2" s="35" t="s">
        <v>308</v>
      </c>
      <c r="M2" s="35" t="s">
        <v>277</v>
      </c>
      <c r="N2" s="35">
        <v>2100001461</v>
      </c>
      <c r="O2" s="35" t="s">
        <v>278</v>
      </c>
      <c r="P2" s="35" t="s">
        <v>292</v>
      </c>
      <c r="Q2" s="35" t="s">
        <v>281</v>
      </c>
      <c r="R2" s="35" t="s">
        <v>58</v>
      </c>
      <c r="S2" s="37">
        <v>288.47000000000003</v>
      </c>
      <c r="T2" s="37">
        <v>288.47000000000003</v>
      </c>
      <c r="U2" s="38">
        <v>0</v>
      </c>
    </row>
    <row r="3" spans="1:21" x14ac:dyDescent="0.3">
      <c r="A3" s="35" t="s">
        <v>615</v>
      </c>
      <c r="B3" s="35" t="s">
        <v>357</v>
      </c>
      <c r="C3" s="36">
        <v>46081</v>
      </c>
      <c r="D3" s="36">
        <v>46056</v>
      </c>
      <c r="E3" s="36">
        <v>46081</v>
      </c>
      <c r="F3" s="35" t="s">
        <v>275</v>
      </c>
      <c r="G3" s="35" t="s">
        <v>276</v>
      </c>
      <c r="H3" s="35" t="s">
        <v>279</v>
      </c>
      <c r="I3" s="35" t="s">
        <v>616</v>
      </c>
      <c r="J3" s="35" t="s">
        <v>617</v>
      </c>
      <c r="K3" s="35" t="s">
        <v>53</v>
      </c>
      <c r="L3" s="35" t="s">
        <v>308</v>
      </c>
      <c r="M3" s="35" t="s">
        <v>277</v>
      </c>
      <c r="N3" s="35">
        <v>2100001461</v>
      </c>
      <c r="O3" s="35" t="s">
        <v>278</v>
      </c>
      <c r="P3" s="35" t="s">
        <v>292</v>
      </c>
      <c r="Q3" s="35" t="s">
        <v>281</v>
      </c>
      <c r="R3" s="35" t="s">
        <v>58</v>
      </c>
      <c r="S3" s="37">
        <v>2065.75</v>
      </c>
      <c r="T3" s="37">
        <v>2065.75</v>
      </c>
      <c r="U3" s="38">
        <v>0</v>
      </c>
    </row>
    <row r="4" spans="1:21" x14ac:dyDescent="0.3">
      <c r="A4" s="35" t="s">
        <v>618</v>
      </c>
      <c r="B4" s="35" t="s">
        <v>357</v>
      </c>
      <c r="C4" s="36">
        <v>46081</v>
      </c>
      <c r="D4" s="36">
        <v>46054</v>
      </c>
      <c r="E4" s="36">
        <v>46081</v>
      </c>
      <c r="F4" s="35" t="s">
        <v>275</v>
      </c>
      <c r="G4" s="35" t="s">
        <v>276</v>
      </c>
      <c r="H4" s="35" t="s">
        <v>279</v>
      </c>
      <c r="I4" s="35" t="s">
        <v>326</v>
      </c>
      <c r="J4" s="35" t="s">
        <v>327</v>
      </c>
      <c r="K4" s="35" t="s">
        <v>53</v>
      </c>
      <c r="L4" s="35" t="s">
        <v>308</v>
      </c>
      <c r="M4" s="35" t="s">
        <v>277</v>
      </c>
      <c r="N4" s="35">
        <v>2100001966</v>
      </c>
      <c r="O4" s="35" t="s">
        <v>282</v>
      </c>
      <c r="P4" s="35" t="s">
        <v>292</v>
      </c>
      <c r="Q4" s="35" t="s">
        <v>281</v>
      </c>
      <c r="R4" s="35" t="s">
        <v>58</v>
      </c>
      <c r="S4" s="37">
        <v>1497.88</v>
      </c>
      <c r="T4" s="37">
        <v>1497.88</v>
      </c>
      <c r="U4" s="38">
        <v>0</v>
      </c>
    </row>
    <row r="5" spans="1:21" x14ac:dyDescent="0.3">
      <c r="A5" s="35" t="s">
        <v>619</v>
      </c>
      <c r="B5" s="35" t="s">
        <v>357</v>
      </c>
      <c r="C5" s="36">
        <v>46081</v>
      </c>
      <c r="D5" s="36">
        <v>46054</v>
      </c>
      <c r="E5" s="36">
        <v>46081</v>
      </c>
      <c r="F5" s="35" t="s">
        <v>275</v>
      </c>
      <c r="G5" s="35" t="s">
        <v>276</v>
      </c>
      <c r="H5" s="35" t="s">
        <v>279</v>
      </c>
      <c r="I5" s="35" t="s">
        <v>555</v>
      </c>
      <c r="J5" s="35" t="s">
        <v>556</v>
      </c>
      <c r="K5" s="35" t="s">
        <v>53</v>
      </c>
      <c r="L5" s="35" t="s">
        <v>308</v>
      </c>
      <c r="M5" s="35" t="s">
        <v>277</v>
      </c>
      <c r="N5" s="35">
        <v>2100001899</v>
      </c>
      <c r="O5" s="35" t="s">
        <v>283</v>
      </c>
      <c r="P5" s="35" t="s">
        <v>292</v>
      </c>
      <c r="Q5" s="35" t="s">
        <v>281</v>
      </c>
      <c r="R5" s="35" t="s">
        <v>58</v>
      </c>
      <c r="S5" s="37">
        <v>999.97</v>
      </c>
      <c r="T5" s="37">
        <v>999.97</v>
      </c>
      <c r="U5" s="38">
        <v>0</v>
      </c>
    </row>
    <row r="6" spans="1:21" x14ac:dyDescent="0.3">
      <c r="A6" s="35" t="s">
        <v>619</v>
      </c>
      <c r="B6" s="35" t="s">
        <v>357</v>
      </c>
      <c r="C6" s="36">
        <v>46081</v>
      </c>
      <c r="D6" s="36">
        <v>46054</v>
      </c>
      <c r="E6" s="36">
        <v>46081</v>
      </c>
      <c r="F6" s="35" t="s">
        <v>275</v>
      </c>
      <c r="G6" s="35" t="s">
        <v>276</v>
      </c>
      <c r="H6" s="35" t="s">
        <v>279</v>
      </c>
      <c r="I6" s="35" t="s">
        <v>271</v>
      </c>
      <c r="J6" s="35" t="s">
        <v>284</v>
      </c>
      <c r="K6" s="35" t="s">
        <v>53</v>
      </c>
      <c r="L6" s="35" t="s">
        <v>308</v>
      </c>
      <c r="M6" s="35" t="s">
        <v>277</v>
      </c>
      <c r="N6" s="35">
        <v>2100001899</v>
      </c>
      <c r="O6" s="35" t="s">
        <v>283</v>
      </c>
      <c r="P6" s="35" t="s">
        <v>292</v>
      </c>
      <c r="Q6" s="35" t="s">
        <v>281</v>
      </c>
      <c r="R6" s="35" t="s">
        <v>58</v>
      </c>
      <c r="S6" s="37">
        <v>4773.92</v>
      </c>
      <c r="T6" s="37">
        <v>4773.92</v>
      </c>
      <c r="U6" s="38">
        <v>0</v>
      </c>
    </row>
    <row r="7" spans="1:21" x14ac:dyDescent="0.3">
      <c r="A7" s="35" t="s">
        <v>619</v>
      </c>
      <c r="B7" s="35" t="s">
        <v>357</v>
      </c>
      <c r="C7" s="36">
        <v>46081</v>
      </c>
      <c r="D7" s="36">
        <v>46073</v>
      </c>
      <c r="E7" s="36">
        <v>46081</v>
      </c>
      <c r="F7" s="35" t="s">
        <v>275</v>
      </c>
      <c r="G7" s="35" t="s">
        <v>276</v>
      </c>
      <c r="H7" s="35" t="s">
        <v>279</v>
      </c>
      <c r="I7" s="35" t="s">
        <v>620</v>
      </c>
      <c r="J7" s="35" t="s">
        <v>289</v>
      </c>
      <c r="K7" s="35" t="s">
        <v>53</v>
      </c>
      <c r="L7" s="35" t="s">
        <v>308</v>
      </c>
      <c r="M7" s="35" t="s">
        <v>277</v>
      </c>
      <c r="N7" s="35">
        <v>2100001899</v>
      </c>
      <c r="O7" s="35" t="s">
        <v>283</v>
      </c>
      <c r="P7" s="35" t="s">
        <v>292</v>
      </c>
      <c r="Q7" s="35" t="s">
        <v>281</v>
      </c>
      <c r="R7" s="35" t="s">
        <v>58</v>
      </c>
      <c r="S7" s="37">
        <v>848.2</v>
      </c>
      <c r="T7" s="37">
        <v>848.2</v>
      </c>
      <c r="U7" s="38">
        <v>0</v>
      </c>
    </row>
    <row r="8" spans="1:21" x14ac:dyDescent="0.3">
      <c r="A8" s="35" t="s">
        <v>619</v>
      </c>
      <c r="B8" s="35" t="s">
        <v>357</v>
      </c>
      <c r="C8" s="36">
        <v>46081</v>
      </c>
      <c r="D8" s="36">
        <v>46065</v>
      </c>
      <c r="E8" s="36">
        <v>46079</v>
      </c>
      <c r="F8" s="35" t="s">
        <v>275</v>
      </c>
      <c r="G8" s="35" t="s">
        <v>276</v>
      </c>
      <c r="H8" s="35" t="s">
        <v>279</v>
      </c>
      <c r="I8" s="35" t="s">
        <v>553</v>
      </c>
      <c r="J8" s="35" t="s">
        <v>554</v>
      </c>
      <c r="K8" s="35" t="s">
        <v>53</v>
      </c>
      <c r="L8" s="35" t="s">
        <v>308</v>
      </c>
      <c r="M8" s="35" t="s">
        <v>277</v>
      </c>
      <c r="N8" s="35">
        <v>2100001899</v>
      </c>
      <c r="O8" s="35" t="s">
        <v>283</v>
      </c>
      <c r="P8" s="35" t="s">
        <v>292</v>
      </c>
      <c r="Q8" s="35" t="s">
        <v>281</v>
      </c>
      <c r="R8" s="35" t="s">
        <v>58</v>
      </c>
      <c r="S8" s="37">
        <v>2000</v>
      </c>
      <c r="T8" s="37">
        <v>2000</v>
      </c>
      <c r="U8" s="38">
        <v>0</v>
      </c>
    </row>
    <row r="9" spans="1:21" x14ac:dyDescent="0.3">
      <c r="A9" s="35" t="s">
        <v>619</v>
      </c>
      <c r="B9" s="35" t="s">
        <v>357</v>
      </c>
      <c r="C9" s="36">
        <v>46081</v>
      </c>
      <c r="D9" s="36">
        <v>46054</v>
      </c>
      <c r="E9" s="36">
        <v>46081</v>
      </c>
      <c r="F9" s="35" t="s">
        <v>275</v>
      </c>
      <c r="G9" s="35" t="s">
        <v>276</v>
      </c>
      <c r="H9" s="35" t="s">
        <v>279</v>
      </c>
      <c r="I9" s="35" t="s">
        <v>328</v>
      </c>
      <c r="J9" s="35" t="s">
        <v>329</v>
      </c>
      <c r="K9" s="35" t="s">
        <v>53</v>
      </c>
      <c r="L9" s="35" t="s">
        <v>308</v>
      </c>
      <c r="M9" s="35" t="s">
        <v>277</v>
      </c>
      <c r="N9" s="35">
        <v>2100001899</v>
      </c>
      <c r="O9" s="35" t="s">
        <v>283</v>
      </c>
      <c r="P9" s="35" t="s">
        <v>292</v>
      </c>
      <c r="Q9" s="35" t="s">
        <v>281</v>
      </c>
      <c r="R9" s="35" t="s">
        <v>58</v>
      </c>
      <c r="S9" s="37">
        <v>16105.49</v>
      </c>
      <c r="T9" s="37">
        <v>16105.49</v>
      </c>
      <c r="U9" s="38">
        <v>0</v>
      </c>
    </row>
    <row r="10" spans="1:21" x14ac:dyDescent="0.3">
      <c r="A10" s="35" t="s">
        <v>619</v>
      </c>
      <c r="B10" s="35" t="s">
        <v>357</v>
      </c>
      <c r="C10" s="36">
        <v>46081</v>
      </c>
      <c r="D10" s="36">
        <v>46054</v>
      </c>
      <c r="E10" s="36">
        <v>46081</v>
      </c>
      <c r="F10" s="35" t="s">
        <v>275</v>
      </c>
      <c r="G10" s="35" t="s">
        <v>276</v>
      </c>
      <c r="H10" s="35" t="s">
        <v>279</v>
      </c>
      <c r="I10" s="35" t="s">
        <v>547</v>
      </c>
      <c r="J10" s="35" t="s">
        <v>548</v>
      </c>
      <c r="K10" s="35" t="s">
        <v>53</v>
      </c>
      <c r="L10" s="35" t="s">
        <v>308</v>
      </c>
      <c r="M10" s="35" t="s">
        <v>277</v>
      </c>
      <c r="N10" s="35">
        <v>2100001899</v>
      </c>
      <c r="O10" s="35" t="s">
        <v>283</v>
      </c>
      <c r="P10" s="35" t="s">
        <v>292</v>
      </c>
      <c r="Q10" s="35" t="s">
        <v>281</v>
      </c>
      <c r="R10" s="35" t="s">
        <v>58</v>
      </c>
      <c r="S10" s="37">
        <v>4027.45</v>
      </c>
      <c r="T10" s="37">
        <v>4027.45</v>
      </c>
      <c r="U10" s="38">
        <v>0</v>
      </c>
    </row>
    <row r="11" spans="1:21" x14ac:dyDescent="0.3">
      <c r="A11" s="35" t="s">
        <v>619</v>
      </c>
      <c r="B11" s="35" t="s">
        <v>357</v>
      </c>
      <c r="C11" s="36">
        <v>46081</v>
      </c>
      <c r="D11" s="36">
        <v>46054</v>
      </c>
      <c r="E11" s="36">
        <v>46081</v>
      </c>
      <c r="F11" s="35" t="s">
        <v>275</v>
      </c>
      <c r="G11" s="35" t="s">
        <v>276</v>
      </c>
      <c r="H11" s="35" t="s">
        <v>279</v>
      </c>
      <c r="I11" s="35" t="s">
        <v>344</v>
      </c>
      <c r="J11" s="35" t="s">
        <v>346</v>
      </c>
      <c r="K11" s="35" t="s">
        <v>53</v>
      </c>
      <c r="L11" s="35" t="s">
        <v>308</v>
      </c>
      <c r="M11" s="35" t="s">
        <v>277</v>
      </c>
      <c r="N11" s="35">
        <v>2100001899</v>
      </c>
      <c r="O11" s="35" t="s">
        <v>283</v>
      </c>
      <c r="P11" s="35" t="s">
        <v>292</v>
      </c>
      <c r="Q11" s="35" t="s">
        <v>281</v>
      </c>
      <c r="R11" s="35" t="s">
        <v>58</v>
      </c>
      <c r="S11" s="37">
        <v>1999.95</v>
      </c>
      <c r="T11" s="37">
        <v>1999.95</v>
      </c>
      <c r="U11" s="38">
        <v>0</v>
      </c>
    </row>
    <row r="12" spans="1:21" x14ac:dyDescent="0.3">
      <c r="A12" s="35" t="s">
        <v>619</v>
      </c>
      <c r="B12" s="35" t="s">
        <v>357</v>
      </c>
      <c r="C12" s="36">
        <v>46081</v>
      </c>
      <c r="D12" s="36">
        <v>46054</v>
      </c>
      <c r="E12" s="36">
        <v>46081</v>
      </c>
      <c r="F12" s="35" t="s">
        <v>275</v>
      </c>
      <c r="G12" s="35" t="s">
        <v>276</v>
      </c>
      <c r="H12" s="35" t="s">
        <v>279</v>
      </c>
      <c r="I12" s="35" t="s">
        <v>269</v>
      </c>
      <c r="J12" s="35" t="s">
        <v>285</v>
      </c>
      <c r="K12" s="35" t="s">
        <v>53</v>
      </c>
      <c r="L12" s="35" t="s">
        <v>308</v>
      </c>
      <c r="M12" s="35" t="s">
        <v>277</v>
      </c>
      <c r="N12" s="35">
        <v>2100001899</v>
      </c>
      <c r="O12" s="35" t="s">
        <v>283</v>
      </c>
      <c r="P12" s="35" t="s">
        <v>292</v>
      </c>
      <c r="Q12" s="35" t="s">
        <v>281</v>
      </c>
      <c r="R12" s="35" t="s">
        <v>58</v>
      </c>
      <c r="S12" s="37">
        <v>2986.68</v>
      </c>
      <c r="T12" s="37">
        <v>2986.68</v>
      </c>
      <c r="U12" s="38">
        <v>0</v>
      </c>
    </row>
    <row r="13" spans="1:21" x14ac:dyDescent="0.3">
      <c r="A13" s="35" t="s">
        <v>619</v>
      </c>
      <c r="B13" s="35" t="s">
        <v>357</v>
      </c>
      <c r="C13" s="36">
        <v>46081</v>
      </c>
      <c r="D13" s="36">
        <v>46054</v>
      </c>
      <c r="E13" s="36">
        <v>46081</v>
      </c>
      <c r="F13" s="35" t="s">
        <v>275</v>
      </c>
      <c r="G13" s="35" t="s">
        <v>276</v>
      </c>
      <c r="H13" s="35" t="s">
        <v>279</v>
      </c>
      <c r="I13" s="35" t="s">
        <v>360</v>
      </c>
      <c r="J13" s="35" t="s">
        <v>361</v>
      </c>
      <c r="K13" s="35" t="s">
        <v>53</v>
      </c>
      <c r="L13" s="35" t="s">
        <v>308</v>
      </c>
      <c r="M13" s="35" t="s">
        <v>277</v>
      </c>
      <c r="N13" s="35">
        <v>2100001899</v>
      </c>
      <c r="O13" s="35" t="s">
        <v>283</v>
      </c>
      <c r="P13" s="35" t="s">
        <v>292</v>
      </c>
      <c r="Q13" s="35" t="s">
        <v>281</v>
      </c>
      <c r="R13" s="35" t="s">
        <v>58</v>
      </c>
      <c r="S13" s="37">
        <v>2398.79</v>
      </c>
      <c r="T13" s="37">
        <v>2398.79</v>
      </c>
      <c r="U13" s="38">
        <v>0</v>
      </c>
    </row>
    <row r="14" spans="1:21" x14ac:dyDescent="0.3">
      <c r="A14" s="35" t="s">
        <v>619</v>
      </c>
      <c r="B14" s="35" t="s">
        <v>357</v>
      </c>
      <c r="C14" s="36">
        <v>46081</v>
      </c>
      <c r="D14" s="36">
        <v>46054</v>
      </c>
      <c r="E14" s="36">
        <v>46081</v>
      </c>
      <c r="F14" s="35" t="s">
        <v>275</v>
      </c>
      <c r="G14" s="35" t="s">
        <v>276</v>
      </c>
      <c r="H14" s="35" t="s">
        <v>279</v>
      </c>
      <c r="I14" s="35" t="s">
        <v>352</v>
      </c>
      <c r="J14" s="35" t="s">
        <v>359</v>
      </c>
      <c r="K14" s="35" t="s">
        <v>53</v>
      </c>
      <c r="L14" s="35" t="s">
        <v>308</v>
      </c>
      <c r="M14" s="35" t="s">
        <v>277</v>
      </c>
      <c r="N14" s="35">
        <v>2100001899</v>
      </c>
      <c r="O14" s="35" t="s">
        <v>283</v>
      </c>
      <c r="P14" s="35" t="s">
        <v>292</v>
      </c>
      <c r="Q14" s="35" t="s">
        <v>281</v>
      </c>
      <c r="R14" s="35" t="s">
        <v>58</v>
      </c>
      <c r="S14" s="37">
        <v>5184.83</v>
      </c>
      <c r="T14" s="37">
        <v>5184.83</v>
      </c>
      <c r="U14" s="38">
        <v>0</v>
      </c>
    </row>
    <row r="15" spans="1:21" x14ac:dyDescent="0.3">
      <c r="A15" s="35" t="s">
        <v>619</v>
      </c>
      <c r="B15" s="35" t="s">
        <v>357</v>
      </c>
      <c r="C15" s="36">
        <v>46081</v>
      </c>
      <c r="D15" s="36">
        <v>46054</v>
      </c>
      <c r="E15" s="36">
        <v>46078</v>
      </c>
      <c r="F15" s="35" t="s">
        <v>275</v>
      </c>
      <c r="G15" s="35" t="s">
        <v>276</v>
      </c>
      <c r="H15" s="35" t="s">
        <v>279</v>
      </c>
      <c r="I15" s="35" t="s">
        <v>375</v>
      </c>
      <c r="J15" s="35" t="s">
        <v>378</v>
      </c>
      <c r="K15" s="35" t="s">
        <v>53</v>
      </c>
      <c r="L15" s="35" t="s">
        <v>308</v>
      </c>
      <c r="M15" s="35" t="s">
        <v>277</v>
      </c>
      <c r="N15" s="35">
        <v>2100001899</v>
      </c>
      <c r="O15" s="35" t="s">
        <v>283</v>
      </c>
      <c r="P15" s="35" t="s">
        <v>292</v>
      </c>
      <c r="Q15" s="35" t="s">
        <v>281</v>
      </c>
      <c r="R15" s="35" t="s">
        <v>58</v>
      </c>
      <c r="S15" s="37">
        <v>912.96</v>
      </c>
      <c r="T15" s="37">
        <v>912.96</v>
      </c>
      <c r="U15" s="38">
        <v>0</v>
      </c>
    </row>
    <row r="16" spans="1:21" x14ac:dyDescent="0.3">
      <c r="A16" s="35" t="s">
        <v>619</v>
      </c>
      <c r="B16" s="35" t="s">
        <v>357</v>
      </c>
      <c r="C16" s="36">
        <v>46081</v>
      </c>
      <c r="D16" s="36">
        <v>46054</v>
      </c>
      <c r="E16" s="36">
        <v>46081</v>
      </c>
      <c r="F16" s="35" t="s">
        <v>275</v>
      </c>
      <c r="G16" s="35" t="s">
        <v>276</v>
      </c>
      <c r="H16" s="35" t="s">
        <v>279</v>
      </c>
      <c r="I16" s="35" t="s">
        <v>549</v>
      </c>
      <c r="J16" s="35" t="s">
        <v>550</v>
      </c>
      <c r="K16" s="35" t="s">
        <v>53</v>
      </c>
      <c r="L16" s="35" t="s">
        <v>308</v>
      </c>
      <c r="M16" s="35" t="s">
        <v>277</v>
      </c>
      <c r="N16" s="35">
        <v>2100001899</v>
      </c>
      <c r="O16" s="35" t="s">
        <v>283</v>
      </c>
      <c r="P16" s="35" t="s">
        <v>292</v>
      </c>
      <c r="Q16" s="35" t="s">
        <v>281</v>
      </c>
      <c r="R16" s="35" t="s">
        <v>58</v>
      </c>
      <c r="S16" s="37">
        <v>8000</v>
      </c>
      <c r="T16" s="37">
        <v>8000</v>
      </c>
      <c r="U16" s="38">
        <v>0</v>
      </c>
    </row>
    <row r="17" spans="1:21" x14ac:dyDescent="0.3">
      <c r="A17" s="35" t="s">
        <v>619</v>
      </c>
      <c r="B17" s="35" t="s">
        <v>357</v>
      </c>
      <c r="C17" s="36">
        <v>46081</v>
      </c>
      <c r="D17" s="36">
        <v>46054</v>
      </c>
      <c r="E17" s="36">
        <v>46081</v>
      </c>
      <c r="F17" s="35" t="s">
        <v>275</v>
      </c>
      <c r="G17" s="35" t="s">
        <v>276</v>
      </c>
      <c r="H17" s="35" t="s">
        <v>279</v>
      </c>
      <c r="I17" s="35" t="s">
        <v>272</v>
      </c>
      <c r="J17" s="35" t="s">
        <v>286</v>
      </c>
      <c r="K17" s="35" t="s">
        <v>53</v>
      </c>
      <c r="L17" s="35" t="s">
        <v>308</v>
      </c>
      <c r="M17" s="35" t="s">
        <v>277</v>
      </c>
      <c r="N17" s="35">
        <v>2100001899</v>
      </c>
      <c r="O17" s="35" t="s">
        <v>283</v>
      </c>
      <c r="P17" s="35" t="s">
        <v>292</v>
      </c>
      <c r="Q17" s="35" t="s">
        <v>281</v>
      </c>
      <c r="R17" s="35" t="s">
        <v>58</v>
      </c>
      <c r="S17" s="37">
        <v>1998.87</v>
      </c>
      <c r="T17" s="37">
        <v>1998.87</v>
      </c>
      <c r="U17" s="38">
        <v>0</v>
      </c>
    </row>
    <row r="18" spans="1:21" x14ac:dyDescent="0.3">
      <c r="A18" s="35" t="s">
        <v>619</v>
      </c>
      <c r="B18" s="35" t="s">
        <v>357</v>
      </c>
      <c r="C18" s="36">
        <v>46081</v>
      </c>
      <c r="D18" s="36">
        <v>46054</v>
      </c>
      <c r="E18" s="36">
        <v>46081</v>
      </c>
      <c r="F18" s="35" t="s">
        <v>275</v>
      </c>
      <c r="G18" s="35" t="s">
        <v>276</v>
      </c>
      <c r="H18" s="35" t="s">
        <v>279</v>
      </c>
      <c r="I18" s="35" t="s">
        <v>362</v>
      </c>
      <c r="J18" s="35" t="s">
        <v>363</v>
      </c>
      <c r="K18" s="35" t="s">
        <v>53</v>
      </c>
      <c r="L18" s="35" t="s">
        <v>308</v>
      </c>
      <c r="M18" s="35" t="s">
        <v>277</v>
      </c>
      <c r="N18" s="35">
        <v>2100001899</v>
      </c>
      <c r="O18" s="35" t="s">
        <v>283</v>
      </c>
      <c r="P18" s="35" t="s">
        <v>292</v>
      </c>
      <c r="Q18" s="35" t="s">
        <v>281</v>
      </c>
      <c r="R18" s="35" t="s">
        <v>58</v>
      </c>
      <c r="S18" s="37">
        <v>2019.13</v>
      </c>
      <c r="T18" s="37">
        <v>2019.13</v>
      </c>
      <c r="U18" s="38">
        <v>0</v>
      </c>
    </row>
    <row r="19" spans="1:21" x14ac:dyDescent="0.3">
      <c r="A19" s="35" t="s">
        <v>619</v>
      </c>
      <c r="B19" s="35" t="s">
        <v>357</v>
      </c>
      <c r="C19" s="36">
        <v>46081</v>
      </c>
      <c r="D19" s="36">
        <v>46054</v>
      </c>
      <c r="E19" s="36">
        <v>46081</v>
      </c>
      <c r="F19" s="35" t="s">
        <v>275</v>
      </c>
      <c r="G19" s="35" t="s">
        <v>276</v>
      </c>
      <c r="H19" s="35" t="s">
        <v>279</v>
      </c>
      <c r="I19" s="35" t="s">
        <v>270</v>
      </c>
      <c r="J19" s="35" t="s">
        <v>288</v>
      </c>
      <c r="K19" s="35" t="s">
        <v>53</v>
      </c>
      <c r="L19" s="35" t="s">
        <v>308</v>
      </c>
      <c r="M19" s="35" t="s">
        <v>277</v>
      </c>
      <c r="N19" s="35">
        <v>2100001899</v>
      </c>
      <c r="O19" s="35" t="s">
        <v>283</v>
      </c>
      <c r="P19" s="35" t="s">
        <v>292</v>
      </c>
      <c r="Q19" s="35" t="s">
        <v>281</v>
      </c>
      <c r="R19" s="35" t="s">
        <v>58</v>
      </c>
      <c r="S19" s="37">
        <v>3699.53</v>
      </c>
      <c r="T19" s="37">
        <v>3699.53</v>
      </c>
      <c r="U19" s="38">
        <v>0</v>
      </c>
    </row>
    <row r="20" spans="1:21" x14ac:dyDescent="0.3">
      <c r="A20" s="35" t="s">
        <v>619</v>
      </c>
      <c r="B20" s="35" t="s">
        <v>357</v>
      </c>
      <c r="C20" s="36">
        <v>46081</v>
      </c>
      <c r="D20" s="36">
        <v>46054</v>
      </c>
      <c r="E20" s="36">
        <v>46081</v>
      </c>
      <c r="F20" s="35" t="s">
        <v>275</v>
      </c>
      <c r="G20" s="35" t="s">
        <v>276</v>
      </c>
      <c r="H20" s="35" t="s">
        <v>279</v>
      </c>
      <c r="I20" s="35" t="s">
        <v>320</v>
      </c>
      <c r="J20" s="35" t="s">
        <v>325</v>
      </c>
      <c r="K20" s="35" t="s">
        <v>53</v>
      </c>
      <c r="L20" s="35" t="s">
        <v>308</v>
      </c>
      <c r="M20" s="35" t="s">
        <v>277</v>
      </c>
      <c r="N20" s="35">
        <v>2100001899</v>
      </c>
      <c r="O20" s="35" t="s">
        <v>283</v>
      </c>
      <c r="P20" s="35" t="s">
        <v>292</v>
      </c>
      <c r="Q20" s="35" t="s">
        <v>281</v>
      </c>
      <c r="R20" s="35" t="s">
        <v>58</v>
      </c>
      <c r="S20" s="37">
        <v>1800</v>
      </c>
      <c r="T20" s="37">
        <v>1800</v>
      </c>
      <c r="U20" s="38">
        <v>0</v>
      </c>
    </row>
    <row r="21" spans="1:21" x14ac:dyDescent="0.3">
      <c r="A21" s="35" t="s">
        <v>619</v>
      </c>
      <c r="B21" s="35" t="s">
        <v>357</v>
      </c>
      <c r="C21" s="36">
        <v>46081</v>
      </c>
      <c r="D21" s="36">
        <v>46054</v>
      </c>
      <c r="E21" s="36">
        <v>46081</v>
      </c>
      <c r="F21" s="35" t="s">
        <v>275</v>
      </c>
      <c r="G21" s="35" t="s">
        <v>276</v>
      </c>
      <c r="H21" s="35" t="s">
        <v>279</v>
      </c>
      <c r="I21" s="35" t="s">
        <v>339</v>
      </c>
      <c r="J21" s="35" t="s">
        <v>347</v>
      </c>
      <c r="K21" s="35" t="s">
        <v>53</v>
      </c>
      <c r="L21" s="35" t="s">
        <v>308</v>
      </c>
      <c r="M21" s="35" t="s">
        <v>277</v>
      </c>
      <c r="N21" s="35">
        <v>2100001899</v>
      </c>
      <c r="O21" s="35" t="s">
        <v>283</v>
      </c>
      <c r="P21" s="35" t="s">
        <v>292</v>
      </c>
      <c r="Q21" s="35" t="s">
        <v>281</v>
      </c>
      <c r="R21" s="35" t="s">
        <v>58</v>
      </c>
      <c r="S21" s="37">
        <v>2991.08</v>
      </c>
      <c r="T21" s="37">
        <v>2991.08</v>
      </c>
      <c r="U21" s="38">
        <v>0</v>
      </c>
    </row>
    <row r="22" spans="1:21" x14ac:dyDescent="0.3">
      <c r="A22" s="35" t="s">
        <v>619</v>
      </c>
      <c r="B22" s="35" t="s">
        <v>357</v>
      </c>
      <c r="C22" s="36">
        <v>46081</v>
      </c>
      <c r="D22" s="36">
        <v>46054</v>
      </c>
      <c r="E22" s="36">
        <v>46054</v>
      </c>
      <c r="F22" s="35" t="s">
        <v>275</v>
      </c>
      <c r="G22" s="35" t="s">
        <v>276</v>
      </c>
      <c r="H22" s="35" t="s">
        <v>279</v>
      </c>
      <c r="I22" s="35" t="s">
        <v>371</v>
      </c>
      <c r="J22" s="35" t="s">
        <v>379</v>
      </c>
      <c r="K22" s="35" t="s">
        <v>53</v>
      </c>
      <c r="L22" s="35" t="s">
        <v>308</v>
      </c>
      <c r="M22" s="35" t="s">
        <v>277</v>
      </c>
      <c r="N22" s="35">
        <v>2100001899</v>
      </c>
      <c r="O22" s="35" t="s">
        <v>283</v>
      </c>
      <c r="P22" s="35" t="s">
        <v>292</v>
      </c>
      <c r="Q22" s="35" t="s">
        <v>281</v>
      </c>
      <c r="R22" s="35" t="s">
        <v>58</v>
      </c>
      <c r="S22" s="37">
        <v>0.05</v>
      </c>
      <c r="T22" s="37">
        <v>0.05</v>
      </c>
      <c r="U22" s="38">
        <v>0</v>
      </c>
    </row>
    <row r="23" spans="1:21" x14ac:dyDescent="0.3">
      <c r="A23" s="35" t="s">
        <v>619</v>
      </c>
      <c r="B23" s="35" t="s">
        <v>357</v>
      </c>
      <c r="C23" s="36">
        <v>46081</v>
      </c>
      <c r="D23" s="36">
        <v>46054</v>
      </c>
      <c r="E23" s="36">
        <v>46081</v>
      </c>
      <c r="F23" s="35" t="s">
        <v>275</v>
      </c>
      <c r="G23" s="35" t="s">
        <v>276</v>
      </c>
      <c r="H23" s="35" t="s">
        <v>279</v>
      </c>
      <c r="I23" s="35" t="s">
        <v>299</v>
      </c>
      <c r="J23" s="35" t="s">
        <v>295</v>
      </c>
      <c r="K23" s="35" t="s">
        <v>53</v>
      </c>
      <c r="L23" s="35" t="s">
        <v>308</v>
      </c>
      <c r="M23" s="35" t="s">
        <v>277</v>
      </c>
      <c r="N23" s="35">
        <v>2100001899</v>
      </c>
      <c r="O23" s="35" t="s">
        <v>283</v>
      </c>
      <c r="P23" s="35" t="s">
        <v>292</v>
      </c>
      <c r="Q23" s="35" t="s">
        <v>281</v>
      </c>
      <c r="R23" s="35" t="s">
        <v>58</v>
      </c>
      <c r="S23" s="37">
        <v>6679.94</v>
      </c>
      <c r="T23" s="37">
        <v>6679.94</v>
      </c>
      <c r="U23" s="38">
        <v>0</v>
      </c>
    </row>
    <row r="24" spans="1:21" x14ac:dyDescent="0.3">
      <c r="A24" s="35" t="s">
        <v>619</v>
      </c>
      <c r="B24" s="35" t="s">
        <v>357</v>
      </c>
      <c r="C24" s="36">
        <v>46081</v>
      </c>
      <c r="D24" s="36">
        <v>46065</v>
      </c>
      <c r="E24" s="36">
        <v>46081</v>
      </c>
      <c r="F24" s="35" t="s">
        <v>275</v>
      </c>
      <c r="G24" s="35" t="s">
        <v>276</v>
      </c>
      <c r="H24" s="35" t="s">
        <v>279</v>
      </c>
      <c r="I24" s="35" t="s">
        <v>621</v>
      </c>
      <c r="J24" s="35" t="s">
        <v>622</v>
      </c>
      <c r="K24" s="35" t="s">
        <v>53</v>
      </c>
      <c r="L24" s="35" t="s">
        <v>308</v>
      </c>
      <c r="M24" s="35" t="s">
        <v>277</v>
      </c>
      <c r="N24" s="35">
        <v>2100001899</v>
      </c>
      <c r="O24" s="35" t="s">
        <v>283</v>
      </c>
      <c r="P24" s="35" t="s">
        <v>292</v>
      </c>
      <c r="Q24" s="35" t="s">
        <v>281</v>
      </c>
      <c r="R24" s="35" t="s">
        <v>58</v>
      </c>
      <c r="S24" s="37">
        <v>2500</v>
      </c>
      <c r="T24" s="37">
        <v>2500</v>
      </c>
      <c r="U24" s="38">
        <v>0</v>
      </c>
    </row>
    <row r="25" spans="1:21" x14ac:dyDescent="0.3">
      <c r="A25" s="35" t="s">
        <v>619</v>
      </c>
      <c r="B25" s="35" t="s">
        <v>357</v>
      </c>
      <c r="C25" s="36">
        <v>46081</v>
      </c>
      <c r="D25" s="36">
        <v>46080</v>
      </c>
      <c r="E25" s="36">
        <v>46081</v>
      </c>
      <c r="F25" s="35" t="s">
        <v>275</v>
      </c>
      <c r="G25" s="35" t="s">
        <v>276</v>
      </c>
      <c r="H25" s="35" t="s">
        <v>279</v>
      </c>
      <c r="I25" s="35" t="s">
        <v>623</v>
      </c>
      <c r="J25" s="35" t="s">
        <v>624</v>
      </c>
      <c r="K25" s="35" t="s">
        <v>53</v>
      </c>
      <c r="L25" s="35" t="s">
        <v>308</v>
      </c>
      <c r="M25" s="35" t="s">
        <v>277</v>
      </c>
      <c r="N25" s="35">
        <v>2100001899</v>
      </c>
      <c r="O25" s="35" t="s">
        <v>283</v>
      </c>
      <c r="P25" s="35" t="s">
        <v>292</v>
      </c>
      <c r="Q25" s="35" t="s">
        <v>281</v>
      </c>
      <c r="R25" s="35" t="s">
        <v>58</v>
      </c>
      <c r="S25" s="37">
        <v>265.76</v>
      </c>
      <c r="T25" s="37">
        <v>265.76</v>
      </c>
      <c r="U25" s="38">
        <v>0</v>
      </c>
    </row>
    <row r="26" spans="1:21" x14ac:dyDescent="0.3">
      <c r="A26" s="35" t="s">
        <v>619</v>
      </c>
      <c r="B26" s="35" t="s">
        <v>357</v>
      </c>
      <c r="C26" s="36">
        <v>46081</v>
      </c>
      <c r="D26" s="36">
        <v>46054</v>
      </c>
      <c r="E26" s="36">
        <v>46081</v>
      </c>
      <c r="F26" s="35" t="s">
        <v>275</v>
      </c>
      <c r="G26" s="35" t="s">
        <v>276</v>
      </c>
      <c r="H26" s="35" t="s">
        <v>279</v>
      </c>
      <c r="I26" s="35" t="s">
        <v>355</v>
      </c>
      <c r="J26" s="35" t="s">
        <v>358</v>
      </c>
      <c r="K26" s="35" t="s">
        <v>53</v>
      </c>
      <c r="L26" s="35" t="s">
        <v>308</v>
      </c>
      <c r="M26" s="35" t="s">
        <v>277</v>
      </c>
      <c r="N26" s="35">
        <v>2100001899</v>
      </c>
      <c r="O26" s="35" t="s">
        <v>283</v>
      </c>
      <c r="P26" s="35" t="s">
        <v>292</v>
      </c>
      <c r="Q26" s="35" t="s">
        <v>281</v>
      </c>
      <c r="R26" s="35" t="s">
        <v>58</v>
      </c>
      <c r="S26" s="37">
        <v>998.79</v>
      </c>
      <c r="T26" s="37">
        <v>998.79</v>
      </c>
      <c r="U26" s="38">
        <v>0</v>
      </c>
    </row>
    <row r="27" spans="1:21" x14ac:dyDescent="0.3">
      <c r="A27" s="35" t="s">
        <v>619</v>
      </c>
      <c r="B27" s="35" t="s">
        <v>357</v>
      </c>
      <c r="C27" s="36">
        <v>46081</v>
      </c>
      <c r="D27" s="36">
        <v>46054</v>
      </c>
      <c r="E27" s="36">
        <v>46081</v>
      </c>
      <c r="F27" s="35" t="s">
        <v>275</v>
      </c>
      <c r="G27" s="35" t="s">
        <v>276</v>
      </c>
      <c r="H27" s="35" t="s">
        <v>279</v>
      </c>
      <c r="I27" s="35" t="s">
        <v>302</v>
      </c>
      <c r="J27" s="35" t="s">
        <v>293</v>
      </c>
      <c r="K27" s="35" t="s">
        <v>53</v>
      </c>
      <c r="L27" s="35" t="s">
        <v>308</v>
      </c>
      <c r="M27" s="35" t="s">
        <v>277</v>
      </c>
      <c r="N27" s="35">
        <v>2100001899</v>
      </c>
      <c r="O27" s="35" t="s">
        <v>283</v>
      </c>
      <c r="P27" s="35" t="s">
        <v>292</v>
      </c>
      <c r="Q27" s="35" t="s">
        <v>281</v>
      </c>
      <c r="R27" s="35" t="s">
        <v>58</v>
      </c>
      <c r="S27" s="37">
        <v>1173.05</v>
      </c>
      <c r="T27" s="37">
        <v>1173.05</v>
      </c>
      <c r="U27" s="38">
        <v>0</v>
      </c>
    </row>
    <row r="28" spans="1:21" x14ac:dyDescent="0.3">
      <c r="A28" s="35" t="s">
        <v>619</v>
      </c>
      <c r="B28" s="35" t="s">
        <v>357</v>
      </c>
      <c r="C28" s="36">
        <v>46081</v>
      </c>
      <c r="D28" s="36">
        <v>46054</v>
      </c>
      <c r="E28" s="36">
        <v>46081</v>
      </c>
      <c r="F28" s="35" t="s">
        <v>275</v>
      </c>
      <c r="G28" s="35" t="s">
        <v>276</v>
      </c>
      <c r="H28" s="35" t="s">
        <v>279</v>
      </c>
      <c r="I28" s="35" t="s">
        <v>297</v>
      </c>
      <c r="J28" s="35" t="s">
        <v>294</v>
      </c>
      <c r="K28" s="35" t="s">
        <v>53</v>
      </c>
      <c r="L28" s="35" t="s">
        <v>308</v>
      </c>
      <c r="M28" s="35" t="s">
        <v>277</v>
      </c>
      <c r="N28" s="35">
        <v>2100001899</v>
      </c>
      <c r="O28" s="35" t="s">
        <v>283</v>
      </c>
      <c r="P28" s="35" t="s">
        <v>292</v>
      </c>
      <c r="Q28" s="35" t="s">
        <v>281</v>
      </c>
      <c r="R28" s="35" t="s">
        <v>58</v>
      </c>
      <c r="S28" s="37">
        <v>2771.71</v>
      </c>
      <c r="T28" s="37">
        <v>2771.71</v>
      </c>
      <c r="U28" s="38">
        <v>0</v>
      </c>
    </row>
    <row r="29" spans="1:21" x14ac:dyDescent="0.3">
      <c r="A29" s="35" t="s">
        <v>619</v>
      </c>
      <c r="B29" s="35" t="s">
        <v>357</v>
      </c>
      <c r="C29" s="36">
        <v>46081</v>
      </c>
      <c r="D29" s="36">
        <v>46054</v>
      </c>
      <c r="E29" s="36">
        <v>46081</v>
      </c>
      <c r="F29" s="35" t="s">
        <v>275</v>
      </c>
      <c r="G29" s="35" t="s">
        <v>276</v>
      </c>
      <c r="H29" s="35" t="s">
        <v>279</v>
      </c>
      <c r="I29" s="35" t="s">
        <v>551</v>
      </c>
      <c r="J29" s="35" t="s">
        <v>552</v>
      </c>
      <c r="K29" s="35" t="s">
        <v>53</v>
      </c>
      <c r="L29" s="35" t="s">
        <v>308</v>
      </c>
      <c r="M29" s="35" t="s">
        <v>277</v>
      </c>
      <c r="N29" s="35">
        <v>2100001899</v>
      </c>
      <c r="O29" s="35" t="s">
        <v>283</v>
      </c>
      <c r="P29" s="35" t="s">
        <v>292</v>
      </c>
      <c r="Q29" s="35" t="s">
        <v>281</v>
      </c>
      <c r="R29" s="35" t="s">
        <v>58</v>
      </c>
      <c r="S29" s="37">
        <v>9029.1299999999992</v>
      </c>
      <c r="T29" s="37">
        <v>9029.1299999999992</v>
      </c>
      <c r="U29" s="38">
        <v>0</v>
      </c>
    </row>
  </sheetData>
  <autoFilter ref="A1:U29" xr:uid="{2F46838E-D7FD-40F6-9A40-91ADA321B966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5B12-B875-4D48-83EB-788FCE71FE67}">
  <dimension ref="A1:U5"/>
  <sheetViews>
    <sheetView workbookViewId="0">
      <selection activeCell="U4" sqref="U4"/>
    </sheetView>
  </sheetViews>
  <sheetFormatPr baseColWidth="10" defaultColWidth="8.88671875" defaultRowHeight="14.4" outlineLevelCol="1" x14ac:dyDescent="0.3"/>
  <cols>
    <col min="1" max="2" width="10.109375" style="101" bestFit="1" customWidth="1"/>
    <col min="3" max="3" width="13.77734375" style="101" bestFit="1" customWidth="1"/>
    <col min="4" max="5" width="10.109375" style="101" bestFit="1" customWidth="1"/>
    <col min="6" max="6" width="8.88671875" style="101"/>
    <col min="7" max="7" width="16.77734375" style="101" bestFit="1" customWidth="1"/>
    <col min="8" max="9" width="8.88671875" style="101"/>
    <col min="10" max="10" width="18" style="101" bestFit="1" customWidth="1"/>
    <col min="11" max="11" width="0" style="101" hidden="1" customWidth="1" outlineLevel="1"/>
    <col min="12" max="12" width="4.88671875" style="101" customWidth="1" collapsed="1"/>
    <col min="13" max="13" width="13.6640625" style="101" customWidth="1"/>
    <col min="14" max="14" width="8.88671875" style="101"/>
    <col min="15" max="15" width="21.109375" style="101" customWidth="1"/>
    <col min="16" max="16" width="38.5546875" style="101" bestFit="1" customWidth="1"/>
    <col min="17" max="17" width="10.21875" style="101" bestFit="1" customWidth="1"/>
    <col min="18" max="18" width="8.88671875" style="101"/>
    <col min="19" max="19" width="12.88671875" style="101" bestFit="1" customWidth="1"/>
    <col min="20" max="16384" width="8.88671875" style="101"/>
  </cols>
  <sheetData>
    <row r="1" spans="1:21" x14ac:dyDescent="0.3">
      <c r="A1" s="99" t="s">
        <v>380</v>
      </c>
      <c r="B1" s="99" t="s">
        <v>381</v>
      </c>
      <c r="C1" s="99" t="s">
        <v>382</v>
      </c>
      <c r="D1" s="99" t="s">
        <v>250</v>
      </c>
      <c r="E1" s="99" t="s">
        <v>251</v>
      </c>
      <c r="F1" s="99" t="s">
        <v>252</v>
      </c>
      <c r="G1" s="99" t="s">
        <v>253</v>
      </c>
      <c r="H1" s="99" t="s">
        <v>383</v>
      </c>
      <c r="I1" s="99" t="s">
        <v>384</v>
      </c>
      <c r="J1" s="99" t="s">
        <v>249</v>
      </c>
      <c r="K1" s="99" t="s">
        <v>385</v>
      </c>
      <c r="L1" s="99" t="s">
        <v>386</v>
      </c>
      <c r="M1" s="99" t="s">
        <v>254</v>
      </c>
      <c r="N1" s="99" t="s">
        <v>255</v>
      </c>
      <c r="O1" s="99" t="s">
        <v>256</v>
      </c>
      <c r="P1" s="100" t="s">
        <v>257</v>
      </c>
      <c r="Q1" s="99" t="s">
        <v>387</v>
      </c>
      <c r="R1" s="99" t="s">
        <v>88</v>
      </c>
      <c r="S1" s="99" t="s">
        <v>388</v>
      </c>
      <c r="T1" s="99" t="s">
        <v>105</v>
      </c>
      <c r="U1" s="99" t="s">
        <v>389</v>
      </c>
    </row>
    <row r="2" spans="1:21" s="104" customFormat="1" x14ac:dyDescent="0.3">
      <c r="A2" s="102" t="s">
        <v>770</v>
      </c>
      <c r="B2" s="102" t="s">
        <v>357</v>
      </c>
      <c r="C2" s="103">
        <v>46081</v>
      </c>
      <c r="D2" s="103">
        <v>46054</v>
      </c>
      <c r="E2" s="103">
        <v>46081</v>
      </c>
      <c r="F2" s="102" t="s">
        <v>275</v>
      </c>
      <c r="G2" s="102" t="s">
        <v>276</v>
      </c>
      <c r="H2" s="102" t="s">
        <v>771</v>
      </c>
      <c r="I2" s="102">
        <v>86037</v>
      </c>
      <c r="J2" s="102" t="s">
        <v>772</v>
      </c>
      <c r="K2" s="102" t="s">
        <v>53</v>
      </c>
      <c r="L2" s="102" t="s">
        <v>308</v>
      </c>
      <c r="M2" s="102" t="s">
        <v>277</v>
      </c>
      <c r="N2" s="102">
        <v>1100019323</v>
      </c>
      <c r="O2" s="102" t="s">
        <v>773</v>
      </c>
      <c r="P2" s="104" t="s">
        <v>292</v>
      </c>
      <c r="Q2" s="102" t="s">
        <v>771</v>
      </c>
      <c r="R2" s="102" t="s">
        <v>58</v>
      </c>
      <c r="S2" s="105">
        <v>7036.65</v>
      </c>
      <c r="T2" s="105">
        <v>7036.65</v>
      </c>
      <c r="U2" s="106">
        <v>0</v>
      </c>
    </row>
    <row r="3" spans="1:21" s="104" customFormat="1" x14ac:dyDescent="0.3">
      <c r="A3" s="102" t="s">
        <v>774</v>
      </c>
      <c r="B3" s="102" t="s">
        <v>357</v>
      </c>
      <c r="C3" s="103">
        <v>46081</v>
      </c>
      <c r="D3" s="103">
        <v>46054</v>
      </c>
      <c r="E3" s="103">
        <v>46078</v>
      </c>
      <c r="F3" s="102" t="s">
        <v>275</v>
      </c>
      <c r="G3" s="102" t="s">
        <v>276</v>
      </c>
      <c r="H3" s="102" t="s">
        <v>775</v>
      </c>
      <c r="I3" s="102">
        <v>115957</v>
      </c>
      <c r="J3" s="102" t="s">
        <v>776</v>
      </c>
      <c r="K3" s="102" t="s">
        <v>53</v>
      </c>
      <c r="L3" s="102" t="s">
        <v>777</v>
      </c>
      <c r="M3" s="107" t="s">
        <v>778</v>
      </c>
      <c r="N3" s="102">
        <v>1100024541</v>
      </c>
      <c r="O3" s="102" t="s">
        <v>779</v>
      </c>
      <c r="P3" s="104" t="s">
        <v>292</v>
      </c>
      <c r="Q3" s="102" t="s">
        <v>775</v>
      </c>
      <c r="R3" s="107" t="s">
        <v>104</v>
      </c>
      <c r="S3" s="105">
        <v>7257.09</v>
      </c>
      <c r="T3" s="105">
        <v>7257.09</v>
      </c>
      <c r="U3" s="106">
        <v>0</v>
      </c>
    </row>
    <row r="4" spans="1:21" s="104" customFormat="1" x14ac:dyDescent="0.3">
      <c r="A4" s="102" t="s">
        <v>780</v>
      </c>
      <c r="B4" s="102" t="s">
        <v>357</v>
      </c>
      <c r="C4" s="103">
        <v>46081</v>
      </c>
      <c r="D4" s="103">
        <v>46054</v>
      </c>
      <c r="E4" s="103">
        <v>46081</v>
      </c>
      <c r="F4" s="102" t="s">
        <v>275</v>
      </c>
      <c r="G4" s="102" t="s">
        <v>276</v>
      </c>
      <c r="H4" s="102" t="s">
        <v>781</v>
      </c>
      <c r="I4" s="102">
        <v>111236</v>
      </c>
      <c r="J4" s="102" t="s">
        <v>782</v>
      </c>
      <c r="K4" s="102" t="s">
        <v>53</v>
      </c>
      <c r="L4" s="102" t="s">
        <v>308</v>
      </c>
      <c r="M4" s="102" t="s">
        <v>277</v>
      </c>
      <c r="N4" s="102">
        <v>1100021480</v>
      </c>
      <c r="O4" s="102" t="s">
        <v>783</v>
      </c>
      <c r="P4" s="104" t="s">
        <v>292</v>
      </c>
      <c r="Q4" s="102" t="s">
        <v>781</v>
      </c>
      <c r="R4" s="102" t="s">
        <v>58</v>
      </c>
      <c r="S4" s="105">
        <v>1533.98</v>
      </c>
      <c r="T4" s="105">
        <v>1533.98</v>
      </c>
      <c r="U4" s="106">
        <v>0</v>
      </c>
    </row>
    <row r="5" spans="1:21" s="104" customFormat="1" x14ac:dyDescent="0.3">
      <c r="A5" s="102" t="s">
        <v>784</v>
      </c>
      <c r="B5" s="102" t="s">
        <v>357</v>
      </c>
      <c r="C5" s="103">
        <v>46081</v>
      </c>
      <c r="D5" s="103">
        <v>46054</v>
      </c>
      <c r="E5" s="103">
        <v>46081</v>
      </c>
      <c r="F5" s="102" t="s">
        <v>275</v>
      </c>
      <c r="G5" s="102" t="s">
        <v>276</v>
      </c>
      <c r="H5" s="102" t="s">
        <v>287</v>
      </c>
      <c r="I5" s="102">
        <v>111235</v>
      </c>
      <c r="J5" s="102" t="s">
        <v>785</v>
      </c>
      <c r="K5" s="102" t="s">
        <v>53</v>
      </c>
      <c r="L5" s="102" t="s">
        <v>308</v>
      </c>
      <c r="M5" s="102" t="s">
        <v>277</v>
      </c>
      <c r="N5" s="102">
        <v>1100021481</v>
      </c>
      <c r="O5" s="102" t="s">
        <v>786</v>
      </c>
      <c r="P5" s="104" t="s">
        <v>292</v>
      </c>
      <c r="Q5" s="102" t="s">
        <v>287</v>
      </c>
      <c r="R5" s="102" t="s">
        <v>58</v>
      </c>
      <c r="S5" s="105">
        <v>2530.6999999999998</v>
      </c>
      <c r="T5" s="105">
        <v>2530.6999999999998</v>
      </c>
      <c r="U5" s="106">
        <v>0</v>
      </c>
    </row>
  </sheetData>
  <autoFilter ref="A1:U5" xr:uid="{1BAEAB59-ADB7-4452-BF91-AA064702F865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AC81C-55EA-47A7-8B5C-695A167E6D25}">
  <dimension ref="A1:D30"/>
  <sheetViews>
    <sheetView workbookViewId="0">
      <selection activeCell="C81" sqref="C81"/>
    </sheetView>
  </sheetViews>
  <sheetFormatPr baseColWidth="10" defaultColWidth="9.109375" defaultRowHeight="14.4" x14ac:dyDescent="0.3"/>
  <cols>
    <col min="1" max="2" width="28.77734375" bestFit="1" customWidth="1"/>
    <col min="3" max="3" width="10.6640625" bestFit="1" customWidth="1"/>
    <col min="4" max="5" width="18.33203125" bestFit="1" customWidth="1"/>
  </cols>
  <sheetData>
    <row r="1" spans="1:4" x14ac:dyDescent="0.3">
      <c r="A1" s="2" t="s">
        <v>384</v>
      </c>
      <c r="B1" s="2" t="s">
        <v>249</v>
      </c>
      <c r="C1" s="2" t="s">
        <v>88</v>
      </c>
      <c r="D1" t="s">
        <v>390</v>
      </c>
    </row>
    <row r="2" spans="1:4" x14ac:dyDescent="0.3">
      <c r="A2" t="s">
        <v>273</v>
      </c>
      <c r="B2" t="s">
        <v>280</v>
      </c>
      <c r="C2" t="s">
        <v>58</v>
      </c>
      <c r="D2" s="4">
        <v>288.47000000000003</v>
      </c>
    </row>
    <row r="3" spans="1:4" x14ac:dyDescent="0.3">
      <c r="A3" t="s">
        <v>326</v>
      </c>
      <c r="B3" t="s">
        <v>327</v>
      </c>
      <c r="C3" t="s">
        <v>58</v>
      </c>
      <c r="D3" s="4">
        <v>1497.88</v>
      </c>
    </row>
    <row r="4" spans="1:4" x14ac:dyDescent="0.3">
      <c r="A4" t="s">
        <v>328</v>
      </c>
      <c r="B4" t="s">
        <v>329</v>
      </c>
      <c r="C4" t="s">
        <v>58</v>
      </c>
      <c r="D4" s="4">
        <v>16105.49</v>
      </c>
    </row>
    <row r="5" spans="1:4" x14ac:dyDescent="0.3">
      <c r="A5" t="s">
        <v>547</v>
      </c>
      <c r="B5" t="s">
        <v>548</v>
      </c>
      <c r="C5" t="s">
        <v>58</v>
      </c>
      <c r="D5" s="4">
        <v>4027.45</v>
      </c>
    </row>
    <row r="6" spans="1:4" x14ac:dyDescent="0.3">
      <c r="A6" t="s">
        <v>344</v>
      </c>
      <c r="B6" t="s">
        <v>346</v>
      </c>
      <c r="C6" t="s">
        <v>58</v>
      </c>
      <c r="D6" s="4">
        <v>1999.95</v>
      </c>
    </row>
    <row r="7" spans="1:4" x14ac:dyDescent="0.3">
      <c r="A7" t="s">
        <v>360</v>
      </c>
      <c r="B7" t="s">
        <v>361</v>
      </c>
      <c r="C7" t="s">
        <v>58</v>
      </c>
      <c r="D7" s="4">
        <v>2398.79</v>
      </c>
    </row>
    <row r="8" spans="1:4" x14ac:dyDescent="0.3">
      <c r="A8" t="s">
        <v>352</v>
      </c>
      <c r="B8" t="s">
        <v>359</v>
      </c>
      <c r="C8" t="s">
        <v>58</v>
      </c>
      <c r="D8" s="4">
        <v>5184.83</v>
      </c>
    </row>
    <row r="9" spans="1:4" x14ac:dyDescent="0.3">
      <c r="A9" t="s">
        <v>375</v>
      </c>
      <c r="B9" t="s">
        <v>378</v>
      </c>
      <c r="C9" t="s">
        <v>58</v>
      </c>
      <c r="D9" s="4">
        <v>912.96</v>
      </c>
    </row>
    <row r="10" spans="1:4" x14ac:dyDescent="0.3">
      <c r="A10" t="s">
        <v>549</v>
      </c>
      <c r="B10" t="s">
        <v>550</v>
      </c>
      <c r="C10" t="s">
        <v>58</v>
      </c>
      <c r="D10" s="4">
        <v>8000</v>
      </c>
    </row>
    <row r="11" spans="1:4" x14ac:dyDescent="0.3">
      <c r="A11" t="s">
        <v>355</v>
      </c>
      <c r="B11" t="s">
        <v>358</v>
      </c>
      <c r="C11" t="s">
        <v>58</v>
      </c>
      <c r="D11" s="4">
        <v>998.79</v>
      </c>
    </row>
    <row r="12" spans="1:4" x14ac:dyDescent="0.3">
      <c r="A12" t="s">
        <v>302</v>
      </c>
      <c r="B12" t="s">
        <v>293</v>
      </c>
      <c r="C12" t="s">
        <v>58</v>
      </c>
      <c r="D12" s="4">
        <v>1173.05</v>
      </c>
    </row>
    <row r="13" spans="1:4" x14ac:dyDescent="0.3">
      <c r="A13" t="s">
        <v>297</v>
      </c>
      <c r="B13" t="s">
        <v>294</v>
      </c>
      <c r="C13" t="s">
        <v>58</v>
      </c>
      <c r="D13" s="4">
        <v>2771.71</v>
      </c>
    </row>
    <row r="14" spans="1:4" x14ac:dyDescent="0.3">
      <c r="A14" t="s">
        <v>551</v>
      </c>
      <c r="B14" t="s">
        <v>552</v>
      </c>
      <c r="C14" t="s">
        <v>58</v>
      </c>
      <c r="D14" s="4">
        <v>9029.1299999999992</v>
      </c>
    </row>
    <row r="15" spans="1:4" x14ac:dyDescent="0.3">
      <c r="A15" t="s">
        <v>299</v>
      </c>
      <c r="B15" t="s">
        <v>295</v>
      </c>
      <c r="C15" t="s">
        <v>58</v>
      </c>
      <c r="D15" s="4">
        <v>6679.94</v>
      </c>
    </row>
    <row r="16" spans="1:4" x14ac:dyDescent="0.3">
      <c r="A16" t="s">
        <v>371</v>
      </c>
      <c r="B16" t="s">
        <v>379</v>
      </c>
      <c r="C16" t="s">
        <v>58</v>
      </c>
      <c r="D16" s="4">
        <v>0.05</v>
      </c>
    </row>
    <row r="17" spans="1:4" x14ac:dyDescent="0.3">
      <c r="A17" t="s">
        <v>339</v>
      </c>
      <c r="B17" t="s">
        <v>347</v>
      </c>
      <c r="C17" t="s">
        <v>58</v>
      </c>
      <c r="D17" s="4">
        <v>2991.08</v>
      </c>
    </row>
    <row r="18" spans="1:4" x14ac:dyDescent="0.3">
      <c r="A18" t="s">
        <v>272</v>
      </c>
      <c r="B18" t="s">
        <v>286</v>
      </c>
      <c r="C18" t="s">
        <v>58</v>
      </c>
      <c r="D18" s="4">
        <v>1998.87</v>
      </c>
    </row>
    <row r="19" spans="1:4" x14ac:dyDescent="0.3">
      <c r="A19" t="s">
        <v>553</v>
      </c>
      <c r="B19" t="s">
        <v>554</v>
      </c>
      <c r="C19" t="s">
        <v>58</v>
      </c>
      <c r="D19" s="4">
        <v>2000</v>
      </c>
    </row>
    <row r="20" spans="1:4" x14ac:dyDescent="0.3">
      <c r="A20" t="s">
        <v>269</v>
      </c>
      <c r="B20" t="s">
        <v>285</v>
      </c>
      <c r="C20" t="s">
        <v>58</v>
      </c>
      <c r="D20" s="4">
        <v>2986.68</v>
      </c>
    </row>
    <row r="21" spans="1:4" x14ac:dyDescent="0.3">
      <c r="A21" t="s">
        <v>362</v>
      </c>
      <c r="B21" t="s">
        <v>363</v>
      </c>
      <c r="C21" t="s">
        <v>58</v>
      </c>
      <c r="D21" s="4">
        <v>2019.13</v>
      </c>
    </row>
    <row r="22" spans="1:4" x14ac:dyDescent="0.3">
      <c r="A22" t="s">
        <v>270</v>
      </c>
      <c r="B22" t="s">
        <v>288</v>
      </c>
      <c r="C22" t="s">
        <v>58</v>
      </c>
      <c r="D22" s="4">
        <v>3699.53</v>
      </c>
    </row>
    <row r="23" spans="1:4" x14ac:dyDescent="0.3">
      <c r="A23" t="s">
        <v>320</v>
      </c>
      <c r="B23" t="s">
        <v>325</v>
      </c>
      <c r="C23" t="s">
        <v>58</v>
      </c>
      <c r="D23" s="4">
        <v>1800</v>
      </c>
    </row>
    <row r="24" spans="1:4" x14ac:dyDescent="0.3">
      <c r="A24" t="s">
        <v>271</v>
      </c>
      <c r="B24" t="s">
        <v>284</v>
      </c>
      <c r="C24" t="s">
        <v>58</v>
      </c>
      <c r="D24" s="4">
        <v>4773.92</v>
      </c>
    </row>
    <row r="25" spans="1:4" x14ac:dyDescent="0.3">
      <c r="A25" t="s">
        <v>555</v>
      </c>
      <c r="B25" t="s">
        <v>556</v>
      </c>
      <c r="C25" t="s">
        <v>58</v>
      </c>
      <c r="D25" s="4">
        <v>999.97</v>
      </c>
    </row>
    <row r="26" spans="1:4" x14ac:dyDescent="0.3">
      <c r="A26" t="s">
        <v>616</v>
      </c>
      <c r="B26" t="s">
        <v>617</v>
      </c>
      <c r="C26" t="s">
        <v>58</v>
      </c>
      <c r="D26" s="4">
        <v>2065.75</v>
      </c>
    </row>
    <row r="27" spans="1:4" x14ac:dyDescent="0.3">
      <c r="A27" t="s">
        <v>620</v>
      </c>
      <c r="B27" t="s">
        <v>289</v>
      </c>
      <c r="C27" t="s">
        <v>58</v>
      </c>
      <c r="D27" s="4">
        <v>848.2</v>
      </c>
    </row>
    <row r="28" spans="1:4" x14ac:dyDescent="0.3">
      <c r="A28" t="s">
        <v>621</v>
      </c>
      <c r="B28" t="s">
        <v>622</v>
      </c>
      <c r="C28" t="s">
        <v>58</v>
      </c>
      <c r="D28" s="4">
        <v>2500</v>
      </c>
    </row>
    <row r="29" spans="1:4" x14ac:dyDescent="0.3">
      <c r="A29" t="s">
        <v>623</v>
      </c>
      <c r="B29" t="s">
        <v>624</v>
      </c>
      <c r="C29" t="s">
        <v>58</v>
      </c>
      <c r="D29" s="4">
        <v>265.76</v>
      </c>
    </row>
    <row r="30" spans="1:4" x14ac:dyDescent="0.3">
      <c r="A30" t="s">
        <v>96</v>
      </c>
      <c r="D30" s="4">
        <v>90017.37999999999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406AE-05BD-4B20-AE24-DB3CCE6D5D67}">
  <sheetPr>
    <tabColor theme="2" tint="-9.9978637043366805E-2"/>
  </sheetPr>
  <dimension ref="A1:X96"/>
  <sheetViews>
    <sheetView topLeftCell="L1" zoomScaleNormal="100" workbookViewId="0">
      <pane ySplit="1" topLeftCell="A82" activePane="bottomLeft" state="frozen"/>
      <selection activeCell="E7" sqref="E7"/>
      <selection pane="bottomLeft" activeCell="X93" sqref="X93"/>
    </sheetView>
  </sheetViews>
  <sheetFormatPr baseColWidth="10" defaultColWidth="11.44140625" defaultRowHeight="14.4" x14ac:dyDescent="0.3"/>
  <cols>
    <col min="7" max="7" width="33.6640625" customWidth="1"/>
    <col min="8" max="8" width="31.109375" customWidth="1"/>
    <col min="13" max="13" width="45" bestFit="1" customWidth="1"/>
    <col min="15" max="15" width="11.44140625" customWidth="1"/>
    <col min="17" max="19" width="14.6640625" customWidth="1"/>
    <col min="21" max="21" width="18.44140625" bestFit="1" customWidth="1"/>
    <col min="23" max="23" width="11.109375" customWidth="1"/>
  </cols>
  <sheetData>
    <row r="1" spans="1:24" s="54" customFormat="1" x14ac:dyDescent="0.3">
      <c r="A1" s="56" t="s">
        <v>473</v>
      </c>
      <c r="B1" s="56" t="s">
        <v>472</v>
      </c>
      <c r="C1" s="56" t="s">
        <v>471</v>
      </c>
      <c r="D1" s="56" t="s">
        <v>470</v>
      </c>
      <c r="E1" s="56" t="s">
        <v>469</v>
      </c>
      <c r="F1" s="56" t="s">
        <v>468</v>
      </c>
      <c r="G1" s="56" t="s">
        <v>467</v>
      </c>
      <c r="H1" s="56" t="s">
        <v>466</v>
      </c>
      <c r="I1" s="56" t="s">
        <v>465</v>
      </c>
      <c r="J1" s="56" t="s">
        <v>464</v>
      </c>
      <c r="K1" s="56" t="s">
        <v>463</v>
      </c>
      <c r="L1" s="56" t="s">
        <v>382</v>
      </c>
      <c r="M1" s="56" t="s">
        <v>462</v>
      </c>
      <c r="N1" s="56" t="s">
        <v>461</v>
      </c>
      <c r="O1" s="56" t="s">
        <v>460</v>
      </c>
      <c r="P1" s="56" t="s">
        <v>88</v>
      </c>
      <c r="Q1" s="56" t="s">
        <v>459</v>
      </c>
      <c r="R1" s="56" t="s">
        <v>458</v>
      </c>
      <c r="S1" s="56" t="s">
        <v>457</v>
      </c>
      <c r="T1" s="56" t="s">
        <v>456</v>
      </c>
      <c r="U1" s="56" t="s">
        <v>455</v>
      </c>
      <c r="V1" s="55" t="s">
        <v>454</v>
      </c>
      <c r="W1" s="55" t="s">
        <v>453</v>
      </c>
      <c r="X1" s="55" t="s">
        <v>452</v>
      </c>
    </row>
    <row r="2" spans="1:24" s="51" customFormat="1" x14ac:dyDescent="0.3">
      <c r="A2" s="115" t="s">
        <v>439</v>
      </c>
      <c r="B2" s="116">
        <v>46081</v>
      </c>
      <c r="C2" s="117"/>
      <c r="D2" s="117"/>
      <c r="E2" s="117"/>
      <c r="F2" s="117"/>
      <c r="G2" s="117" t="s">
        <v>826</v>
      </c>
      <c r="H2" s="117" t="s">
        <v>823</v>
      </c>
      <c r="I2" s="117" t="s">
        <v>509</v>
      </c>
      <c r="J2" s="117" t="s">
        <v>827</v>
      </c>
      <c r="K2" s="117" t="s">
        <v>828</v>
      </c>
      <c r="L2" s="116">
        <v>46081</v>
      </c>
      <c r="M2" s="117" t="s">
        <v>509</v>
      </c>
      <c r="N2" s="117" t="s">
        <v>447</v>
      </c>
      <c r="O2" s="117" t="s">
        <v>443</v>
      </c>
      <c r="P2" s="117" t="s">
        <v>85</v>
      </c>
      <c r="Q2" s="118">
        <v>-7953137.5</v>
      </c>
      <c r="R2" s="118">
        <v>-7953137.5</v>
      </c>
      <c r="S2" s="118">
        <v>-2117.09</v>
      </c>
      <c r="T2" s="117" t="s">
        <v>438</v>
      </c>
      <c r="U2" s="119" t="s">
        <v>825</v>
      </c>
      <c r="V2" s="135" t="s">
        <v>437</v>
      </c>
      <c r="W2" s="135" t="s">
        <v>446</v>
      </c>
      <c r="X2" s="135" t="s">
        <v>103</v>
      </c>
    </row>
    <row r="3" spans="1:24" s="51" customFormat="1" x14ac:dyDescent="0.3">
      <c r="A3" s="115" t="s">
        <v>445</v>
      </c>
      <c r="B3" s="116">
        <v>46081</v>
      </c>
      <c r="C3" s="117"/>
      <c r="D3" s="117"/>
      <c r="E3" s="117"/>
      <c r="F3" s="117"/>
      <c r="G3" s="117" t="s">
        <v>829</v>
      </c>
      <c r="H3" s="117" t="s">
        <v>816</v>
      </c>
      <c r="I3" s="117" t="s">
        <v>513</v>
      </c>
      <c r="J3" s="117" t="s">
        <v>830</v>
      </c>
      <c r="K3" s="117" t="s">
        <v>831</v>
      </c>
      <c r="L3" s="116">
        <v>46081</v>
      </c>
      <c r="M3" s="117" t="s">
        <v>513</v>
      </c>
      <c r="N3" s="117" t="s">
        <v>444</v>
      </c>
      <c r="O3" s="117" t="s">
        <v>443</v>
      </c>
      <c r="P3" s="117" t="s">
        <v>58</v>
      </c>
      <c r="Q3" s="118">
        <v>379.94</v>
      </c>
      <c r="R3" s="118">
        <v>6556.36</v>
      </c>
      <c r="S3" s="118">
        <v>379.94</v>
      </c>
      <c r="T3" s="117" t="s">
        <v>438</v>
      </c>
      <c r="U3" s="119" t="s">
        <v>442</v>
      </c>
      <c r="V3" s="135" t="s">
        <v>106</v>
      </c>
      <c r="W3" s="135" t="s">
        <v>441</v>
      </c>
      <c r="X3" s="135" t="s">
        <v>103</v>
      </c>
    </row>
    <row r="4" spans="1:24" s="51" customFormat="1" x14ac:dyDescent="0.3">
      <c r="A4" s="115" t="s">
        <v>445</v>
      </c>
      <c r="B4" s="116">
        <v>46081</v>
      </c>
      <c r="C4" s="117"/>
      <c r="D4" s="117"/>
      <c r="E4" s="117"/>
      <c r="F4" s="117"/>
      <c r="G4" s="117" t="s">
        <v>832</v>
      </c>
      <c r="H4" s="117" t="s">
        <v>818</v>
      </c>
      <c r="I4" s="117" t="s">
        <v>513</v>
      </c>
      <c r="J4" s="117" t="s">
        <v>833</v>
      </c>
      <c r="K4" s="117" t="s">
        <v>834</v>
      </c>
      <c r="L4" s="116">
        <v>46081</v>
      </c>
      <c r="M4" s="117" t="s">
        <v>513</v>
      </c>
      <c r="N4" s="117" t="s">
        <v>444</v>
      </c>
      <c r="O4" s="117" t="s">
        <v>443</v>
      </c>
      <c r="P4" s="117" t="s">
        <v>58</v>
      </c>
      <c r="Q4" s="118">
        <v>180.05</v>
      </c>
      <c r="R4" s="118">
        <v>3107</v>
      </c>
      <c r="S4" s="118">
        <v>180.05</v>
      </c>
      <c r="T4" s="117" t="s">
        <v>438</v>
      </c>
      <c r="U4" s="119" t="s">
        <v>442</v>
      </c>
      <c r="V4" s="135" t="s">
        <v>106</v>
      </c>
      <c r="W4" s="135" t="s">
        <v>441</v>
      </c>
      <c r="X4" s="135" t="s">
        <v>103</v>
      </c>
    </row>
    <row r="5" spans="1:24" s="51" customFormat="1" x14ac:dyDescent="0.3">
      <c r="A5" s="115" t="s">
        <v>445</v>
      </c>
      <c r="B5" s="116">
        <v>46081</v>
      </c>
      <c r="C5" s="117"/>
      <c r="D5" s="117"/>
      <c r="E5" s="117"/>
      <c r="F5" s="117"/>
      <c r="G5" s="117" t="s">
        <v>835</v>
      </c>
      <c r="H5" s="117" t="s">
        <v>820</v>
      </c>
      <c r="I5" s="117" t="s">
        <v>512</v>
      </c>
      <c r="J5" s="117" t="s">
        <v>836</v>
      </c>
      <c r="K5" s="117" t="s">
        <v>837</v>
      </c>
      <c r="L5" s="116">
        <v>46081</v>
      </c>
      <c r="M5" s="117" t="s">
        <v>512</v>
      </c>
      <c r="N5" s="117" t="s">
        <v>444</v>
      </c>
      <c r="O5" s="117" t="s">
        <v>443</v>
      </c>
      <c r="P5" s="117" t="s">
        <v>58</v>
      </c>
      <c r="Q5" s="118">
        <v>30985.86</v>
      </c>
      <c r="R5" s="118">
        <v>534701.30000000005</v>
      </c>
      <c r="S5" s="118">
        <v>30985.86</v>
      </c>
      <c r="T5" s="117" t="s">
        <v>438</v>
      </c>
      <c r="U5" s="119" t="s">
        <v>442</v>
      </c>
      <c r="V5" s="135" t="s">
        <v>106</v>
      </c>
      <c r="W5" s="135" t="s">
        <v>441</v>
      </c>
      <c r="X5" s="135" t="s">
        <v>103</v>
      </c>
    </row>
    <row r="6" spans="1:24" s="51" customFormat="1" x14ac:dyDescent="0.3">
      <c r="A6" s="115" t="s">
        <v>445</v>
      </c>
      <c r="B6" s="116">
        <v>46081</v>
      </c>
      <c r="C6" s="117"/>
      <c r="D6" s="117"/>
      <c r="E6" s="117"/>
      <c r="F6" s="117"/>
      <c r="G6" s="117" t="s">
        <v>838</v>
      </c>
      <c r="H6" s="117" t="s">
        <v>814</v>
      </c>
      <c r="I6" s="117" t="s">
        <v>513</v>
      </c>
      <c r="J6" s="117" t="s">
        <v>839</v>
      </c>
      <c r="K6" s="117" t="s">
        <v>840</v>
      </c>
      <c r="L6" s="116">
        <v>46081</v>
      </c>
      <c r="M6" s="117" t="s">
        <v>513</v>
      </c>
      <c r="N6" s="117" t="s">
        <v>444</v>
      </c>
      <c r="O6" s="117" t="s">
        <v>443</v>
      </c>
      <c r="P6" s="117" t="s">
        <v>58</v>
      </c>
      <c r="Q6" s="118">
        <v>5184.83</v>
      </c>
      <c r="R6" s="118">
        <v>89470.98</v>
      </c>
      <c r="S6" s="118">
        <v>5184.83</v>
      </c>
      <c r="T6" s="117" t="s">
        <v>438</v>
      </c>
      <c r="U6" s="119" t="s">
        <v>442</v>
      </c>
      <c r="V6" s="135" t="s">
        <v>106</v>
      </c>
      <c r="W6" s="135" t="s">
        <v>441</v>
      </c>
      <c r="X6" s="135" t="s">
        <v>103</v>
      </c>
    </row>
    <row r="7" spans="1:24" s="51" customFormat="1" x14ac:dyDescent="0.3">
      <c r="A7" s="110" t="s">
        <v>445</v>
      </c>
      <c r="B7" s="111">
        <v>46081</v>
      </c>
      <c r="C7" s="112"/>
      <c r="D7" s="112"/>
      <c r="E7" s="112"/>
      <c r="F7" s="112"/>
      <c r="G7" s="112" t="s">
        <v>841</v>
      </c>
      <c r="H7" s="112" t="s">
        <v>808</v>
      </c>
      <c r="I7" s="112" t="s">
        <v>513</v>
      </c>
      <c r="J7" s="112" t="s">
        <v>842</v>
      </c>
      <c r="K7" s="112" t="s">
        <v>843</v>
      </c>
      <c r="L7" s="111">
        <v>46081</v>
      </c>
      <c r="M7" s="112" t="s">
        <v>513</v>
      </c>
      <c r="N7" s="112" t="s">
        <v>444</v>
      </c>
      <c r="O7" s="112" t="s">
        <v>443</v>
      </c>
      <c r="P7" s="112" t="s">
        <v>58</v>
      </c>
      <c r="Q7" s="113">
        <v>6300</v>
      </c>
      <c r="R7" s="113">
        <v>108714.69</v>
      </c>
      <c r="S7" s="113">
        <v>6300</v>
      </c>
      <c r="T7" s="112" t="s">
        <v>438</v>
      </c>
      <c r="U7" s="114" t="s">
        <v>442</v>
      </c>
      <c r="V7" s="135" t="s">
        <v>106</v>
      </c>
      <c r="W7" s="135" t="s">
        <v>441</v>
      </c>
      <c r="X7" s="135" t="s">
        <v>103</v>
      </c>
    </row>
    <row r="8" spans="1:24" s="51" customFormat="1" x14ac:dyDescent="0.3">
      <c r="A8" s="115" t="s">
        <v>445</v>
      </c>
      <c r="B8" s="116">
        <v>46081</v>
      </c>
      <c r="C8" s="117"/>
      <c r="D8" s="117"/>
      <c r="E8" s="117"/>
      <c r="F8" s="117"/>
      <c r="G8" s="117" t="s">
        <v>844</v>
      </c>
      <c r="H8" s="117" t="s">
        <v>810</v>
      </c>
      <c r="I8" s="117" t="s">
        <v>513</v>
      </c>
      <c r="J8" s="117" t="s">
        <v>845</v>
      </c>
      <c r="K8" s="117" t="s">
        <v>846</v>
      </c>
      <c r="L8" s="116">
        <v>46081</v>
      </c>
      <c r="M8" s="117" t="s">
        <v>513</v>
      </c>
      <c r="N8" s="117" t="s">
        <v>444</v>
      </c>
      <c r="O8" s="117" t="s">
        <v>443</v>
      </c>
      <c r="P8" s="117" t="s">
        <v>58</v>
      </c>
      <c r="Q8" s="118">
        <v>848.2</v>
      </c>
      <c r="R8" s="118">
        <v>14636.79</v>
      </c>
      <c r="S8" s="118">
        <v>848.2</v>
      </c>
      <c r="T8" s="117" t="s">
        <v>438</v>
      </c>
      <c r="U8" s="119" t="s">
        <v>442</v>
      </c>
      <c r="V8" s="135" t="s">
        <v>106</v>
      </c>
      <c r="W8" s="135" t="s">
        <v>441</v>
      </c>
      <c r="X8" s="135" t="s">
        <v>103</v>
      </c>
    </row>
    <row r="9" spans="1:24" s="51" customFormat="1" x14ac:dyDescent="0.3">
      <c r="A9" s="110" t="s">
        <v>445</v>
      </c>
      <c r="B9" s="111">
        <v>46081</v>
      </c>
      <c r="C9" s="112"/>
      <c r="D9" s="112"/>
      <c r="E9" s="112"/>
      <c r="F9" s="112"/>
      <c r="G9" s="112" t="s">
        <v>847</v>
      </c>
      <c r="H9" s="112" t="s">
        <v>812</v>
      </c>
      <c r="I9" s="112" t="s">
        <v>513</v>
      </c>
      <c r="J9" s="112" t="s">
        <v>848</v>
      </c>
      <c r="K9" s="112" t="s">
        <v>849</v>
      </c>
      <c r="L9" s="111">
        <v>46081</v>
      </c>
      <c r="M9" s="112" t="s">
        <v>513</v>
      </c>
      <c r="N9" s="112" t="s">
        <v>444</v>
      </c>
      <c r="O9" s="112" t="s">
        <v>443</v>
      </c>
      <c r="P9" s="112" t="s">
        <v>58</v>
      </c>
      <c r="Q9" s="113">
        <v>2771.71</v>
      </c>
      <c r="R9" s="113">
        <v>47829.46</v>
      </c>
      <c r="S9" s="113">
        <v>2771.71</v>
      </c>
      <c r="T9" s="112" t="s">
        <v>438</v>
      </c>
      <c r="U9" s="114" t="s">
        <v>442</v>
      </c>
      <c r="V9" s="135" t="s">
        <v>106</v>
      </c>
      <c r="W9" s="135" t="s">
        <v>441</v>
      </c>
      <c r="X9" s="135" t="s">
        <v>103</v>
      </c>
    </row>
    <row r="10" spans="1:24" s="51" customFormat="1" x14ac:dyDescent="0.3">
      <c r="A10" s="110" t="s">
        <v>445</v>
      </c>
      <c r="B10" s="111">
        <v>46081</v>
      </c>
      <c r="C10" s="112"/>
      <c r="D10" s="112"/>
      <c r="E10" s="112"/>
      <c r="F10" s="112"/>
      <c r="G10" s="112" t="s">
        <v>850</v>
      </c>
      <c r="H10" s="112" t="s">
        <v>804</v>
      </c>
      <c r="I10" s="112" t="s">
        <v>513</v>
      </c>
      <c r="J10" s="112" t="s">
        <v>851</v>
      </c>
      <c r="K10" s="112" t="s">
        <v>852</v>
      </c>
      <c r="L10" s="111">
        <v>46081</v>
      </c>
      <c r="M10" s="112" t="s">
        <v>513</v>
      </c>
      <c r="N10" s="112" t="s">
        <v>444</v>
      </c>
      <c r="O10" s="112" t="s">
        <v>443</v>
      </c>
      <c r="P10" s="112" t="s">
        <v>58</v>
      </c>
      <c r="Q10" s="113">
        <v>2000</v>
      </c>
      <c r="R10" s="113">
        <v>34512.6</v>
      </c>
      <c r="S10" s="113">
        <v>2000</v>
      </c>
      <c r="T10" s="112" t="s">
        <v>438</v>
      </c>
      <c r="U10" s="114" t="s">
        <v>442</v>
      </c>
      <c r="V10" s="135" t="s">
        <v>106</v>
      </c>
      <c r="W10" s="135" t="s">
        <v>441</v>
      </c>
      <c r="X10" s="135" t="s">
        <v>103</v>
      </c>
    </row>
    <row r="11" spans="1:24" s="53" customFormat="1" x14ac:dyDescent="0.3">
      <c r="A11" s="115" t="s">
        <v>445</v>
      </c>
      <c r="B11" s="116">
        <v>46081</v>
      </c>
      <c r="C11" s="117"/>
      <c r="D11" s="117"/>
      <c r="E11" s="117"/>
      <c r="F11" s="117"/>
      <c r="G11" s="117" t="s">
        <v>853</v>
      </c>
      <c r="H11" s="117" t="s">
        <v>806</v>
      </c>
      <c r="I11" s="117" t="s">
        <v>513</v>
      </c>
      <c r="J11" s="117" t="s">
        <v>854</v>
      </c>
      <c r="K11" s="117" t="s">
        <v>855</v>
      </c>
      <c r="L11" s="116">
        <v>46081</v>
      </c>
      <c r="M11" s="117" t="s">
        <v>513</v>
      </c>
      <c r="N11" s="117" t="s">
        <v>444</v>
      </c>
      <c r="O11" s="117" t="s">
        <v>443</v>
      </c>
      <c r="P11" s="117" t="s">
        <v>58</v>
      </c>
      <c r="Q11" s="118">
        <v>3000</v>
      </c>
      <c r="R11" s="118">
        <v>51768.9</v>
      </c>
      <c r="S11" s="118">
        <v>3000</v>
      </c>
      <c r="T11" s="117" t="s">
        <v>438</v>
      </c>
      <c r="U11" s="119" t="s">
        <v>442</v>
      </c>
      <c r="V11" s="135" t="s">
        <v>106</v>
      </c>
      <c r="W11" s="135" t="s">
        <v>441</v>
      </c>
      <c r="X11" s="135" t="s">
        <v>103</v>
      </c>
    </row>
    <row r="12" spans="1:24" s="53" customFormat="1" x14ac:dyDescent="0.3">
      <c r="A12" s="115" t="s">
        <v>445</v>
      </c>
      <c r="B12" s="116">
        <v>46081</v>
      </c>
      <c r="C12" s="117"/>
      <c r="D12" s="117"/>
      <c r="E12" s="117"/>
      <c r="F12" s="117"/>
      <c r="G12" s="117" t="s">
        <v>856</v>
      </c>
      <c r="H12" s="117" t="s">
        <v>824</v>
      </c>
      <c r="I12" s="117" t="s">
        <v>510</v>
      </c>
      <c r="J12" s="117" t="s">
        <v>857</v>
      </c>
      <c r="K12" s="117" t="s">
        <v>858</v>
      </c>
      <c r="L12" s="116">
        <v>46081</v>
      </c>
      <c r="M12" s="117" t="s">
        <v>510</v>
      </c>
      <c r="N12" s="117" t="s">
        <v>444</v>
      </c>
      <c r="O12" s="117" t="s">
        <v>443</v>
      </c>
      <c r="P12" s="117" t="s">
        <v>58</v>
      </c>
      <c r="Q12" s="118">
        <v>2065.75</v>
      </c>
      <c r="R12" s="118">
        <v>35647.199999999997</v>
      </c>
      <c r="S12" s="118">
        <v>2065.75</v>
      </c>
      <c r="T12" s="117" t="s">
        <v>438</v>
      </c>
      <c r="U12" s="119" t="s">
        <v>442</v>
      </c>
      <c r="V12" s="135" t="s">
        <v>106</v>
      </c>
      <c r="W12" s="135" t="s">
        <v>441</v>
      </c>
      <c r="X12" s="135" t="s">
        <v>103</v>
      </c>
    </row>
    <row r="13" spans="1:24" s="53" customFormat="1" x14ac:dyDescent="0.3">
      <c r="A13" s="115" t="s">
        <v>445</v>
      </c>
      <c r="B13" s="116">
        <v>46081</v>
      </c>
      <c r="C13" s="117"/>
      <c r="D13" s="117"/>
      <c r="E13" s="117"/>
      <c r="F13" s="117"/>
      <c r="G13" s="117" t="s">
        <v>859</v>
      </c>
      <c r="H13" s="117" t="s">
        <v>802</v>
      </c>
      <c r="I13" s="117" t="s">
        <v>513</v>
      </c>
      <c r="J13" s="117" t="s">
        <v>860</v>
      </c>
      <c r="K13" s="117" t="s">
        <v>861</v>
      </c>
      <c r="L13" s="116">
        <v>46081</v>
      </c>
      <c r="M13" s="117" t="s">
        <v>513</v>
      </c>
      <c r="N13" s="117" t="s">
        <v>444</v>
      </c>
      <c r="O13" s="117" t="s">
        <v>443</v>
      </c>
      <c r="P13" s="117" t="s">
        <v>58</v>
      </c>
      <c r="Q13" s="118">
        <v>993</v>
      </c>
      <c r="R13" s="118">
        <v>17135.509999999998</v>
      </c>
      <c r="S13" s="118">
        <v>993</v>
      </c>
      <c r="T13" s="117" t="s">
        <v>438</v>
      </c>
      <c r="U13" s="119" t="s">
        <v>442</v>
      </c>
      <c r="V13" s="135" t="s">
        <v>106</v>
      </c>
      <c r="W13" s="135" t="s">
        <v>441</v>
      </c>
      <c r="X13" s="135" t="s">
        <v>103</v>
      </c>
    </row>
    <row r="14" spans="1:24" s="53" customFormat="1" x14ac:dyDescent="0.3">
      <c r="A14" s="110" t="s">
        <v>445</v>
      </c>
      <c r="B14" s="111">
        <v>46081</v>
      </c>
      <c r="C14" s="112"/>
      <c r="D14" s="112"/>
      <c r="E14" s="112"/>
      <c r="F14" s="112"/>
      <c r="G14" s="112" t="s">
        <v>862</v>
      </c>
      <c r="H14" s="112" t="s">
        <v>800</v>
      </c>
      <c r="I14" s="112" t="s">
        <v>513</v>
      </c>
      <c r="J14" s="112" t="s">
        <v>863</v>
      </c>
      <c r="K14" s="112" t="s">
        <v>864</v>
      </c>
      <c r="L14" s="111">
        <v>46081</v>
      </c>
      <c r="M14" s="112" t="s">
        <v>513</v>
      </c>
      <c r="N14" s="112" t="s">
        <v>444</v>
      </c>
      <c r="O14" s="112" t="s">
        <v>443</v>
      </c>
      <c r="P14" s="112" t="s">
        <v>58</v>
      </c>
      <c r="Q14" s="113">
        <v>998.79</v>
      </c>
      <c r="R14" s="113">
        <v>17235.419999999998</v>
      </c>
      <c r="S14" s="113">
        <v>998.79</v>
      </c>
      <c r="T14" s="112" t="s">
        <v>438</v>
      </c>
      <c r="U14" s="114" t="s">
        <v>442</v>
      </c>
      <c r="V14" s="135" t="s">
        <v>106</v>
      </c>
      <c r="W14" s="135" t="s">
        <v>441</v>
      </c>
      <c r="X14" s="135" t="s">
        <v>103</v>
      </c>
    </row>
    <row r="15" spans="1:24" s="53" customFormat="1" x14ac:dyDescent="0.3">
      <c r="A15" s="110" t="s">
        <v>445</v>
      </c>
      <c r="B15" s="111">
        <v>46081</v>
      </c>
      <c r="C15" s="112"/>
      <c r="D15" s="112"/>
      <c r="E15" s="112"/>
      <c r="F15" s="112"/>
      <c r="G15" s="112" t="s">
        <v>865</v>
      </c>
      <c r="H15" s="112" t="s">
        <v>796</v>
      </c>
      <c r="I15" s="112" t="s">
        <v>513</v>
      </c>
      <c r="J15" s="112" t="s">
        <v>866</v>
      </c>
      <c r="K15" s="112" t="s">
        <v>867</v>
      </c>
      <c r="L15" s="111">
        <v>46081</v>
      </c>
      <c r="M15" s="112" t="s">
        <v>513</v>
      </c>
      <c r="N15" s="112" t="s">
        <v>444</v>
      </c>
      <c r="O15" s="112" t="s">
        <v>443</v>
      </c>
      <c r="P15" s="112" t="s">
        <v>58</v>
      </c>
      <c r="Q15" s="113">
        <v>2398.79</v>
      </c>
      <c r="R15" s="113">
        <v>41394.239999999998</v>
      </c>
      <c r="S15" s="113">
        <v>2398.79</v>
      </c>
      <c r="T15" s="112" t="s">
        <v>438</v>
      </c>
      <c r="U15" s="114" t="s">
        <v>442</v>
      </c>
      <c r="V15" s="135" t="s">
        <v>106</v>
      </c>
      <c r="W15" s="135" t="s">
        <v>441</v>
      </c>
      <c r="X15" s="135" t="s">
        <v>103</v>
      </c>
    </row>
    <row r="16" spans="1:24" s="53" customFormat="1" x14ac:dyDescent="0.3">
      <c r="A16" s="110" t="s">
        <v>445</v>
      </c>
      <c r="B16" s="111">
        <v>46081</v>
      </c>
      <c r="C16" s="112"/>
      <c r="D16" s="112"/>
      <c r="E16" s="112"/>
      <c r="F16" s="112"/>
      <c r="G16" s="112" t="s">
        <v>868</v>
      </c>
      <c r="H16" s="112" t="s">
        <v>798</v>
      </c>
      <c r="I16" s="112" t="s">
        <v>513</v>
      </c>
      <c r="J16" s="112" t="s">
        <v>869</v>
      </c>
      <c r="K16" s="112" t="s">
        <v>870</v>
      </c>
      <c r="L16" s="111">
        <v>46081</v>
      </c>
      <c r="M16" s="112" t="s">
        <v>513</v>
      </c>
      <c r="N16" s="112" t="s">
        <v>444</v>
      </c>
      <c r="O16" s="112" t="s">
        <v>443</v>
      </c>
      <c r="P16" s="112" t="s">
        <v>58</v>
      </c>
      <c r="Q16" s="113">
        <v>2019.13</v>
      </c>
      <c r="R16" s="113">
        <v>34842.71</v>
      </c>
      <c r="S16" s="113">
        <v>2019.13</v>
      </c>
      <c r="T16" s="112" t="s">
        <v>438</v>
      </c>
      <c r="U16" s="114" t="s">
        <v>442</v>
      </c>
      <c r="V16" s="135" t="s">
        <v>106</v>
      </c>
      <c r="W16" s="135" t="s">
        <v>441</v>
      </c>
      <c r="X16" s="135" t="s">
        <v>103</v>
      </c>
    </row>
    <row r="17" spans="1:24" s="53" customFormat="1" x14ac:dyDescent="0.3">
      <c r="A17" s="110" t="s">
        <v>445</v>
      </c>
      <c r="B17" s="111">
        <v>46081</v>
      </c>
      <c r="C17" s="112"/>
      <c r="D17" s="112"/>
      <c r="E17" s="112"/>
      <c r="F17" s="112"/>
      <c r="G17" s="112" t="s">
        <v>871</v>
      </c>
      <c r="H17" s="112" t="s">
        <v>794</v>
      </c>
      <c r="I17" s="112" t="s">
        <v>513</v>
      </c>
      <c r="J17" s="112" t="s">
        <v>872</v>
      </c>
      <c r="K17" s="112" t="s">
        <v>873</v>
      </c>
      <c r="L17" s="111">
        <v>46081</v>
      </c>
      <c r="M17" s="112" t="s">
        <v>513</v>
      </c>
      <c r="N17" s="112" t="s">
        <v>444</v>
      </c>
      <c r="O17" s="112" t="s">
        <v>443</v>
      </c>
      <c r="P17" s="112" t="s">
        <v>58</v>
      </c>
      <c r="Q17" s="113">
        <v>2991.08</v>
      </c>
      <c r="R17" s="113">
        <v>51614.97</v>
      </c>
      <c r="S17" s="113">
        <v>2991.08</v>
      </c>
      <c r="T17" s="112" t="s">
        <v>438</v>
      </c>
      <c r="U17" s="114" t="s">
        <v>442</v>
      </c>
      <c r="V17" s="135" t="s">
        <v>106</v>
      </c>
      <c r="W17" s="135" t="s">
        <v>441</v>
      </c>
      <c r="X17" s="135" t="s">
        <v>103</v>
      </c>
    </row>
    <row r="18" spans="1:24" s="53" customFormat="1" x14ac:dyDescent="0.3">
      <c r="A18" s="110" t="s">
        <v>445</v>
      </c>
      <c r="B18" s="111">
        <v>46081</v>
      </c>
      <c r="C18" s="112"/>
      <c r="D18" s="112"/>
      <c r="E18" s="112"/>
      <c r="F18" s="112"/>
      <c r="G18" s="112" t="s">
        <v>874</v>
      </c>
      <c r="H18" s="112" t="s">
        <v>822</v>
      </c>
      <c r="I18" s="112" t="s">
        <v>511</v>
      </c>
      <c r="J18" s="112" t="s">
        <v>875</v>
      </c>
      <c r="K18" s="112" t="s">
        <v>876</v>
      </c>
      <c r="L18" s="111">
        <v>46081</v>
      </c>
      <c r="M18" s="112" t="s">
        <v>511</v>
      </c>
      <c r="N18" s="112" t="s">
        <v>444</v>
      </c>
      <c r="O18" s="112" t="s">
        <v>443</v>
      </c>
      <c r="P18" s="112" t="s">
        <v>58</v>
      </c>
      <c r="Q18" s="113">
        <v>2955.09</v>
      </c>
      <c r="R18" s="113">
        <v>50993.919999999998</v>
      </c>
      <c r="S18" s="113">
        <v>2955.09</v>
      </c>
      <c r="T18" s="112" t="s">
        <v>438</v>
      </c>
      <c r="U18" s="114" t="s">
        <v>442</v>
      </c>
      <c r="V18" s="135" t="s">
        <v>106</v>
      </c>
      <c r="W18" s="135" t="s">
        <v>441</v>
      </c>
      <c r="X18" s="135" t="s">
        <v>103</v>
      </c>
    </row>
    <row r="19" spans="1:24" s="53" customFormat="1" x14ac:dyDescent="0.3">
      <c r="A19" s="115" t="s">
        <v>445</v>
      </c>
      <c r="B19" s="116">
        <v>46081</v>
      </c>
      <c r="C19" s="117"/>
      <c r="D19" s="117"/>
      <c r="E19" s="117"/>
      <c r="F19" s="117"/>
      <c r="G19" s="117" t="s">
        <v>877</v>
      </c>
      <c r="H19" s="117" t="s">
        <v>792</v>
      </c>
      <c r="I19" s="117" t="s">
        <v>513</v>
      </c>
      <c r="J19" s="117" t="s">
        <v>878</v>
      </c>
      <c r="K19" s="117" t="s">
        <v>879</v>
      </c>
      <c r="L19" s="116">
        <v>46081</v>
      </c>
      <c r="M19" s="117" t="s">
        <v>513</v>
      </c>
      <c r="N19" s="117" t="s">
        <v>444</v>
      </c>
      <c r="O19" s="117" t="s">
        <v>443</v>
      </c>
      <c r="P19" s="117" t="s">
        <v>58</v>
      </c>
      <c r="Q19" s="118">
        <v>2500</v>
      </c>
      <c r="R19" s="118">
        <v>43140.75</v>
      </c>
      <c r="S19" s="118">
        <v>2500</v>
      </c>
      <c r="T19" s="117" t="s">
        <v>438</v>
      </c>
      <c r="U19" s="119" t="s">
        <v>442</v>
      </c>
      <c r="V19" s="135" t="s">
        <v>106</v>
      </c>
      <c r="W19" s="135" t="s">
        <v>441</v>
      </c>
      <c r="X19" s="135" t="s">
        <v>103</v>
      </c>
    </row>
    <row r="20" spans="1:24" s="53" customFormat="1" x14ac:dyDescent="0.3">
      <c r="A20" s="115" t="s">
        <v>445</v>
      </c>
      <c r="B20" s="116">
        <v>46081</v>
      </c>
      <c r="C20" s="117"/>
      <c r="D20" s="117"/>
      <c r="E20" s="117"/>
      <c r="F20" s="117"/>
      <c r="G20" s="117" t="s">
        <v>601</v>
      </c>
      <c r="H20" s="117" t="s">
        <v>594</v>
      </c>
      <c r="I20" s="117" t="s">
        <v>513</v>
      </c>
      <c r="J20" s="117" t="s">
        <v>880</v>
      </c>
      <c r="K20" s="117" t="s">
        <v>881</v>
      </c>
      <c r="L20" s="116">
        <v>46081</v>
      </c>
      <c r="M20" s="117" t="s">
        <v>513</v>
      </c>
      <c r="N20" s="117" t="s">
        <v>444</v>
      </c>
      <c r="O20" s="117" t="s">
        <v>443</v>
      </c>
      <c r="P20" s="117" t="s">
        <v>58</v>
      </c>
      <c r="Q20" s="118">
        <v>9029.1299999999992</v>
      </c>
      <c r="R20" s="118">
        <v>155809.38</v>
      </c>
      <c r="S20" s="118">
        <v>9029.1299999999992</v>
      </c>
      <c r="T20" s="117" t="s">
        <v>438</v>
      </c>
      <c r="U20" s="119" t="s">
        <v>442</v>
      </c>
      <c r="V20" s="135" t="s">
        <v>106</v>
      </c>
      <c r="W20" s="135" t="s">
        <v>441</v>
      </c>
      <c r="X20" s="135" t="s">
        <v>103</v>
      </c>
    </row>
    <row r="21" spans="1:24" s="53" customFormat="1" x14ac:dyDescent="0.3">
      <c r="A21" s="110" t="s">
        <v>445</v>
      </c>
      <c r="B21" s="111">
        <v>46081</v>
      </c>
      <c r="C21" s="112"/>
      <c r="D21" s="112"/>
      <c r="E21" s="112"/>
      <c r="F21" s="112"/>
      <c r="G21" s="112" t="s">
        <v>602</v>
      </c>
      <c r="H21" s="112" t="s">
        <v>598</v>
      </c>
      <c r="I21" s="112" t="s">
        <v>513</v>
      </c>
      <c r="J21" s="112" t="s">
        <v>882</v>
      </c>
      <c r="K21" s="112" t="s">
        <v>883</v>
      </c>
      <c r="L21" s="111">
        <v>46081</v>
      </c>
      <c r="M21" s="112" t="s">
        <v>513</v>
      </c>
      <c r="N21" s="112" t="s">
        <v>444</v>
      </c>
      <c r="O21" s="112" t="s">
        <v>443</v>
      </c>
      <c r="P21" s="112" t="s">
        <v>58</v>
      </c>
      <c r="Q21" s="113">
        <v>999.97</v>
      </c>
      <c r="R21" s="113">
        <v>17255.78</v>
      </c>
      <c r="S21" s="113">
        <v>999.97</v>
      </c>
      <c r="T21" s="112" t="s">
        <v>438</v>
      </c>
      <c r="U21" s="114" t="s">
        <v>442</v>
      </c>
      <c r="V21" s="135" t="s">
        <v>106</v>
      </c>
      <c r="W21" s="135" t="s">
        <v>441</v>
      </c>
      <c r="X21" s="135" t="s">
        <v>103</v>
      </c>
    </row>
    <row r="22" spans="1:24" s="53" customFormat="1" x14ac:dyDescent="0.3">
      <c r="A22" s="115" t="s">
        <v>445</v>
      </c>
      <c r="B22" s="116">
        <v>46081</v>
      </c>
      <c r="C22" s="117"/>
      <c r="D22" s="117"/>
      <c r="E22" s="117"/>
      <c r="F22" s="117"/>
      <c r="G22" s="117" t="s">
        <v>603</v>
      </c>
      <c r="H22" s="117" t="s">
        <v>596</v>
      </c>
      <c r="I22" s="117" t="s">
        <v>513</v>
      </c>
      <c r="J22" s="117" t="s">
        <v>884</v>
      </c>
      <c r="K22" s="117" t="s">
        <v>885</v>
      </c>
      <c r="L22" s="116">
        <v>46081</v>
      </c>
      <c r="M22" s="117" t="s">
        <v>513</v>
      </c>
      <c r="N22" s="117" t="s">
        <v>444</v>
      </c>
      <c r="O22" s="117" t="s">
        <v>443</v>
      </c>
      <c r="P22" s="117" t="s">
        <v>58</v>
      </c>
      <c r="Q22" s="118">
        <v>1027.45</v>
      </c>
      <c r="R22" s="118">
        <v>17729.990000000002</v>
      </c>
      <c r="S22" s="118">
        <v>1027.45</v>
      </c>
      <c r="T22" s="117" t="s">
        <v>438</v>
      </c>
      <c r="U22" s="119" t="s">
        <v>442</v>
      </c>
      <c r="V22" s="135" t="s">
        <v>106</v>
      </c>
      <c r="W22" s="135" t="s">
        <v>441</v>
      </c>
      <c r="X22" s="135" t="s">
        <v>103</v>
      </c>
    </row>
    <row r="23" spans="1:24" s="53" customFormat="1" x14ac:dyDescent="0.3">
      <c r="A23" s="110" t="s">
        <v>445</v>
      </c>
      <c r="B23" s="111">
        <v>46081</v>
      </c>
      <c r="C23" s="112"/>
      <c r="D23" s="112"/>
      <c r="E23" s="112"/>
      <c r="F23" s="112"/>
      <c r="G23" s="112" t="s">
        <v>604</v>
      </c>
      <c r="H23" s="112" t="s">
        <v>600</v>
      </c>
      <c r="I23" s="112" t="s">
        <v>513</v>
      </c>
      <c r="J23" s="112" t="s">
        <v>886</v>
      </c>
      <c r="K23" s="112" t="s">
        <v>887</v>
      </c>
      <c r="L23" s="111">
        <v>46081</v>
      </c>
      <c r="M23" s="112" t="s">
        <v>513</v>
      </c>
      <c r="N23" s="112" t="s">
        <v>444</v>
      </c>
      <c r="O23" s="112" t="s">
        <v>443</v>
      </c>
      <c r="P23" s="112" t="s">
        <v>58</v>
      </c>
      <c r="Q23" s="113">
        <v>8000</v>
      </c>
      <c r="R23" s="113">
        <v>138050.4</v>
      </c>
      <c r="S23" s="113">
        <v>8000</v>
      </c>
      <c r="T23" s="112" t="s">
        <v>438</v>
      </c>
      <c r="U23" s="114" t="s">
        <v>442</v>
      </c>
      <c r="V23" s="135" t="s">
        <v>106</v>
      </c>
      <c r="W23" s="135" t="s">
        <v>441</v>
      </c>
      <c r="X23" s="135" t="s">
        <v>103</v>
      </c>
    </row>
    <row r="24" spans="1:24" s="53" customFormat="1" x14ac:dyDescent="0.3">
      <c r="A24" s="115" t="s">
        <v>445</v>
      </c>
      <c r="B24" s="116">
        <v>46081</v>
      </c>
      <c r="C24" s="117"/>
      <c r="D24" s="117"/>
      <c r="E24" s="117"/>
      <c r="F24" s="117"/>
      <c r="G24" s="117" t="s">
        <v>514</v>
      </c>
      <c r="H24" s="117" t="s">
        <v>435</v>
      </c>
      <c r="I24" s="117" t="s">
        <v>513</v>
      </c>
      <c r="J24" s="117" t="s">
        <v>888</v>
      </c>
      <c r="K24" s="117" t="s">
        <v>889</v>
      </c>
      <c r="L24" s="116">
        <v>46081</v>
      </c>
      <c r="M24" s="117" t="s">
        <v>513</v>
      </c>
      <c r="N24" s="117" t="s">
        <v>444</v>
      </c>
      <c r="O24" s="117" t="s">
        <v>443</v>
      </c>
      <c r="P24" s="117" t="s">
        <v>58</v>
      </c>
      <c r="Q24" s="118">
        <v>912.96</v>
      </c>
      <c r="R24" s="118">
        <v>15754.31</v>
      </c>
      <c r="S24" s="118">
        <v>912.96</v>
      </c>
      <c r="T24" s="117" t="s">
        <v>438</v>
      </c>
      <c r="U24" s="119" t="s">
        <v>442</v>
      </c>
      <c r="V24" s="135" t="s">
        <v>106</v>
      </c>
      <c r="W24" s="135" t="s">
        <v>441</v>
      </c>
      <c r="X24" s="135" t="s">
        <v>103</v>
      </c>
    </row>
    <row r="25" spans="1:24" s="53" customFormat="1" x14ac:dyDescent="0.3">
      <c r="A25" s="115" t="s">
        <v>445</v>
      </c>
      <c r="B25" s="116">
        <v>46081</v>
      </c>
      <c r="C25" s="117"/>
      <c r="D25" s="117"/>
      <c r="E25" s="117"/>
      <c r="F25" s="117"/>
      <c r="G25" s="117" t="s">
        <v>515</v>
      </c>
      <c r="H25" s="117" t="s">
        <v>425</v>
      </c>
      <c r="I25" s="117" t="s">
        <v>513</v>
      </c>
      <c r="J25" s="117" t="s">
        <v>890</v>
      </c>
      <c r="K25" s="117" t="s">
        <v>891</v>
      </c>
      <c r="L25" s="116">
        <v>46081</v>
      </c>
      <c r="M25" s="117" t="s">
        <v>513</v>
      </c>
      <c r="N25" s="117" t="s">
        <v>444</v>
      </c>
      <c r="O25" s="117" t="s">
        <v>443</v>
      </c>
      <c r="P25" s="117" t="s">
        <v>58</v>
      </c>
      <c r="Q25" s="118">
        <v>1999.95</v>
      </c>
      <c r="R25" s="118">
        <v>34511.74</v>
      </c>
      <c r="S25" s="118">
        <v>1999.95</v>
      </c>
      <c r="T25" s="117" t="s">
        <v>438</v>
      </c>
      <c r="U25" s="119" t="s">
        <v>442</v>
      </c>
      <c r="V25" s="135" t="s">
        <v>106</v>
      </c>
      <c r="W25" s="135" t="s">
        <v>441</v>
      </c>
      <c r="X25" s="135" t="s">
        <v>103</v>
      </c>
    </row>
    <row r="26" spans="1:24" s="53" customFormat="1" x14ac:dyDescent="0.3">
      <c r="A26" s="110" t="s">
        <v>445</v>
      </c>
      <c r="B26" s="111">
        <v>46081</v>
      </c>
      <c r="C26" s="112"/>
      <c r="D26" s="112"/>
      <c r="E26" s="112"/>
      <c r="F26" s="112"/>
      <c r="G26" s="112" t="s">
        <v>516</v>
      </c>
      <c r="H26" s="112" t="s">
        <v>421</v>
      </c>
      <c r="I26" s="112" t="s">
        <v>513</v>
      </c>
      <c r="J26" s="112" t="s">
        <v>892</v>
      </c>
      <c r="K26" s="112" t="s">
        <v>893</v>
      </c>
      <c r="L26" s="111">
        <v>46081</v>
      </c>
      <c r="M26" s="112" t="s">
        <v>513</v>
      </c>
      <c r="N26" s="112" t="s">
        <v>444</v>
      </c>
      <c r="O26" s="112" t="s">
        <v>443</v>
      </c>
      <c r="P26" s="112" t="s">
        <v>58</v>
      </c>
      <c r="Q26" s="113">
        <v>16105.49</v>
      </c>
      <c r="R26" s="113">
        <v>277921.17</v>
      </c>
      <c r="S26" s="113">
        <v>16105.49</v>
      </c>
      <c r="T26" s="112" t="s">
        <v>438</v>
      </c>
      <c r="U26" s="114" t="s">
        <v>442</v>
      </c>
      <c r="V26" s="135" t="s">
        <v>106</v>
      </c>
      <c r="W26" s="135" t="s">
        <v>441</v>
      </c>
      <c r="X26" s="135" t="s">
        <v>103</v>
      </c>
    </row>
    <row r="27" spans="1:24" s="53" customFormat="1" x14ac:dyDescent="0.3">
      <c r="A27" s="110" t="s">
        <v>445</v>
      </c>
      <c r="B27" s="111">
        <v>46081</v>
      </c>
      <c r="C27" s="112"/>
      <c r="D27" s="112"/>
      <c r="E27" s="112"/>
      <c r="F27" s="112"/>
      <c r="G27" s="112" t="s">
        <v>517</v>
      </c>
      <c r="H27" s="112" t="s">
        <v>423</v>
      </c>
      <c r="I27" s="112" t="s">
        <v>513</v>
      </c>
      <c r="J27" s="112" t="s">
        <v>894</v>
      </c>
      <c r="K27" s="112" t="s">
        <v>895</v>
      </c>
      <c r="L27" s="111">
        <v>46081</v>
      </c>
      <c r="M27" s="112" t="s">
        <v>513</v>
      </c>
      <c r="N27" s="112" t="s">
        <v>444</v>
      </c>
      <c r="O27" s="112" t="s">
        <v>443</v>
      </c>
      <c r="P27" s="112" t="s">
        <v>58</v>
      </c>
      <c r="Q27" s="113">
        <v>1800</v>
      </c>
      <c r="R27" s="113">
        <v>31061.34</v>
      </c>
      <c r="S27" s="113">
        <v>1800</v>
      </c>
      <c r="T27" s="112" t="s">
        <v>438</v>
      </c>
      <c r="U27" s="114" t="s">
        <v>442</v>
      </c>
      <c r="V27" s="135" t="s">
        <v>106</v>
      </c>
      <c r="W27" s="135" t="s">
        <v>441</v>
      </c>
      <c r="X27" s="135" t="s">
        <v>103</v>
      </c>
    </row>
    <row r="28" spans="1:24" s="53" customFormat="1" x14ac:dyDescent="0.3">
      <c r="A28" s="110" t="s">
        <v>445</v>
      </c>
      <c r="B28" s="111">
        <v>46081</v>
      </c>
      <c r="C28" s="112"/>
      <c r="D28" s="112"/>
      <c r="E28" s="112"/>
      <c r="F28" s="112"/>
      <c r="G28" s="112" t="s">
        <v>519</v>
      </c>
      <c r="H28" s="112" t="s">
        <v>427</v>
      </c>
      <c r="I28" s="112" t="s">
        <v>518</v>
      </c>
      <c r="J28" s="112" t="s">
        <v>896</v>
      </c>
      <c r="K28" s="112" t="s">
        <v>897</v>
      </c>
      <c r="L28" s="111">
        <v>46081</v>
      </c>
      <c r="M28" s="112" t="s">
        <v>518</v>
      </c>
      <c r="N28" s="112" t="s">
        <v>444</v>
      </c>
      <c r="O28" s="112" t="s">
        <v>443</v>
      </c>
      <c r="P28" s="112" t="s">
        <v>58</v>
      </c>
      <c r="Q28" s="113">
        <v>1998.87</v>
      </c>
      <c r="R28" s="113">
        <v>34493.1</v>
      </c>
      <c r="S28" s="113">
        <v>1998.87</v>
      </c>
      <c r="T28" s="112" t="s">
        <v>438</v>
      </c>
      <c r="U28" s="114" t="s">
        <v>442</v>
      </c>
      <c r="V28" s="135" t="s">
        <v>106</v>
      </c>
      <c r="W28" s="135" t="s">
        <v>441</v>
      </c>
      <c r="X28" s="135" t="s">
        <v>103</v>
      </c>
    </row>
    <row r="29" spans="1:24" s="53" customFormat="1" x14ac:dyDescent="0.3">
      <c r="A29" s="115" t="s">
        <v>445</v>
      </c>
      <c r="B29" s="116">
        <v>46081</v>
      </c>
      <c r="C29" s="117"/>
      <c r="D29" s="117"/>
      <c r="E29" s="117"/>
      <c r="F29" s="117"/>
      <c r="G29" s="117" t="s">
        <v>520</v>
      </c>
      <c r="H29" s="117" t="s">
        <v>431</v>
      </c>
      <c r="I29" s="117" t="s">
        <v>513</v>
      </c>
      <c r="J29" s="117" t="s">
        <v>898</v>
      </c>
      <c r="K29" s="117" t="s">
        <v>899</v>
      </c>
      <c r="L29" s="116">
        <v>46081</v>
      </c>
      <c r="M29" s="117" t="s">
        <v>513</v>
      </c>
      <c r="N29" s="117" t="s">
        <v>444</v>
      </c>
      <c r="O29" s="117" t="s">
        <v>443</v>
      </c>
      <c r="P29" s="117" t="s">
        <v>58</v>
      </c>
      <c r="Q29" s="118">
        <v>4773.92</v>
      </c>
      <c r="R29" s="118">
        <v>82380.2</v>
      </c>
      <c r="S29" s="118">
        <v>4773.92</v>
      </c>
      <c r="T29" s="117" t="s">
        <v>438</v>
      </c>
      <c r="U29" s="119" t="s">
        <v>442</v>
      </c>
      <c r="V29" s="135" t="s">
        <v>106</v>
      </c>
      <c r="W29" s="135" t="s">
        <v>441</v>
      </c>
      <c r="X29" s="135" t="s">
        <v>103</v>
      </c>
    </row>
    <row r="30" spans="1:24" s="53" customFormat="1" x14ac:dyDescent="0.3">
      <c r="A30" s="115" t="s">
        <v>445</v>
      </c>
      <c r="B30" s="116">
        <v>46081</v>
      </c>
      <c r="C30" s="117"/>
      <c r="D30" s="117"/>
      <c r="E30" s="117"/>
      <c r="F30" s="117"/>
      <c r="G30" s="117" t="s">
        <v>521</v>
      </c>
      <c r="H30" s="117" t="s">
        <v>433</v>
      </c>
      <c r="I30" s="117" t="s">
        <v>513</v>
      </c>
      <c r="J30" s="117" t="s">
        <v>900</v>
      </c>
      <c r="K30" s="117" t="s">
        <v>901</v>
      </c>
      <c r="L30" s="116">
        <v>46081</v>
      </c>
      <c r="M30" s="117" t="s">
        <v>513</v>
      </c>
      <c r="N30" s="117" t="s">
        <v>444</v>
      </c>
      <c r="O30" s="117" t="s">
        <v>443</v>
      </c>
      <c r="P30" s="117" t="s">
        <v>58</v>
      </c>
      <c r="Q30" s="118">
        <v>2986.68</v>
      </c>
      <c r="R30" s="118">
        <v>51539.05</v>
      </c>
      <c r="S30" s="118">
        <v>2986.68</v>
      </c>
      <c r="T30" s="117" t="s">
        <v>438</v>
      </c>
      <c r="U30" s="119" t="s">
        <v>442</v>
      </c>
      <c r="V30" s="135" t="s">
        <v>106</v>
      </c>
      <c r="W30" s="135" t="s">
        <v>441</v>
      </c>
      <c r="X30" s="135" t="s">
        <v>103</v>
      </c>
    </row>
    <row r="31" spans="1:24" s="53" customFormat="1" x14ac:dyDescent="0.3">
      <c r="A31" s="110" t="s">
        <v>445</v>
      </c>
      <c r="B31" s="111">
        <v>46081</v>
      </c>
      <c r="C31" s="112"/>
      <c r="D31" s="112"/>
      <c r="E31" s="112"/>
      <c r="F31" s="112"/>
      <c r="G31" s="112" t="s">
        <v>902</v>
      </c>
      <c r="H31" s="112" t="s">
        <v>429</v>
      </c>
      <c r="I31" s="112" t="s">
        <v>513</v>
      </c>
      <c r="J31" s="112" t="s">
        <v>903</v>
      </c>
      <c r="K31" s="112" t="s">
        <v>904</v>
      </c>
      <c r="L31" s="111">
        <v>46081</v>
      </c>
      <c r="M31" s="112" t="s">
        <v>513</v>
      </c>
      <c r="N31" s="112" t="s">
        <v>444</v>
      </c>
      <c r="O31" s="112" t="s">
        <v>443</v>
      </c>
      <c r="P31" s="112" t="s">
        <v>58</v>
      </c>
      <c r="Q31" s="113">
        <v>3699.53</v>
      </c>
      <c r="R31" s="113">
        <v>63840.2</v>
      </c>
      <c r="S31" s="113">
        <v>3699.53</v>
      </c>
      <c r="T31" s="112" t="s">
        <v>438</v>
      </c>
      <c r="U31" s="114" t="s">
        <v>442</v>
      </c>
      <c r="V31" s="135" t="s">
        <v>106</v>
      </c>
      <c r="W31" s="135" t="s">
        <v>441</v>
      </c>
      <c r="X31" s="135" t="s">
        <v>103</v>
      </c>
    </row>
    <row r="32" spans="1:24" s="53" customFormat="1" x14ac:dyDescent="0.3">
      <c r="A32" s="110" t="s">
        <v>439</v>
      </c>
      <c r="B32" s="111">
        <v>46081</v>
      </c>
      <c r="C32" s="112"/>
      <c r="D32" s="112"/>
      <c r="E32" s="112"/>
      <c r="F32" s="112"/>
      <c r="G32" s="112" t="s">
        <v>905</v>
      </c>
      <c r="H32" s="112" t="s">
        <v>805</v>
      </c>
      <c r="I32" s="112" t="s">
        <v>522</v>
      </c>
      <c r="J32" s="112" t="s">
        <v>906</v>
      </c>
      <c r="K32" s="112" t="s">
        <v>907</v>
      </c>
      <c r="L32" s="111">
        <v>46081</v>
      </c>
      <c r="M32" s="112" t="s">
        <v>522</v>
      </c>
      <c r="N32" s="112" t="s">
        <v>447</v>
      </c>
      <c r="O32" s="112" t="s">
        <v>443</v>
      </c>
      <c r="P32" s="112" t="s">
        <v>58</v>
      </c>
      <c r="Q32" s="113">
        <v>-3000</v>
      </c>
      <c r="R32" s="113">
        <v>-10083</v>
      </c>
      <c r="S32" s="113">
        <v>-3000</v>
      </c>
      <c r="T32" s="112" t="s">
        <v>438</v>
      </c>
      <c r="U32" s="114" t="s">
        <v>825</v>
      </c>
      <c r="V32" s="135" t="s">
        <v>436</v>
      </c>
      <c r="W32" s="135" t="s">
        <v>446</v>
      </c>
      <c r="X32" s="135" t="s">
        <v>103</v>
      </c>
    </row>
    <row r="33" spans="1:24" s="53" customFormat="1" x14ac:dyDescent="0.3">
      <c r="A33" s="115" t="s">
        <v>439</v>
      </c>
      <c r="B33" s="116">
        <v>46081</v>
      </c>
      <c r="C33" s="117"/>
      <c r="D33" s="117"/>
      <c r="E33" s="117"/>
      <c r="F33" s="117"/>
      <c r="G33" s="117" t="s">
        <v>908</v>
      </c>
      <c r="H33" s="117" t="s">
        <v>801</v>
      </c>
      <c r="I33" s="117" t="s">
        <v>522</v>
      </c>
      <c r="J33" s="117" t="s">
        <v>909</v>
      </c>
      <c r="K33" s="117" t="s">
        <v>910</v>
      </c>
      <c r="L33" s="116">
        <v>46081</v>
      </c>
      <c r="M33" s="117" t="s">
        <v>522</v>
      </c>
      <c r="N33" s="117" t="s">
        <v>447</v>
      </c>
      <c r="O33" s="117" t="s">
        <v>443</v>
      </c>
      <c r="P33" s="117" t="s">
        <v>58</v>
      </c>
      <c r="Q33" s="118">
        <v>-993</v>
      </c>
      <c r="R33" s="118">
        <v>-3337.47</v>
      </c>
      <c r="S33" s="118">
        <v>-993</v>
      </c>
      <c r="T33" s="117" t="s">
        <v>438</v>
      </c>
      <c r="U33" s="119" t="s">
        <v>825</v>
      </c>
      <c r="V33" s="135" t="s">
        <v>436</v>
      </c>
      <c r="W33" s="135" t="s">
        <v>446</v>
      </c>
      <c r="X33" s="135" t="s">
        <v>103</v>
      </c>
    </row>
    <row r="34" spans="1:24" s="53" customFormat="1" x14ac:dyDescent="0.3">
      <c r="A34" s="110" t="s">
        <v>439</v>
      </c>
      <c r="B34" s="111">
        <v>46081</v>
      </c>
      <c r="C34" s="112"/>
      <c r="D34" s="112"/>
      <c r="E34" s="112"/>
      <c r="F34" s="112"/>
      <c r="G34" s="112" t="s">
        <v>911</v>
      </c>
      <c r="H34" s="112" t="s">
        <v>807</v>
      </c>
      <c r="I34" s="112" t="s">
        <v>522</v>
      </c>
      <c r="J34" s="112" t="s">
        <v>912</v>
      </c>
      <c r="K34" s="112" t="s">
        <v>913</v>
      </c>
      <c r="L34" s="111">
        <v>46081</v>
      </c>
      <c r="M34" s="112" t="s">
        <v>522</v>
      </c>
      <c r="N34" s="112" t="s">
        <v>447</v>
      </c>
      <c r="O34" s="112" t="s">
        <v>443</v>
      </c>
      <c r="P34" s="112" t="s">
        <v>58</v>
      </c>
      <c r="Q34" s="113">
        <v>-6300</v>
      </c>
      <c r="R34" s="113">
        <v>-21174.3</v>
      </c>
      <c r="S34" s="113">
        <v>-6300</v>
      </c>
      <c r="T34" s="112" t="s">
        <v>438</v>
      </c>
      <c r="U34" s="114" t="s">
        <v>825</v>
      </c>
      <c r="V34" s="135" t="s">
        <v>436</v>
      </c>
      <c r="W34" s="135" t="s">
        <v>446</v>
      </c>
      <c r="X34" s="135" t="s">
        <v>103</v>
      </c>
    </row>
    <row r="35" spans="1:24" s="53" customFormat="1" x14ac:dyDescent="0.3">
      <c r="A35" s="115" t="s">
        <v>439</v>
      </c>
      <c r="B35" s="116">
        <v>46081</v>
      </c>
      <c r="C35" s="117"/>
      <c r="D35" s="117"/>
      <c r="E35" s="117"/>
      <c r="F35" s="117"/>
      <c r="G35" s="117" t="s">
        <v>914</v>
      </c>
      <c r="H35" s="117" t="s">
        <v>811</v>
      </c>
      <c r="I35" s="117" t="s">
        <v>522</v>
      </c>
      <c r="J35" s="117" t="s">
        <v>915</v>
      </c>
      <c r="K35" s="117" t="s">
        <v>916</v>
      </c>
      <c r="L35" s="116">
        <v>46081</v>
      </c>
      <c r="M35" s="117" t="s">
        <v>522</v>
      </c>
      <c r="N35" s="117" t="s">
        <v>447</v>
      </c>
      <c r="O35" s="117" t="s">
        <v>443</v>
      </c>
      <c r="P35" s="117" t="s">
        <v>58</v>
      </c>
      <c r="Q35" s="118">
        <v>-2771.71</v>
      </c>
      <c r="R35" s="118">
        <v>-9315.7199999999993</v>
      </c>
      <c r="S35" s="118">
        <v>-2771.71</v>
      </c>
      <c r="T35" s="117" t="s">
        <v>438</v>
      </c>
      <c r="U35" s="119" t="s">
        <v>825</v>
      </c>
      <c r="V35" s="135" t="s">
        <v>436</v>
      </c>
      <c r="W35" s="135" t="s">
        <v>446</v>
      </c>
      <c r="X35" s="135" t="s">
        <v>103</v>
      </c>
    </row>
    <row r="36" spans="1:24" s="53" customFormat="1" x14ac:dyDescent="0.3">
      <c r="A36" s="110" t="s">
        <v>439</v>
      </c>
      <c r="B36" s="111">
        <v>46081</v>
      </c>
      <c r="C36" s="112"/>
      <c r="D36" s="112"/>
      <c r="E36" s="112"/>
      <c r="F36" s="112"/>
      <c r="G36" s="112" t="s">
        <v>917</v>
      </c>
      <c r="H36" s="112" t="s">
        <v>809</v>
      </c>
      <c r="I36" s="112" t="s">
        <v>522</v>
      </c>
      <c r="J36" s="112" t="s">
        <v>918</v>
      </c>
      <c r="K36" s="112" t="s">
        <v>919</v>
      </c>
      <c r="L36" s="111">
        <v>46081</v>
      </c>
      <c r="M36" s="112" t="s">
        <v>522</v>
      </c>
      <c r="N36" s="112" t="s">
        <v>447</v>
      </c>
      <c r="O36" s="112" t="s">
        <v>443</v>
      </c>
      <c r="P36" s="112" t="s">
        <v>58</v>
      </c>
      <c r="Q36" s="113">
        <v>-848.2</v>
      </c>
      <c r="R36" s="113">
        <v>-2850.8</v>
      </c>
      <c r="S36" s="113">
        <v>-848.2</v>
      </c>
      <c r="T36" s="112" t="s">
        <v>438</v>
      </c>
      <c r="U36" s="114" t="s">
        <v>825</v>
      </c>
      <c r="V36" s="135" t="s">
        <v>436</v>
      </c>
      <c r="W36" s="135" t="s">
        <v>446</v>
      </c>
      <c r="X36" s="135" t="s">
        <v>103</v>
      </c>
    </row>
    <row r="37" spans="1:24" s="53" customFormat="1" x14ac:dyDescent="0.3">
      <c r="A37" s="115" t="s">
        <v>439</v>
      </c>
      <c r="B37" s="116">
        <v>46081</v>
      </c>
      <c r="C37" s="117"/>
      <c r="D37" s="117"/>
      <c r="E37" s="117"/>
      <c r="F37" s="117"/>
      <c r="G37" s="117" t="s">
        <v>920</v>
      </c>
      <c r="H37" s="117" t="s">
        <v>813</v>
      </c>
      <c r="I37" s="117" t="s">
        <v>522</v>
      </c>
      <c r="J37" s="117" t="s">
        <v>921</v>
      </c>
      <c r="K37" s="117" t="s">
        <v>922</v>
      </c>
      <c r="L37" s="116">
        <v>46081</v>
      </c>
      <c r="M37" s="117" t="s">
        <v>522</v>
      </c>
      <c r="N37" s="117" t="s">
        <v>447</v>
      </c>
      <c r="O37" s="117" t="s">
        <v>443</v>
      </c>
      <c r="P37" s="117" t="s">
        <v>58</v>
      </c>
      <c r="Q37" s="118">
        <v>-5184.83</v>
      </c>
      <c r="R37" s="118">
        <v>-17426.21</v>
      </c>
      <c r="S37" s="118">
        <v>-5184.83</v>
      </c>
      <c r="T37" s="117" t="s">
        <v>438</v>
      </c>
      <c r="U37" s="119" t="s">
        <v>825</v>
      </c>
      <c r="V37" s="135" t="s">
        <v>436</v>
      </c>
      <c r="W37" s="135" t="s">
        <v>446</v>
      </c>
      <c r="X37" s="135" t="s">
        <v>103</v>
      </c>
    </row>
    <row r="38" spans="1:24" s="53" customFormat="1" x14ac:dyDescent="0.3">
      <c r="A38" s="110" t="s">
        <v>439</v>
      </c>
      <c r="B38" s="111">
        <v>46081</v>
      </c>
      <c r="C38" s="112"/>
      <c r="D38" s="112"/>
      <c r="E38" s="112"/>
      <c r="F38" s="112"/>
      <c r="G38" s="112" t="s">
        <v>923</v>
      </c>
      <c r="H38" s="112" t="s">
        <v>817</v>
      </c>
      <c r="I38" s="112" t="s">
        <v>522</v>
      </c>
      <c r="J38" s="112" t="s">
        <v>924</v>
      </c>
      <c r="K38" s="112" t="s">
        <v>925</v>
      </c>
      <c r="L38" s="111">
        <v>46081</v>
      </c>
      <c r="M38" s="112" t="s">
        <v>522</v>
      </c>
      <c r="N38" s="112" t="s">
        <v>447</v>
      </c>
      <c r="O38" s="112" t="s">
        <v>443</v>
      </c>
      <c r="P38" s="112" t="s">
        <v>58</v>
      </c>
      <c r="Q38" s="113">
        <v>-180.05</v>
      </c>
      <c r="R38" s="113">
        <v>-605.15</v>
      </c>
      <c r="S38" s="113">
        <v>-180.05</v>
      </c>
      <c r="T38" s="112" t="s">
        <v>438</v>
      </c>
      <c r="U38" s="114" t="s">
        <v>825</v>
      </c>
      <c r="V38" s="135" t="s">
        <v>436</v>
      </c>
      <c r="W38" s="135" t="s">
        <v>446</v>
      </c>
      <c r="X38" s="135" t="s">
        <v>103</v>
      </c>
    </row>
    <row r="39" spans="1:24" s="53" customFormat="1" x14ac:dyDescent="0.3">
      <c r="A39" s="115" t="s">
        <v>439</v>
      </c>
      <c r="B39" s="116">
        <v>46081</v>
      </c>
      <c r="C39" s="117"/>
      <c r="D39" s="117"/>
      <c r="E39" s="117"/>
      <c r="F39" s="117"/>
      <c r="G39" s="117" t="s">
        <v>926</v>
      </c>
      <c r="H39" s="117" t="s">
        <v>815</v>
      </c>
      <c r="I39" s="117" t="s">
        <v>522</v>
      </c>
      <c r="J39" s="117" t="s">
        <v>927</v>
      </c>
      <c r="K39" s="117" t="s">
        <v>928</v>
      </c>
      <c r="L39" s="116">
        <v>46081</v>
      </c>
      <c r="M39" s="117" t="s">
        <v>522</v>
      </c>
      <c r="N39" s="117" t="s">
        <v>447</v>
      </c>
      <c r="O39" s="117" t="s">
        <v>443</v>
      </c>
      <c r="P39" s="117" t="s">
        <v>58</v>
      </c>
      <c r="Q39" s="118">
        <v>-379.94</v>
      </c>
      <c r="R39" s="118">
        <v>-1276.98</v>
      </c>
      <c r="S39" s="118">
        <v>-379.94</v>
      </c>
      <c r="T39" s="117" t="s">
        <v>438</v>
      </c>
      <c r="U39" s="119" t="s">
        <v>825</v>
      </c>
      <c r="V39" s="135" t="s">
        <v>436</v>
      </c>
      <c r="W39" s="135" t="s">
        <v>446</v>
      </c>
      <c r="X39" s="135" t="s">
        <v>103</v>
      </c>
    </row>
    <row r="40" spans="1:24" s="53" customFormat="1" x14ac:dyDescent="0.3">
      <c r="A40" s="110" t="s">
        <v>439</v>
      </c>
      <c r="B40" s="111">
        <v>46081</v>
      </c>
      <c r="C40" s="112"/>
      <c r="D40" s="112"/>
      <c r="E40" s="112"/>
      <c r="F40" s="112"/>
      <c r="G40" s="112" t="s">
        <v>929</v>
      </c>
      <c r="H40" s="112" t="s">
        <v>793</v>
      </c>
      <c r="I40" s="112" t="s">
        <v>522</v>
      </c>
      <c r="J40" s="112" t="s">
        <v>930</v>
      </c>
      <c r="K40" s="112" t="s">
        <v>931</v>
      </c>
      <c r="L40" s="111">
        <v>46081</v>
      </c>
      <c r="M40" s="112" t="s">
        <v>522</v>
      </c>
      <c r="N40" s="112" t="s">
        <v>447</v>
      </c>
      <c r="O40" s="112" t="s">
        <v>443</v>
      </c>
      <c r="P40" s="112" t="s">
        <v>58</v>
      </c>
      <c r="Q40" s="113">
        <v>-2991.08</v>
      </c>
      <c r="R40" s="113">
        <v>-10053.02</v>
      </c>
      <c r="S40" s="113">
        <v>-2991.08</v>
      </c>
      <c r="T40" s="112" t="s">
        <v>438</v>
      </c>
      <c r="U40" s="114" t="s">
        <v>825</v>
      </c>
      <c r="V40" s="135" t="s">
        <v>436</v>
      </c>
      <c r="W40" s="135" t="s">
        <v>446</v>
      </c>
      <c r="X40" s="135" t="s">
        <v>103</v>
      </c>
    </row>
    <row r="41" spans="1:24" s="53" customFormat="1" x14ac:dyDescent="0.3">
      <c r="A41" s="115" t="s">
        <v>439</v>
      </c>
      <c r="B41" s="116">
        <v>46081</v>
      </c>
      <c r="C41" s="117"/>
      <c r="D41" s="117"/>
      <c r="E41" s="117"/>
      <c r="F41" s="117"/>
      <c r="G41" s="117" t="s">
        <v>932</v>
      </c>
      <c r="H41" s="117" t="s">
        <v>795</v>
      </c>
      <c r="I41" s="117" t="s">
        <v>522</v>
      </c>
      <c r="J41" s="117" t="s">
        <v>933</v>
      </c>
      <c r="K41" s="117" t="s">
        <v>934</v>
      </c>
      <c r="L41" s="116">
        <v>46081</v>
      </c>
      <c r="M41" s="117" t="s">
        <v>522</v>
      </c>
      <c r="N41" s="117" t="s">
        <v>447</v>
      </c>
      <c r="O41" s="117" t="s">
        <v>443</v>
      </c>
      <c r="P41" s="117" t="s">
        <v>58</v>
      </c>
      <c r="Q41" s="118">
        <v>-2398.79</v>
      </c>
      <c r="R41" s="118">
        <v>-8062.33</v>
      </c>
      <c r="S41" s="118">
        <v>-2398.79</v>
      </c>
      <c r="T41" s="117" t="s">
        <v>438</v>
      </c>
      <c r="U41" s="119" t="s">
        <v>825</v>
      </c>
      <c r="V41" s="135" t="s">
        <v>436</v>
      </c>
      <c r="W41" s="135" t="s">
        <v>446</v>
      </c>
      <c r="X41" s="135" t="s">
        <v>103</v>
      </c>
    </row>
    <row r="42" spans="1:24" s="53" customFormat="1" x14ac:dyDescent="0.3">
      <c r="A42" s="110" t="s">
        <v>439</v>
      </c>
      <c r="B42" s="111">
        <v>46081</v>
      </c>
      <c r="C42" s="112"/>
      <c r="D42" s="112"/>
      <c r="E42" s="112"/>
      <c r="F42" s="112"/>
      <c r="G42" s="112" t="s">
        <v>935</v>
      </c>
      <c r="H42" s="112" t="s">
        <v>791</v>
      </c>
      <c r="I42" s="112" t="s">
        <v>522</v>
      </c>
      <c r="J42" s="112" t="s">
        <v>936</v>
      </c>
      <c r="K42" s="112" t="s">
        <v>937</v>
      </c>
      <c r="L42" s="111">
        <v>46081</v>
      </c>
      <c r="M42" s="112" t="s">
        <v>522</v>
      </c>
      <c r="N42" s="112" t="s">
        <v>447</v>
      </c>
      <c r="O42" s="112" t="s">
        <v>443</v>
      </c>
      <c r="P42" s="112" t="s">
        <v>58</v>
      </c>
      <c r="Q42" s="113">
        <v>-2500</v>
      </c>
      <c r="R42" s="113">
        <v>-8402.5</v>
      </c>
      <c r="S42" s="113">
        <v>-2500</v>
      </c>
      <c r="T42" s="112" t="s">
        <v>438</v>
      </c>
      <c r="U42" s="114" t="s">
        <v>825</v>
      </c>
      <c r="V42" s="135" t="s">
        <v>436</v>
      </c>
      <c r="W42" s="135" t="s">
        <v>446</v>
      </c>
      <c r="X42" s="135" t="s">
        <v>103</v>
      </c>
    </row>
    <row r="43" spans="1:24" s="53" customFormat="1" x14ac:dyDescent="0.3">
      <c r="A43" s="115" t="s">
        <v>439</v>
      </c>
      <c r="B43" s="116">
        <v>46081</v>
      </c>
      <c r="C43" s="117"/>
      <c r="D43" s="117"/>
      <c r="E43" s="117"/>
      <c r="F43" s="117"/>
      <c r="G43" s="117" t="s">
        <v>938</v>
      </c>
      <c r="H43" s="117" t="s">
        <v>803</v>
      </c>
      <c r="I43" s="117" t="s">
        <v>522</v>
      </c>
      <c r="J43" s="117" t="s">
        <v>939</v>
      </c>
      <c r="K43" s="117" t="s">
        <v>940</v>
      </c>
      <c r="L43" s="116">
        <v>46081</v>
      </c>
      <c r="M43" s="117" t="s">
        <v>522</v>
      </c>
      <c r="N43" s="117" t="s">
        <v>447</v>
      </c>
      <c r="O43" s="117" t="s">
        <v>443</v>
      </c>
      <c r="P43" s="117" t="s">
        <v>58</v>
      </c>
      <c r="Q43" s="118">
        <v>-2000</v>
      </c>
      <c r="R43" s="118">
        <v>-6722</v>
      </c>
      <c r="S43" s="118">
        <v>-2000</v>
      </c>
      <c r="T43" s="117" t="s">
        <v>438</v>
      </c>
      <c r="U43" s="119" t="s">
        <v>825</v>
      </c>
      <c r="V43" s="135" t="s">
        <v>436</v>
      </c>
      <c r="W43" s="135" t="s">
        <v>446</v>
      </c>
      <c r="X43" s="135" t="s">
        <v>103</v>
      </c>
    </row>
    <row r="44" spans="1:24" s="53" customFormat="1" x14ac:dyDescent="0.3">
      <c r="A44" s="110" t="s">
        <v>439</v>
      </c>
      <c r="B44" s="111">
        <v>46081</v>
      </c>
      <c r="C44" s="112"/>
      <c r="D44" s="112"/>
      <c r="E44" s="112"/>
      <c r="F44" s="112"/>
      <c r="G44" s="112" t="s">
        <v>941</v>
      </c>
      <c r="H44" s="112" t="s">
        <v>797</v>
      </c>
      <c r="I44" s="112" t="s">
        <v>522</v>
      </c>
      <c r="J44" s="112" t="s">
        <v>942</v>
      </c>
      <c r="K44" s="112" t="s">
        <v>943</v>
      </c>
      <c r="L44" s="111">
        <v>46081</v>
      </c>
      <c r="M44" s="112" t="s">
        <v>522</v>
      </c>
      <c r="N44" s="112" t="s">
        <v>447</v>
      </c>
      <c r="O44" s="112" t="s">
        <v>443</v>
      </c>
      <c r="P44" s="112" t="s">
        <v>58</v>
      </c>
      <c r="Q44" s="113">
        <v>-2019.13</v>
      </c>
      <c r="R44" s="113">
        <v>-6786.3</v>
      </c>
      <c r="S44" s="113">
        <v>-2019.13</v>
      </c>
      <c r="T44" s="112" t="s">
        <v>438</v>
      </c>
      <c r="U44" s="114" t="s">
        <v>825</v>
      </c>
      <c r="V44" s="135" t="s">
        <v>436</v>
      </c>
      <c r="W44" s="135" t="s">
        <v>446</v>
      </c>
      <c r="X44" s="135" t="s">
        <v>103</v>
      </c>
    </row>
    <row r="45" spans="1:24" s="53" customFormat="1" x14ac:dyDescent="0.3">
      <c r="A45" s="115" t="s">
        <v>439</v>
      </c>
      <c r="B45" s="116">
        <v>46081</v>
      </c>
      <c r="C45" s="117"/>
      <c r="D45" s="117"/>
      <c r="E45" s="117"/>
      <c r="F45" s="117"/>
      <c r="G45" s="117" t="s">
        <v>944</v>
      </c>
      <c r="H45" s="117" t="s">
        <v>799</v>
      </c>
      <c r="I45" s="117" t="s">
        <v>522</v>
      </c>
      <c r="J45" s="117" t="s">
        <v>945</v>
      </c>
      <c r="K45" s="117" t="s">
        <v>946</v>
      </c>
      <c r="L45" s="116">
        <v>46081</v>
      </c>
      <c r="M45" s="117" t="s">
        <v>522</v>
      </c>
      <c r="N45" s="117" t="s">
        <v>447</v>
      </c>
      <c r="O45" s="117" t="s">
        <v>443</v>
      </c>
      <c r="P45" s="117" t="s">
        <v>58</v>
      </c>
      <c r="Q45" s="118">
        <v>-998.79</v>
      </c>
      <c r="R45" s="118">
        <v>-3356.93</v>
      </c>
      <c r="S45" s="118">
        <v>-998.79</v>
      </c>
      <c r="T45" s="117" t="s">
        <v>438</v>
      </c>
      <c r="U45" s="119" t="s">
        <v>825</v>
      </c>
      <c r="V45" s="135" t="s">
        <v>436</v>
      </c>
      <c r="W45" s="135" t="s">
        <v>446</v>
      </c>
      <c r="X45" s="135" t="s">
        <v>103</v>
      </c>
    </row>
    <row r="46" spans="1:24" s="53" customFormat="1" x14ac:dyDescent="0.3">
      <c r="A46" s="110" t="s">
        <v>439</v>
      </c>
      <c r="B46" s="111">
        <v>46081</v>
      </c>
      <c r="C46" s="112"/>
      <c r="D46" s="112"/>
      <c r="E46" s="112"/>
      <c r="F46" s="112"/>
      <c r="G46" s="112" t="s">
        <v>605</v>
      </c>
      <c r="H46" s="112" t="s">
        <v>597</v>
      </c>
      <c r="I46" s="112" t="s">
        <v>522</v>
      </c>
      <c r="J46" s="112" t="s">
        <v>947</v>
      </c>
      <c r="K46" s="112" t="s">
        <v>948</v>
      </c>
      <c r="L46" s="111">
        <v>46081</v>
      </c>
      <c r="M46" s="112" t="s">
        <v>522</v>
      </c>
      <c r="N46" s="112" t="s">
        <v>447</v>
      </c>
      <c r="O46" s="112" t="s">
        <v>443</v>
      </c>
      <c r="P46" s="112" t="s">
        <v>58</v>
      </c>
      <c r="Q46" s="113">
        <v>-999.97</v>
      </c>
      <c r="R46" s="113">
        <v>-3360.9</v>
      </c>
      <c r="S46" s="113">
        <v>-999.97</v>
      </c>
      <c r="T46" s="112" t="s">
        <v>438</v>
      </c>
      <c r="U46" s="114" t="s">
        <v>825</v>
      </c>
      <c r="V46" s="135" t="s">
        <v>436</v>
      </c>
      <c r="W46" s="135" t="s">
        <v>446</v>
      </c>
      <c r="X46" s="135" t="s">
        <v>103</v>
      </c>
    </row>
    <row r="47" spans="1:24" s="53" customFormat="1" x14ac:dyDescent="0.3">
      <c r="A47" s="115" t="s">
        <v>439</v>
      </c>
      <c r="B47" s="116">
        <v>46081</v>
      </c>
      <c r="C47" s="117"/>
      <c r="D47" s="117"/>
      <c r="E47" s="117"/>
      <c r="F47" s="117"/>
      <c r="G47" s="117" t="s">
        <v>606</v>
      </c>
      <c r="H47" s="117" t="s">
        <v>595</v>
      </c>
      <c r="I47" s="117" t="s">
        <v>522</v>
      </c>
      <c r="J47" s="117" t="s">
        <v>949</v>
      </c>
      <c r="K47" s="117" t="s">
        <v>950</v>
      </c>
      <c r="L47" s="116">
        <v>46081</v>
      </c>
      <c r="M47" s="117" t="s">
        <v>522</v>
      </c>
      <c r="N47" s="117" t="s">
        <v>447</v>
      </c>
      <c r="O47" s="117" t="s">
        <v>443</v>
      </c>
      <c r="P47" s="117" t="s">
        <v>58</v>
      </c>
      <c r="Q47" s="118">
        <v>-1027.45</v>
      </c>
      <c r="R47" s="118">
        <v>-3453.26</v>
      </c>
      <c r="S47" s="118">
        <v>-1027.45</v>
      </c>
      <c r="T47" s="117" t="s">
        <v>438</v>
      </c>
      <c r="U47" s="119" t="s">
        <v>825</v>
      </c>
      <c r="V47" s="135" t="s">
        <v>436</v>
      </c>
      <c r="W47" s="135" t="s">
        <v>446</v>
      </c>
      <c r="X47" s="135" t="s">
        <v>103</v>
      </c>
    </row>
    <row r="48" spans="1:24" s="53" customFormat="1" x14ac:dyDescent="0.3">
      <c r="A48" s="110" t="s">
        <v>439</v>
      </c>
      <c r="B48" s="111">
        <v>46081</v>
      </c>
      <c r="C48" s="112"/>
      <c r="D48" s="112"/>
      <c r="E48" s="112"/>
      <c r="F48" s="112"/>
      <c r="G48" s="112" t="s">
        <v>607</v>
      </c>
      <c r="H48" s="112" t="s">
        <v>599</v>
      </c>
      <c r="I48" s="112" t="s">
        <v>522</v>
      </c>
      <c r="J48" s="112" t="s">
        <v>951</v>
      </c>
      <c r="K48" s="112" t="s">
        <v>952</v>
      </c>
      <c r="L48" s="111">
        <v>46081</v>
      </c>
      <c r="M48" s="112" t="s">
        <v>522</v>
      </c>
      <c r="N48" s="112" t="s">
        <v>447</v>
      </c>
      <c r="O48" s="112" t="s">
        <v>443</v>
      </c>
      <c r="P48" s="112" t="s">
        <v>58</v>
      </c>
      <c r="Q48" s="113">
        <v>-8000</v>
      </c>
      <c r="R48" s="113">
        <v>-26888</v>
      </c>
      <c r="S48" s="113">
        <v>-8000</v>
      </c>
      <c r="T48" s="112" t="s">
        <v>438</v>
      </c>
      <c r="U48" s="114" t="s">
        <v>825</v>
      </c>
      <c r="V48" s="135" t="s">
        <v>436</v>
      </c>
      <c r="W48" s="135" t="s">
        <v>446</v>
      </c>
      <c r="X48" s="135" t="s">
        <v>103</v>
      </c>
    </row>
    <row r="49" spans="1:24" s="53" customFormat="1" x14ac:dyDescent="0.3">
      <c r="A49" s="115" t="s">
        <v>439</v>
      </c>
      <c r="B49" s="116">
        <v>46081</v>
      </c>
      <c r="C49" s="117"/>
      <c r="D49" s="117"/>
      <c r="E49" s="117"/>
      <c r="F49" s="117"/>
      <c r="G49" s="117" t="s">
        <v>608</v>
      </c>
      <c r="H49" s="117" t="s">
        <v>593</v>
      </c>
      <c r="I49" s="117" t="s">
        <v>522</v>
      </c>
      <c r="J49" s="117" t="s">
        <v>953</v>
      </c>
      <c r="K49" s="117" t="s">
        <v>954</v>
      </c>
      <c r="L49" s="116">
        <v>46081</v>
      </c>
      <c r="M49" s="117" t="s">
        <v>522</v>
      </c>
      <c r="N49" s="117" t="s">
        <v>447</v>
      </c>
      <c r="O49" s="117" t="s">
        <v>443</v>
      </c>
      <c r="P49" s="117" t="s">
        <v>58</v>
      </c>
      <c r="Q49" s="118">
        <v>-9029.1299999999992</v>
      </c>
      <c r="R49" s="118">
        <v>-30346.91</v>
      </c>
      <c r="S49" s="118">
        <v>-9029.1299999999992</v>
      </c>
      <c r="T49" s="117" t="s">
        <v>438</v>
      </c>
      <c r="U49" s="119" t="s">
        <v>825</v>
      </c>
      <c r="V49" s="135" t="s">
        <v>436</v>
      </c>
      <c r="W49" s="135" t="s">
        <v>446</v>
      </c>
      <c r="X49" s="135" t="s">
        <v>103</v>
      </c>
    </row>
    <row r="50" spans="1:24" s="53" customFormat="1" x14ac:dyDescent="0.3">
      <c r="A50" s="110" t="s">
        <v>439</v>
      </c>
      <c r="B50" s="111">
        <v>46081</v>
      </c>
      <c r="C50" s="112"/>
      <c r="D50" s="112"/>
      <c r="E50" s="112"/>
      <c r="F50" s="112"/>
      <c r="G50" s="112" t="s">
        <v>523</v>
      </c>
      <c r="H50" s="112" t="s">
        <v>434</v>
      </c>
      <c r="I50" s="112" t="s">
        <v>522</v>
      </c>
      <c r="J50" s="112" t="s">
        <v>955</v>
      </c>
      <c r="K50" s="112" t="s">
        <v>956</v>
      </c>
      <c r="L50" s="111">
        <v>46081</v>
      </c>
      <c r="M50" s="112" t="s">
        <v>522</v>
      </c>
      <c r="N50" s="112" t="s">
        <v>447</v>
      </c>
      <c r="O50" s="112" t="s">
        <v>443</v>
      </c>
      <c r="P50" s="112" t="s">
        <v>58</v>
      </c>
      <c r="Q50" s="113">
        <v>-912.96</v>
      </c>
      <c r="R50" s="113">
        <v>-3068.46</v>
      </c>
      <c r="S50" s="113">
        <v>-912.96</v>
      </c>
      <c r="T50" s="112" t="s">
        <v>438</v>
      </c>
      <c r="U50" s="114" t="s">
        <v>825</v>
      </c>
      <c r="V50" s="135" t="s">
        <v>436</v>
      </c>
      <c r="W50" s="135" t="s">
        <v>446</v>
      </c>
      <c r="X50" s="135" t="s">
        <v>103</v>
      </c>
    </row>
    <row r="51" spans="1:24" s="53" customFormat="1" x14ac:dyDescent="0.3">
      <c r="A51" s="115" t="s">
        <v>439</v>
      </c>
      <c r="B51" s="116">
        <v>46081</v>
      </c>
      <c r="C51" s="117"/>
      <c r="D51" s="117"/>
      <c r="E51" s="117"/>
      <c r="F51" s="117"/>
      <c r="G51" s="117" t="s">
        <v>524</v>
      </c>
      <c r="H51" s="117" t="s">
        <v>424</v>
      </c>
      <c r="I51" s="117" t="s">
        <v>522</v>
      </c>
      <c r="J51" s="117" t="s">
        <v>957</v>
      </c>
      <c r="K51" s="117" t="s">
        <v>958</v>
      </c>
      <c r="L51" s="116">
        <v>46081</v>
      </c>
      <c r="M51" s="117" t="s">
        <v>522</v>
      </c>
      <c r="N51" s="117" t="s">
        <v>447</v>
      </c>
      <c r="O51" s="117" t="s">
        <v>443</v>
      </c>
      <c r="P51" s="117" t="s">
        <v>58</v>
      </c>
      <c r="Q51" s="118">
        <v>-1999.95</v>
      </c>
      <c r="R51" s="118">
        <v>-6721.83</v>
      </c>
      <c r="S51" s="118">
        <v>-1999.95</v>
      </c>
      <c r="T51" s="117" t="s">
        <v>438</v>
      </c>
      <c r="U51" s="119" t="s">
        <v>825</v>
      </c>
      <c r="V51" s="135" t="s">
        <v>436</v>
      </c>
      <c r="W51" s="135" t="s">
        <v>446</v>
      </c>
      <c r="X51" s="135" t="s">
        <v>103</v>
      </c>
    </row>
    <row r="52" spans="1:24" s="53" customFormat="1" x14ac:dyDescent="0.3">
      <c r="A52" s="110" t="s">
        <v>439</v>
      </c>
      <c r="B52" s="111">
        <v>46081</v>
      </c>
      <c r="C52" s="112"/>
      <c r="D52" s="112"/>
      <c r="E52" s="112"/>
      <c r="F52" s="112"/>
      <c r="G52" s="112" t="s">
        <v>525</v>
      </c>
      <c r="H52" s="112" t="s">
        <v>420</v>
      </c>
      <c r="I52" s="112" t="s">
        <v>522</v>
      </c>
      <c r="J52" s="112" t="s">
        <v>959</v>
      </c>
      <c r="K52" s="112" t="s">
        <v>960</v>
      </c>
      <c r="L52" s="111">
        <v>46081</v>
      </c>
      <c r="M52" s="112" t="s">
        <v>522</v>
      </c>
      <c r="N52" s="112" t="s">
        <v>447</v>
      </c>
      <c r="O52" s="112" t="s">
        <v>443</v>
      </c>
      <c r="P52" s="112" t="s">
        <v>58</v>
      </c>
      <c r="Q52" s="113">
        <v>-16105.49</v>
      </c>
      <c r="R52" s="113">
        <v>-54130.55</v>
      </c>
      <c r="S52" s="113">
        <v>-16105.49</v>
      </c>
      <c r="T52" s="112" t="s">
        <v>438</v>
      </c>
      <c r="U52" s="114" t="s">
        <v>825</v>
      </c>
      <c r="V52" s="135" t="s">
        <v>436</v>
      </c>
      <c r="W52" s="135" t="s">
        <v>446</v>
      </c>
      <c r="X52" s="135" t="s">
        <v>103</v>
      </c>
    </row>
    <row r="53" spans="1:24" s="53" customFormat="1" x14ac:dyDescent="0.3">
      <c r="A53" s="115" t="s">
        <v>439</v>
      </c>
      <c r="B53" s="116">
        <v>46081</v>
      </c>
      <c r="C53" s="117"/>
      <c r="D53" s="117"/>
      <c r="E53" s="117"/>
      <c r="F53" s="117"/>
      <c r="G53" s="117" t="s">
        <v>526</v>
      </c>
      <c r="H53" s="117" t="s">
        <v>422</v>
      </c>
      <c r="I53" s="117" t="s">
        <v>522</v>
      </c>
      <c r="J53" s="117" t="s">
        <v>961</v>
      </c>
      <c r="K53" s="117" t="s">
        <v>962</v>
      </c>
      <c r="L53" s="116">
        <v>46081</v>
      </c>
      <c r="M53" s="117" t="s">
        <v>522</v>
      </c>
      <c r="N53" s="117" t="s">
        <v>447</v>
      </c>
      <c r="O53" s="117" t="s">
        <v>443</v>
      </c>
      <c r="P53" s="117" t="s">
        <v>58</v>
      </c>
      <c r="Q53" s="118">
        <v>-1800</v>
      </c>
      <c r="R53" s="118">
        <v>-6049.8</v>
      </c>
      <c r="S53" s="118">
        <v>-1800</v>
      </c>
      <c r="T53" s="117" t="s">
        <v>438</v>
      </c>
      <c r="U53" s="119" t="s">
        <v>825</v>
      </c>
      <c r="V53" s="135" t="s">
        <v>436</v>
      </c>
      <c r="W53" s="135" t="s">
        <v>446</v>
      </c>
      <c r="X53" s="135" t="s">
        <v>103</v>
      </c>
    </row>
    <row r="54" spans="1:24" s="53" customFormat="1" x14ac:dyDescent="0.3">
      <c r="A54" s="110" t="s">
        <v>439</v>
      </c>
      <c r="B54" s="111">
        <v>46081</v>
      </c>
      <c r="C54" s="112"/>
      <c r="D54" s="112"/>
      <c r="E54" s="112"/>
      <c r="F54" s="112"/>
      <c r="G54" s="112" t="s">
        <v>528</v>
      </c>
      <c r="H54" s="112" t="s">
        <v>430</v>
      </c>
      <c r="I54" s="112" t="s">
        <v>522</v>
      </c>
      <c r="J54" s="112" t="s">
        <v>963</v>
      </c>
      <c r="K54" s="112" t="s">
        <v>964</v>
      </c>
      <c r="L54" s="111">
        <v>46081</v>
      </c>
      <c r="M54" s="112" t="s">
        <v>522</v>
      </c>
      <c r="N54" s="112" t="s">
        <v>447</v>
      </c>
      <c r="O54" s="112" t="s">
        <v>443</v>
      </c>
      <c r="P54" s="112" t="s">
        <v>58</v>
      </c>
      <c r="Q54" s="113">
        <v>-4773.92</v>
      </c>
      <c r="R54" s="113">
        <v>-16045.15</v>
      </c>
      <c r="S54" s="113">
        <v>-4773.92</v>
      </c>
      <c r="T54" s="112" t="s">
        <v>438</v>
      </c>
      <c r="U54" s="114" t="s">
        <v>825</v>
      </c>
      <c r="V54" s="135" t="s">
        <v>436</v>
      </c>
      <c r="W54" s="135" t="s">
        <v>446</v>
      </c>
      <c r="X54" s="135" t="s">
        <v>103</v>
      </c>
    </row>
    <row r="55" spans="1:24" s="53" customFormat="1" x14ac:dyDescent="0.3">
      <c r="A55" s="115" t="s">
        <v>439</v>
      </c>
      <c r="B55" s="116">
        <v>46081</v>
      </c>
      <c r="C55" s="117"/>
      <c r="D55" s="117"/>
      <c r="E55" s="117"/>
      <c r="F55" s="117"/>
      <c r="G55" s="117" t="s">
        <v>965</v>
      </c>
      <c r="H55" s="117" t="s">
        <v>428</v>
      </c>
      <c r="I55" s="117" t="s">
        <v>522</v>
      </c>
      <c r="J55" s="117" t="s">
        <v>966</v>
      </c>
      <c r="K55" s="117" t="s">
        <v>967</v>
      </c>
      <c r="L55" s="116">
        <v>46081</v>
      </c>
      <c r="M55" s="117" t="s">
        <v>522</v>
      </c>
      <c r="N55" s="117" t="s">
        <v>447</v>
      </c>
      <c r="O55" s="117" t="s">
        <v>443</v>
      </c>
      <c r="P55" s="117" t="s">
        <v>58</v>
      </c>
      <c r="Q55" s="118">
        <v>-3699.53</v>
      </c>
      <c r="R55" s="118">
        <v>-12434.12</v>
      </c>
      <c r="S55" s="118">
        <v>-3699.53</v>
      </c>
      <c r="T55" s="117" t="s">
        <v>438</v>
      </c>
      <c r="U55" s="119" t="s">
        <v>825</v>
      </c>
      <c r="V55" s="135" t="s">
        <v>436</v>
      </c>
      <c r="W55" s="135" t="s">
        <v>446</v>
      </c>
      <c r="X55" s="135" t="s">
        <v>103</v>
      </c>
    </row>
    <row r="56" spans="1:24" s="53" customFormat="1" x14ac:dyDescent="0.3">
      <c r="A56" s="110" t="s">
        <v>439</v>
      </c>
      <c r="B56" s="111">
        <v>46081</v>
      </c>
      <c r="C56" s="112"/>
      <c r="D56" s="112"/>
      <c r="E56" s="112"/>
      <c r="F56" s="112"/>
      <c r="G56" s="112" t="s">
        <v>527</v>
      </c>
      <c r="H56" s="112" t="s">
        <v>432</v>
      </c>
      <c r="I56" s="112" t="s">
        <v>522</v>
      </c>
      <c r="J56" s="112" t="s">
        <v>968</v>
      </c>
      <c r="K56" s="112" t="s">
        <v>969</v>
      </c>
      <c r="L56" s="111">
        <v>46081</v>
      </c>
      <c r="M56" s="112" t="s">
        <v>522</v>
      </c>
      <c r="N56" s="112" t="s">
        <v>447</v>
      </c>
      <c r="O56" s="112" t="s">
        <v>443</v>
      </c>
      <c r="P56" s="112" t="s">
        <v>58</v>
      </c>
      <c r="Q56" s="113">
        <v>-2986.68</v>
      </c>
      <c r="R56" s="113">
        <v>-10038.23</v>
      </c>
      <c r="S56" s="113">
        <v>-2986.68</v>
      </c>
      <c r="T56" s="112" t="s">
        <v>438</v>
      </c>
      <c r="U56" s="114" t="s">
        <v>825</v>
      </c>
      <c r="V56" s="135" t="s">
        <v>436</v>
      </c>
      <c r="W56" s="135" t="s">
        <v>446</v>
      </c>
      <c r="X56" s="135" t="s">
        <v>103</v>
      </c>
    </row>
    <row r="57" spans="1:24" s="53" customFormat="1" x14ac:dyDescent="0.3">
      <c r="A57" s="110" t="s">
        <v>440</v>
      </c>
      <c r="B57" s="111">
        <v>46079</v>
      </c>
      <c r="C57" s="112" t="s">
        <v>304</v>
      </c>
      <c r="D57" s="112" t="s">
        <v>306</v>
      </c>
      <c r="E57" s="112"/>
      <c r="F57" s="112"/>
      <c r="G57" s="112" t="s">
        <v>610</v>
      </c>
      <c r="H57" s="112" t="s">
        <v>424</v>
      </c>
      <c r="I57" s="112" t="s">
        <v>522</v>
      </c>
      <c r="J57" s="112" t="s">
        <v>970</v>
      </c>
      <c r="K57" s="112" t="s">
        <v>971</v>
      </c>
      <c r="L57" s="111">
        <v>46079</v>
      </c>
      <c r="M57" s="112" t="s">
        <v>522</v>
      </c>
      <c r="N57" s="112" t="s">
        <v>447</v>
      </c>
      <c r="O57" s="112" t="s">
        <v>443</v>
      </c>
      <c r="P57" s="112" t="s">
        <v>58</v>
      </c>
      <c r="Q57" s="113">
        <v>-2000</v>
      </c>
      <c r="R57" s="113">
        <v>-6726</v>
      </c>
      <c r="S57" s="113">
        <v>-2000</v>
      </c>
      <c r="T57" s="112" t="s">
        <v>438</v>
      </c>
      <c r="U57" s="114" t="s">
        <v>449</v>
      </c>
      <c r="V57" s="135" t="s">
        <v>436</v>
      </c>
      <c r="W57" s="135" t="s">
        <v>446</v>
      </c>
      <c r="X57" s="135" t="s">
        <v>103</v>
      </c>
    </row>
    <row r="58" spans="1:24" s="53" customFormat="1" x14ac:dyDescent="0.3">
      <c r="A58" s="115" t="s">
        <v>440</v>
      </c>
      <c r="B58" s="116">
        <v>46079</v>
      </c>
      <c r="C58" s="117" t="s">
        <v>304</v>
      </c>
      <c r="D58" s="117" t="s">
        <v>306</v>
      </c>
      <c r="E58" s="117"/>
      <c r="F58" s="117"/>
      <c r="G58" s="117" t="s">
        <v>610</v>
      </c>
      <c r="H58" s="117" t="s">
        <v>424</v>
      </c>
      <c r="I58" s="117" t="s">
        <v>522</v>
      </c>
      <c r="J58" s="117" t="s">
        <v>970</v>
      </c>
      <c r="K58" s="117" t="s">
        <v>971</v>
      </c>
      <c r="L58" s="116">
        <v>46079</v>
      </c>
      <c r="M58" s="117" t="s">
        <v>522</v>
      </c>
      <c r="N58" s="117" t="s">
        <v>447</v>
      </c>
      <c r="O58" s="117" t="s">
        <v>443</v>
      </c>
      <c r="P58" s="117" t="s">
        <v>58</v>
      </c>
      <c r="Q58" s="118">
        <v>0</v>
      </c>
      <c r="R58" s="118">
        <v>-70</v>
      </c>
      <c r="S58" s="118">
        <v>0</v>
      </c>
      <c r="T58" s="117" t="s">
        <v>438</v>
      </c>
      <c r="U58" s="119" t="s">
        <v>449</v>
      </c>
      <c r="V58" s="135" t="s">
        <v>436</v>
      </c>
      <c r="W58" s="135" t="s">
        <v>446</v>
      </c>
      <c r="X58" s="135" t="s">
        <v>103</v>
      </c>
    </row>
    <row r="59" spans="1:24" s="53" customFormat="1" x14ac:dyDescent="0.3">
      <c r="A59" s="110" t="s">
        <v>439</v>
      </c>
      <c r="B59" s="111">
        <v>46079</v>
      </c>
      <c r="C59" s="112" t="s">
        <v>304</v>
      </c>
      <c r="D59" s="112" t="s">
        <v>306</v>
      </c>
      <c r="E59" s="112"/>
      <c r="F59" s="112"/>
      <c r="G59" s="112" t="s">
        <v>610</v>
      </c>
      <c r="H59" s="112" t="s">
        <v>424</v>
      </c>
      <c r="I59" s="112" t="s">
        <v>522</v>
      </c>
      <c r="J59" s="112" t="s">
        <v>970</v>
      </c>
      <c r="K59" s="112" t="s">
        <v>971</v>
      </c>
      <c r="L59" s="111">
        <v>46079</v>
      </c>
      <c r="M59" s="112" t="s">
        <v>522</v>
      </c>
      <c r="N59" s="112" t="s">
        <v>447</v>
      </c>
      <c r="O59" s="112" t="s">
        <v>443</v>
      </c>
      <c r="P59" s="112" t="s">
        <v>58</v>
      </c>
      <c r="Q59" s="113">
        <v>2000</v>
      </c>
      <c r="R59" s="113">
        <v>6796</v>
      </c>
      <c r="S59" s="113">
        <v>2000</v>
      </c>
      <c r="T59" s="112" t="s">
        <v>438</v>
      </c>
      <c r="U59" s="114" t="s">
        <v>449</v>
      </c>
      <c r="V59" s="135" t="s">
        <v>436</v>
      </c>
      <c r="W59" s="135" t="s">
        <v>446</v>
      </c>
      <c r="X59" s="135" t="s">
        <v>103</v>
      </c>
    </row>
    <row r="60" spans="1:24" s="53" customFormat="1" x14ac:dyDescent="0.3">
      <c r="A60" s="115" t="s">
        <v>440</v>
      </c>
      <c r="B60" s="116">
        <v>46079</v>
      </c>
      <c r="C60" s="117" t="s">
        <v>304</v>
      </c>
      <c r="D60" s="117" t="s">
        <v>306</v>
      </c>
      <c r="E60" s="117"/>
      <c r="F60" s="117"/>
      <c r="G60" s="117" t="s">
        <v>609</v>
      </c>
      <c r="H60" s="117" t="s">
        <v>434</v>
      </c>
      <c r="I60" s="117" t="s">
        <v>522</v>
      </c>
      <c r="J60" s="117" t="s">
        <v>972</v>
      </c>
      <c r="K60" s="117" t="s">
        <v>973</v>
      </c>
      <c r="L60" s="116">
        <v>46079</v>
      </c>
      <c r="M60" s="117" t="s">
        <v>522</v>
      </c>
      <c r="N60" s="117" t="s">
        <v>447</v>
      </c>
      <c r="O60" s="117" t="s">
        <v>443</v>
      </c>
      <c r="P60" s="117" t="s">
        <v>58</v>
      </c>
      <c r="Q60" s="118">
        <v>-1179.23</v>
      </c>
      <c r="R60" s="118">
        <v>-3965.75</v>
      </c>
      <c r="S60" s="118">
        <v>-1179.23</v>
      </c>
      <c r="T60" s="117" t="s">
        <v>438</v>
      </c>
      <c r="U60" s="119" t="s">
        <v>449</v>
      </c>
      <c r="V60" s="135" t="s">
        <v>436</v>
      </c>
      <c r="W60" s="135" t="s">
        <v>446</v>
      </c>
      <c r="X60" s="135" t="s">
        <v>103</v>
      </c>
    </row>
    <row r="61" spans="1:24" s="53" customFormat="1" x14ac:dyDescent="0.3">
      <c r="A61" s="110" t="s">
        <v>440</v>
      </c>
      <c r="B61" s="111">
        <v>46079</v>
      </c>
      <c r="C61" s="112" t="s">
        <v>304</v>
      </c>
      <c r="D61" s="112" t="s">
        <v>306</v>
      </c>
      <c r="E61" s="112"/>
      <c r="F61" s="112"/>
      <c r="G61" s="112" t="s">
        <v>609</v>
      </c>
      <c r="H61" s="112" t="s">
        <v>434</v>
      </c>
      <c r="I61" s="112" t="s">
        <v>522</v>
      </c>
      <c r="J61" s="112" t="s">
        <v>972</v>
      </c>
      <c r="K61" s="112" t="s">
        <v>973</v>
      </c>
      <c r="L61" s="111">
        <v>46079</v>
      </c>
      <c r="M61" s="112" t="s">
        <v>522</v>
      </c>
      <c r="N61" s="112" t="s">
        <v>447</v>
      </c>
      <c r="O61" s="112" t="s">
        <v>443</v>
      </c>
      <c r="P61" s="112" t="s">
        <v>58</v>
      </c>
      <c r="Q61" s="113">
        <v>0</v>
      </c>
      <c r="R61" s="113">
        <v>-7.08</v>
      </c>
      <c r="S61" s="113">
        <v>0</v>
      </c>
      <c r="T61" s="112" t="s">
        <v>438</v>
      </c>
      <c r="U61" s="114" t="s">
        <v>449</v>
      </c>
      <c r="V61" s="135" t="s">
        <v>436</v>
      </c>
      <c r="W61" s="135" t="s">
        <v>446</v>
      </c>
      <c r="X61" s="135" t="s">
        <v>103</v>
      </c>
    </row>
    <row r="62" spans="1:24" s="53" customFormat="1" x14ac:dyDescent="0.3">
      <c r="A62" s="115" t="s">
        <v>439</v>
      </c>
      <c r="B62" s="116">
        <v>46079</v>
      </c>
      <c r="C62" s="117" t="s">
        <v>304</v>
      </c>
      <c r="D62" s="117" t="s">
        <v>306</v>
      </c>
      <c r="E62" s="117"/>
      <c r="F62" s="117"/>
      <c r="G62" s="117" t="s">
        <v>609</v>
      </c>
      <c r="H62" s="117" t="s">
        <v>434</v>
      </c>
      <c r="I62" s="117" t="s">
        <v>522</v>
      </c>
      <c r="J62" s="117" t="s">
        <v>972</v>
      </c>
      <c r="K62" s="117" t="s">
        <v>973</v>
      </c>
      <c r="L62" s="116">
        <v>46079</v>
      </c>
      <c r="M62" s="117" t="s">
        <v>522</v>
      </c>
      <c r="N62" s="117" t="s">
        <v>447</v>
      </c>
      <c r="O62" s="117" t="s">
        <v>443</v>
      </c>
      <c r="P62" s="117" t="s">
        <v>58</v>
      </c>
      <c r="Q62" s="118">
        <v>1179.23</v>
      </c>
      <c r="R62" s="118">
        <v>3972.83</v>
      </c>
      <c r="S62" s="118">
        <v>1179.23</v>
      </c>
      <c r="T62" s="117" t="s">
        <v>438</v>
      </c>
      <c r="U62" s="119" t="s">
        <v>449</v>
      </c>
      <c r="V62" s="135" t="s">
        <v>436</v>
      </c>
      <c r="W62" s="135" t="s">
        <v>446</v>
      </c>
      <c r="X62" s="135" t="s">
        <v>103</v>
      </c>
    </row>
    <row r="63" spans="1:24" s="53" customFormat="1" x14ac:dyDescent="0.3">
      <c r="A63" s="110" t="s">
        <v>440</v>
      </c>
      <c r="B63" s="111">
        <v>46079</v>
      </c>
      <c r="C63" s="112" t="s">
        <v>336</v>
      </c>
      <c r="D63" s="112" t="s">
        <v>533</v>
      </c>
      <c r="E63" s="112"/>
      <c r="F63" s="112"/>
      <c r="G63" s="112" t="s">
        <v>534</v>
      </c>
      <c r="H63" s="112" t="s">
        <v>430</v>
      </c>
      <c r="I63" s="112" t="s">
        <v>974</v>
      </c>
      <c r="J63" s="112" t="s">
        <v>975</v>
      </c>
      <c r="K63" s="112" t="s">
        <v>976</v>
      </c>
      <c r="L63" s="111">
        <v>46079</v>
      </c>
      <c r="M63" s="112" t="s">
        <v>974</v>
      </c>
      <c r="N63" s="112" t="s">
        <v>447</v>
      </c>
      <c r="O63" s="112" t="s">
        <v>443</v>
      </c>
      <c r="P63" s="112" t="s">
        <v>58</v>
      </c>
      <c r="Q63" s="113">
        <v>-4699.9399999999996</v>
      </c>
      <c r="R63" s="113">
        <v>-15805.9</v>
      </c>
      <c r="S63" s="113">
        <v>-4699.9399999999996</v>
      </c>
      <c r="T63" s="112" t="s">
        <v>438</v>
      </c>
      <c r="U63" s="114" t="s">
        <v>448</v>
      </c>
      <c r="V63" s="135" t="s">
        <v>436</v>
      </c>
      <c r="W63" s="135" t="s">
        <v>446</v>
      </c>
      <c r="X63" s="135" t="s">
        <v>103</v>
      </c>
    </row>
    <row r="64" spans="1:24" s="53" customFormat="1" x14ac:dyDescent="0.3">
      <c r="A64" s="115" t="s">
        <v>439</v>
      </c>
      <c r="B64" s="116">
        <v>46079</v>
      </c>
      <c r="C64" s="117" t="s">
        <v>336</v>
      </c>
      <c r="D64" s="117" t="s">
        <v>533</v>
      </c>
      <c r="E64" s="117"/>
      <c r="F64" s="117"/>
      <c r="G64" s="117" t="s">
        <v>534</v>
      </c>
      <c r="H64" s="117" t="s">
        <v>430</v>
      </c>
      <c r="I64" s="117" t="s">
        <v>974</v>
      </c>
      <c r="J64" s="117" t="s">
        <v>975</v>
      </c>
      <c r="K64" s="117" t="s">
        <v>976</v>
      </c>
      <c r="L64" s="116">
        <v>46079</v>
      </c>
      <c r="M64" s="117" t="s">
        <v>974</v>
      </c>
      <c r="N64" s="117" t="s">
        <v>447</v>
      </c>
      <c r="O64" s="117" t="s">
        <v>443</v>
      </c>
      <c r="P64" s="117" t="s">
        <v>58</v>
      </c>
      <c r="Q64" s="118">
        <v>4699.9399999999996</v>
      </c>
      <c r="R64" s="118">
        <v>15805.9</v>
      </c>
      <c r="S64" s="118">
        <v>4699.9399999999996</v>
      </c>
      <c r="T64" s="117" t="s">
        <v>438</v>
      </c>
      <c r="U64" s="119" t="s">
        <v>448</v>
      </c>
      <c r="V64" s="135" t="s">
        <v>436</v>
      </c>
      <c r="W64" s="135" t="s">
        <v>446</v>
      </c>
      <c r="X64" s="135" t="s">
        <v>103</v>
      </c>
    </row>
    <row r="65" spans="1:24" s="53" customFormat="1" x14ac:dyDescent="0.3">
      <c r="A65" s="110" t="s">
        <v>440</v>
      </c>
      <c r="B65" s="111">
        <v>46079</v>
      </c>
      <c r="C65" s="112" t="s">
        <v>336</v>
      </c>
      <c r="D65" s="112" t="s">
        <v>533</v>
      </c>
      <c r="E65" s="112"/>
      <c r="F65" s="112"/>
      <c r="G65" s="112" t="s">
        <v>534</v>
      </c>
      <c r="H65" s="112" t="s">
        <v>430</v>
      </c>
      <c r="I65" s="112" t="s">
        <v>974</v>
      </c>
      <c r="J65" s="112" t="s">
        <v>977</v>
      </c>
      <c r="K65" s="112" t="s">
        <v>978</v>
      </c>
      <c r="L65" s="111">
        <v>46079</v>
      </c>
      <c r="M65" s="112" t="s">
        <v>974</v>
      </c>
      <c r="N65" s="112" t="s">
        <v>447</v>
      </c>
      <c r="O65" s="112" t="s">
        <v>443</v>
      </c>
      <c r="P65" s="112" t="s">
        <v>58</v>
      </c>
      <c r="Q65" s="113">
        <v>-4571.33</v>
      </c>
      <c r="R65" s="113">
        <v>-15373.38</v>
      </c>
      <c r="S65" s="113">
        <v>-4571.33</v>
      </c>
      <c r="T65" s="112" t="s">
        <v>438</v>
      </c>
      <c r="U65" s="114" t="s">
        <v>448</v>
      </c>
      <c r="V65" s="135" t="s">
        <v>436</v>
      </c>
      <c r="W65" s="135" t="s">
        <v>446</v>
      </c>
      <c r="X65" s="135" t="s">
        <v>103</v>
      </c>
    </row>
    <row r="66" spans="1:24" s="53" customFormat="1" x14ac:dyDescent="0.3">
      <c r="A66" s="115" t="s">
        <v>439</v>
      </c>
      <c r="B66" s="116">
        <v>46079</v>
      </c>
      <c r="C66" s="117" t="s">
        <v>336</v>
      </c>
      <c r="D66" s="117" t="s">
        <v>533</v>
      </c>
      <c r="E66" s="117"/>
      <c r="F66" s="117"/>
      <c r="G66" s="117" t="s">
        <v>534</v>
      </c>
      <c r="H66" s="117" t="s">
        <v>430</v>
      </c>
      <c r="I66" s="117" t="s">
        <v>974</v>
      </c>
      <c r="J66" s="117" t="s">
        <v>977</v>
      </c>
      <c r="K66" s="117" t="s">
        <v>978</v>
      </c>
      <c r="L66" s="116">
        <v>46079</v>
      </c>
      <c r="M66" s="117" t="s">
        <v>974</v>
      </c>
      <c r="N66" s="117" t="s">
        <v>447</v>
      </c>
      <c r="O66" s="117" t="s">
        <v>443</v>
      </c>
      <c r="P66" s="117" t="s">
        <v>58</v>
      </c>
      <c r="Q66" s="118">
        <v>4571.33</v>
      </c>
      <c r="R66" s="118">
        <v>15373.38</v>
      </c>
      <c r="S66" s="118">
        <v>4571.33</v>
      </c>
      <c r="T66" s="117" t="s">
        <v>438</v>
      </c>
      <c r="U66" s="119" t="s">
        <v>448</v>
      </c>
      <c r="V66" s="135" t="s">
        <v>436</v>
      </c>
      <c r="W66" s="135" t="s">
        <v>446</v>
      </c>
      <c r="X66" s="135" t="s">
        <v>103</v>
      </c>
    </row>
    <row r="67" spans="1:24" s="53" customFormat="1" x14ac:dyDescent="0.3">
      <c r="A67" s="110" t="s">
        <v>440</v>
      </c>
      <c r="B67" s="111">
        <v>46079</v>
      </c>
      <c r="C67" s="112" t="s">
        <v>336</v>
      </c>
      <c r="D67" s="112" t="s">
        <v>533</v>
      </c>
      <c r="E67" s="112"/>
      <c r="F67" s="112"/>
      <c r="G67" s="112" t="s">
        <v>534</v>
      </c>
      <c r="H67" s="112" t="s">
        <v>430</v>
      </c>
      <c r="I67" s="112" t="s">
        <v>974</v>
      </c>
      <c r="J67" s="112" t="s">
        <v>979</v>
      </c>
      <c r="K67" s="112" t="s">
        <v>980</v>
      </c>
      <c r="L67" s="111">
        <v>46079</v>
      </c>
      <c r="M67" s="112" t="s">
        <v>974</v>
      </c>
      <c r="N67" s="112" t="s">
        <v>447</v>
      </c>
      <c r="O67" s="112" t="s">
        <v>443</v>
      </c>
      <c r="P67" s="112" t="s">
        <v>58</v>
      </c>
      <c r="Q67" s="113">
        <v>12.11</v>
      </c>
      <c r="R67" s="113">
        <v>40.729999999999997</v>
      </c>
      <c r="S67" s="113">
        <v>12.11</v>
      </c>
      <c r="T67" s="112" t="s">
        <v>438</v>
      </c>
      <c r="U67" s="114" t="s">
        <v>448</v>
      </c>
      <c r="V67" s="135" t="s">
        <v>436</v>
      </c>
      <c r="W67" s="135" t="s">
        <v>446</v>
      </c>
      <c r="X67" s="135" t="s">
        <v>103</v>
      </c>
    </row>
    <row r="68" spans="1:24" s="53" customFormat="1" x14ac:dyDescent="0.3">
      <c r="A68" s="115" t="s">
        <v>439</v>
      </c>
      <c r="B68" s="116">
        <v>46079</v>
      </c>
      <c r="C68" s="117" t="s">
        <v>336</v>
      </c>
      <c r="D68" s="117" t="s">
        <v>533</v>
      </c>
      <c r="E68" s="117"/>
      <c r="F68" s="117"/>
      <c r="G68" s="117" t="s">
        <v>534</v>
      </c>
      <c r="H68" s="117" t="s">
        <v>430</v>
      </c>
      <c r="I68" s="117" t="s">
        <v>974</v>
      </c>
      <c r="J68" s="117" t="s">
        <v>979</v>
      </c>
      <c r="K68" s="117" t="s">
        <v>980</v>
      </c>
      <c r="L68" s="116">
        <v>46079</v>
      </c>
      <c r="M68" s="117" t="s">
        <v>974</v>
      </c>
      <c r="N68" s="117" t="s">
        <v>447</v>
      </c>
      <c r="O68" s="117" t="s">
        <v>443</v>
      </c>
      <c r="P68" s="117" t="s">
        <v>58</v>
      </c>
      <c r="Q68" s="118">
        <v>-12.11</v>
      </c>
      <c r="R68" s="118">
        <v>-40.729999999999997</v>
      </c>
      <c r="S68" s="118">
        <v>-12.11</v>
      </c>
      <c r="T68" s="117" t="s">
        <v>438</v>
      </c>
      <c r="U68" s="119" t="s">
        <v>448</v>
      </c>
      <c r="V68" s="135" t="s">
        <v>436</v>
      </c>
      <c r="W68" s="135" t="s">
        <v>446</v>
      </c>
      <c r="X68" s="135" t="s">
        <v>103</v>
      </c>
    </row>
    <row r="69" spans="1:24" s="53" customFormat="1" x14ac:dyDescent="0.3">
      <c r="A69" s="110" t="s">
        <v>440</v>
      </c>
      <c r="B69" s="111">
        <v>46079</v>
      </c>
      <c r="C69" s="112" t="s">
        <v>336</v>
      </c>
      <c r="D69" s="112" t="s">
        <v>533</v>
      </c>
      <c r="E69" s="112"/>
      <c r="F69" s="112"/>
      <c r="G69" s="112" t="s">
        <v>534</v>
      </c>
      <c r="H69" s="112" t="s">
        <v>430</v>
      </c>
      <c r="I69" s="112" t="s">
        <v>974</v>
      </c>
      <c r="J69" s="112" t="s">
        <v>981</v>
      </c>
      <c r="K69" s="112" t="s">
        <v>982</v>
      </c>
      <c r="L69" s="111">
        <v>46079</v>
      </c>
      <c r="M69" s="112" t="s">
        <v>974</v>
      </c>
      <c r="N69" s="112" t="s">
        <v>447</v>
      </c>
      <c r="O69" s="112" t="s">
        <v>443</v>
      </c>
      <c r="P69" s="112" t="s">
        <v>58</v>
      </c>
      <c r="Q69" s="113">
        <v>4687.83</v>
      </c>
      <c r="R69" s="113">
        <v>15765.17</v>
      </c>
      <c r="S69" s="113">
        <v>4687.83</v>
      </c>
      <c r="T69" s="112" t="s">
        <v>438</v>
      </c>
      <c r="U69" s="114" t="s">
        <v>448</v>
      </c>
      <c r="V69" s="135" t="s">
        <v>436</v>
      </c>
      <c r="W69" s="135" t="s">
        <v>446</v>
      </c>
      <c r="X69" s="135" t="s">
        <v>103</v>
      </c>
    </row>
    <row r="70" spans="1:24" s="53" customFormat="1" x14ac:dyDescent="0.3">
      <c r="A70" s="115" t="s">
        <v>439</v>
      </c>
      <c r="B70" s="116">
        <v>46079</v>
      </c>
      <c r="C70" s="117" t="s">
        <v>336</v>
      </c>
      <c r="D70" s="117" t="s">
        <v>533</v>
      </c>
      <c r="E70" s="117"/>
      <c r="F70" s="117"/>
      <c r="G70" s="117" t="s">
        <v>534</v>
      </c>
      <c r="H70" s="117" t="s">
        <v>430</v>
      </c>
      <c r="I70" s="117" t="s">
        <v>974</v>
      </c>
      <c r="J70" s="117" t="s">
        <v>981</v>
      </c>
      <c r="K70" s="117" t="s">
        <v>982</v>
      </c>
      <c r="L70" s="116">
        <v>46079</v>
      </c>
      <c r="M70" s="117" t="s">
        <v>974</v>
      </c>
      <c r="N70" s="117" t="s">
        <v>447</v>
      </c>
      <c r="O70" s="117" t="s">
        <v>443</v>
      </c>
      <c r="P70" s="117" t="s">
        <v>58</v>
      </c>
      <c r="Q70" s="118">
        <v>-4687.83</v>
      </c>
      <c r="R70" s="118">
        <v>-15765.17</v>
      </c>
      <c r="S70" s="118">
        <v>-4687.83</v>
      </c>
      <c r="T70" s="117" t="s">
        <v>438</v>
      </c>
      <c r="U70" s="119" t="s">
        <v>448</v>
      </c>
      <c r="V70" s="135" t="s">
        <v>436</v>
      </c>
      <c r="W70" s="135" t="s">
        <v>446</v>
      </c>
      <c r="X70" s="135" t="s">
        <v>103</v>
      </c>
    </row>
    <row r="71" spans="1:24" s="53" customFormat="1" x14ac:dyDescent="0.3">
      <c r="A71" s="110" t="s">
        <v>440</v>
      </c>
      <c r="B71" s="111">
        <v>46079</v>
      </c>
      <c r="C71" s="112" t="s">
        <v>336</v>
      </c>
      <c r="D71" s="112" t="s">
        <v>533</v>
      </c>
      <c r="E71" s="112"/>
      <c r="F71" s="112"/>
      <c r="G71" s="112" t="s">
        <v>534</v>
      </c>
      <c r="H71" s="112" t="s">
        <v>430</v>
      </c>
      <c r="I71" s="112" t="s">
        <v>974</v>
      </c>
      <c r="J71" s="112" t="s">
        <v>983</v>
      </c>
      <c r="K71" s="112" t="s">
        <v>984</v>
      </c>
      <c r="L71" s="111">
        <v>46079</v>
      </c>
      <c r="M71" s="112" t="s">
        <v>974</v>
      </c>
      <c r="N71" s="112" t="s">
        <v>447</v>
      </c>
      <c r="O71" s="112" t="s">
        <v>443</v>
      </c>
      <c r="P71" s="112" t="s">
        <v>58</v>
      </c>
      <c r="Q71" s="113">
        <v>4571.33</v>
      </c>
      <c r="R71" s="113">
        <v>15373.38</v>
      </c>
      <c r="S71" s="113">
        <v>4571.33</v>
      </c>
      <c r="T71" s="112" t="s">
        <v>438</v>
      </c>
      <c r="U71" s="114" t="s">
        <v>448</v>
      </c>
      <c r="V71" s="135" t="s">
        <v>436</v>
      </c>
      <c r="W71" s="135" t="s">
        <v>446</v>
      </c>
      <c r="X71" s="135" t="s">
        <v>103</v>
      </c>
    </row>
    <row r="72" spans="1:24" s="53" customFormat="1" x14ac:dyDescent="0.3">
      <c r="A72" s="115" t="s">
        <v>439</v>
      </c>
      <c r="B72" s="116">
        <v>46079</v>
      </c>
      <c r="C72" s="117" t="s">
        <v>336</v>
      </c>
      <c r="D72" s="117" t="s">
        <v>533</v>
      </c>
      <c r="E72" s="117"/>
      <c r="F72" s="117"/>
      <c r="G72" s="117" t="s">
        <v>534</v>
      </c>
      <c r="H72" s="117" t="s">
        <v>430</v>
      </c>
      <c r="I72" s="117" t="s">
        <v>974</v>
      </c>
      <c r="J72" s="117" t="s">
        <v>983</v>
      </c>
      <c r="K72" s="117" t="s">
        <v>984</v>
      </c>
      <c r="L72" s="116">
        <v>46079</v>
      </c>
      <c r="M72" s="117" t="s">
        <v>974</v>
      </c>
      <c r="N72" s="117" t="s">
        <v>447</v>
      </c>
      <c r="O72" s="117" t="s">
        <v>443</v>
      </c>
      <c r="P72" s="117" t="s">
        <v>58</v>
      </c>
      <c r="Q72" s="118">
        <v>-4571.33</v>
      </c>
      <c r="R72" s="118">
        <v>-15373.38</v>
      </c>
      <c r="S72" s="118">
        <v>-4571.33</v>
      </c>
      <c r="T72" s="117" t="s">
        <v>438</v>
      </c>
      <c r="U72" s="119" t="s">
        <v>448</v>
      </c>
      <c r="V72" s="135" t="s">
        <v>436</v>
      </c>
      <c r="W72" s="135" t="s">
        <v>446</v>
      </c>
      <c r="X72" s="135" t="s">
        <v>103</v>
      </c>
    </row>
    <row r="73" spans="1:24" s="53" customFormat="1" x14ac:dyDescent="0.3">
      <c r="A73" s="110" t="s">
        <v>439</v>
      </c>
      <c r="B73" s="111">
        <v>46079</v>
      </c>
      <c r="C73" s="112"/>
      <c r="D73" s="112"/>
      <c r="E73" s="112"/>
      <c r="F73" s="112"/>
      <c r="G73" s="112" t="s">
        <v>528</v>
      </c>
      <c r="H73" s="112" t="s">
        <v>430</v>
      </c>
      <c r="I73" s="112" t="s">
        <v>974</v>
      </c>
      <c r="J73" s="112" t="s">
        <v>985</v>
      </c>
      <c r="K73" s="112" t="s">
        <v>986</v>
      </c>
      <c r="L73" s="111">
        <v>46079</v>
      </c>
      <c r="M73" s="112" t="s">
        <v>974</v>
      </c>
      <c r="N73" s="112" t="s">
        <v>447</v>
      </c>
      <c r="O73" s="112" t="s">
        <v>443</v>
      </c>
      <c r="P73" s="112" t="s">
        <v>58</v>
      </c>
      <c r="Q73" s="113">
        <v>0</v>
      </c>
      <c r="R73" s="113">
        <v>0</v>
      </c>
      <c r="S73" s="113">
        <v>0</v>
      </c>
      <c r="T73" s="112" t="s">
        <v>438</v>
      </c>
      <c r="U73" s="114" t="s">
        <v>448</v>
      </c>
      <c r="V73" s="135" t="s">
        <v>436</v>
      </c>
      <c r="W73" s="135" t="s">
        <v>446</v>
      </c>
      <c r="X73" s="135" t="s">
        <v>103</v>
      </c>
    </row>
    <row r="74" spans="1:24" s="53" customFormat="1" x14ac:dyDescent="0.3">
      <c r="A74" s="115" t="s">
        <v>440</v>
      </c>
      <c r="B74" s="116">
        <v>46078</v>
      </c>
      <c r="C74" s="117" t="s">
        <v>587</v>
      </c>
      <c r="D74" s="117" t="s">
        <v>590</v>
      </c>
      <c r="E74" s="117"/>
      <c r="F74" s="117"/>
      <c r="G74" s="117" t="s">
        <v>987</v>
      </c>
      <c r="H74" s="117" t="s">
        <v>420</v>
      </c>
      <c r="I74" s="117" t="s">
        <v>522</v>
      </c>
      <c r="J74" s="117" t="s">
        <v>988</v>
      </c>
      <c r="K74" s="117" t="s">
        <v>989</v>
      </c>
      <c r="L74" s="116">
        <v>46078</v>
      </c>
      <c r="M74" s="117" t="s">
        <v>522</v>
      </c>
      <c r="N74" s="117" t="s">
        <v>447</v>
      </c>
      <c r="O74" s="117" t="s">
        <v>443</v>
      </c>
      <c r="P74" s="117" t="s">
        <v>58</v>
      </c>
      <c r="Q74" s="118">
        <v>-19100.009999999998</v>
      </c>
      <c r="R74" s="118">
        <v>-64233.33</v>
      </c>
      <c r="S74" s="118">
        <v>-19100.009999999998</v>
      </c>
      <c r="T74" s="117" t="s">
        <v>438</v>
      </c>
      <c r="U74" s="119" t="s">
        <v>449</v>
      </c>
      <c r="V74" s="135" t="s">
        <v>436</v>
      </c>
      <c r="W74" s="135" t="s">
        <v>446</v>
      </c>
      <c r="X74" s="135" t="s">
        <v>103</v>
      </c>
    </row>
    <row r="75" spans="1:24" s="53" customFormat="1" x14ac:dyDescent="0.3">
      <c r="A75" s="110" t="s">
        <v>440</v>
      </c>
      <c r="B75" s="111">
        <v>46078</v>
      </c>
      <c r="C75" s="112" t="s">
        <v>587</v>
      </c>
      <c r="D75" s="112" t="s">
        <v>590</v>
      </c>
      <c r="E75" s="112"/>
      <c r="F75" s="112"/>
      <c r="G75" s="112" t="s">
        <v>987</v>
      </c>
      <c r="H75" s="112" t="s">
        <v>420</v>
      </c>
      <c r="I75" s="112" t="s">
        <v>522</v>
      </c>
      <c r="J75" s="112" t="s">
        <v>988</v>
      </c>
      <c r="K75" s="112" t="s">
        <v>989</v>
      </c>
      <c r="L75" s="111">
        <v>46078</v>
      </c>
      <c r="M75" s="112" t="s">
        <v>522</v>
      </c>
      <c r="N75" s="112" t="s">
        <v>447</v>
      </c>
      <c r="O75" s="112" t="s">
        <v>443</v>
      </c>
      <c r="P75" s="112" t="s">
        <v>58</v>
      </c>
      <c r="Q75" s="113">
        <v>0</v>
      </c>
      <c r="R75" s="113">
        <v>-114.6</v>
      </c>
      <c r="S75" s="113">
        <v>0</v>
      </c>
      <c r="T75" s="112" t="s">
        <v>438</v>
      </c>
      <c r="U75" s="114" t="s">
        <v>449</v>
      </c>
      <c r="V75" s="135" t="s">
        <v>436</v>
      </c>
      <c r="W75" s="135" t="s">
        <v>446</v>
      </c>
      <c r="X75" s="135" t="s">
        <v>103</v>
      </c>
    </row>
    <row r="76" spans="1:24" s="53" customFormat="1" x14ac:dyDescent="0.3">
      <c r="A76" s="115" t="s">
        <v>439</v>
      </c>
      <c r="B76" s="116">
        <v>46078</v>
      </c>
      <c r="C76" s="117" t="s">
        <v>587</v>
      </c>
      <c r="D76" s="117" t="s">
        <v>590</v>
      </c>
      <c r="E76" s="117"/>
      <c r="F76" s="117"/>
      <c r="G76" s="117" t="s">
        <v>987</v>
      </c>
      <c r="H76" s="117" t="s">
        <v>420</v>
      </c>
      <c r="I76" s="117" t="s">
        <v>522</v>
      </c>
      <c r="J76" s="117" t="s">
        <v>988</v>
      </c>
      <c r="K76" s="117" t="s">
        <v>989</v>
      </c>
      <c r="L76" s="116">
        <v>46078</v>
      </c>
      <c r="M76" s="117" t="s">
        <v>522</v>
      </c>
      <c r="N76" s="117" t="s">
        <v>447</v>
      </c>
      <c r="O76" s="117" t="s">
        <v>443</v>
      </c>
      <c r="P76" s="117" t="s">
        <v>58</v>
      </c>
      <c r="Q76" s="118">
        <v>19100.009999999998</v>
      </c>
      <c r="R76" s="118">
        <v>64347.93</v>
      </c>
      <c r="S76" s="118">
        <v>19100.009999999998</v>
      </c>
      <c r="T76" s="117" t="s">
        <v>438</v>
      </c>
      <c r="U76" s="119" t="s">
        <v>449</v>
      </c>
      <c r="V76" s="135" t="s">
        <v>436</v>
      </c>
      <c r="W76" s="135" t="s">
        <v>446</v>
      </c>
      <c r="X76" s="135" t="s">
        <v>103</v>
      </c>
    </row>
    <row r="77" spans="1:24" s="53" customFormat="1" x14ac:dyDescent="0.3">
      <c r="A77" s="115" t="s">
        <v>440</v>
      </c>
      <c r="B77" s="116">
        <v>46065</v>
      </c>
      <c r="C77" s="117" t="s">
        <v>319</v>
      </c>
      <c r="D77" s="117" t="s">
        <v>530</v>
      </c>
      <c r="E77" s="117"/>
      <c r="F77" s="117"/>
      <c r="G77" s="117" t="s">
        <v>531</v>
      </c>
      <c r="H77" s="117" t="s">
        <v>422</v>
      </c>
      <c r="I77" s="117" t="s">
        <v>522</v>
      </c>
      <c r="J77" s="117" t="s">
        <v>990</v>
      </c>
      <c r="K77" s="117" t="s">
        <v>991</v>
      </c>
      <c r="L77" s="116">
        <v>46065</v>
      </c>
      <c r="M77" s="117" t="s">
        <v>522</v>
      </c>
      <c r="N77" s="117" t="s">
        <v>447</v>
      </c>
      <c r="O77" s="117" t="s">
        <v>443</v>
      </c>
      <c r="P77" s="117" t="s">
        <v>58</v>
      </c>
      <c r="Q77" s="118">
        <v>-1800</v>
      </c>
      <c r="R77" s="118">
        <v>-6053.4</v>
      </c>
      <c r="S77" s="118">
        <v>-1800</v>
      </c>
      <c r="T77" s="117" t="s">
        <v>438</v>
      </c>
      <c r="U77" s="119" t="s">
        <v>448</v>
      </c>
      <c r="V77" s="135" t="s">
        <v>436</v>
      </c>
      <c r="W77" s="135" t="s">
        <v>446</v>
      </c>
      <c r="X77" s="135" t="s">
        <v>103</v>
      </c>
    </row>
    <row r="78" spans="1:24" s="53" customFormat="1" x14ac:dyDescent="0.3">
      <c r="A78" s="110" t="s">
        <v>440</v>
      </c>
      <c r="B78" s="111">
        <v>46065</v>
      </c>
      <c r="C78" s="112" t="s">
        <v>319</v>
      </c>
      <c r="D78" s="112" t="s">
        <v>530</v>
      </c>
      <c r="E78" s="112"/>
      <c r="F78" s="112"/>
      <c r="G78" s="112" t="s">
        <v>531</v>
      </c>
      <c r="H78" s="112" t="s">
        <v>422</v>
      </c>
      <c r="I78" s="112" t="s">
        <v>522</v>
      </c>
      <c r="J78" s="112" t="s">
        <v>990</v>
      </c>
      <c r="K78" s="112" t="s">
        <v>991</v>
      </c>
      <c r="L78" s="111">
        <v>46065</v>
      </c>
      <c r="M78" s="112" t="s">
        <v>522</v>
      </c>
      <c r="N78" s="112" t="s">
        <v>447</v>
      </c>
      <c r="O78" s="112" t="s">
        <v>443</v>
      </c>
      <c r="P78" s="112" t="s">
        <v>58</v>
      </c>
      <c r="Q78" s="113">
        <v>0</v>
      </c>
      <c r="R78" s="113">
        <v>14.4</v>
      </c>
      <c r="S78" s="113">
        <v>0</v>
      </c>
      <c r="T78" s="112" t="s">
        <v>438</v>
      </c>
      <c r="U78" s="114" t="s">
        <v>448</v>
      </c>
      <c r="V78" s="135" t="s">
        <v>436</v>
      </c>
      <c r="W78" s="135" t="s">
        <v>446</v>
      </c>
      <c r="X78" s="135" t="s">
        <v>103</v>
      </c>
    </row>
    <row r="79" spans="1:24" s="53" customFormat="1" x14ac:dyDescent="0.3">
      <c r="A79" s="115" t="s">
        <v>439</v>
      </c>
      <c r="B79" s="116">
        <v>46065</v>
      </c>
      <c r="C79" s="117" t="s">
        <v>319</v>
      </c>
      <c r="D79" s="117" t="s">
        <v>530</v>
      </c>
      <c r="E79" s="117"/>
      <c r="F79" s="117"/>
      <c r="G79" s="117" t="s">
        <v>531</v>
      </c>
      <c r="H79" s="117" t="s">
        <v>422</v>
      </c>
      <c r="I79" s="117" t="s">
        <v>522</v>
      </c>
      <c r="J79" s="117" t="s">
        <v>990</v>
      </c>
      <c r="K79" s="117" t="s">
        <v>991</v>
      </c>
      <c r="L79" s="116">
        <v>46065</v>
      </c>
      <c r="M79" s="117" t="s">
        <v>522</v>
      </c>
      <c r="N79" s="117" t="s">
        <v>447</v>
      </c>
      <c r="O79" s="117" t="s">
        <v>443</v>
      </c>
      <c r="P79" s="117" t="s">
        <v>58</v>
      </c>
      <c r="Q79" s="118">
        <v>1800</v>
      </c>
      <c r="R79" s="118">
        <v>6039</v>
      </c>
      <c r="S79" s="118">
        <v>1800</v>
      </c>
      <c r="T79" s="117" t="s">
        <v>438</v>
      </c>
      <c r="U79" s="119" t="s">
        <v>448</v>
      </c>
      <c r="V79" s="135" t="s">
        <v>436</v>
      </c>
      <c r="W79" s="135" t="s">
        <v>446</v>
      </c>
      <c r="X79" s="135" t="s">
        <v>103</v>
      </c>
    </row>
    <row r="80" spans="1:24" s="53" customFormat="1" x14ac:dyDescent="0.3">
      <c r="A80" s="110" t="s">
        <v>440</v>
      </c>
      <c r="B80" s="111">
        <v>46065</v>
      </c>
      <c r="C80" s="112" t="s">
        <v>336</v>
      </c>
      <c r="D80" s="112" t="s">
        <v>533</v>
      </c>
      <c r="E80" s="112"/>
      <c r="F80" s="112"/>
      <c r="G80" s="112" t="s">
        <v>534</v>
      </c>
      <c r="H80" s="112" t="s">
        <v>430</v>
      </c>
      <c r="I80" s="112" t="s">
        <v>522</v>
      </c>
      <c r="J80" s="112" t="s">
        <v>992</v>
      </c>
      <c r="K80" s="112" t="s">
        <v>993</v>
      </c>
      <c r="L80" s="111">
        <v>46065</v>
      </c>
      <c r="M80" s="112" t="s">
        <v>522</v>
      </c>
      <c r="N80" s="112" t="s">
        <v>447</v>
      </c>
      <c r="O80" s="112" t="s">
        <v>443</v>
      </c>
      <c r="P80" s="112" t="s">
        <v>58</v>
      </c>
      <c r="Q80" s="113">
        <v>-4699.9399999999996</v>
      </c>
      <c r="R80" s="113">
        <v>-15805.9</v>
      </c>
      <c r="S80" s="113">
        <v>-4699.9399999999996</v>
      </c>
      <c r="T80" s="112" t="s">
        <v>438</v>
      </c>
      <c r="U80" s="114" t="s">
        <v>448</v>
      </c>
      <c r="V80" s="135" t="s">
        <v>436</v>
      </c>
      <c r="W80" s="135" t="s">
        <v>446</v>
      </c>
      <c r="X80" s="135" t="s">
        <v>103</v>
      </c>
    </row>
    <row r="81" spans="1:24" s="53" customFormat="1" x14ac:dyDescent="0.3">
      <c r="A81" s="115" t="s">
        <v>440</v>
      </c>
      <c r="B81" s="116">
        <v>46065</v>
      </c>
      <c r="C81" s="117" t="s">
        <v>336</v>
      </c>
      <c r="D81" s="117" t="s">
        <v>533</v>
      </c>
      <c r="E81" s="117"/>
      <c r="F81" s="117"/>
      <c r="G81" s="117" t="s">
        <v>534</v>
      </c>
      <c r="H81" s="117" t="s">
        <v>430</v>
      </c>
      <c r="I81" s="117" t="s">
        <v>522</v>
      </c>
      <c r="J81" s="117" t="s">
        <v>992</v>
      </c>
      <c r="K81" s="117" t="s">
        <v>993</v>
      </c>
      <c r="L81" s="116">
        <v>46065</v>
      </c>
      <c r="M81" s="117" t="s">
        <v>522</v>
      </c>
      <c r="N81" s="117" t="s">
        <v>447</v>
      </c>
      <c r="O81" s="117" t="s">
        <v>443</v>
      </c>
      <c r="P81" s="117" t="s">
        <v>58</v>
      </c>
      <c r="Q81" s="118">
        <v>0</v>
      </c>
      <c r="R81" s="118">
        <v>37.6</v>
      </c>
      <c r="S81" s="118">
        <v>0</v>
      </c>
      <c r="T81" s="117" t="s">
        <v>438</v>
      </c>
      <c r="U81" s="119" t="s">
        <v>448</v>
      </c>
      <c r="V81" s="135" t="s">
        <v>436</v>
      </c>
      <c r="W81" s="135" t="s">
        <v>446</v>
      </c>
      <c r="X81" s="135" t="s">
        <v>103</v>
      </c>
    </row>
    <row r="82" spans="1:24" s="53" customFormat="1" x14ac:dyDescent="0.3">
      <c r="A82" s="110" t="s">
        <v>439</v>
      </c>
      <c r="B82" s="111">
        <v>46065</v>
      </c>
      <c r="C82" s="112" t="s">
        <v>336</v>
      </c>
      <c r="D82" s="112" t="s">
        <v>533</v>
      </c>
      <c r="E82" s="112"/>
      <c r="F82" s="112"/>
      <c r="G82" s="112" t="s">
        <v>534</v>
      </c>
      <c r="H82" s="112" t="s">
        <v>430</v>
      </c>
      <c r="I82" s="112" t="s">
        <v>522</v>
      </c>
      <c r="J82" s="112" t="s">
        <v>992</v>
      </c>
      <c r="K82" s="112" t="s">
        <v>993</v>
      </c>
      <c r="L82" s="111">
        <v>46065</v>
      </c>
      <c r="M82" s="112" t="s">
        <v>522</v>
      </c>
      <c r="N82" s="112" t="s">
        <v>447</v>
      </c>
      <c r="O82" s="112" t="s">
        <v>443</v>
      </c>
      <c r="P82" s="112" t="s">
        <v>58</v>
      </c>
      <c r="Q82" s="113">
        <v>4699.9399999999996</v>
      </c>
      <c r="R82" s="113">
        <v>15768.3</v>
      </c>
      <c r="S82" s="113">
        <v>4699.9399999999996</v>
      </c>
      <c r="T82" s="112" t="s">
        <v>438</v>
      </c>
      <c r="U82" s="114" t="s">
        <v>448</v>
      </c>
      <c r="V82" s="135" t="s">
        <v>436</v>
      </c>
      <c r="W82" s="135" t="s">
        <v>446</v>
      </c>
      <c r="X82" s="135" t="s">
        <v>103</v>
      </c>
    </row>
    <row r="83" spans="1:24" s="53" customFormat="1" x14ac:dyDescent="0.3">
      <c r="A83" s="110" t="s">
        <v>440</v>
      </c>
      <c r="B83" s="111">
        <v>46065</v>
      </c>
      <c r="C83" s="112" t="s">
        <v>529</v>
      </c>
      <c r="D83" s="112" t="s">
        <v>78</v>
      </c>
      <c r="E83" s="112"/>
      <c r="F83" s="112"/>
      <c r="G83" s="112" t="s">
        <v>532</v>
      </c>
      <c r="H83" s="112" t="s">
        <v>432</v>
      </c>
      <c r="I83" s="112" t="s">
        <v>522</v>
      </c>
      <c r="J83" s="112" t="s">
        <v>994</v>
      </c>
      <c r="K83" s="112" t="s">
        <v>995</v>
      </c>
      <c r="L83" s="111">
        <v>46065</v>
      </c>
      <c r="M83" s="112" t="s">
        <v>522</v>
      </c>
      <c r="N83" s="112" t="s">
        <v>447</v>
      </c>
      <c r="O83" s="112" t="s">
        <v>443</v>
      </c>
      <c r="P83" s="112" t="s">
        <v>58</v>
      </c>
      <c r="Q83" s="113">
        <v>-2996.87</v>
      </c>
      <c r="R83" s="113">
        <v>-10078.469999999999</v>
      </c>
      <c r="S83" s="113">
        <v>-2996.87</v>
      </c>
      <c r="T83" s="112" t="s">
        <v>438</v>
      </c>
      <c r="U83" s="114" t="s">
        <v>448</v>
      </c>
      <c r="V83" s="135" t="s">
        <v>436</v>
      </c>
      <c r="W83" s="135" t="s">
        <v>446</v>
      </c>
      <c r="X83" s="135" t="s">
        <v>103</v>
      </c>
    </row>
    <row r="84" spans="1:24" s="53" customFormat="1" x14ac:dyDescent="0.3">
      <c r="A84" s="115" t="s">
        <v>440</v>
      </c>
      <c r="B84" s="116">
        <v>46065</v>
      </c>
      <c r="C84" s="117" t="s">
        <v>529</v>
      </c>
      <c r="D84" s="117" t="s">
        <v>78</v>
      </c>
      <c r="E84" s="117"/>
      <c r="F84" s="117"/>
      <c r="G84" s="117" t="s">
        <v>532</v>
      </c>
      <c r="H84" s="117" t="s">
        <v>432</v>
      </c>
      <c r="I84" s="117" t="s">
        <v>522</v>
      </c>
      <c r="J84" s="117" t="s">
        <v>994</v>
      </c>
      <c r="K84" s="117" t="s">
        <v>995</v>
      </c>
      <c r="L84" s="116">
        <v>46065</v>
      </c>
      <c r="M84" s="117" t="s">
        <v>522</v>
      </c>
      <c r="N84" s="117" t="s">
        <v>447</v>
      </c>
      <c r="O84" s="117" t="s">
        <v>443</v>
      </c>
      <c r="P84" s="117" t="s">
        <v>58</v>
      </c>
      <c r="Q84" s="118">
        <v>0</v>
      </c>
      <c r="R84" s="118">
        <v>23.97</v>
      </c>
      <c r="S84" s="118">
        <v>0</v>
      </c>
      <c r="T84" s="117" t="s">
        <v>438</v>
      </c>
      <c r="U84" s="119" t="s">
        <v>448</v>
      </c>
      <c r="V84" s="135" t="s">
        <v>436</v>
      </c>
      <c r="W84" s="135" t="s">
        <v>446</v>
      </c>
      <c r="X84" s="135" t="s">
        <v>103</v>
      </c>
    </row>
    <row r="85" spans="1:24" s="53" customFormat="1" x14ac:dyDescent="0.3">
      <c r="A85" s="110" t="s">
        <v>439</v>
      </c>
      <c r="B85" s="111">
        <v>46065</v>
      </c>
      <c r="C85" s="112" t="s">
        <v>529</v>
      </c>
      <c r="D85" s="112" t="s">
        <v>78</v>
      </c>
      <c r="E85" s="112"/>
      <c r="F85" s="112"/>
      <c r="G85" s="112" t="s">
        <v>532</v>
      </c>
      <c r="H85" s="112" t="s">
        <v>432</v>
      </c>
      <c r="I85" s="112" t="s">
        <v>522</v>
      </c>
      <c r="J85" s="112" t="s">
        <v>994</v>
      </c>
      <c r="K85" s="112" t="s">
        <v>995</v>
      </c>
      <c r="L85" s="111">
        <v>46065</v>
      </c>
      <c r="M85" s="112" t="s">
        <v>522</v>
      </c>
      <c r="N85" s="112" t="s">
        <v>447</v>
      </c>
      <c r="O85" s="112" t="s">
        <v>443</v>
      </c>
      <c r="P85" s="112" t="s">
        <v>58</v>
      </c>
      <c r="Q85" s="113">
        <v>2996.87</v>
      </c>
      <c r="R85" s="113">
        <v>10054.5</v>
      </c>
      <c r="S85" s="113">
        <v>2996.87</v>
      </c>
      <c r="T85" s="112" t="s">
        <v>438</v>
      </c>
      <c r="U85" s="114" t="s">
        <v>448</v>
      </c>
      <c r="V85" s="135" t="s">
        <v>436</v>
      </c>
      <c r="W85" s="135" t="s">
        <v>446</v>
      </c>
      <c r="X85" s="135" t="s">
        <v>103</v>
      </c>
    </row>
    <row r="86" spans="1:24" s="53" customFormat="1" x14ac:dyDescent="0.3">
      <c r="A86" s="115" t="s">
        <v>440</v>
      </c>
      <c r="B86" s="116">
        <v>46063</v>
      </c>
      <c r="C86" s="117" t="s">
        <v>304</v>
      </c>
      <c r="D86" s="117" t="s">
        <v>306</v>
      </c>
      <c r="E86" s="117"/>
      <c r="F86" s="117"/>
      <c r="G86" s="117" t="s">
        <v>610</v>
      </c>
      <c r="H86" s="117" t="s">
        <v>424</v>
      </c>
      <c r="I86" s="117" t="s">
        <v>522</v>
      </c>
      <c r="J86" s="117" t="s">
        <v>996</v>
      </c>
      <c r="K86" s="117" t="s">
        <v>997</v>
      </c>
      <c r="L86" s="116">
        <v>46063</v>
      </c>
      <c r="M86" s="117" t="s">
        <v>522</v>
      </c>
      <c r="N86" s="117" t="s">
        <v>447</v>
      </c>
      <c r="O86" s="117" t="s">
        <v>443</v>
      </c>
      <c r="P86" s="117" t="s">
        <v>58</v>
      </c>
      <c r="Q86" s="118">
        <v>-2000</v>
      </c>
      <c r="R86" s="118">
        <v>-6726</v>
      </c>
      <c r="S86" s="118">
        <v>-2000</v>
      </c>
      <c r="T86" s="117" t="s">
        <v>438</v>
      </c>
      <c r="U86" s="119" t="s">
        <v>449</v>
      </c>
      <c r="V86" s="135" t="s">
        <v>436</v>
      </c>
      <c r="W86" s="135" t="s">
        <v>446</v>
      </c>
      <c r="X86" s="135" t="s">
        <v>103</v>
      </c>
    </row>
    <row r="87" spans="1:24" s="53" customFormat="1" x14ac:dyDescent="0.3">
      <c r="A87" s="110" t="s">
        <v>440</v>
      </c>
      <c r="B87" s="111">
        <v>46063</v>
      </c>
      <c r="C87" s="112" t="s">
        <v>304</v>
      </c>
      <c r="D87" s="112" t="s">
        <v>306</v>
      </c>
      <c r="E87" s="112"/>
      <c r="F87" s="112"/>
      <c r="G87" s="112" t="s">
        <v>610</v>
      </c>
      <c r="H87" s="112" t="s">
        <v>424</v>
      </c>
      <c r="I87" s="112" t="s">
        <v>522</v>
      </c>
      <c r="J87" s="112" t="s">
        <v>996</v>
      </c>
      <c r="K87" s="112" t="s">
        <v>997</v>
      </c>
      <c r="L87" s="111">
        <v>46063</v>
      </c>
      <c r="M87" s="112" t="s">
        <v>522</v>
      </c>
      <c r="N87" s="112" t="s">
        <v>447</v>
      </c>
      <c r="O87" s="112" t="s">
        <v>443</v>
      </c>
      <c r="P87" s="112" t="s">
        <v>58</v>
      </c>
      <c r="Q87" s="113">
        <v>0</v>
      </c>
      <c r="R87" s="113">
        <v>-264</v>
      </c>
      <c r="S87" s="113">
        <v>0</v>
      </c>
      <c r="T87" s="112" t="s">
        <v>438</v>
      </c>
      <c r="U87" s="114" t="s">
        <v>449</v>
      </c>
      <c r="V87" s="135" t="s">
        <v>436</v>
      </c>
      <c r="W87" s="135" t="s">
        <v>446</v>
      </c>
      <c r="X87" s="135" t="s">
        <v>103</v>
      </c>
    </row>
    <row r="88" spans="1:24" s="53" customFormat="1" x14ac:dyDescent="0.3">
      <c r="A88" s="115" t="s">
        <v>439</v>
      </c>
      <c r="B88" s="116">
        <v>46063</v>
      </c>
      <c r="C88" s="117" t="s">
        <v>304</v>
      </c>
      <c r="D88" s="117" t="s">
        <v>306</v>
      </c>
      <c r="E88" s="117"/>
      <c r="F88" s="117"/>
      <c r="G88" s="117" t="s">
        <v>610</v>
      </c>
      <c r="H88" s="117" t="s">
        <v>424</v>
      </c>
      <c r="I88" s="117" t="s">
        <v>522</v>
      </c>
      <c r="J88" s="117" t="s">
        <v>996</v>
      </c>
      <c r="K88" s="117" t="s">
        <v>997</v>
      </c>
      <c r="L88" s="116">
        <v>46063</v>
      </c>
      <c r="M88" s="117" t="s">
        <v>522</v>
      </c>
      <c r="N88" s="117" t="s">
        <v>447</v>
      </c>
      <c r="O88" s="117" t="s">
        <v>443</v>
      </c>
      <c r="P88" s="117" t="s">
        <v>58</v>
      </c>
      <c r="Q88" s="118">
        <v>2000</v>
      </c>
      <c r="R88" s="118">
        <v>6990</v>
      </c>
      <c r="S88" s="118">
        <v>2000</v>
      </c>
      <c r="T88" s="117" t="s">
        <v>438</v>
      </c>
      <c r="U88" s="119" t="s">
        <v>449</v>
      </c>
      <c r="V88" s="135" t="s">
        <v>436</v>
      </c>
      <c r="W88" s="135" t="s">
        <v>446</v>
      </c>
      <c r="X88" s="135" t="s">
        <v>103</v>
      </c>
    </row>
    <row r="89" spans="1:24" s="53" customFormat="1" x14ac:dyDescent="0.3">
      <c r="A89" s="110" t="s">
        <v>440</v>
      </c>
      <c r="B89" s="111">
        <v>46057</v>
      </c>
      <c r="C89" s="112" t="s">
        <v>587</v>
      </c>
      <c r="D89" s="112" t="s">
        <v>590</v>
      </c>
      <c r="E89" s="112"/>
      <c r="F89" s="112"/>
      <c r="G89" s="112" t="s">
        <v>987</v>
      </c>
      <c r="H89" s="112" t="s">
        <v>420</v>
      </c>
      <c r="I89" s="112" t="s">
        <v>522</v>
      </c>
      <c r="J89" s="112" t="s">
        <v>998</v>
      </c>
      <c r="K89" s="112" t="s">
        <v>999</v>
      </c>
      <c r="L89" s="111">
        <v>46057</v>
      </c>
      <c r="M89" s="112" t="s">
        <v>522</v>
      </c>
      <c r="N89" s="112" t="s">
        <v>447</v>
      </c>
      <c r="O89" s="112" t="s">
        <v>443</v>
      </c>
      <c r="P89" s="112" t="s">
        <v>58</v>
      </c>
      <c r="Q89" s="113">
        <v>-12057.38</v>
      </c>
      <c r="R89" s="113">
        <v>-40573.08</v>
      </c>
      <c r="S89" s="113">
        <v>-12057.38</v>
      </c>
      <c r="T89" s="112" t="s">
        <v>438</v>
      </c>
      <c r="U89" s="114" t="s">
        <v>449</v>
      </c>
      <c r="V89" s="135" t="s">
        <v>436</v>
      </c>
      <c r="W89" s="135" t="s">
        <v>446</v>
      </c>
      <c r="X89" s="135" t="s">
        <v>103</v>
      </c>
    </row>
    <row r="90" spans="1:24" s="53" customFormat="1" x14ac:dyDescent="0.3">
      <c r="A90" s="115" t="s">
        <v>440</v>
      </c>
      <c r="B90" s="116">
        <v>46057</v>
      </c>
      <c r="C90" s="117" t="s">
        <v>587</v>
      </c>
      <c r="D90" s="117" t="s">
        <v>590</v>
      </c>
      <c r="E90" s="117"/>
      <c r="F90" s="117"/>
      <c r="G90" s="117" t="s">
        <v>987</v>
      </c>
      <c r="H90" s="117" t="s">
        <v>420</v>
      </c>
      <c r="I90" s="117" t="s">
        <v>522</v>
      </c>
      <c r="J90" s="117" t="s">
        <v>998</v>
      </c>
      <c r="K90" s="117" t="s">
        <v>999</v>
      </c>
      <c r="L90" s="116">
        <v>46057</v>
      </c>
      <c r="M90" s="117" t="s">
        <v>522</v>
      </c>
      <c r="N90" s="117" t="s">
        <v>447</v>
      </c>
      <c r="O90" s="117" t="s">
        <v>443</v>
      </c>
      <c r="P90" s="117" t="s">
        <v>58</v>
      </c>
      <c r="Q90" s="118">
        <v>0</v>
      </c>
      <c r="R90" s="118">
        <v>-36.18</v>
      </c>
      <c r="S90" s="118">
        <v>0</v>
      </c>
      <c r="T90" s="117" t="s">
        <v>438</v>
      </c>
      <c r="U90" s="119" t="s">
        <v>449</v>
      </c>
      <c r="V90" s="135" t="s">
        <v>436</v>
      </c>
      <c r="W90" s="135" t="s">
        <v>446</v>
      </c>
      <c r="X90" s="135" t="s">
        <v>103</v>
      </c>
    </row>
    <row r="91" spans="1:24" s="53" customFormat="1" x14ac:dyDescent="0.3">
      <c r="A91" s="110" t="s">
        <v>439</v>
      </c>
      <c r="B91" s="111">
        <v>46057</v>
      </c>
      <c r="C91" s="112" t="s">
        <v>587</v>
      </c>
      <c r="D91" s="112" t="s">
        <v>590</v>
      </c>
      <c r="E91" s="112"/>
      <c r="F91" s="112"/>
      <c r="G91" s="112" t="s">
        <v>987</v>
      </c>
      <c r="H91" s="112" t="s">
        <v>420</v>
      </c>
      <c r="I91" s="112" t="s">
        <v>522</v>
      </c>
      <c r="J91" s="112" t="s">
        <v>998</v>
      </c>
      <c r="K91" s="112" t="s">
        <v>999</v>
      </c>
      <c r="L91" s="111">
        <v>46057</v>
      </c>
      <c r="M91" s="112" t="s">
        <v>522</v>
      </c>
      <c r="N91" s="112" t="s">
        <v>447</v>
      </c>
      <c r="O91" s="112" t="s">
        <v>443</v>
      </c>
      <c r="P91" s="112" t="s">
        <v>58</v>
      </c>
      <c r="Q91" s="113">
        <v>12057.38</v>
      </c>
      <c r="R91" s="113">
        <v>40609.26</v>
      </c>
      <c r="S91" s="113">
        <v>12057.38</v>
      </c>
      <c r="T91" s="112" t="s">
        <v>438</v>
      </c>
      <c r="U91" s="114" t="s">
        <v>449</v>
      </c>
      <c r="V91" s="135" t="s">
        <v>436</v>
      </c>
      <c r="W91" s="135" t="s">
        <v>446</v>
      </c>
      <c r="X91" s="135" t="s">
        <v>103</v>
      </c>
    </row>
    <row r="92" spans="1:24" s="53" customFormat="1" x14ac:dyDescent="0.3">
      <c r="A92" s="115" t="s">
        <v>439</v>
      </c>
      <c r="B92" s="116">
        <v>46081</v>
      </c>
      <c r="C92" s="117"/>
      <c r="D92" s="117"/>
      <c r="E92" s="117"/>
      <c r="F92" s="117"/>
      <c r="G92" s="117" t="s">
        <v>1000</v>
      </c>
      <c r="H92" s="117" t="s">
        <v>819</v>
      </c>
      <c r="I92" s="117" t="s">
        <v>535</v>
      </c>
      <c r="J92" s="117" t="s">
        <v>1001</v>
      </c>
      <c r="K92" s="117" t="s">
        <v>1002</v>
      </c>
      <c r="L92" s="116">
        <v>46081</v>
      </c>
      <c r="M92" s="117" t="s">
        <v>535</v>
      </c>
      <c r="N92" s="117" t="s">
        <v>447</v>
      </c>
      <c r="O92" s="117" t="s">
        <v>443</v>
      </c>
      <c r="P92" s="117" t="s">
        <v>58</v>
      </c>
      <c r="Q92" s="118">
        <v>-30985.86</v>
      </c>
      <c r="R92" s="118">
        <v>-26248.080000000002</v>
      </c>
      <c r="S92" s="118">
        <v>-30985.86</v>
      </c>
      <c r="T92" s="117" t="s">
        <v>438</v>
      </c>
      <c r="U92" s="119" t="s">
        <v>825</v>
      </c>
      <c r="V92" s="135" t="s">
        <v>536</v>
      </c>
      <c r="W92" s="135" t="s">
        <v>446</v>
      </c>
      <c r="X92" s="135" t="s">
        <v>103</v>
      </c>
    </row>
    <row r="93" spans="1:24" s="53" customFormat="1" x14ac:dyDescent="0.3">
      <c r="A93" s="115" t="s">
        <v>439</v>
      </c>
      <c r="B93" s="116">
        <v>46081</v>
      </c>
      <c r="C93" s="117"/>
      <c r="D93" s="117"/>
      <c r="E93" s="117"/>
      <c r="F93" s="117"/>
      <c r="G93" s="117" t="s">
        <v>1003</v>
      </c>
      <c r="H93" s="117" t="s">
        <v>821</v>
      </c>
      <c r="I93" s="117" t="s">
        <v>537</v>
      </c>
      <c r="J93" s="117" t="s">
        <v>1004</v>
      </c>
      <c r="K93" s="117" t="s">
        <v>1005</v>
      </c>
      <c r="L93" s="116">
        <v>46081</v>
      </c>
      <c r="M93" s="117" t="s">
        <v>537</v>
      </c>
      <c r="N93" s="117" t="s">
        <v>447</v>
      </c>
      <c r="O93" s="117" t="s">
        <v>443</v>
      </c>
      <c r="P93" s="117" t="s">
        <v>58</v>
      </c>
      <c r="Q93" s="118">
        <v>-2955.09</v>
      </c>
      <c r="R93" s="118">
        <v>-2955.09</v>
      </c>
      <c r="S93" s="118">
        <v>-2955.09</v>
      </c>
      <c r="T93" s="117" t="s">
        <v>438</v>
      </c>
      <c r="U93" s="119" t="s">
        <v>825</v>
      </c>
      <c r="V93" s="135" t="s">
        <v>451</v>
      </c>
      <c r="W93" s="135" t="s">
        <v>446</v>
      </c>
      <c r="X93" s="135" t="s">
        <v>103</v>
      </c>
    </row>
    <row r="94" spans="1:24" s="53" customFormat="1" x14ac:dyDescent="0.3">
      <c r="A94" s="115" t="s">
        <v>439</v>
      </c>
      <c r="B94" s="116">
        <v>46081</v>
      </c>
      <c r="C94" s="117"/>
      <c r="D94" s="117"/>
      <c r="E94" s="117"/>
      <c r="F94" s="117"/>
      <c r="G94" s="117" t="s">
        <v>539</v>
      </c>
      <c r="H94" s="117" t="s">
        <v>426</v>
      </c>
      <c r="I94" s="117" t="s">
        <v>538</v>
      </c>
      <c r="J94" s="117" t="s">
        <v>1006</v>
      </c>
      <c r="K94" s="117" t="s">
        <v>1007</v>
      </c>
      <c r="L94" s="116">
        <v>46081</v>
      </c>
      <c r="M94" s="117" t="s">
        <v>538</v>
      </c>
      <c r="N94" s="117" t="s">
        <v>447</v>
      </c>
      <c r="O94" s="117" t="s">
        <v>443</v>
      </c>
      <c r="P94" s="117" t="s">
        <v>58</v>
      </c>
      <c r="Q94" s="118">
        <v>-1998.87</v>
      </c>
      <c r="R94" s="118">
        <v>-1998.87</v>
      </c>
      <c r="S94" s="118">
        <v>-1998.87</v>
      </c>
      <c r="T94" s="117" t="s">
        <v>438</v>
      </c>
      <c r="U94" s="119" t="s">
        <v>825</v>
      </c>
      <c r="V94" s="135" t="s">
        <v>451</v>
      </c>
      <c r="W94" s="135" t="s">
        <v>446</v>
      </c>
      <c r="X94" s="135" t="s">
        <v>103</v>
      </c>
    </row>
    <row r="95" spans="1:24" s="53" customFormat="1" x14ac:dyDescent="0.3">
      <c r="A95" s="115" t="s">
        <v>440</v>
      </c>
      <c r="B95" s="116">
        <v>46063</v>
      </c>
      <c r="C95" s="117" t="s">
        <v>264</v>
      </c>
      <c r="D95" s="117" t="s">
        <v>540</v>
      </c>
      <c r="E95" s="117"/>
      <c r="F95" s="117"/>
      <c r="G95" s="117" t="s">
        <v>541</v>
      </c>
      <c r="H95" s="117" t="s">
        <v>426</v>
      </c>
      <c r="I95" s="117" t="s">
        <v>538</v>
      </c>
      <c r="J95" s="117" t="s">
        <v>1008</v>
      </c>
      <c r="K95" s="117" t="s">
        <v>1009</v>
      </c>
      <c r="L95" s="116">
        <v>46063</v>
      </c>
      <c r="M95" s="117" t="s">
        <v>538</v>
      </c>
      <c r="N95" s="117" t="s">
        <v>447</v>
      </c>
      <c r="O95" s="117" t="s">
        <v>443</v>
      </c>
      <c r="P95" s="117" t="s">
        <v>58</v>
      </c>
      <c r="Q95" s="118">
        <v>-1999.76</v>
      </c>
      <c r="R95" s="118">
        <v>-1999.76</v>
      </c>
      <c r="S95" s="118">
        <v>-1999.76</v>
      </c>
      <c r="T95" s="117" t="s">
        <v>438</v>
      </c>
      <c r="U95" s="119" t="s">
        <v>450</v>
      </c>
      <c r="V95" s="135" t="s">
        <v>451</v>
      </c>
      <c r="W95" s="135" t="s">
        <v>446</v>
      </c>
      <c r="X95" s="135" t="s">
        <v>103</v>
      </c>
    </row>
    <row r="96" spans="1:24" s="53" customFormat="1" x14ac:dyDescent="0.3">
      <c r="A96" s="110" t="s">
        <v>439</v>
      </c>
      <c r="B96" s="111">
        <v>46063</v>
      </c>
      <c r="C96" s="112" t="s">
        <v>264</v>
      </c>
      <c r="D96" s="112" t="s">
        <v>540</v>
      </c>
      <c r="E96" s="112"/>
      <c r="F96" s="112"/>
      <c r="G96" s="112" t="s">
        <v>541</v>
      </c>
      <c r="H96" s="112" t="s">
        <v>426</v>
      </c>
      <c r="I96" s="112" t="s">
        <v>538</v>
      </c>
      <c r="J96" s="112" t="s">
        <v>1008</v>
      </c>
      <c r="K96" s="112" t="s">
        <v>1009</v>
      </c>
      <c r="L96" s="111">
        <v>46063</v>
      </c>
      <c r="M96" s="112" t="s">
        <v>538</v>
      </c>
      <c r="N96" s="112" t="s">
        <v>447</v>
      </c>
      <c r="O96" s="112" t="s">
        <v>443</v>
      </c>
      <c r="P96" s="112" t="s">
        <v>58</v>
      </c>
      <c r="Q96" s="113">
        <v>1999.76</v>
      </c>
      <c r="R96" s="113">
        <v>1999.76</v>
      </c>
      <c r="S96" s="113">
        <v>1999.76</v>
      </c>
      <c r="T96" s="112" t="s">
        <v>438</v>
      </c>
      <c r="U96" s="114" t="s">
        <v>450</v>
      </c>
      <c r="V96" s="135" t="s">
        <v>451</v>
      </c>
      <c r="W96" s="135" t="s">
        <v>446</v>
      </c>
      <c r="X96" s="135" t="s">
        <v>103</v>
      </c>
    </row>
  </sheetData>
  <autoFilter ref="A1:X96" xr:uid="{D27406AE-05BD-4B20-AE24-DB3CCE6D5D67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497F4-6BFB-44E5-A0E3-86C1B5FA7EF5}">
  <sheetPr>
    <tabColor theme="2" tint="-9.9978637043366805E-2"/>
  </sheetPr>
  <dimension ref="A1:Z6"/>
  <sheetViews>
    <sheetView workbookViewId="0">
      <selection activeCell="A2" sqref="A2:XFD11"/>
    </sheetView>
  </sheetViews>
  <sheetFormatPr baseColWidth="10" defaultColWidth="11.5546875" defaultRowHeight="14.4" x14ac:dyDescent="0.3"/>
  <cols>
    <col min="1" max="6" width="11.5546875" style="51"/>
    <col min="7" max="7" width="24.88671875" style="51" bestFit="1" customWidth="1"/>
    <col min="8" max="16384" width="11.5546875" style="51"/>
  </cols>
  <sheetData>
    <row r="1" spans="1:26" s="58" customFormat="1" ht="13.8" x14ac:dyDescent="0.25">
      <c r="A1" s="127" t="s">
        <v>498</v>
      </c>
      <c r="B1" s="127" t="s">
        <v>497</v>
      </c>
      <c r="C1" s="127" t="s">
        <v>496</v>
      </c>
      <c r="D1" s="127" t="s">
        <v>495</v>
      </c>
      <c r="E1" s="127" t="s">
        <v>494</v>
      </c>
      <c r="F1" s="127" t="s">
        <v>493</v>
      </c>
      <c r="G1" s="127" t="s">
        <v>492</v>
      </c>
      <c r="H1" s="127" t="s">
        <v>491</v>
      </c>
      <c r="I1" s="127" t="s">
        <v>490</v>
      </c>
      <c r="J1" s="127" t="s">
        <v>489</v>
      </c>
      <c r="K1" s="127" t="s">
        <v>488</v>
      </c>
      <c r="L1" s="127" t="s">
        <v>487</v>
      </c>
      <c r="M1" s="127" t="s">
        <v>486</v>
      </c>
      <c r="N1" s="127" t="s">
        <v>485</v>
      </c>
      <c r="O1" s="127" t="s">
        <v>484</v>
      </c>
      <c r="P1" s="127" t="s">
        <v>483</v>
      </c>
      <c r="Q1" s="127" t="s">
        <v>482</v>
      </c>
      <c r="R1" s="127" t="s">
        <v>481</v>
      </c>
      <c r="S1" s="127" t="s">
        <v>480</v>
      </c>
      <c r="T1" s="127" t="s">
        <v>479</v>
      </c>
      <c r="U1" s="127" t="s">
        <v>478</v>
      </c>
      <c r="V1" s="127" t="s">
        <v>477</v>
      </c>
      <c r="W1" s="127" t="s">
        <v>476</v>
      </c>
      <c r="X1" s="127" t="s">
        <v>475</v>
      </c>
      <c r="Y1" s="127" t="s">
        <v>474</v>
      </c>
      <c r="Z1" s="127" t="s">
        <v>1010</v>
      </c>
    </row>
    <row r="2" spans="1:26" x14ac:dyDescent="0.3">
      <c r="A2" s="121"/>
      <c r="B2" s="122"/>
      <c r="C2" s="121"/>
      <c r="D2" s="121"/>
      <c r="E2" s="121"/>
      <c r="F2" s="120"/>
      <c r="G2" s="121"/>
      <c r="H2" s="121"/>
      <c r="I2" s="121"/>
      <c r="J2" s="123"/>
      <c r="K2" s="121"/>
      <c r="L2" s="124"/>
      <c r="M2" s="123"/>
      <c r="N2" s="121"/>
      <c r="O2" s="121"/>
      <c r="P2" s="121"/>
      <c r="Q2" s="121"/>
      <c r="R2" s="120"/>
      <c r="S2" s="120"/>
      <c r="T2" s="121"/>
      <c r="U2" s="121"/>
      <c r="V2" s="121"/>
      <c r="W2" s="121"/>
      <c r="X2" s="125"/>
      <c r="Y2" s="121"/>
      <c r="Z2" s="121"/>
    </row>
    <row r="3" spans="1:26" x14ac:dyDescent="0.3">
      <c r="A3" s="121"/>
      <c r="B3" s="122"/>
      <c r="C3" s="121"/>
      <c r="D3" s="121"/>
      <c r="E3" s="121"/>
      <c r="F3" s="120"/>
      <c r="G3" s="121"/>
      <c r="H3" s="121"/>
      <c r="I3" s="121"/>
      <c r="J3" s="123"/>
      <c r="K3" s="121"/>
      <c r="L3" s="124"/>
      <c r="M3" s="123"/>
      <c r="N3" s="121"/>
      <c r="O3" s="121"/>
      <c r="P3" s="121"/>
      <c r="Q3" s="121"/>
      <c r="R3" s="120"/>
      <c r="S3" s="120"/>
      <c r="T3" s="121"/>
      <c r="U3" s="121"/>
      <c r="V3" s="121"/>
      <c r="W3" s="121"/>
      <c r="X3" s="125"/>
      <c r="Y3" s="121"/>
      <c r="Z3" s="121"/>
    </row>
    <row r="4" spans="1:26" x14ac:dyDescent="0.3">
      <c r="A4" s="121"/>
      <c r="B4" s="122"/>
      <c r="C4" s="121"/>
      <c r="D4" s="121"/>
      <c r="E4" s="121"/>
      <c r="F4" s="120"/>
      <c r="G4" s="121"/>
      <c r="H4" s="121"/>
      <c r="I4" s="121"/>
      <c r="J4" s="123"/>
      <c r="K4" s="121"/>
      <c r="L4" s="126"/>
      <c r="M4" s="123"/>
      <c r="N4" s="121"/>
      <c r="O4" s="121"/>
      <c r="P4" s="121"/>
      <c r="Q4" s="121"/>
      <c r="R4" s="120"/>
      <c r="S4" s="120"/>
      <c r="T4" s="121"/>
      <c r="U4" s="121"/>
      <c r="V4" s="121"/>
      <c r="W4" s="121"/>
      <c r="X4" s="125"/>
      <c r="Y4" s="121"/>
      <c r="Z4" s="121"/>
    </row>
    <row r="5" spans="1:26" x14ac:dyDescent="0.3">
      <c r="A5" s="121"/>
      <c r="B5" s="122"/>
      <c r="C5" s="121"/>
      <c r="D5" s="121"/>
      <c r="E5" s="121"/>
      <c r="F5" s="120"/>
      <c r="G5" s="121"/>
      <c r="H5" s="121"/>
      <c r="I5" s="121"/>
      <c r="J5" s="123"/>
      <c r="K5" s="121"/>
      <c r="L5" s="126"/>
      <c r="M5" s="123"/>
      <c r="N5" s="121"/>
      <c r="O5" s="121"/>
      <c r="P5" s="121"/>
      <c r="Q5" s="121"/>
      <c r="R5" s="120"/>
      <c r="S5" s="120"/>
      <c r="T5" s="121"/>
      <c r="U5" s="121"/>
      <c r="V5" s="121"/>
      <c r="W5" s="121"/>
      <c r="X5" s="125"/>
      <c r="Y5" s="121"/>
      <c r="Z5" s="121"/>
    </row>
    <row r="6" spans="1:26" x14ac:dyDescent="0.3">
      <c r="A6" s="121"/>
      <c r="B6" s="122"/>
      <c r="C6" s="121"/>
      <c r="D6" s="121"/>
      <c r="E6" s="121"/>
      <c r="F6" s="120"/>
      <c r="G6" s="121"/>
      <c r="H6" s="121"/>
      <c r="I6" s="121"/>
      <c r="J6" s="123"/>
      <c r="K6" s="121"/>
      <c r="L6" s="126"/>
      <c r="M6" s="123"/>
      <c r="N6" s="121"/>
      <c r="O6" s="121"/>
      <c r="P6" s="121"/>
      <c r="Q6" s="121"/>
      <c r="R6" s="120"/>
      <c r="S6" s="120"/>
      <c r="T6" s="121"/>
      <c r="U6" s="121"/>
      <c r="V6" s="121"/>
      <c r="W6" s="121"/>
      <c r="X6" s="125"/>
      <c r="Y6" s="121"/>
      <c r="Z6" s="121"/>
    </row>
  </sheetData>
  <autoFilter ref="A1:Y25" xr:uid="{9C152689-C5D7-4759-A091-A739FAB4251E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F090A-F680-4E40-B563-88D1144E64F0}">
  <sheetPr>
    <tabColor theme="2" tint="-9.9978637043366805E-2"/>
  </sheetPr>
  <dimension ref="A1:O6972"/>
  <sheetViews>
    <sheetView zoomScale="93" zoomScaleNormal="93" workbookViewId="0">
      <pane ySplit="1" topLeftCell="A2" activePane="bottomLeft" state="frozen"/>
      <selection activeCell="E7" sqref="E7"/>
      <selection pane="bottomLeft" activeCell="C63" sqref="C63"/>
    </sheetView>
  </sheetViews>
  <sheetFormatPr baseColWidth="10" defaultColWidth="11.44140625" defaultRowHeight="14.4" x14ac:dyDescent="0.3"/>
  <cols>
    <col min="1" max="1" width="17.5546875" bestFit="1" customWidth="1"/>
    <col min="2" max="2" width="15.88671875" bestFit="1" customWidth="1"/>
    <col min="3" max="5" width="14.6640625" customWidth="1"/>
    <col min="6" max="6" width="15.88671875" bestFit="1" customWidth="1"/>
    <col min="7" max="9" width="11.44140625" style="51"/>
    <col min="10" max="10" width="17.5546875" style="51" bestFit="1" customWidth="1"/>
    <col min="11" max="11" width="16.109375" style="51" bestFit="1" customWidth="1"/>
    <col min="12" max="15" width="14.6640625" style="51" customWidth="1"/>
    <col min="16" max="16384" width="11.44140625" style="51"/>
  </cols>
  <sheetData>
    <row r="1" spans="1:15" ht="18" x14ac:dyDescent="0.35">
      <c r="A1" s="51"/>
      <c r="B1" s="63" t="s">
        <v>502</v>
      </c>
      <c r="C1" s="63" t="s">
        <v>501</v>
      </c>
      <c r="D1" s="63"/>
      <c r="E1" s="63" t="s">
        <v>500</v>
      </c>
      <c r="F1" s="62" t="s">
        <v>499</v>
      </c>
      <c r="K1" s="63" t="s">
        <v>502</v>
      </c>
      <c r="L1" s="63" t="s">
        <v>501</v>
      </c>
      <c r="M1" s="63"/>
      <c r="N1" s="63" t="s">
        <v>500</v>
      </c>
      <c r="O1" s="62" t="s">
        <v>499</v>
      </c>
    </row>
    <row r="2" spans="1:15" x14ac:dyDescent="0.3">
      <c r="A2" s="51" t="s">
        <v>823</v>
      </c>
      <c r="B2" s="59">
        <f>SUMIF(ERP!H:H,A2,ERP!Q:Q)+SUMIF(SAP!E:E,A2,SAP!J:J)</f>
        <v>-7953137.5</v>
      </c>
      <c r="C2" s="59">
        <f>SUMIF(Salesforce!AW:AW,A2,Salesforce!AM:AM)</f>
        <v>7953137.5</v>
      </c>
      <c r="D2" s="59"/>
      <c r="E2" s="59">
        <f>SUMIF(CRM_PREV_M!AV:AV,A2,CRM_PREV_M!AL:AL)</f>
        <v>0</v>
      </c>
      <c r="F2" s="59">
        <f>B2+C2+E2+D2</f>
        <v>0</v>
      </c>
      <c r="J2" s="51" t="s">
        <v>816</v>
      </c>
      <c r="K2" s="59">
        <f>SUMIF(ERP!H:H,J2,ERP!Q:Q)</f>
        <v>379.94</v>
      </c>
      <c r="L2" s="59">
        <f>SUMIFS(Salesforce!AO:AO,Salesforce!AY:AY,J2)</f>
        <v>379.94</v>
      </c>
      <c r="M2" s="59"/>
      <c r="N2" s="59">
        <f>SUMIF(CRM_PREV_M!AX:AX,J2,CRM_PREV_M!AN:AN)</f>
        <v>0</v>
      </c>
      <c r="O2" s="59">
        <f>K2-L2-N2-M2</f>
        <v>0</v>
      </c>
    </row>
    <row r="3" spans="1:15" x14ac:dyDescent="0.3">
      <c r="A3" s="51" t="s">
        <v>805</v>
      </c>
      <c r="B3" s="59">
        <f>SUMIF(ERP!H:H,A3,ERP!Q:Q)+SUMIF(SAP!E:E,A3,SAP!J:J)</f>
        <v>-3000</v>
      </c>
      <c r="C3" s="59">
        <f>SUMIF(Salesforce!AW:AW,A3,Salesforce!AM:AM)</f>
        <v>3000</v>
      </c>
      <c r="D3" s="59"/>
      <c r="E3" s="59">
        <f>SUMIF(CRM_PREV_M!AV:AV,A3,CRM_PREV_M!AL:AL)</f>
        <v>0</v>
      </c>
      <c r="F3" s="59">
        <f t="shared" ref="F3:F66" si="0">B3+C3+E3+D3</f>
        <v>0</v>
      </c>
      <c r="J3" s="51" t="s">
        <v>818</v>
      </c>
      <c r="K3" s="59">
        <f>SUMIF(ERP!H:H,J3,ERP!Q:Q)</f>
        <v>180.05</v>
      </c>
      <c r="L3" s="59">
        <f>SUMIFS(Salesforce!AO:AO,Salesforce!AY:AY,J3)</f>
        <v>180.05</v>
      </c>
      <c r="M3" s="59"/>
      <c r="N3" s="59">
        <f>SUMIF(CRM_PREV_M!AX:AX,J3,CRM_PREV_M!AN:AN)</f>
        <v>0</v>
      </c>
      <c r="O3" s="59">
        <f t="shared" ref="O3:O30" si="1">K3-L3-N3-M3</f>
        <v>0</v>
      </c>
    </row>
    <row r="4" spans="1:15" x14ac:dyDescent="0.3">
      <c r="A4" s="51" t="s">
        <v>801</v>
      </c>
      <c r="B4" s="59">
        <f>SUMIF(ERP!H:H,A4,ERP!Q:Q)+SUMIF(SAP!E:E,A4,SAP!J:J)</f>
        <v>-993</v>
      </c>
      <c r="C4" s="59">
        <f>SUMIF(Salesforce!AW:AW,A4,Salesforce!AM:AM)</f>
        <v>993</v>
      </c>
      <c r="D4" s="59"/>
      <c r="E4" s="59">
        <f>SUMIF(CRM_PREV_M!AV:AV,A4,CRM_PREV_M!AL:AL)</f>
        <v>0</v>
      </c>
      <c r="F4" s="59">
        <f t="shared" si="0"/>
        <v>0</v>
      </c>
      <c r="J4" s="51" t="s">
        <v>820</v>
      </c>
      <c r="K4" s="59">
        <f>SUMIF(ERP!H:H,J4,ERP!Q:Q)</f>
        <v>30985.86</v>
      </c>
      <c r="L4" s="59">
        <f>SUMIFS(Salesforce!AO:AO,Salesforce!AY:AY,J4)</f>
        <v>30985.86</v>
      </c>
      <c r="M4" s="59"/>
      <c r="N4" s="59">
        <f>SUMIF(CRM_PREV_M!AX:AX,J4,CRM_PREV_M!AN:AN)</f>
        <v>0</v>
      </c>
      <c r="O4" s="59">
        <f t="shared" si="1"/>
        <v>0</v>
      </c>
    </row>
    <row r="5" spans="1:15" x14ac:dyDescent="0.3">
      <c r="A5" s="51" t="s">
        <v>807</v>
      </c>
      <c r="B5" s="59">
        <f>SUMIF(ERP!H:H,A5,ERP!Q:Q)+SUMIF(SAP!E:E,A5,SAP!J:J)</f>
        <v>-6300</v>
      </c>
      <c r="C5" s="59">
        <f>SUMIF(Salesforce!AW:AW,A5,Salesforce!AM:AM)</f>
        <v>6300</v>
      </c>
      <c r="D5" s="59"/>
      <c r="E5" s="59">
        <f>SUMIF(CRM_PREV_M!AV:AV,A5,CRM_PREV_M!AL:AL)</f>
        <v>0</v>
      </c>
      <c r="F5" s="59">
        <f t="shared" si="0"/>
        <v>0</v>
      </c>
      <c r="J5" s="51" t="s">
        <v>814</v>
      </c>
      <c r="K5" s="59">
        <f>SUMIF(ERP!H:H,J5,ERP!Q:Q)</f>
        <v>5184.83</v>
      </c>
      <c r="L5" s="59">
        <f>SUMIFS(Salesforce!AO:AO,Salesforce!AY:AY,J5)</f>
        <v>5184.83</v>
      </c>
      <c r="M5" s="59"/>
      <c r="N5" s="59">
        <f>SUMIF(CRM_PREV_M!AX:AX,J5,CRM_PREV_M!AN:AN)</f>
        <v>0</v>
      </c>
      <c r="O5" s="59">
        <f t="shared" si="1"/>
        <v>0</v>
      </c>
    </row>
    <row r="6" spans="1:15" x14ac:dyDescent="0.3">
      <c r="A6" s="51" t="s">
        <v>811</v>
      </c>
      <c r="B6" s="59">
        <f>SUMIF(ERP!H:H,A6,ERP!Q:Q)+SUMIF(SAP!E:E,A6,SAP!J:J)</f>
        <v>-2771.71</v>
      </c>
      <c r="C6" s="59">
        <f>SUMIF(Salesforce!AW:AW,A6,Salesforce!AM:AM)</f>
        <v>2771.71</v>
      </c>
      <c r="D6" s="59"/>
      <c r="E6" s="59">
        <f>SUMIF(CRM_PREV_M!AV:AV,A6,CRM_PREV_M!AL:AL)</f>
        <v>0</v>
      </c>
      <c r="F6" s="59">
        <f t="shared" si="0"/>
        <v>0</v>
      </c>
      <c r="J6" s="51" t="s">
        <v>808</v>
      </c>
      <c r="K6" s="59">
        <f>SUMIF(ERP!H:H,J6,ERP!Q:Q)</f>
        <v>6300</v>
      </c>
      <c r="L6" s="59">
        <f>SUMIFS(Salesforce!AO:AO,Salesforce!AY:AY,J6)</f>
        <v>6300</v>
      </c>
      <c r="M6" s="59"/>
      <c r="N6" s="59">
        <f>SUMIF(CRM_PREV_M!AX:AX,J6,CRM_PREV_M!AN:AN)</f>
        <v>0</v>
      </c>
      <c r="O6" s="59">
        <f t="shared" si="1"/>
        <v>0</v>
      </c>
    </row>
    <row r="7" spans="1:15" x14ac:dyDescent="0.3">
      <c r="A7" s="51" t="s">
        <v>809</v>
      </c>
      <c r="B7" s="59">
        <f>SUMIF(ERP!H:H,A7,ERP!Q:Q)+SUMIF(SAP!E:E,A7,SAP!J:J)</f>
        <v>-848.2</v>
      </c>
      <c r="C7" s="59">
        <f>SUMIF(Salesforce!AW:AW,A7,Salesforce!AM:AM)</f>
        <v>848.2</v>
      </c>
      <c r="D7" s="59"/>
      <c r="E7" s="59">
        <f>SUMIF(CRM_PREV_M!AV:AV,A7,CRM_PREV_M!AL:AL)</f>
        <v>0</v>
      </c>
      <c r="F7" s="59">
        <f t="shared" si="0"/>
        <v>0</v>
      </c>
      <c r="J7" s="51" t="s">
        <v>810</v>
      </c>
      <c r="K7" s="59">
        <f>SUMIF(ERP!H:H,J7,ERP!Q:Q)</f>
        <v>848.2</v>
      </c>
      <c r="L7" s="59">
        <f>SUMIFS(Salesforce!AO:AO,Salesforce!AY:AY,J7)</f>
        <v>848.2</v>
      </c>
      <c r="M7" s="59"/>
      <c r="N7" s="59">
        <f>SUMIF(CRM_PREV_M!AX:AX,J7,CRM_PREV_M!AN:AN)</f>
        <v>0</v>
      </c>
      <c r="O7" s="59">
        <f t="shared" si="1"/>
        <v>0</v>
      </c>
    </row>
    <row r="8" spans="1:15" x14ac:dyDescent="0.3">
      <c r="A8" s="51" t="s">
        <v>813</v>
      </c>
      <c r="B8" s="59">
        <f>SUMIF(ERP!H:H,A8,ERP!Q:Q)+SUMIF(SAP!E:E,A8,SAP!J:J)</f>
        <v>-5184.83</v>
      </c>
      <c r="C8" s="59">
        <f>SUMIF(Salesforce!AW:AW,A8,Salesforce!AM:AM)</f>
        <v>5184.83</v>
      </c>
      <c r="D8" s="59"/>
      <c r="E8" s="59">
        <f>SUMIF(CRM_PREV_M!AV:AV,A8,CRM_PREV_M!AL:AL)</f>
        <v>0</v>
      </c>
      <c r="F8" s="59">
        <f t="shared" si="0"/>
        <v>0</v>
      </c>
      <c r="J8" s="51" t="s">
        <v>812</v>
      </c>
      <c r="K8" s="59">
        <f>SUMIF(ERP!H:H,J8,ERP!Q:Q)</f>
        <v>2771.71</v>
      </c>
      <c r="L8" s="59">
        <f>SUMIFS(Salesforce!AO:AO,Salesforce!AY:AY,J8)</f>
        <v>2771.71</v>
      </c>
      <c r="M8" s="59"/>
      <c r="N8" s="59">
        <f>SUMIF(CRM_PREV_M!AX:AX,J8,CRM_PREV_M!AN:AN)</f>
        <v>0</v>
      </c>
      <c r="O8" s="59">
        <f t="shared" si="1"/>
        <v>0</v>
      </c>
    </row>
    <row r="9" spans="1:15" x14ac:dyDescent="0.3">
      <c r="A9" s="51" t="s">
        <v>817</v>
      </c>
      <c r="B9" s="59">
        <f>SUMIF(ERP!H:H,A9,ERP!Q:Q)+SUMIF(SAP!E:E,A9,SAP!J:J)</f>
        <v>-180.05</v>
      </c>
      <c r="C9" s="59">
        <f>SUMIF(Salesforce!AW:AW,A9,Salesforce!AM:AM)</f>
        <v>180.05</v>
      </c>
      <c r="D9" s="59"/>
      <c r="E9" s="59">
        <f>SUMIF(CRM_PREV_M!AV:AV,A9,CRM_PREV_M!AL:AL)</f>
        <v>0</v>
      </c>
      <c r="F9" s="59">
        <f t="shared" si="0"/>
        <v>0</v>
      </c>
      <c r="J9" s="51" t="s">
        <v>804</v>
      </c>
      <c r="K9" s="59">
        <f>SUMIF(ERP!H:H,J9,ERP!Q:Q)</f>
        <v>2000</v>
      </c>
      <c r="L9" s="59">
        <f>SUMIFS(Salesforce!AO:AO,Salesforce!AY:AY,J9)</f>
        <v>2000</v>
      </c>
      <c r="M9" s="59"/>
      <c r="N9" s="59">
        <f>SUMIF(CRM_PREV_M!AX:AX,J9,CRM_PREV_M!AN:AN)</f>
        <v>0</v>
      </c>
      <c r="O9" s="59">
        <f t="shared" si="1"/>
        <v>0</v>
      </c>
    </row>
    <row r="10" spans="1:15" x14ac:dyDescent="0.3">
      <c r="A10" s="51" t="s">
        <v>815</v>
      </c>
      <c r="B10" s="59">
        <f>SUMIF(ERP!H:H,A10,ERP!Q:Q)+SUMIF(SAP!E:E,A10,SAP!J:J)</f>
        <v>-379.94</v>
      </c>
      <c r="C10" s="59">
        <f>SUMIF(Salesforce!AW:AW,A10,Salesforce!AM:AM)</f>
        <v>379.94</v>
      </c>
      <c r="D10" s="59"/>
      <c r="E10" s="59">
        <f>SUMIF(CRM_PREV_M!AV:AV,A10,CRM_PREV_M!AL:AL)</f>
        <v>0</v>
      </c>
      <c r="F10" s="59">
        <f t="shared" si="0"/>
        <v>0</v>
      </c>
      <c r="J10" s="51" t="s">
        <v>806</v>
      </c>
      <c r="K10" s="59">
        <f>SUMIF(ERP!H:H,J10,ERP!Q:Q)</f>
        <v>3000</v>
      </c>
      <c r="L10" s="59">
        <f>SUMIFS(Salesforce!AO:AO,Salesforce!AY:AY,J10)</f>
        <v>3000</v>
      </c>
      <c r="M10" s="59"/>
      <c r="N10" s="59">
        <f>SUMIF(CRM_PREV_M!AX:AX,J10,CRM_PREV_M!AN:AN)</f>
        <v>0</v>
      </c>
      <c r="O10" s="59">
        <f t="shared" si="1"/>
        <v>0</v>
      </c>
    </row>
    <row r="11" spans="1:15" x14ac:dyDescent="0.3">
      <c r="A11" s="51" t="s">
        <v>793</v>
      </c>
      <c r="B11" s="59">
        <f>SUMIF(ERP!H:H,A11,ERP!Q:Q)+SUMIF(SAP!E:E,A11,SAP!J:J)</f>
        <v>-2991.08</v>
      </c>
      <c r="C11" s="59">
        <f>SUMIF(Salesforce!AW:AW,A11,Salesforce!AM:AM)</f>
        <v>2991.08</v>
      </c>
      <c r="D11" s="59"/>
      <c r="E11" s="59">
        <f>SUMIF(CRM_PREV_M!AV:AV,A11,CRM_PREV_M!AL:AL)</f>
        <v>0</v>
      </c>
      <c r="F11" s="59">
        <f t="shared" si="0"/>
        <v>0</v>
      </c>
      <c r="J11" s="51" t="s">
        <v>824</v>
      </c>
      <c r="K11" s="59">
        <f>SUMIF(ERP!H:H,J11,ERP!Q:Q)</f>
        <v>2065.75</v>
      </c>
      <c r="L11" s="59">
        <f>SUMIFS(Salesforce!AO:AO,Salesforce!AY:AY,J11)</f>
        <v>2065.75</v>
      </c>
      <c r="M11" s="59"/>
      <c r="N11" s="59">
        <f>SUMIF(CRM_PREV_M!AX:AX,J11,CRM_PREV_M!AN:AN)</f>
        <v>0</v>
      </c>
      <c r="O11" s="59">
        <f t="shared" si="1"/>
        <v>0</v>
      </c>
    </row>
    <row r="12" spans="1:15" x14ac:dyDescent="0.3">
      <c r="A12" s="61" t="s">
        <v>795</v>
      </c>
      <c r="B12" s="59">
        <f>SUMIF(ERP!H:H,A12,ERP!Q:Q)+SUMIF(SAP!E:E,A12,SAP!J:J)</f>
        <v>-2398.79</v>
      </c>
      <c r="C12" s="59">
        <f>SUMIF(Salesforce!AW:AW,A12,Salesforce!AM:AM)</f>
        <v>2398.79</v>
      </c>
      <c r="D12" s="59"/>
      <c r="E12" s="59">
        <f>SUMIF(CRM_PREV_M!AV:AV,A12,CRM_PREV_M!AL:AL)</f>
        <v>0</v>
      </c>
      <c r="F12" s="59">
        <f t="shared" si="0"/>
        <v>0</v>
      </c>
      <c r="J12" s="51" t="s">
        <v>802</v>
      </c>
      <c r="K12" s="59">
        <f>SUMIF(ERP!H:H,J12,ERP!Q:Q)</f>
        <v>993</v>
      </c>
      <c r="L12" s="59">
        <f>SUMIFS(Salesforce!AO:AO,Salesforce!AY:AY,J12)</f>
        <v>993</v>
      </c>
      <c r="M12" s="59"/>
      <c r="N12" s="59">
        <f>SUMIF(CRM_PREV_M!AX:AX,J12,CRM_PREV_M!AN:AN)</f>
        <v>0</v>
      </c>
      <c r="O12" s="59">
        <f t="shared" si="1"/>
        <v>0</v>
      </c>
    </row>
    <row r="13" spans="1:15" x14ac:dyDescent="0.3">
      <c r="A13" s="61" t="s">
        <v>791</v>
      </c>
      <c r="B13" s="59">
        <f>SUMIF(ERP!H:H,A13,ERP!Q:Q)+SUMIF(SAP!E:E,A13,SAP!J:J)</f>
        <v>-2500</v>
      </c>
      <c r="C13" s="59">
        <f>SUMIF(Salesforce!AW:AW,A13,Salesforce!AM:AM)</f>
        <v>2500</v>
      </c>
      <c r="D13" s="59"/>
      <c r="E13" s="59">
        <f>SUMIF(CRM_PREV_M!AV:AV,A13,CRM_PREV_M!AL:AL)</f>
        <v>0</v>
      </c>
      <c r="F13" s="59">
        <f t="shared" si="0"/>
        <v>0</v>
      </c>
      <c r="J13" s="51" t="s">
        <v>800</v>
      </c>
      <c r="K13" s="59">
        <f>SUMIF(ERP!H:H,J13,ERP!Q:Q)</f>
        <v>998.79</v>
      </c>
      <c r="L13" s="59">
        <f>SUMIFS(Salesforce!AO:AO,Salesforce!AY:AY,J13)</f>
        <v>998.79</v>
      </c>
      <c r="M13" s="59"/>
      <c r="N13" s="59">
        <f>SUMIF(CRM_PREV_M!AX:AX,J13,CRM_PREV_M!AN:AN)</f>
        <v>0</v>
      </c>
      <c r="O13" s="59">
        <f t="shared" si="1"/>
        <v>0</v>
      </c>
    </row>
    <row r="14" spans="1:15" x14ac:dyDescent="0.3">
      <c r="A14" s="61" t="s">
        <v>803</v>
      </c>
      <c r="B14" s="59">
        <f>SUMIF(ERP!H:H,A14,ERP!Q:Q)+SUMIF(SAP!E:E,A14,SAP!J:J)</f>
        <v>-2000</v>
      </c>
      <c r="C14" s="59">
        <f>SUMIF(Salesforce!AW:AW,A14,Salesforce!AM:AM)</f>
        <v>2000</v>
      </c>
      <c r="D14" s="59"/>
      <c r="E14" s="59">
        <f>SUMIF(CRM_PREV_M!AV:AV,A14,CRM_PREV_M!AL:AL)</f>
        <v>0</v>
      </c>
      <c r="F14" s="59">
        <f t="shared" si="0"/>
        <v>0</v>
      </c>
      <c r="J14" s="51" t="s">
        <v>796</v>
      </c>
      <c r="K14" s="59">
        <f>SUMIF(ERP!H:H,J14,ERP!Q:Q)</f>
        <v>2398.79</v>
      </c>
      <c r="L14" s="59">
        <f>SUMIFS(Salesforce!AO:AO,Salesforce!AY:AY,J14)</f>
        <v>2398.79</v>
      </c>
      <c r="M14" s="59"/>
      <c r="N14" s="59">
        <f>SUMIF(CRM_PREV_M!AX:AX,J14,CRM_PREV_M!AN:AN)</f>
        <v>0</v>
      </c>
      <c r="O14" s="59">
        <f t="shared" si="1"/>
        <v>0</v>
      </c>
    </row>
    <row r="15" spans="1:15" x14ac:dyDescent="0.3">
      <c r="A15" s="61" t="s">
        <v>797</v>
      </c>
      <c r="B15" s="59">
        <f>SUMIF(ERP!H:H,A15,ERP!Q:Q)+SUMIF(SAP!E:E,A15,SAP!J:J)</f>
        <v>-2019.13</v>
      </c>
      <c r="C15" s="59">
        <f>SUMIF(Salesforce!AW:AW,A15,Salesforce!AM:AM)</f>
        <v>2019.13</v>
      </c>
      <c r="D15" s="59"/>
      <c r="E15" s="59">
        <f>SUMIF(CRM_PREV_M!AV:AV,A15,CRM_PREV_M!AL:AL)</f>
        <v>0</v>
      </c>
      <c r="F15" s="59">
        <f t="shared" si="0"/>
        <v>0</v>
      </c>
      <c r="J15" s="51" t="s">
        <v>798</v>
      </c>
      <c r="K15" s="59">
        <f>SUMIF(ERP!H:H,J15,ERP!Q:Q)</f>
        <v>2019.13</v>
      </c>
      <c r="L15" s="59">
        <f>SUMIFS(Salesforce!AO:AO,Salesforce!AY:AY,J15)</f>
        <v>2019.13</v>
      </c>
      <c r="M15" s="59"/>
      <c r="N15" s="59">
        <f>SUMIF(CRM_PREV_M!AX:AX,J15,CRM_PREV_M!AN:AN)</f>
        <v>0</v>
      </c>
      <c r="O15" s="59">
        <f t="shared" si="1"/>
        <v>0</v>
      </c>
    </row>
    <row r="16" spans="1:15" x14ac:dyDescent="0.3">
      <c r="A16" s="61" t="s">
        <v>799</v>
      </c>
      <c r="B16" s="59">
        <f>SUMIF(ERP!H:H,A16,ERP!Q:Q)+SUMIF(SAP!E:E,A16,SAP!J:J)</f>
        <v>-998.79</v>
      </c>
      <c r="C16" s="59">
        <f>SUMIF(Salesforce!AW:AW,A16,Salesforce!AM:AM)</f>
        <v>998.79</v>
      </c>
      <c r="D16" s="59"/>
      <c r="E16" s="59">
        <f>SUMIF(CRM_PREV_M!AV:AV,A16,CRM_PREV_M!AL:AL)</f>
        <v>0</v>
      </c>
      <c r="F16" s="59">
        <f t="shared" si="0"/>
        <v>0</v>
      </c>
      <c r="J16" s="51" t="s">
        <v>794</v>
      </c>
      <c r="K16" s="59">
        <f>SUMIF(ERP!H:H,J16,ERP!Q:Q)</f>
        <v>2991.08</v>
      </c>
      <c r="L16" s="59">
        <f>SUMIFS(Salesforce!AO:AO,Salesforce!AY:AY,J16)</f>
        <v>2991.08</v>
      </c>
      <c r="M16" s="59"/>
      <c r="N16" s="59">
        <f>SUMIF(CRM_PREV_M!AX:AX,J16,CRM_PREV_M!AN:AN)</f>
        <v>0</v>
      </c>
      <c r="O16" s="59">
        <f t="shared" si="1"/>
        <v>0</v>
      </c>
    </row>
    <row r="17" spans="1:15" x14ac:dyDescent="0.3">
      <c r="A17" s="61" t="s">
        <v>597</v>
      </c>
      <c r="B17" s="59">
        <f>SUMIF(ERP!H:H,A17,ERP!Q:Q)+SUMIF(SAP!E:E,A17,SAP!J:J)</f>
        <v>-999.97</v>
      </c>
      <c r="C17" s="59">
        <f>SUMIF(Salesforce!AW:AW,A17,Salesforce!AM:AM)</f>
        <v>999.97</v>
      </c>
      <c r="D17" s="59"/>
      <c r="E17" s="59">
        <f>SUMIF(CRM_PREV_M!AV:AV,A17,CRM_PREV_M!AL:AL)</f>
        <v>0</v>
      </c>
      <c r="F17" s="59">
        <f t="shared" si="0"/>
        <v>0</v>
      </c>
      <c r="J17" s="51" t="s">
        <v>822</v>
      </c>
      <c r="K17" s="59">
        <f>SUMIF(ERP!H:H,J17,ERP!Q:Q)</f>
        <v>2955.09</v>
      </c>
      <c r="L17" s="59">
        <f>SUMIFS(Salesforce!AO:AO,Salesforce!AY:AY,J17)</f>
        <v>2955.09</v>
      </c>
      <c r="M17" s="59"/>
      <c r="N17" s="59">
        <f>SUMIF(CRM_PREV_M!AX:AX,J17,CRM_PREV_M!AN:AN)</f>
        <v>0</v>
      </c>
      <c r="O17" s="59">
        <f t="shared" si="1"/>
        <v>0</v>
      </c>
    </row>
    <row r="18" spans="1:15" x14ac:dyDescent="0.3">
      <c r="A18" s="61" t="s">
        <v>595</v>
      </c>
      <c r="B18" s="59">
        <f>SUMIF(ERP!H:H,A18,ERP!Q:Q)+SUMIF(SAP!E:E,A18,SAP!J:J)</f>
        <v>-1027.45</v>
      </c>
      <c r="C18" s="59">
        <f>SUMIF(Salesforce!AW:AW,A18,Salesforce!AM:AM)</f>
        <v>1027.45</v>
      </c>
      <c r="D18" s="59"/>
      <c r="E18" s="59">
        <f>SUMIF(CRM_PREV_M!AV:AV,A18,CRM_PREV_M!AL:AL)</f>
        <v>0</v>
      </c>
      <c r="F18" s="59">
        <f t="shared" si="0"/>
        <v>0</v>
      </c>
      <c r="J18" s="51" t="s">
        <v>792</v>
      </c>
      <c r="K18" s="59">
        <f>SUMIF(ERP!H:H,J18,ERP!Q:Q)</f>
        <v>2500</v>
      </c>
      <c r="L18" s="59">
        <f>SUMIFS(Salesforce!AO:AO,Salesforce!AY:AY,J18)</f>
        <v>2500</v>
      </c>
      <c r="M18" s="59"/>
      <c r="N18" s="59">
        <f>SUMIF(CRM_PREV_M!AX:AX,J18,CRM_PREV_M!AN:AN)</f>
        <v>0</v>
      </c>
      <c r="O18" s="59">
        <f t="shared" si="1"/>
        <v>0</v>
      </c>
    </row>
    <row r="19" spans="1:15" x14ac:dyDescent="0.3">
      <c r="A19" s="60" t="s">
        <v>599</v>
      </c>
      <c r="B19" s="59">
        <f>SUMIF(ERP!H:H,A19,ERP!Q:Q)+SUMIF(SAP!E:E,A19,SAP!J:J)</f>
        <v>-8000</v>
      </c>
      <c r="C19" s="59">
        <f>SUMIF(Salesforce!AW:AW,A19,Salesforce!AM:AM)</f>
        <v>8000</v>
      </c>
      <c r="D19" s="59"/>
      <c r="E19" s="59">
        <f>SUMIF(CRM_PREV_M!AV:AV,A19,CRM_PREV_M!AL:AL)</f>
        <v>0</v>
      </c>
      <c r="F19" s="59">
        <f t="shared" si="0"/>
        <v>0</v>
      </c>
      <c r="J19" s="51" t="s">
        <v>594</v>
      </c>
      <c r="K19" s="59">
        <f>SUMIF(ERP!H:H,J19,ERP!Q:Q)</f>
        <v>9029.1299999999992</v>
      </c>
      <c r="L19" s="59">
        <f>SUMIFS(Salesforce!AO:AO,Salesforce!AY:AY,J19)</f>
        <v>9029.1299999999992</v>
      </c>
      <c r="M19" s="59"/>
      <c r="N19" s="59">
        <f>SUMIF(CRM_PREV_M!AX:AX,J19,CRM_PREV_M!AN:AN)</f>
        <v>0</v>
      </c>
      <c r="O19" s="59">
        <f t="shared" si="1"/>
        <v>0</v>
      </c>
    </row>
    <row r="20" spans="1:15" x14ac:dyDescent="0.3">
      <c r="A20" s="60" t="s">
        <v>593</v>
      </c>
      <c r="B20" s="59">
        <f>SUMIF(ERP!H:H,A20,ERP!Q:Q)+SUMIF(SAP!E:E,A20,SAP!J:J)</f>
        <v>-9029.1299999999992</v>
      </c>
      <c r="C20" s="59">
        <f>SUMIF(Salesforce!AW:AW,A20,Salesforce!AM:AM)</f>
        <v>9029.1299999999992</v>
      </c>
      <c r="D20" s="59"/>
      <c r="E20" s="59">
        <f>SUMIF(CRM_PREV_M!AV:AV,A20,CRM_PREV_M!AL:AL)</f>
        <v>0</v>
      </c>
      <c r="F20" s="59">
        <f t="shared" si="0"/>
        <v>0</v>
      </c>
      <c r="G20" s="93"/>
      <c r="J20" s="51" t="s">
        <v>598</v>
      </c>
      <c r="K20" s="59">
        <f>SUMIF(ERP!H:H,J20,ERP!Q:Q)</f>
        <v>999.97</v>
      </c>
      <c r="L20" s="59">
        <f>SUMIFS(Salesforce!AO:AO,Salesforce!AY:AY,J20)</f>
        <v>999.97</v>
      </c>
      <c r="M20" s="59"/>
      <c r="N20" s="59">
        <f>SUMIF(CRM_PREV_M!AX:AX,J20,CRM_PREV_M!AN:AN)</f>
        <v>0</v>
      </c>
      <c r="O20" s="59">
        <f t="shared" si="1"/>
        <v>0</v>
      </c>
    </row>
    <row r="21" spans="1:15" x14ac:dyDescent="0.3">
      <c r="A21" s="60" t="s">
        <v>434</v>
      </c>
      <c r="B21" s="59">
        <f>SUMIF(ERP!H:H,A21,ERP!Q:Q)+SUMIF(SAP!E:E,A21,SAP!J:J)</f>
        <v>-912.96</v>
      </c>
      <c r="C21" s="59">
        <f>SUMIF(Salesforce!AW:AW,A21,Salesforce!AM:AM)</f>
        <v>912.96</v>
      </c>
      <c r="D21" s="59"/>
      <c r="E21" s="59">
        <f>SUMIF(CRM_PREV_M!AV:AV,A21,CRM_PREV_M!AL:AL)</f>
        <v>0</v>
      </c>
      <c r="F21" s="59">
        <f t="shared" si="0"/>
        <v>0</v>
      </c>
      <c r="J21" s="51" t="s">
        <v>596</v>
      </c>
      <c r="K21" s="59">
        <f>SUMIF(ERP!H:H,J21,ERP!Q:Q)</f>
        <v>1027.45</v>
      </c>
      <c r="L21" s="59">
        <f>SUMIFS(Salesforce!AO:AO,Salesforce!AY:AY,J21)</f>
        <v>1027.45</v>
      </c>
      <c r="M21" s="59"/>
      <c r="N21" s="59">
        <f>SUMIF(CRM_PREV_M!AX:AX,J21,CRM_PREV_M!AN:AN)</f>
        <v>0</v>
      </c>
      <c r="O21" s="59">
        <f t="shared" si="1"/>
        <v>0</v>
      </c>
    </row>
    <row r="22" spans="1:15" x14ac:dyDescent="0.3">
      <c r="A22" s="57" t="s">
        <v>424</v>
      </c>
      <c r="B22" s="59">
        <f>SUMIF(ERP!H:H,A22,ERP!Q:Q)+SUMIF(SAP!E:E,A22,SAP!J:J)</f>
        <v>-1999.9499999999998</v>
      </c>
      <c r="C22" s="59">
        <f>SUMIF(Salesforce!AW:AW,A22,Salesforce!AM:AM)</f>
        <v>1999.95</v>
      </c>
      <c r="D22" s="59"/>
      <c r="E22" s="59">
        <f>SUMIF(CRM_PREV_M!AV:AV,A22,CRM_PREV_M!AL:AL)</f>
        <v>0</v>
      </c>
      <c r="F22" s="59">
        <f t="shared" si="0"/>
        <v>2.2737367544323206E-13</v>
      </c>
      <c r="J22" s="51" t="s">
        <v>600</v>
      </c>
      <c r="K22" s="59">
        <f>SUMIF(ERP!H:H,J22,ERP!Q:Q)</f>
        <v>8000</v>
      </c>
      <c r="L22" s="59">
        <f>SUMIFS(Salesforce!AO:AO,Salesforce!AY:AY,J22)</f>
        <v>8000</v>
      </c>
      <c r="M22" s="59"/>
      <c r="N22" s="59">
        <f>SUMIF(CRM_PREV_M!AX:AX,J22,CRM_PREV_M!AN:AN)</f>
        <v>0</v>
      </c>
      <c r="O22" s="59">
        <f t="shared" si="1"/>
        <v>0</v>
      </c>
    </row>
    <row r="23" spans="1:15" x14ac:dyDescent="0.3">
      <c r="A23" s="57" t="s">
        <v>420</v>
      </c>
      <c r="B23" s="59">
        <f>SUMIF(ERP!H:H,A23,ERP!Q:Q)+SUMIF(SAP!E:E,A23,SAP!J:J)</f>
        <v>-16105.490000000003</v>
      </c>
      <c r="C23" s="59">
        <f>SUMIF(Salesforce!AW:AW,A23,Salesforce!AM:AM)</f>
        <v>16105.49</v>
      </c>
      <c r="D23" s="59"/>
      <c r="E23" s="59">
        <f>SUMIF(CRM_PREV_M!AV:AV,A23,CRM_PREV_M!AL:AL)</f>
        <v>0</v>
      </c>
      <c r="F23" s="59">
        <f t="shared" si="0"/>
        <v>-3.637978807091713E-12</v>
      </c>
      <c r="J23" s="51" t="s">
        <v>435</v>
      </c>
      <c r="K23" s="59">
        <f>SUMIF(ERP!H:H,J23,ERP!Q:Q)</f>
        <v>912.96</v>
      </c>
      <c r="L23" s="59">
        <f>SUMIFS(Salesforce!AO:AO,Salesforce!AY:AY,J23)</f>
        <v>912.96</v>
      </c>
      <c r="M23" s="59"/>
      <c r="N23" s="59">
        <f>SUMIF(CRM_PREV_M!AX:AX,J23,CRM_PREV_M!AN:AN)</f>
        <v>0</v>
      </c>
      <c r="O23" s="59">
        <f t="shared" si="1"/>
        <v>0</v>
      </c>
    </row>
    <row r="24" spans="1:15" x14ac:dyDescent="0.3">
      <c r="A24" s="57" t="s">
        <v>422</v>
      </c>
      <c r="B24" s="59">
        <f>SUMIF(ERP!H:H,A24,ERP!Q:Q)+SUMIF(SAP!E:E,A24,SAP!J:J)</f>
        <v>-1800</v>
      </c>
      <c r="C24" s="59">
        <f>SUMIF(Salesforce!AW:AW,A24,Salesforce!AM:AM)</f>
        <v>1800</v>
      </c>
      <c r="D24" s="59"/>
      <c r="E24" s="59">
        <f>SUMIF(CRM_PREV_M!AV:AV,A24,CRM_PREV_M!AL:AL)</f>
        <v>0</v>
      </c>
      <c r="F24" s="59">
        <f t="shared" si="0"/>
        <v>0</v>
      </c>
      <c r="J24" s="51" t="s">
        <v>425</v>
      </c>
      <c r="K24" s="59">
        <f>SUMIF(ERP!H:H,J24,ERP!Q:Q)</f>
        <v>1999.95</v>
      </c>
      <c r="L24" s="59">
        <f>SUMIFS(Salesforce!AO:AO,Salesforce!AY:AY,J24)</f>
        <v>1999.95</v>
      </c>
      <c r="M24" s="59"/>
      <c r="N24" s="59">
        <f>SUMIF(CRM_PREV_M!AX:AX,J24,CRM_PREV_M!AN:AN)</f>
        <v>0</v>
      </c>
      <c r="O24" s="59">
        <f t="shared" si="1"/>
        <v>0</v>
      </c>
    </row>
    <row r="25" spans="1:15" x14ac:dyDescent="0.3">
      <c r="A25" s="57" t="s">
        <v>430</v>
      </c>
      <c r="B25" s="59">
        <f>SUMIF(ERP!H:H,A25,ERP!Q:Q)+SUMIF(SAP!E:E,A25,SAP!J:J)</f>
        <v>-4773.920000000001</v>
      </c>
      <c r="C25" s="59">
        <f>SUMIF(Salesforce!AW:AW,A25,Salesforce!AM:AM)</f>
        <v>4773.92</v>
      </c>
      <c r="D25" s="59"/>
      <c r="E25" s="59">
        <f>SUMIF(CRM_PREV_M!AV:AV,A25,CRM_PREV_M!AL:AL)</f>
        <v>0</v>
      </c>
      <c r="F25" s="59">
        <f t="shared" si="0"/>
        <v>-9.0949470177292824E-13</v>
      </c>
      <c r="J25" s="51" t="s">
        <v>421</v>
      </c>
      <c r="K25" s="59">
        <f>SUMIF(ERP!H:H,J25,ERP!Q:Q)</f>
        <v>16105.49</v>
      </c>
      <c r="L25" s="59">
        <f>SUMIFS(Salesforce!AO:AO,Salesforce!AY:AY,J25)</f>
        <v>16105.49</v>
      </c>
      <c r="M25" s="59"/>
      <c r="N25" s="59">
        <f>SUMIF(CRM_PREV_M!AX:AX,J25,CRM_PREV_M!AN:AN)</f>
        <v>0</v>
      </c>
      <c r="O25" s="59">
        <f t="shared" si="1"/>
        <v>0</v>
      </c>
    </row>
    <row r="26" spans="1:15" x14ac:dyDescent="0.3">
      <c r="A26" s="57" t="s">
        <v>428</v>
      </c>
      <c r="B26" s="59">
        <f>SUMIF(ERP!H:H,A26,ERP!Q:Q)+SUMIF(SAP!E:E,A26,SAP!J:J)</f>
        <v>-3699.53</v>
      </c>
      <c r="C26" s="59">
        <f>SUMIF(Salesforce!AW:AW,A26,Salesforce!AM:AM)</f>
        <v>3699.53</v>
      </c>
      <c r="D26" s="59"/>
      <c r="E26" s="59">
        <f>SUMIF(CRM_PREV_M!AV:AV,A26,CRM_PREV_M!AL:AL)</f>
        <v>0</v>
      </c>
      <c r="F26" s="59">
        <f t="shared" si="0"/>
        <v>0</v>
      </c>
      <c r="J26" s="51" t="s">
        <v>423</v>
      </c>
      <c r="K26" s="59">
        <f>SUMIF(ERP!H:H,J26,ERP!Q:Q)</f>
        <v>1800</v>
      </c>
      <c r="L26" s="59">
        <f>SUMIFS(Salesforce!AO:AO,Salesforce!AY:AY,J26)</f>
        <v>1800</v>
      </c>
      <c r="M26" s="59"/>
      <c r="N26" s="59">
        <f>SUMIF(CRM_PREV_M!AX:AX,J26,CRM_PREV_M!AN:AN)</f>
        <v>0</v>
      </c>
      <c r="O26" s="59">
        <f t="shared" si="1"/>
        <v>0</v>
      </c>
    </row>
    <row r="27" spans="1:15" x14ac:dyDescent="0.3">
      <c r="A27" s="57" t="s">
        <v>432</v>
      </c>
      <c r="B27" s="59">
        <f>SUMIF(ERP!H:H,A27,ERP!Q:Q)+SUMIF(SAP!E:E,A27,SAP!J:J)</f>
        <v>-2986.6799999999994</v>
      </c>
      <c r="C27" s="59">
        <f>SUMIF(Salesforce!AW:AW,A27,Salesforce!AM:AM)</f>
        <v>2986.68</v>
      </c>
      <c r="D27" s="59"/>
      <c r="E27" s="59">
        <f>SUMIF(CRM_PREV_M!AV:AV,A27,CRM_PREV_M!AL:AL)</f>
        <v>0</v>
      </c>
      <c r="F27" s="59">
        <f t="shared" si="0"/>
        <v>4.5474735088646412E-13</v>
      </c>
      <c r="J27" s="51" t="s">
        <v>427</v>
      </c>
      <c r="K27" s="59">
        <f>SUMIF(ERP!H:H,J27,ERP!Q:Q)</f>
        <v>1998.87</v>
      </c>
      <c r="L27" s="59">
        <f>SUMIFS(Salesforce!AO:AO,Salesforce!AY:AY,J27)</f>
        <v>1998.87</v>
      </c>
      <c r="M27" s="59"/>
      <c r="N27" s="59">
        <f>SUMIF(CRM_PREV_M!AX:AX,J27,CRM_PREV_M!AN:AN)</f>
        <v>0</v>
      </c>
      <c r="O27" s="59">
        <f t="shared" si="1"/>
        <v>0</v>
      </c>
    </row>
    <row r="28" spans="1:15" x14ac:dyDescent="0.3">
      <c r="A28" s="57" t="s">
        <v>424</v>
      </c>
      <c r="B28" s="59">
        <f>SUMIF(ERP!H:H,A28,ERP!Q:Q)+SUMIF(SAP!E:E,A28,SAP!J:J)</f>
        <v>-1999.9499999999998</v>
      </c>
      <c r="C28" s="59">
        <f>SUMIF(Salesforce!AW:AW,A28,Salesforce!AM:AM)</f>
        <v>1999.95</v>
      </c>
      <c r="D28" s="59"/>
      <c r="E28" s="59">
        <f>SUMIF(CRM_PREV_M!AV:AV,A28,CRM_PREV_M!AL:AL)</f>
        <v>0</v>
      </c>
      <c r="F28" s="59">
        <f t="shared" si="0"/>
        <v>2.2737367544323206E-13</v>
      </c>
      <c r="J28" s="51" t="s">
        <v>431</v>
      </c>
      <c r="K28" s="59">
        <f>SUMIF(ERP!H:H,J28,ERP!Q:Q)</f>
        <v>4773.92</v>
      </c>
      <c r="L28" s="59">
        <f>SUMIFS(Salesforce!AO:AO,Salesforce!AY:AY,J28)</f>
        <v>4773.92</v>
      </c>
      <c r="M28" s="59"/>
      <c r="N28" s="59">
        <f>SUMIF(CRM_PREV_M!AX:AX,J28,CRM_PREV_M!AN:AN)</f>
        <v>0</v>
      </c>
      <c r="O28" s="59">
        <f t="shared" si="1"/>
        <v>0</v>
      </c>
    </row>
    <row r="29" spans="1:15" x14ac:dyDescent="0.3">
      <c r="A29" s="57" t="s">
        <v>424</v>
      </c>
      <c r="B29" s="59">
        <f>SUMIF(ERP!H:H,A29,ERP!Q:Q)+SUMIF(SAP!E:E,A29,SAP!J:J)</f>
        <v>-1999.9499999999998</v>
      </c>
      <c r="C29" s="59">
        <f>SUMIF(Salesforce!AW:AW,A29,Salesforce!AM:AM)</f>
        <v>1999.95</v>
      </c>
      <c r="D29" s="59"/>
      <c r="E29" s="59">
        <f>SUMIF(CRM_PREV_M!AV:AV,A29,CRM_PREV_M!AL:AL)</f>
        <v>0</v>
      </c>
      <c r="F29" s="59">
        <f t="shared" si="0"/>
        <v>2.2737367544323206E-13</v>
      </c>
      <c r="J29" s="51" t="s">
        <v>433</v>
      </c>
      <c r="K29" s="59">
        <f>SUMIF(ERP!H:H,J29,ERP!Q:Q)</f>
        <v>2986.68</v>
      </c>
      <c r="L29" s="59">
        <f>SUMIFS(Salesforce!AO:AO,Salesforce!AY:AY,J29)</f>
        <v>2986.68</v>
      </c>
      <c r="M29" s="59"/>
      <c r="N29" s="59">
        <f>SUMIF(CRM_PREV_M!AX:AX,J29,CRM_PREV_M!AN:AN)</f>
        <v>0</v>
      </c>
      <c r="O29" s="59">
        <f t="shared" si="1"/>
        <v>0</v>
      </c>
    </row>
    <row r="30" spans="1:15" x14ac:dyDescent="0.3">
      <c r="A30" s="57" t="s">
        <v>424</v>
      </c>
      <c r="B30" s="59">
        <f>SUMIF(ERP!H:H,A30,ERP!Q:Q)+SUMIF(SAP!E:E,A30,SAP!J:J)</f>
        <v>-1999.9499999999998</v>
      </c>
      <c r="C30" s="59">
        <f>SUMIF(Salesforce!AW:AW,A30,Salesforce!AM:AM)</f>
        <v>1999.95</v>
      </c>
      <c r="D30" s="59"/>
      <c r="E30" s="59">
        <f>SUMIF(CRM_PREV_M!AV:AV,A30,CRM_PREV_M!AL:AL)</f>
        <v>0</v>
      </c>
      <c r="F30" s="59">
        <f t="shared" si="0"/>
        <v>2.2737367544323206E-13</v>
      </c>
      <c r="J30" s="51" t="s">
        <v>429</v>
      </c>
      <c r="K30" s="59">
        <f>SUMIF(ERP!H:H,J30,ERP!Q:Q)</f>
        <v>3699.53</v>
      </c>
      <c r="L30" s="59">
        <f>SUMIFS(Salesforce!AO:AO,Salesforce!AY:AY,J30)</f>
        <v>3699.53</v>
      </c>
      <c r="M30" s="59"/>
      <c r="N30" s="59">
        <f>SUMIF(CRM_PREV_M!AX:AX,J30,CRM_PREV_M!AN:AN)</f>
        <v>0</v>
      </c>
      <c r="O30" s="59">
        <f t="shared" si="1"/>
        <v>0</v>
      </c>
    </row>
    <row r="31" spans="1:15" x14ac:dyDescent="0.3">
      <c r="A31" s="57" t="s">
        <v>434</v>
      </c>
      <c r="B31" s="59">
        <f>SUMIF(ERP!H:H,A31,ERP!Q:Q)+SUMIF(SAP!E:E,A31,SAP!J:J)</f>
        <v>-912.96</v>
      </c>
      <c r="C31" s="59">
        <f>SUMIF(Salesforce!AW:AW,A31,Salesforce!AM:AM)</f>
        <v>912.96</v>
      </c>
      <c r="D31" s="59"/>
      <c r="E31" s="59">
        <f>SUMIF(CRM_PREV_M!AV:AV,A31,CRM_PREV_M!AL:AL)</f>
        <v>0</v>
      </c>
      <c r="F31" s="59">
        <f t="shared" si="0"/>
        <v>0</v>
      </c>
      <c r="K31" s="59"/>
      <c r="L31" s="59"/>
      <c r="M31" s="59"/>
      <c r="N31" s="59"/>
      <c r="O31" s="59"/>
    </row>
    <row r="32" spans="1:15" x14ac:dyDescent="0.3">
      <c r="A32" s="57" t="s">
        <v>434</v>
      </c>
      <c r="B32" s="59">
        <f>SUMIF(ERP!H:H,A32,ERP!Q:Q)+SUMIF(SAP!E:E,A32,SAP!J:J)</f>
        <v>-912.96</v>
      </c>
      <c r="C32" s="59">
        <f>SUMIF(Salesforce!AW:AW,A32,Salesforce!AM:AM)</f>
        <v>912.96</v>
      </c>
      <c r="D32" s="59"/>
      <c r="E32" s="59">
        <f>SUMIF(CRM_PREV_M!AV:AV,A32,CRM_PREV_M!AL:AL)</f>
        <v>0</v>
      </c>
      <c r="F32" s="59">
        <f t="shared" si="0"/>
        <v>0</v>
      </c>
      <c r="K32" s="59"/>
      <c r="L32" s="59"/>
      <c r="M32" s="59"/>
      <c r="N32" s="59"/>
      <c r="O32" s="59"/>
    </row>
    <row r="33" spans="1:15" x14ac:dyDescent="0.3">
      <c r="A33" s="57" t="s">
        <v>434</v>
      </c>
      <c r="B33" s="59">
        <f>SUMIF(ERP!H:H,A33,ERP!Q:Q)+SUMIF(SAP!E:E,A33,SAP!J:J)</f>
        <v>-912.96</v>
      </c>
      <c r="C33" s="59">
        <f>SUMIF(Salesforce!AW:AW,A33,Salesforce!AM:AM)</f>
        <v>912.96</v>
      </c>
      <c r="D33" s="59"/>
      <c r="E33" s="59">
        <f>SUMIF(CRM_PREV_M!AV:AV,A33,CRM_PREV_M!AL:AL)</f>
        <v>0</v>
      </c>
      <c r="F33" s="59">
        <f t="shared" si="0"/>
        <v>0</v>
      </c>
      <c r="K33" s="59"/>
      <c r="L33" s="59"/>
      <c r="M33" s="59"/>
      <c r="N33" s="59"/>
      <c r="O33" s="59"/>
    </row>
    <row r="34" spans="1:15" x14ac:dyDescent="0.3">
      <c r="A34" s="57" t="s">
        <v>430</v>
      </c>
      <c r="B34" s="59">
        <f>SUMIF(ERP!H:H,A34,ERP!Q:Q)+SUMIF(SAP!E:E,A34,SAP!J:J)</f>
        <v>-4773.920000000001</v>
      </c>
      <c r="C34" s="59">
        <f>SUMIF(Salesforce!AW:AW,A34,Salesforce!AM:AM)</f>
        <v>4773.92</v>
      </c>
      <c r="D34" s="59"/>
      <c r="E34" s="59">
        <f>SUMIF(CRM_PREV_M!AV:AV,A34,CRM_PREV_M!AL:AL)</f>
        <v>0</v>
      </c>
      <c r="F34" s="59">
        <f t="shared" si="0"/>
        <v>-9.0949470177292824E-13</v>
      </c>
      <c r="K34" s="59"/>
      <c r="L34" s="59"/>
      <c r="M34" s="59"/>
      <c r="N34" s="59"/>
      <c r="O34" s="59"/>
    </row>
    <row r="35" spans="1:15" x14ac:dyDescent="0.3">
      <c r="A35" s="57" t="s">
        <v>430</v>
      </c>
      <c r="B35" s="59">
        <f>SUMIF(ERP!H:H,A35,ERP!Q:Q)+SUMIF(SAP!E:E,A35,SAP!J:J)</f>
        <v>-4773.920000000001</v>
      </c>
      <c r="C35" s="59">
        <f>SUMIF(Salesforce!AW:AW,A35,Salesforce!AM:AM)</f>
        <v>4773.92</v>
      </c>
      <c r="D35" s="59"/>
      <c r="E35" s="59">
        <f>SUMIF(CRM_PREV_M!AV:AV,A35,CRM_PREV_M!AL:AL)</f>
        <v>0</v>
      </c>
      <c r="F35" s="59">
        <f t="shared" si="0"/>
        <v>-9.0949470177292824E-13</v>
      </c>
      <c r="K35" s="59"/>
      <c r="L35" s="59"/>
      <c r="M35" s="59"/>
      <c r="N35" s="59"/>
      <c r="O35" s="59"/>
    </row>
    <row r="36" spans="1:15" x14ac:dyDescent="0.3">
      <c r="A36" s="57" t="s">
        <v>430</v>
      </c>
      <c r="B36" s="59">
        <f>SUMIF(ERP!H:H,A36,ERP!Q:Q)+SUMIF(SAP!E:E,A36,SAP!J:J)</f>
        <v>-4773.920000000001</v>
      </c>
      <c r="C36" s="59">
        <f>SUMIF(Salesforce!AW:AW,A36,Salesforce!AM:AM)</f>
        <v>4773.92</v>
      </c>
      <c r="D36" s="59"/>
      <c r="E36" s="59">
        <f>SUMIF(CRM_PREV_M!AV:AV,A36,CRM_PREV_M!AL:AL)</f>
        <v>0</v>
      </c>
      <c r="F36" s="59">
        <f t="shared" si="0"/>
        <v>-9.0949470177292824E-13</v>
      </c>
      <c r="K36" s="59"/>
      <c r="L36" s="59"/>
      <c r="M36" s="59"/>
      <c r="N36" s="59"/>
      <c r="O36" s="59"/>
    </row>
    <row r="37" spans="1:15" x14ac:dyDescent="0.3">
      <c r="A37" s="57" t="s">
        <v>430</v>
      </c>
      <c r="B37" s="59">
        <f>SUMIF(ERP!H:H,A37,ERP!Q:Q)+SUMIF(SAP!E:E,A37,SAP!J:J)</f>
        <v>-4773.920000000001</v>
      </c>
      <c r="C37" s="59">
        <f>SUMIF(Salesforce!AW:AW,A37,Salesforce!AM:AM)</f>
        <v>4773.92</v>
      </c>
      <c r="D37" s="59"/>
      <c r="E37" s="59">
        <f>SUMIF(CRM_PREV_M!AV:AV,A37,CRM_PREV_M!AL:AL)</f>
        <v>0</v>
      </c>
      <c r="F37" s="59">
        <f t="shared" si="0"/>
        <v>-9.0949470177292824E-13</v>
      </c>
      <c r="K37" s="59"/>
      <c r="L37" s="59"/>
      <c r="M37" s="59"/>
      <c r="N37" s="59"/>
      <c r="O37" s="59"/>
    </row>
    <row r="38" spans="1:15" x14ac:dyDescent="0.3">
      <c r="A38" s="57" t="s">
        <v>430</v>
      </c>
      <c r="B38" s="59">
        <f>SUMIF(ERP!H:H,A38,ERP!Q:Q)+SUMIF(SAP!E:E,A38,SAP!J:J)</f>
        <v>-4773.920000000001</v>
      </c>
      <c r="C38" s="59">
        <f>SUMIF(Salesforce!AW:AW,A38,Salesforce!AM:AM)</f>
        <v>4773.92</v>
      </c>
      <c r="D38" s="59"/>
      <c r="E38" s="59">
        <f>SUMIF(CRM_PREV_M!AV:AV,A38,CRM_PREV_M!AL:AL)</f>
        <v>0</v>
      </c>
      <c r="F38" s="59">
        <f t="shared" si="0"/>
        <v>-9.0949470177292824E-13</v>
      </c>
      <c r="K38" s="59"/>
      <c r="L38" s="59"/>
      <c r="M38" s="59"/>
      <c r="N38" s="59"/>
      <c r="O38" s="59"/>
    </row>
    <row r="39" spans="1:15" x14ac:dyDescent="0.3">
      <c r="A39" s="57" t="s">
        <v>430</v>
      </c>
      <c r="B39" s="59">
        <f>SUMIF(ERP!H:H,A39,ERP!Q:Q)+SUMIF(SAP!E:E,A39,SAP!J:J)</f>
        <v>-4773.920000000001</v>
      </c>
      <c r="C39" s="59">
        <f>SUMIF(Salesforce!AW:AW,A39,Salesforce!AM:AM)</f>
        <v>4773.92</v>
      </c>
      <c r="D39" s="59"/>
      <c r="E39" s="59">
        <f>SUMIF(CRM_PREV_M!AV:AV,A39,CRM_PREV_M!AL:AL)</f>
        <v>0</v>
      </c>
      <c r="F39" s="59">
        <f t="shared" si="0"/>
        <v>-9.0949470177292824E-13</v>
      </c>
      <c r="K39" s="59"/>
      <c r="L39" s="59"/>
      <c r="M39" s="59"/>
      <c r="N39" s="59"/>
      <c r="O39" s="59"/>
    </row>
    <row r="40" spans="1:15" x14ac:dyDescent="0.3">
      <c r="A40" s="57" t="s">
        <v>430</v>
      </c>
      <c r="B40" s="59">
        <f>SUMIF(ERP!H:H,A40,ERP!Q:Q)+SUMIF(SAP!E:E,A40,SAP!J:J)</f>
        <v>-4773.920000000001</v>
      </c>
      <c r="C40" s="59">
        <f>SUMIF(Salesforce!AW:AW,A40,Salesforce!AM:AM)</f>
        <v>4773.92</v>
      </c>
      <c r="D40" s="59"/>
      <c r="E40" s="59">
        <f>SUMIF(CRM_PREV_M!AV:AV,A40,CRM_PREV_M!AL:AL)</f>
        <v>0</v>
      </c>
      <c r="F40" s="59">
        <f t="shared" si="0"/>
        <v>-9.0949470177292824E-13</v>
      </c>
      <c r="K40" s="59"/>
      <c r="L40" s="59"/>
      <c r="M40" s="59"/>
      <c r="N40" s="59"/>
      <c r="O40" s="59"/>
    </row>
    <row r="41" spans="1:15" x14ac:dyDescent="0.3">
      <c r="A41" s="57" t="s">
        <v>430</v>
      </c>
      <c r="B41" s="59">
        <f>SUMIF(ERP!H:H,A41,ERP!Q:Q)+SUMIF(SAP!E:E,A41,SAP!J:J)</f>
        <v>-4773.920000000001</v>
      </c>
      <c r="C41" s="59">
        <f>SUMIF(Salesforce!AW:AW,A41,Salesforce!AM:AM)</f>
        <v>4773.92</v>
      </c>
      <c r="D41" s="59"/>
      <c r="E41" s="59">
        <f>SUMIF(CRM_PREV_M!AV:AV,A41,CRM_PREV_M!AL:AL)</f>
        <v>0</v>
      </c>
      <c r="F41" s="59">
        <f t="shared" si="0"/>
        <v>-9.0949470177292824E-13</v>
      </c>
      <c r="K41" s="59"/>
      <c r="L41" s="59"/>
      <c r="M41" s="59"/>
      <c r="N41" s="59"/>
      <c r="O41" s="59"/>
    </row>
    <row r="42" spans="1:15" x14ac:dyDescent="0.3">
      <c r="A42" s="57" t="s">
        <v>430</v>
      </c>
      <c r="B42" s="59">
        <f>SUMIF(ERP!H:H,A42,ERP!Q:Q)+SUMIF(SAP!E:E,A42,SAP!J:J)</f>
        <v>-4773.920000000001</v>
      </c>
      <c r="C42" s="59">
        <f>SUMIF(Salesforce!AW:AW,A42,Salesforce!AM:AM)</f>
        <v>4773.92</v>
      </c>
      <c r="D42" s="59"/>
      <c r="E42" s="59">
        <f>SUMIF(CRM_PREV_M!AV:AV,A42,CRM_PREV_M!AL:AL)</f>
        <v>0</v>
      </c>
      <c r="F42" s="59">
        <f t="shared" si="0"/>
        <v>-9.0949470177292824E-13</v>
      </c>
      <c r="K42" s="59"/>
      <c r="L42" s="59"/>
      <c r="M42" s="59"/>
      <c r="N42" s="59"/>
      <c r="O42" s="59"/>
    </row>
    <row r="43" spans="1:15" x14ac:dyDescent="0.3">
      <c r="A43" s="57" t="s">
        <v>430</v>
      </c>
      <c r="B43" s="59">
        <f>SUMIF(ERP!H:H,A43,ERP!Q:Q)+SUMIF(SAP!E:E,A43,SAP!J:J)</f>
        <v>-4773.920000000001</v>
      </c>
      <c r="C43" s="59">
        <f>SUMIF(Salesforce!AW:AW,A43,Salesforce!AM:AM)</f>
        <v>4773.92</v>
      </c>
      <c r="D43" s="59"/>
      <c r="E43" s="59">
        <f>SUMIF(CRM_PREV_M!AV:AV,A43,CRM_PREV_M!AL:AL)</f>
        <v>0</v>
      </c>
      <c r="F43" s="59">
        <f t="shared" si="0"/>
        <v>-9.0949470177292824E-13</v>
      </c>
      <c r="K43" s="59"/>
      <c r="L43" s="59"/>
      <c r="M43" s="59"/>
      <c r="N43" s="59"/>
      <c r="O43" s="59"/>
    </row>
    <row r="44" spans="1:15" x14ac:dyDescent="0.3">
      <c r="A44" s="57" t="s">
        <v>430</v>
      </c>
      <c r="B44" s="59">
        <f>SUMIF(ERP!H:H,A44,ERP!Q:Q)+SUMIF(SAP!E:E,A44,SAP!J:J)</f>
        <v>-4773.920000000001</v>
      </c>
      <c r="C44" s="59">
        <f>SUMIF(Salesforce!AW:AW,A44,Salesforce!AM:AM)</f>
        <v>4773.92</v>
      </c>
      <c r="D44" s="59"/>
      <c r="E44" s="59">
        <f>SUMIF(CRM_PREV_M!AV:AV,A44,CRM_PREV_M!AL:AL)</f>
        <v>0</v>
      </c>
      <c r="F44" s="59">
        <f t="shared" si="0"/>
        <v>-9.0949470177292824E-13</v>
      </c>
      <c r="K44" s="59"/>
      <c r="L44" s="59"/>
      <c r="M44" s="59"/>
      <c r="N44" s="59"/>
      <c r="O44" s="59"/>
    </row>
    <row r="45" spans="1:15" x14ac:dyDescent="0.3">
      <c r="A45" s="57" t="s">
        <v>420</v>
      </c>
      <c r="B45" s="59">
        <f>SUMIF(ERP!H:H,A45,ERP!Q:Q)+SUMIF(SAP!E:E,A45,SAP!J:J)</f>
        <v>-16105.490000000003</v>
      </c>
      <c r="C45" s="59">
        <f>SUMIF(Salesforce!AW:AW,A45,Salesforce!AM:AM)</f>
        <v>16105.49</v>
      </c>
      <c r="D45" s="59"/>
      <c r="E45" s="59">
        <f>SUMIF(CRM_PREV_M!AV:AV,A45,CRM_PREV_M!AL:AL)</f>
        <v>0</v>
      </c>
      <c r="F45" s="59">
        <f t="shared" si="0"/>
        <v>-3.637978807091713E-12</v>
      </c>
      <c r="K45" s="59"/>
      <c r="L45" s="59"/>
      <c r="M45" s="59"/>
      <c r="N45" s="59"/>
      <c r="O45" s="59"/>
    </row>
    <row r="46" spans="1:15" x14ac:dyDescent="0.3">
      <c r="A46" s="57" t="s">
        <v>420</v>
      </c>
      <c r="B46" s="59">
        <f>SUMIF(ERP!H:H,A46,ERP!Q:Q)+SUMIF(SAP!E:E,A46,SAP!J:J)</f>
        <v>-16105.490000000003</v>
      </c>
      <c r="C46" s="59">
        <f>SUMIF(Salesforce!AW:AW,A46,Salesforce!AM:AM)</f>
        <v>16105.49</v>
      </c>
      <c r="D46" s="59"/>
      <c r="E46" s="59">
        <f>SUMIF(CRM_PREV_M!AV:AV,A46,CRM_PREV_M!AL:AL)</f>
        <v>0</v>
      </c>
      <c r="F46" s="59">
        <f t="shared" si="0"/>
        <v>-3.637978807091713E-12</v>
      </c>
      <c r="K46" s="59"/>
      <c r="L46" s="59"/>
      <c r="M46" s="59"/>
      <c r="N46" s="59"/>
      <c r="O46" s="59"/>
    </row>
    <row r="47" spans="1:15" x14ac:dyDescent="0.3">
      <c r="A47" s="57" t="s">
        <v>420</v>
      </c>
      <c r="B47" s="59">
        <f>SUMIF(ERP!H:H,A47,ERP!Q:Q)+SUMIF(SAP!E:E,A47,SAP!J:J)</f>
        <v>-16105.490000000003</v>
      </c>
      <c r="C47" s="59">
        <f>SUMIF(Salesforce!AW:AW,A47,Salesforce!AM:AM)</f>
        <v>16105.49</v>
      </c>
      <c r="D47" s="59"/>
      <c r="E47" s="59">
        <f>SUMIF(CRM_PREV_M!AV:AV,A47,CRM_PREV_M!AL:AL)</f>
        <v>0</v>
      </c>
      <c r="F47" s="59">
        <f t="shared" si="0"/>
        <v>-3.637978807091713E-12</v>
      </c>
      <c r="K47" s="59"/>
      <c r="L47" s="59"/>
      <c r="M47" s="59"/>
      <c r="N47" s="59"/>
      <c r="O47" s="59"/>
    </row>
    <row r="48" spans="1:15" x14ac:dyDescent="0.3">
      <c r="A48" s="57" t="s">
        <v>422</v>
      </c>
      <c r="B48" s="59">
        <f>SUMIF(ERP!H:H,A48,ERP!Q:Q)+SUMIF(SAP!E:E,A48,SAP!J:J)</f>
        <v>-1800</v>
      </c>
      <c r="C48" s="59">
        <f>SUMIF(Salesforce!AW:AW,A48,Salesforce!AM:AM)</f>
        <v>1800</v>
      </c>
      <c r="D48" s="59"/>
      <c r="E48" s="59">
        <f>SUMIF(CRM_PREV_M!AV:AV,A48,CRM_PREV_M!AL:AL)</f>
        <v>0</v>
      </c>
      <c r="F48" s="59">
        <f t="shared" si="0"/>
        <v>0</v>
      </c>
      <c r="K48" s="59"/>
      <c r="L48" s="59"/>
      <c r="M48" s="59"/>
      <c r="N48" s="59"/>
      <c r="O48" s="59"/>
    </row>
    <row r="49" spans="1:15" x14ac:dyDescent="0.3">
      <c r="A49" s="57" t="s">
        <v>422</v>
      </c>
      <c r="B49" s="59">
        <f>SUMIF(ERP!H:H,A49,ERP!Q:Q)+SUMIF(SAP!E:E,A49,SAP!J:J)</f>
        <v>-1800</v>
      </c>
      <c r="C49" s="59">
        <f>SUMIF(Salesforce!AW:AW,A49,Salesforce!AM:AM)</f>
        <v>1800</v>
      </c>
      <c r="D49" s="59"/>
      <c r="E49" s="59">
        <f>SUMIF(CRM_PREV_M!AV:AV,A49,CRM_PREV_M!AL:AL)</f>
        <v>0</v>
      </c>
      <c r="F49" s="59">
        <f t="shared" si="0"/>
        <v>0</v>
      </c>
      <c r="K49" s="59"/>
      <c r="L49" s="59"/>
      <c r="M49" s="59"/>
      <c r="N49" s="59"/>
      <c r="O49" s="59"/>
    </row>
    <row r="50" spans="1:15" x14ac:dyDescent="0.3">
      <c r="A50" s="57" t="s">
        <v>422</v>
      </c>
      <c r="B50" s="59">
        <f>SUMIF(ERP!H:H,A50,ERP!Q:Q)+SUMIF(SAP!E:E,A50,SAP!J:J)</f>
        <v>-1800</v>
      </c>
      <c r="C50" s="59">
        <f>SUMIF(Salesforce!AW:AW,A50,Salesforce!AM:AM)</f>
        <v>1800</v>
      </c>
      <c r="D50" s="59"/>
      <c r="E50" s="59">
        <f>SUMIF(CRM_PREV_M!AV:AV,A50,CRM_PREV_M!AL:AL)</f>
        <v>0</v>
      </c>
      <c r="F50" s="59">
        <f t="shared" si="0"/>
        <v>0</v>
      </c>
      <c r="K50" s="59"/>
      <c r="L50" s="59"/>
      <c r="M50" s="59"/>
      <c r="N50" s="59"/>
      <c r="O50" s="59"/>
    </row>
    <row r="51" spans="1:15" x14ac:dyDescent="0.3">
      <c r="A51" s="57" t="s">
        <v>430</v>
      </c>
      <c r="B51" s="59">
        <f>SUMIF(ERP!H:H,A51,ERP!Q:Q)+SUMIF(SAP!E:E,A51,SAP!J:J)</f>
        <v>-4773.920000000001</v>
      </c>
      <c r="C51" s="59">
        <f>SUMIF(Salesforce!AW:AW,A51,Salesforce!AM:AM)</f>
        <v>4773.92</v>
      </c>
      <c r="D51" s="59"/>
      <c r="E51" s="59">
        <f>SUMIF(CRM_PREV_M!AV:AV,A51,CRM_PREV_M!AL:AL)</f>
        <v>0</v>
      </c>
      <c r="F51" s="59">
        <f t="shared" si="0"/>
        <v>-9.0949470177292824E-13</v>
      </c>
      <c r="K51" s="59"/>
      <c r="L51" s="59"/>
      <c r="M51" s="59"/>
      <c r="N51" s="59"/>
      <c r="O51" s="59"/>
    </row>
    <row r="52" spans="1:15" x14ac:dyDescent="0.3">
      <c r="A52" s="57" t="s">
        <v>430</v>
      </c>
      <c r="B52" s="59">
        <f>SUMIF(ERP!H:H,A52,ERP!Q:Q)+SUMIF(SAP!E:E,A52,SAP!J:J)</f>
        <v>-4773.920000000001</v>
      </c>
      <c r="C52" s="59">
        <f>SUMIF(Salesforce!AW:AW,A52,Salesforce!AM:AM)</f>
        <v>4773.92</v>
      </c>
      <c r="D52" s="59"/>
      <c r="E52" s="59">
        <f>SUMIF(CRM_PREV_M!AV:AV,A52,CRM_PREV_M!AL:AL)</f>
        <v>0</v>
      </c>
      <c r="F52" s="59">
        <f t="shared" si="0"/>
        <v>-9.0949470177292824E-13</v>
      </c>
      <c r="K52" s="59"/>
      <c r="L52" s="59"/>
      <c r="M52" s="59"/>
      <c r="N52" s="59"/>
      <c r="O52" s="59"/>
    </row>
    <row r="53" spans="1:15" x14ac:dyDescent="0.3">
      <c r="A53" s="57" t="s">
        <v>430</v>
      </c>
      <c r="B53" s="59">
        <f>SUMIF(ERP!H:H,A53,ERP!Q:Q)+SUMIF(SAP!E:E,A53,SAP!J:J)</f>
        <v>-4773.920000000001</v>
      </c>
      <c r="C53" s="59">
        <f>SUMIF(Salesforce!AW:AW,A53,Salesforce!AM:AM)</f>
        <v>4773.92</v>
      </c>
      <c r="D53" s="59"/>
      <c r="E53" s="59">
        <f>SUMIF(CRM_PREV_M!AV:AV,A53,CRM_PREV_M!AL:AL)</f>
        <v>0</v>
      </c>
      <c r="F53" s="59">
        <f t="shared" si="0"/>
        <v>-9.0949470177292824E-13</v>
      </c>
      <c r="G53" s="128"/>
      <c r="K53" s="59"/>
      <c r="L53" s="59"/>
      <c r="M53" s="59"/>
      <c r="N53" s="59"/>
      <c r="O53" s="59"/>
    </row>
    <row r="54" spans="1:15" x14ac:dyDescent="0.3">
      <c r="A54" s="57" t="s">
        <v>432</v>
      </c>
      <c r="B54" s="59">
        <f>SUMIF(ERP!H:H,A54,ERP!Q:Q)+SUMIF(SAP!E:E,A54,SAP!J:J)</f>
        <v>-2986.6799999999994</v>
      </c>
      <c r="C54" s="59">
        <f>SUMIF(Salesforce!AW:AW,A54,Salesforce!AM:AM)</f>
        <v>2986.68</v>
      </c>
      <c r="D54" s="59"/>
      <c r="E54" s="59">
        <f>SUMIF(CRM_PREV_M!AV:AV,A54,CRM_PREV_M!AL:AL)</f>
        <v>0</v>
      </c>
      <c r="F54" s="59">
        <f t="shared" si="0"/>
        <v>4.5474735088646412E-13</v>
      </c>
      <c r="G54" s="128"/>
      <c r="K54" s="59"/>
      <c r="L54" s="59"/>
      <c r="M54" s="59"/>
      <c r="N54" s="59"/>
      <c r="O54" s="59"/>
    </row>
    <row r="55" spans="1:15" x14ac:dyDescent="0.3">
      <c r="A55" s="57" t="s">
        <v>432</v>
      </c>
      <c r="B55" s="59">
        <f>SUMIF(ERP!H:H,A55,ERP!Q:Q)+SUMIF(SAP!E:E,A55,SAP!J:J)</f>
        <v>-2986.6799999999994</v>
      </c>
      <c r="C55" s="59">
        <f>SUMIF(Salesforce!AW:AW,A55,Salesforce!AM:AM)</f>
        <v>2986.68</v>
      </c>
      <c r="D55" s="59"/>
      <c r="E55" s="59">
        <f>SUMIF(CRM_PREV_M!AV:AV,A55,CRM_PREV_M!AL:AL)</f>
        <v>0</v>
      </c>
      <c r="F55" s="59">
        <f t="shared" si="0"/>
        <v>4.5474735088646412E-13</v>
      </c>
      <c r="G55" s="128"/>
      <c r="K55" s="59"/>
      <c r="L55" s="59"/>
      <c r="M55" s="59"/>
      <c r="N55" s="59"/>
      <c r="O55" s="59"/>
    </row>
    <row r="56" spans="1:15" x14ac:dyDescent="0.3">
      <c r="A56" s="57" t="s">
        <v>432</v>
      </c>
      <c r="B56" s="59">
        <f>SUMIF(ERP!H:H,A56,ERP!Q:Q)+SUMIF(SAP!E:E,A56,SAP!J:J)</f>
        <v>-2986.6799999999994</v>
      </c>
      <c r="C56" s="59">
        <f>SUMIF(Salesforce!AW:AW,A56,Salesforce!AM:AM)</f>
        <v>2986.68</v>
      </c>
      <c r="D56" s="59"/>
      <c r="E56" s="59">
        <f>SUMIF(CRM_PREV_M!AV:AV,A56,CRM_PREV_M!AL:AL)</f>
        <v>0</v>
      </c>
      <c r="F56" s="59">
        <f t="shared" si="0"/>
        <v>4.5474735088646412E-13</v>
      </c>
      <c r="K56" s="59"/>
      <c r="L56" s="59"/>
      <c r="M56" s="59"/>
      <c r="N56" s="59"/>
      <c r="O56" s="59"/>
    </row>
    <row r="57" spans="1:15" x14ac:dyDescent="0.3">
      <c r="A57" t="s">
        <v>424</v>
      </c>
      <c r="B57" s="59">
        <f>SUMIF(ERP!H:H,A57,ERP!Q:Q)+SUMIF(SAP!E:E,A57,SAP!J:J)</f>
        <v>-1999.9499999999998</v>
      </c>
      <c r="C57" s="59">
        <f>SUMIF(Salesforce!AW:AW,A57,Salesforce!AM:AM)</f>
        <v>1999.95</v>
      </c>
      <c r="D57" s="59"/>
      <c r="E57" s="59">
        <f>SUMIF(CRM_PREV_M!AV:AV,A57,CRM_PREV_M!AL:AL)</f>
        <v>0</v>
      </c>
      <c r="F57" s="59">
        <f t="shared" si="0"/>
        <v>2.2737367544323206E-13</v>
      </c>
      <c r="K57" s="59"/>
      <c r="L57" s="59"/>
      <c r="M57" s="59"/>
      <c r="N57" s="59"/>
      <c r="O57" s="59"/>
    </row>
    <row r="58" spans="1:15" x14ac:dyDescent="0.3">
      <c r="A58" t="s">
        <v>424</v>
      </c>
      <c r="B58" s="59">
        <f>SUMIF(ERP!H:H,A58,ERP!Q:Q)+SUMIF(SAP!E:E,A58,SAP!J:J)</f>
        <v>-1999.9499999999998</v>
      </c>
      <c r="C58" s="59">
        <f>SUMIF(Salesforce!AW:AW,A58,Salesforce!AM:AM)</f>
        <v>1999.95</v>
      </c>
      <c r="D58" s="59"/>
      <c r="E58" s="59">
        <f>SUMIF(CRM_PREV_M!AV:AV,A58,CRM_PREV_M!AL:AL)</f>
        <v>0</v>
      </c>
      <c r="F58" s="59">
        <f t="shared" si="0"/>
        <v>2.2737367544323206E-13</v>
      </c>
      <c r="K58" s="59"/>
      <c r="L58" s="59"/>
      <c r="M58" s="59"/>
      <c r="N58" s="59"/>
      <c r="O58" s="59"/>
    </row>
    <row r="59" spans="1:15" x14ac:dyDescent="0.3">
      <c r="A59" t="s">
        <v>424</v>
      </c>
      <c r="B59" s="59">
        <f>SUMIF(ERP!H:H,A59,ERP!Q:Q)+SUMIF(SAP!E:E,A59,SAP!J:J)</f>
        <v>-1999.9499999999998</v>
      </c>
      <c r="C59" s="59">
        <f>SUMIF(Salesforce!AW:AW,A59,Salesforce!AM:AM)</f>
        <v>1999.95</v>
      </c>
      <c r="D59" s="59"/>
      <c r="E59" s="59">
        <f>SUMIF(CRM_PREV_M!AV:AV,A59,CRM_PREV_M!AL:AL)</f>
        <v>0</v>
      </c>
      <c r="F59" s="59">
        <f t="shared" si="0"/>
        <v>2.2737367544323206E-13</v>
      </c>
      <c r="K59" s="59"/>
      <c r="L59" s="59"/>
      <c r="M59" s="59"/>
      <c r="N59" s="59"/>
      <c r="O59" s="59"/>
    </row>
    <row r="60" spans="1:15" x14ac:dyDescent="0.3">
      <c r="A60" t="s">
        <v>420</v>
      </c>
      <c r="B60" s="59">
        <f>SUMIF(ERP!H:H,A60,ERP!Q:Q)+SUMIF(SAP!E:E,A60,SAP!J:J)</f>
        <v>-16105.490000000003</v>
      </c>
      <c r="C60" s="59">
        <f>SUMIF(Salesforce!AW:AW,A60,Salesforce!AM:AM)</f>
        <v>16105.49</v>
      </c>
      <c r="D60" s="59"/>
      <c r="E60" s="59">
        <f>SUMIF(CRM_PREV_M!AV:AV,A60,CRM_PREV_M!AL:AL)</f>
        <v>0</v>
      </c>
      <c r="F60" s="59">
        <f t="shared" si="0"/>
        <v>-3.637978807091713E-12</v>
      </c>
      <c r="K60" s="59"/>
      <c r="L60" s="59"/>
      <c r="M60" s="59"/>
      <c r="N60" s="59"/>
      <c r="O60" s="59"/>
    </row>
    <row r="61" spans="1:15" x14ac:dyDescent="0.3">
      <c r="A61" t="s">
        <v>420</v>
      </c>
      <c r="B61" s="59">
        <f>SUMIF(ERP!H:H,A61,ERP!Q:Q)+SUMIF(SAP!E:E,A61,SAP!J:J)</f>
        <v>-16105.490000000003</v>
      </c>
      <c r="C61" s="59">
        <f>SUMIF(Salesforce!AW:AW,A61,Salesforce!AM:AM)</f>
        <v>16105.49</v>
      </c>
      <c r="D61" s="59"/>
      <c r="E61" s="59">
        <f>SUMIF(CRM_PREV_M!AV:AV,A61,CRM_PREV_M!AL:AL)</f>
        <v>0</v>
      </c>
      <c r="F61" s="59">
        <f t="shared" si="0"/>
        <v>-3.637978807091713E-12</v>
      </c>
      <c r="K61" s="59"/>
      <c r="L61" s="59"/>
      <c r="M61" s="59"/>
      <c r="N61" s="59"/>
      <c r="O61" s="59"/>
    </row>
    <row r="62" spans="1:15" x14ac:dyDescent="0.3">
      <c r="A62" t="s">
        <v>420</v>
      </c>
      <c r="B62" s="59">
        <f>SUMIF(ERP!H:H,A62,ERP!Q:Q)+SUMIF(SAP!E:E,A62,SAP!J:J)</f>
        <v>-16105.490000000003</v>
      </c>
      <c r="C62" s="59">
        <f>SUMIF(Salesforce!AW:AW,A62,Salesforce!AM:AM)</f>
        <v>16105.49</v>
      </c>
      <c r="D62" s="59"/>
      <c r="E62" s="59">
        <f>SUMIF(CRM_PREV_M!AV:AV,A62,CRM_PREV_M!AL:AL)</f>
        <v>0</v>
      </c>
      <c r="F62" s="59">
        <f t="shared" si="0"/>
        <v>-3.637978807091713E-12</v>
      </c>
      <c r="K62" s="59"/>
      <c r="L62" s="59"/>
      <c r="M62" s="59"/>
      <c r="N62" s="59"/>
      <c r="O62" s="59"/>
    </row>
    <row r="63" spans="1:15" x14ac:dyDescent="0.3">
      <c r="A63" t="s">
        <v>819</v>
      </c>
      <c r="B63" s="59">
        <f>SUMIF(ERP!H:H,A63,ERP!Q:Q)+SUMIF(SAP!E:E,A63,SAP!J:J)</f>
        <v>-30985.86</v>
      </c>
      <c r="C63" s="59">
        <f>SUMIF(Salesforce!AW:AW,A63,Salesforce!AM:AM)</f>
        <v>30985.86</v>
      </c>
      <c r="D63" s="59"/>
      <c r="E63" s="59">
        <f>SUMIF(CRM_PREV_M!AV:AV,A63,CRM_PREV_M!AL:AL)</f>
        <v>0</v>
      </c>
      <c r="F63" s="59">
        <f t="shared" si="0"/>
        <v>0</v>
      </c>
      <c r="K63" s="59"/>
      <c r="L63" s="59"/>
      <c r="M63" s="59"/>
      <c r="N63" s="59"/>
      <c r="O63" s="59"/>
    </row>
    <row r="64" spans="1:15" x14ac:dyDescent="0.3">
      <c r="A64" t="s">
        <v>821</v>
      </c>
      <c r="B64" s="59">
        <f>SUMIF(ERP!H:H,A64,ERP!Q:Q)+SUMIF(SAP!E:E,A64,SAP!J:J)</f>
        <v>-2955.09</v>
      </c>
      <c r="C64" s="59">
        <f>SUMIF(Salesforce!AW:AW,A64,Salesforce!AM:AM)</f>
        <v>2955.09</v>
      </c>
      <c r="D64" s="59"/>
      <c r="E64" s="59">
        <f>SUMIF(CRM_PREV_M!AV:AV,A64,CRM_PREV_M!AL:AL)</f>
        <v>0</v>
      </c>
      <c r="F64" s="59">
        <f t="shared" si="0"/>
        <v>0</v>
      </c>
      <c r="J64" s="57"/>
      <c r="K64" s="59"/>
      <c r="L64" s="59"/>
      <c r="M64" s="59"/>
      <c r="N64" s="59"/>
      <c r="O64" s="59"/>
    </row>
    <row r="65" spans="1:15" x14ac:dyDescent="0.3">
      <c r="A65" t="s">
        <v>426</v>
      </c>
      <c r="B65" s="59">
        <f>SUMIF(ERP!H:H,A65,ERP!Q:Q)+SUMIF(SAP!E:E,A65,SAP!J:J)</f>
        <v>-1998.8700000000001</v>
      </c>
      <c r="C65" s="59">
        <f>SUMIF(Salesforce!AW:AW,A65,Salesforce!AM:AM)</f>
        <v>1998.87</v>
      </c>
      <c r="D65" s="59"/>
      <c r="E65" s="59">
        <f>SUMIF(CRM_PREV_M!AV:AV,A65,CRM_PREV_M!AL:AL)</f>
        <v>0</v>
      </c>
      <c r="F65" s="59">
        <f t="shared" si="0"/>
        <v>-2.2737367544323206E-13</v>
      </c>
      <c r="J65" s="57"/>
      <c r="K65" s="59"/>
      <c r="L65" s="59"/>
      <c r="M65" s="59"/>
      <c r="N65" s="59"/>
      <c r="O65" s="59"/>
    </row>
    <row r="66" spans="1:15" x14ac:dyDescent="0.3">
      <c r="A66" t="s">
        <v>426</v>
      </c>
      <c r="B66" s="59">
        <f>SUMIF(ERP!H:H,A66,ERP!Q:Q)+SUMIF(SAP!E:E,A66,SAP!J:J)</f>
        <v>-1998.8700000000001</v>
      </c>
      <c r="C66" s="59">
        <f>SUMIF(Salesforce!AW:AW,A66,Salesforce!AM:AM)</f>
        <v>1998.87</v>
      </c>
      <c r="D66" s="59"/>
      <c r="E66" s="59">
        <f>SUMIF(CRM_PREV_M!AV:AV,A66,CRM_PREV_M!AL:AL)</f>
        <v>0</v>
      </c>
      <c r="F66" s="59">
        <f t="shared" si="0"/>
        <v>-2.2737367544323206E-13</v>
      </c>
      <c r="J66" s="57"/>
      <c r="K66" s="59"/>
      <c r="L66" s="59"/>
      <c r="M66" s="59"/>
      <c r="N66" s="59"/>
      <c r="O66" s="59"/>
    </row>
    <row r="67" spans="1:15" x14ac:dyDescent="0.3">
      <c r="A67" t="s">
        <v>426</v>
      </c>
      <c r="B67" s="59">
        <f>SUMIF(ERP!H:H,A67,ERP!Q:Q)+SUMIF(SAP!E:E,A67,SAP!J:J)</f>
        <v>-1998.8700000000001</v>
      </c>
      <c r="C67" s="59">
        <f>SUMIF(Salesforce!AW:AW,A67,Salesforce!AM:AM)</f>
        <v>1998.87</v>
      </c>
      <c r="D67" s="59"/>
      <c r="E67" s="59">
        <f>SUMIF(CRM_PREV_M!AV:AV,A67,CRM_PREV_M!AL:AL)</f>
        <v>0</v>
      </c>
      <c r="F67" s="59">
        <f t="shared" ref="F67" si="2">B67+C67+E67+D67</f>
        <v>-2.2737367544323206E-13</v>
      </c>
      <c r="J67" s="57"/>
      <c r="K67" s="59"/>
      <c r="L67" s="59"/>
      <c r="M67" s="59"/>
      <c r="N67" s="59"/>
      <c r="O67" s="59"/>
    </row>
    <row r="68" spans="1:15" x14ac:dyDescent="0.3">
      <c r="J68" s="57"/>
      <c r="K68" s="59"/>
      <c r="L68" s="59"/>
      <c r="M68" s="59"/>
      <c r="N68" s="59"/>
      <c r="O68" s="59"/>
    </row>
    <row r="69" spans="1:15" x14ac:dyDescent="0.3">
      <c r="J69" s="57"/>
      <c r="K69" s="59"/>
      <c r="L69" s="59"/>
      <c r="M69" s="59"/>
      <c r="N69" s="59"/>
      <c r="O69" s="59"/>
    </row>
    <row r="70" spans="1:15" x14ac:dyDescent="0.3">
      <c r="J70" s="57"/>
      <c r="K70" s="59"/>
      <c r="L70" s="59"/>
      <c r="M70" s="59"/>
      <c r="N70" s="59"/>
      <c r="O70" s="59"/>
    </row>
    <row r="71" spans="1:15" x14ac:dyDescent="0.3">
      <c r="J71" s="57"/>
      <c r="K71" s="59"/>
      <c r="L71" s="59"/>
      <c r="M71" s="59"/>
      <c r="N71" s="59"/>
      <c r="O71" s="59"/>
    </row>
    <row r="72" spans="1:15" x14ac:dyDescent="0.3">
      <c r="J72" s="57"/>
      <c r="K72" s="59"/>
      <c r="L72" s="59"/>
      <c r="M72" s="59"/>
      <c r="N72" s="59"/>
      <c r="O72" s="59"/>
    </row>
    <row r="73" spans="1:15" x14ac:dyDescent="0.3">
      <c r="J73" s="57"/>
      <c r="K73" s="59"/>
      <c r="L73" s="59"/>
      <c r="M73" s="59"/>
      <c r="N73" s="59"/>
      <c r="O73" s="59"/>
    </row>
    <row r="74" spans="1:15" x14ac:dyDescent="0.3">
      <c r="J74" s="57"/>
      <c r="K74" s="59"/>
      <c r="L74" s="59"/>
      <c r="M74" s="59"/>
      <c r="N74" s="59"/>
      <c r="O74" s="59"/>
    </row>
    <row r="75" spans="1:15" x14ac:dyDescent="0.3">
      <c r="J75" s="57"/>
      <c r="K75" s="59"/>
      <c r="L75" s="59"/>
      <c r="M75" s="59"/>
      <c r="N75" s="59"/>
      <c r="O75" s="59"/>
    </row>
    <row r="76" spans="1:15" x14ac:dyDescent="0.3">
      <c r="J76" s="57"/>
      <c r="K76" s="59"/>
      <c r="L76" s="59"/>
      <c r="M76" s="59"/>
      <c r="N76" s="59"/>
      <c r="O76" s="59"/>
    </row>
    <row r="77" spans="1:15" x14ac:dyDescent="0.3">
      <c r="J77" s="57"/>
      <c r="K77" s="59"/>
      <c r="L77" s="59"/>
      <c r="M77" s="59"/>
      <c r="N77" s="59"/>
      <c r="O77" s="59"/>
    </row>
    <row r="78" spans="1:15" x14ac:dyDescent="0.3">
      <c r="J78" s="57"/>
      <c r="K78" s="59"/>
      <c r="L78" s="59"/>
      <c r="M78" s="59"/>
      <c r="N78" s="59"/>
      <c r="O78" s="59"/>
    </row>
    <row r="79" spans="1:15" x14ac:dyDescent="0.3">
      <c r="J79" s="57"/>
      <c r="K79" s="59"/>
      <c r="L79" s="59"/>
      <c r="M79" s="59"/>
      <c r="N79" s="59"/>
      <c r="O79" s="59"/>
    </row>
    <row r="80" spans="1:15" x14ac:dyDescent="0.3">
      <c r="J80" s="57"/>
      <c r="K80" s="59"/>
      <c r="L80" s="59"/>
      <c r="M80" s="59"/>
      <c r="N80" s="59"/>
      <c r="O80" s="59"/>
    </row>
    <row r="81" spans="10:15" x14ac:dyDescent="0.3">
      <c r="J81" s="57"/>
      <c r="K81" s="59"/>
      <c r="L81" s="59"/>
      <c r="M81" s="59"/>
      <c r="N81" s="59"/>
      <c r="O81" s="59"/>
    </row>
    <row r="82" spans="10:15" x14ac:dyDescent="0.3">
      <c r="J82" s="57"/>
      <c r="K82" s="59"/>
      <c r="L82" s="59"/>
      <c r="M82" s="59"/>
      <c r="N82" s="59"/>
      <c r="O82" s="59"/>
    </row>
    <row r="83" spans="10:15" x14ac:dyDescent="0.3">
      <c r="J83" s="57"/>
      <c r="K83" s="59"/>
      <c r="L83" s="59"/>
      <c r="M83" s="59"/>
      <c r="N83" s="59"/>
      <c r="O83" s="59"/>
    </row>
    <row r="84" spans="10:15" x14ac:dyDescent="0.3">
      <c r="J84" s="57"/>
      <c r="K84" s="59"/>
      <c r="L84" s="59"/>
      <c r="M84" s="59"/>
      <c r="N84" s="59"/>
      <c r="O84" s="59"/>
    </row>
    <row r="85" spans="10:15" x14ac:dyDescent="0.3">
      <c r="J85" s="57"/>
      <c r="K85" s="59"/>
      <c r="L85" s="59"/>
      <c r="M85" s="59"/>
      <c r="N85" s="59"/>
      <c r="O85" s="59"/>
    </row>
    <row r="86" spans="10:15" x14ac:dyDescent="0.3">
      <c r="J86" s="57"/>
      <c r="K86" s="59"/>
      <c r="L86" s="59"/>
      <c r="M86" s="59"/>
      <c r="N86" s="59"/>
      <c r="O86" s="59"/>
    </row>
    <row r="87" spans="10:15" x14ac:dyDescent="0.3">
      <c r="J87" s="57"/>
      <c r="K87" s="59"/>
      <c r="L87" s="59"/>
      <c r="M87" s="59"/>
      <c r="N87" s="59"/>
      <c r="O87" s="59"/>
    </row>
    <row r="88" spans="10:15" x14ac:dyDescent="0.3">
      <c r="J88" s="57"/>
      <c r="K88" s="59"/>
      <c r="L88" s="59"/>
      <c r="M88" s="59"/>
      <c r="N88" s="59"/>
      <c r="O88" s="59"/>
    </row>
    <row r="89" spans="10:15" x14ac:dyDescent="0.3">
      <c r="J89" s="57"/>
      <c r="K89" s="59"/>
      <c r="L89" s="59"/>
      <c r="M89" s="59"/>
      <c r="N89" s="59"/>
      <c r="O89" s="59"/>
    </row>
    <row r="90" spans="10:15" x14ac:dyDescent="0.3">
      <c r="J90" s="57"/>
      <c r="K90" s="59"/>
      <c r="L90" s="59"/>
      <c r="M90" s="59"/>
      <c r="N90" s="59"/>
      <c r="O90" s="59"/>
    </row>
    <row r="91" spans="10:15" x14ac:dyDescent="0.3">
      <c r="J91" s="57"/>
      <c r="K91" s="59"/>
      <c r="L91" s="59"/>
      <c r="M91" s="59"/>
      <c r="N91" s="59"/>
      <c r="O91" s="59"/>
    </row>
    <row r="92" spans="10:15" x14ac:dyDescent="0.3">
      <c r="J92" s="57"/>
      <c r="K92" s="59"/>
      <c r="L92" s="59"/>
      <c r="M92" s="59"/>
      <c r="N92" s="59"/>
      <c r="O92" s="59"/>
    </row>
    <row r="93" spans="10:15" x14ac:dyDescent="0.3">
      <c r="J93" s="57"/>
      <c r="K93" s="59"/>
      <c r="L93" s="59"/>
      <c r="M93" s="59"/>
      <c r="N93" s="59"/>
      <c r="O93" s="59"/>
    </row>
    <row r="94" spans="10:15" x14ac:dyDescent="0.3">
      <c r="J94" s="57"/>
      <c r="K94" s="59"/>
      <c r="L94" s="59"/>
      <c r="M94" s="59"/>
      <c r="N94" s="59"/>
      <c r="O94" s="59"/>
    </row>
    <row r="95" spans="10:15" x14ac:dyDescent="0.3">
      <c r="J95"/>
      <c r="K95" s="59"/>
      <c r="L95" s="59"/>
      <c r="M95" s="59"/>
      <c r="N95" s="59"/>
      <c r="O95" s="59"/>
    </row>
    <row r="96" spans="10:15" x14ac:dyDescent="0.3">
      <c r="J96"/>
      <c r="K96" s="59"/>
      <c r="L96" s="59"/>
      <c r="M96" s="59"/>
      <c r="N96" s="59"/>
      <c r="O96" s="59"/>
    </row>
    <row r="97" spans="10:15" x14ac:dyDescent="0.3">
      <c r="J97"/>
      <c r="K97" s="59"/>
      <c r="L97" s="59"/>
      <c r="M97" s="59"/>
      <c r="N97" s="59"/>
      <c r="O97" s="59"/>
    </row>
    <row r="98" spans="10:15" x14ac:dyDescent="0.3">
      <c r="J98"/>
      <c r="K98" s="59"/>
      <c r="L98" s="59"/>
      <c r="M98" s="59"/>
      <c r="N98" s="59"/>
      <c r="O98" s="59"/>
    </row>
    <row r="99" spans="10:15" x14ac:dyDescent="0.3">
      <c r="J99"/>
      <c r="K99" s="59"/>
      <c r="L99" s="59"/>
      <c r="M99" s="59"/>
      <c r="N99" s="59"/>
      <c r="O99" s="59"/>
    </row>
    <row r="100" spans="10:15" x14ac:dyDescent="0.3">
      <c r="J100"/>
      <c r="K100" s="59"/>
      <c r="L100" s="59"/>
      <c r="M100" s="59"/>
      <c r="N100" s="59"/>
      <c r="O100" s="59"/>
    </row>
    <row r="101" spans="10:15" x14ac:dyDescent="0.3">
      <c r="J101"/>
      <c r="K101" s="59"/>
      <c r="L101" s="59"/>
      <c r="M101" s="59"/>
      <c r="N101" s="59"/>
      <c r="O101" s="59"/>
    </row>
    <row r="102" spans="10:15" x14ac:dyDescent="0.3">
      <c r="J102"/>
      <c r="K102" s="59"/>
      <c r="L102" s="59"/>
      <c r="M102" s="59"/>
      <c r="N102" s="59"/>
      <c r="O102" s="59"/>
    </row>
    <row r="103" spans="10:15" x14ac:dyDescent="0.3">
      <c r="J103"/>
      <c r="K103" s="59"/>
      <c r="L103" s="59"/>
      <c r="M103" s="59"/>
      <c r="N103" s="59"/>
      <c r="O103" s="59"/>
    </row>
    <row r="104" spans="10:15" x14ac:dyDescent="0.3">
      <c r="J104"/>
      <c r="K104" s="59"/>
      <c r="L104" s="59"/>
      <c r="M104" s="59"/>
      <c r="N104" s="59"/>
      <c r="O104" s="59"/>
    </row>
    <row r="105" spans="10:15" x14ac:dyDescent="0.3">
      <c r="J105"/>
      <c r="K105" s="59"/>
      <c r="L105" s="59"/>
      <c r="M105" s="59"/>
      <c r="N105" s="59"/>
      <c r="O105" s="59"/>
    </row>
    <row r="106" spans="10:15" x14ac:dyDescent="0.3">
      <c r="J106"/>
      <c r="K106" s="59"/>
      <c r="L106" s="59"/>
      <c r="M106" s="59"/>
      <c r="N106" s="59"/>
      <c r="O106" s="59"/>
    </row>
    <row r="107" spans="10:15" x14ac:dyDescent="0.3">
      <c r="J107"/>
      <c r="K107" s="59"/>
      <c r="L107" s="59"/>
      <c r="M107" s="59"/>
      <c r="N107" s="59"/>
      <c r="O107" s="59"/>
    </row>
    <row r="108" spans="10:15" x14ac:dyDescent="0.3">
      <c r="J108"/>
      <c r="K108" s="59"/>
      <c r="L108" s="59"/>
      <c r="M108" s="59"/>
      <c r="N108" s="59"/>
      <c r="O108" s="59"/>
    </row>
    <row r="109" spans="10:15" x14ac:dyDescent="0.3">
      <c r="J109"/>
      <c r="K109" s="59"/>
      <c r="L109" s="59"/>
      <c r="M109" s="59"/>
      <c r="N109" s="59"/>
      <c r="O109" s="59"/>
    </row>
    <row r="110" spans="10:15" x14ac:dyDescent="0.3">
      <c r="J110"/>
      <c r="K110" s="59"/>
      <c r="L110" s="59"/>
      <c r="M110" s="59"/>
      <c r="N110" s="59"/>
      <c r="O110" s="59"/>
    </row>
    <row r="111" spans="10:15" x14ac:dyDescent="0.3">
      <c r="J111"/>
      <c r="K111" s="59"/>
      <c r="L111" s="59"/>
      <c r="M111" s="59"/>
      <c r="N111" s="59"/>
      <c r="O111" s="59"/>
    </row>
    <row r="112" spans="10:15" x14ac:dyDescent="0.3">
      <c r="J112"/>
      <c r="K112" s="59"/>
      <c r="L112" s="59"/>
      <c r="M112" s="59"/>
      <c r="N112" s="59"/>
      <c r="O112" s="59"/>
    </row>
    <row r="113" spans="10:15" x14ac:dyDescent="0.3">
      <c r="J113"/>
      <c r="K113" s="59"/>
      <c r="L113" s="59"/>
      <c r="M113" s="59"/>
      <c r="N113" s="59"/>
      <c r="O113" s="59"/>
    </row>
    <row r="114" spans="10:15" x14ac:dyDescent="0.3">
      <c r="J114"/>
      <c r="K114" s="59"/>
      <c r="L114" s="59"/>
      <c r="M114" s="59"/>
      <c r="N114" s="59"/>
      <c r="O114" s="59"/>
    </row>
    <row r="115" spans="10:15" x14ac:dyDescent="0.3">
      <c r="J115"/>
      <c r="K115" s="59"/>
      <c r="L115" s="59"/>
      <c r="M115" s="59"/>
      <c r="N115" s="59"/>
      <c r="O115" s="59"/>
    </row>
    <row r="116" spans="10:15" x14ac:dyDescent="0.3">
      <c r="J116"/>
      <c r="K116" s="59"/>
      <c r="L116" s="59"/>
      <c r="M116" s="59"/>
      <c r="N116" s="59"/>
      <c r="O116" s="59"/>
    </row>
    <row r="117" spans="10:15" x14ac:dyDescent="0.3">
      <c r="J117"/>
      <c r="K117" s="59"/>
      <c r="L117" s="59"/>
      <c r="M117" s="59"/>
      <c r="N117" s="59"/>
      <c r="O117" s="59"/>
    </row>
    <row r="118" spans="10:15" x14ac:dyDescent="0.3">
      <c r="J118"/>
      <c r="K118" s="59"/>
      <c r="L118" s="59"/>
      <c r="M118" s="59"/>
      <c r="N118" s="59"/>
      <c r="O118" s="59"/>
    </row>
    <row r="119" spans="10:15" x14ac:dyDescent="0.3">
      <c r="J119"/>
      <c r="K119" s="59"/>
      <c r="L119" s="59"/>
      <c r="M119" s="59"/>
      <c r="N119" s="59"/>
      <c r="O119" s="59"/>
    </row>
    <row r="120" spans="10:15" x14ac:dyDescent="0.3">
      <c r="J120"/>
      <c r="K120" s="59"/>
      <c r="L120" s="59"/>
      <c r="M120" s="59"/>
      <c r="N120" s="59"/>
      <c r="O120" s="59"/>
    </row>
    <row r="121" spans="10:15" x14ac:dyDescent="0.3">
      <c r="J121"/>
      <c r="K121" s="59"/>
      <c r="L121" s="59"/>
      <c r="M121" s="59"/>
      <c r="N121" s="59"/>
      <c r="O121" s="59"/>
    </row>
    <row r="122" spans="10:15" x14ac:dyDescent="0.3">
      <c r="J122"/>
      <c r="K122" s="59"/>
      <c r="L122" s="59"/>
      <c r="M122" s="59"/>
      <c r="N122" s="59"/>
      <c r="O122" s="59"/>
    </row>
    <row r="123" spans="10:15" x14ac:dyDescent="0.3">
      <c r="J123"/>
      <c r="K123" s="59"/>
      <c r="L123" s="59"/>
      <c r="M123" s="59"/>
      <c r="N123" s="59"/>
      <c r="O123" s="59"/>
    </row>
    <row r="124" spans="10:15" x14ac:dyDescent="0.3">
      <c r="J124"/>
      <c r="K124" s="59"/>
      <c r="L124" s="59"/>
      <c r="M124" s="59"/>
      <c r="N124" s="59"/>
      <c r="O124" s="59"/>
    </row>
    <row r="125" spans="10:15" x14ac:dyDescent="0.3">
      <c r="J125"/>
      <c r="K125" s="59"/>
      <c r="L125" s="59"/>
      <c r="M125" s="59"/>
      <c r="N125" s="59"/>
      <c r="O125" s="59"/>
    </row>
    <row r="126" spans="10:15" x14ac:dyDescent="0.3">
      <c r="J126"/>
      <c r="K126" s="59"/>
      <c r="L126" s="59"/>
      <c r="M126" s="59"/>
      <c r="N126" s="59"/>
      <c r="O126" s="59"/>
    </row>
    <row r="127" spans="10:15" x14ac:dyDescent="0.3">
      <c r="J127"/>
      <c r="K127" s="59"/>
      <c r="L127" s="59"/>
      <c r="M127" s="59"/>
      <c r="N127" s="59"/>
      <c r="O127" s="59"/>
    </row>
    <row r="128" spans="10:15" x14ac:dyDescent="0.3">
      <c r="J128"/>
      <c r="K128" s="59"/>
      <c r="L128" s="59"/>
      <c r="M128" s="59"/>
      <c r="N128" s="59"/>
      <c r="O128" s="59"/>
    </row>
    <row r="129" spans="10:15" x14ac:dyDescent="0.3">
      <c r="J129"/>
      <c r="K129" s="59"/>
      <c r="L129" s="59"/>
      <c r="M129" s="59"/>
      <c r="N129" s="59"/>
      <c r="O129" s="59"/>
    </row>
    <row r="130" spans="10:15" x14ac:dyDescent="0.3">
      <c r="J130"/>
      <c r="K130" s="59"/>
      <c r="L130" s="59"/>
      <c r="M130" s="59"/>
      <c r="N130" s="59"/>
      <c r="O130" s="59"/>
    </row>
    <row r="131" spans="10:15" x14ac:dyDescent="0.3">
      <c r="J131"/>
      <c r="K131" s="59"/>
      <c r="L131" s="59"/>
      <c r="M131" s="59"/>
      <c r="N131" s="59"/>
      <c r="O131" s="59"/>
    </row>
    <row r="132" spans="10:15" x14ac:dyDescent="0.3">
      <c r="J132"/>
      <c r="K132" s="59"/>
      <c r="L132" s="59"/>
      <c r="M132" s="59"/>
      <c r="N132" s="59"/>
      <c r="O132" s="59"/>
    </row>
    <row r="133" spans="10:15" x14ac:dyDescent="0.3">
      <c r="J133"/>
      <c r="K133" s="59"/>
      <c r="L133" s="59"/>
      <c r="M133" s="59"/>
      <c r="N133" s="59"/>
      <c r="O133" s="59"/>
    </row>
    <row r="134" spans="10:15" x14ac:dyDescent="0.3">
      <c r="J134"/>
      <c r="K134" s="59"/>
      <c r="L134" s="59"/>
      <c r="M134" s="59"/>
      <c r="N134" s="59"/>
      <c r="O134" s="59"/>
    </row>
    <row r="135" spans="10:15" x14ac:dyDescent="0.3">
      <c r="J135"/>
      <c r="K135" s="59"/>
      <c r="L135" s="59"/>
      <c r="M135" s="59"/>
      <c r="N135" s="59"/>
      <c r="O135" s="59"/>
    </row>
    <row r="136" spans="10:15" x14ac:dyDescent="0.3">
      <c r="J136"/>
      <c r="K136" s="59"/>
      <c r="L136" s="59"/>
      <c r="M136" s="59"/>
      <c r="N136" s="59"/>
      <c r="O136" s="59"/>
    </row>
    <row r="137" spans="10:15" x14ac:dyDescent="0.3">
      <c r="J137"/>
      <c r="K137" s="59"/>
      <c r="L137" s="59"/>
      <c r="M137" s="59"/>
      <c r="N137" s="59"/>
      <c r="O137" s="59"/>
    </row>
    <row r="138" spans="10:15" x14ac:dyDescent="0.3">
      <c r="J138"/>
      <c r="K138" s="59"/>
      <c r="L138" s="59"/>
      <c r="M138" s="59"/>
      <c r="N138" s="59"/>
      <c r="O138" s="59"/>
    </row>
    <row r="139" spans="10:15" x14ac:dyDescent="0.3">
      <c r="J139"/>
      <c r="K139" s="59"/>
      <c r="L139" s="59"/>
      <c r="M139" s="59"/>
      <c r="N139" s="59"/>
      <c r="O139" s="59"/>
    </row>
    <row r="140" spans="10:15" x14ac:dyDescent="0.3">
      <c r="J140"/>
      <c r="K140" s="59"/>
      <c r="L140" s="59"/>
      <c r="M140" s="59"/>
      <c r="N140" s="59"/>
      <c r="O140" s="59"/>
    </row>
    <row r="141" spans="10:15" x14ac:dyDescent="0.3">
      <c r="J141"/>
      <c r="K141" s="59"/>
      <c r="L141" s="59"/>
      <c r="M141" s="59"/>
      <c r="N141" s="59"/>
      <c r="O141" s="59"/>
    </row>
    <row r="142" spans="10:15" x14ac:dyDescent="0.3">
      <c r="J142"/>
      <c r="K142" s="59"/>
      <c r="L142" s="59"/>
      <c r="M142" s="59"/>
      <c r="N142" s="59"/>
      <c r="O142" s="59"/>
    </row>
    <row r="143" spans="10:15" x14ac:dyDescent="0.3">
      <c r="J143"/>
      <c r="K143" s="59"/>
      <c r="L143" s="59"/>
      <c r="M143" s="59"/>
      <c r="N143" s="59"/>
      <c r="O143" s="59"/>
    </row>
    <row r="144" spans="10:15" x14ac:dyDescent="0.3">
      <c r="J144"/>
      <c r="K144" s="59"/>
      <c r="L144" s="59"/>
      <c r="M144" s="59"/>
      <c r="N144" s="59"/>
      <c r="O144" s="59"/>
    </row>
    <row r="145" spans="10:15" x14ac:dyDescent="0.3">
      <c r="J145"/>
      <c r="K145" s="59"/>
      <c r="L145" s="59"/>
      <c r="M145" s="59"/>
      <c r="N145" s="59"/>
      <c r="O145" s="59"/>
    </row>
    <row r="146" spans="10:15" x14ac:dyDescent="0.3">
      <c r="J146"/>
      <c r="K146" s="59"/>
      <c r="L146" s="59"/>
      <c r="M146" s="59"/>
      <c r="N146" s="59"/>
      <c r="O146" s="59"/>
    </row>
    <row r="147" spans="10:15" x14ac:dyDescent="0.3">
      <c r="J147"/>
      <c r="K147" s="59"/>
      <c r="L147" s="59"/>
      <c r="M147" s="59"/>
      <c r="N147" s="59"/>
      <c r="O147" s="59"/>
    </row>
    <row r="148" spans="10:15" x14ac:dyDescent="0.3">
      <c r="J148"/>
      <c r="K148" s="59"/>
      <c r="L148" s="59"/>
      <c r="M148" s="59"/>
      <c r="N148" s="59"/>
      <c r="O148" s="59"/>
    </row>
    <row r="149" spans="10:15" x14ac:dyDescent="0.3">
      <c r="J149"/>
      <c r="K149" s="59"/>
      <c r="L149" s="59"/>
      <c r="M149" s="59"/>
      <c r="N149" s="59"/>
      <c r="O149" s="59"/>
    </row>
    <row r="150" spans="10:15" x14ac:dyDescent="0.3">
      <c r="J150"/>
      <c r="K150" s="59"/>
      <c r="L150" s="59"/>
      <c r="M150" s="59"/>
      <c r="N150" s="59"/>
      <c r="O150" s="59"/>
    </row>
    <row r="151" spans="10:15" x14ac:dyDescent="0.3">
      <c r="J151"/>
      <c r="K151" s="59"/>
      <c r="L151" s="59"/>
      <c r="M151" s="59"/>
      <c r="N151" s="59"/>
      <c r="O151" s="59"/>
    </row>
    <row r="152" spans="10:15" x14ac:dyDescent="0.3">
      <c r="J152"/>
      <c r="K152" s="59"/>
      <c r="L152" s="59"/>
      <c r="M152" s="59"/>
      <c r="N152" s="59"/>
      <c r="O152" s="59"/>
    </row>
    <row r="153" spans="10:15" x14ac:dyDescent="0.3">
      <c r="J153"/>
      <c r="K153" s="59"/>
      <c r="L153" s="59"/>
      <c r="M153" s="59"/>
      <c r="N153" s="59"/>
      <c r="O153" s="59"/>
    </row>
    <row r="154" spans="10:15" x14ac:dyDescent="0.3">
      <c r="J154"/>
      <c r="K154" s="59"/>
      <c r="L154" s="59"/>
      <c r="M154" s="59"/>
      <c r="N154" s="59"/>
      <c r="O154" s="59"/>
    </row>
    <row r="155" spans="10:15" x14ac:dyDescent="0.3">
      <c r="J155"/>
      <c r="K155" s="59"/>
      <c r="L155" s="59"/>
      <c r="M155" s="59"/>
      <c r="N155" s="59"/>
      <c r="O155" s="59"/>
    </row>
    <row r="156" spans="10:15" x14ac:dyDescent="0.3">
      <c r="J156"/>
      <c r="K156" s="59"/>
      <c r="L156" s="59"/>
      <c r="M156" s="59"/>
      <c r="N156" s="59"/>
      <c r="O156" s="59"/>
    </row>
    <row r="157" spans="10:15" x14ac:dyDescent="0.3">
      <c r="J157"/>
      <c r="K157" s="59"/>
      <c r="L157" s="59"/>
      <c r="M157" s="59"/>
      <c r="N157" s="59"/>
      <c r="O157" s="59"/>
    </row>
    <row r="158" spans="10:15" x14ac:dyDescent="0.3">
      <c r="J158"/>
      <c r="K158" s="59"/>
      <c r="L158" s="59"/>
      <c r="M158" s="59"/>
      <c r="N158" s="59"/>
      <c r="O158" s="59"/>
    </row>
    <row r="159" spans="10:15" x14ac:dyDescent="0.3">
      <c r="J159"/>
      <c r="K159" s="59"/>
      <c r="L159" s="59"/>
      <c r="M159" s="59"/>
      <c r="N159" s="59"/>
      <c r="O159" s="59"/>
    </row>
    <row r="160" spans="10:15" x14ac:dyDescent="0.3">
      <c r="J160"/>
      <c r="K160" s="59"/>
      <c r="L160" s="59"/>
      <c r="M160" s="59"/>
      <c r="N160" s="59"/>
      <c r="O160" s="59"/>
    </row>
    <row r="161" spans="10:15" x14ac:dyDescent="0.3">
      <c r="J161"/>
      <c r="K161" s="59"/>
      <c r="L161" s="59"/>
      <c r="M161" s="59"/>
      <c r="N161" s="59"/>
      <c r="O161" s="59"/>
    </row>
    <row r="162" spans="10:15" x14ac:dyDescent="0.3">
      <c r="J162"/>
      <c r="K162" s="59"/>
      <c r="L162" s="59"/>
      <c r="M162" s="59"/>
      <c r="N162" s="59"/>
      <c r="O162" s="59"/>
    </row>
    <row r="163" spans="10:15" x14ac:dyDescent="0.3">
      <c r="J163"/>
      <c r="K163" s="59"/>
      <c r="L163" s="59"/>
      <c r="M163" s="59"/>
      <c r="N163" s="59"/>
      <c r="O163" s="59"/>
    </row>
    <row r="164" spans="10:15" x14ac:dyDescent="0.3">
      <c r="J164"/>
      <c r="K164" s="59"/>
      <c r="L164" s="59"/>
      <c r="M164" s="59"/>
      <c r="N164" s="59"/>
      <c r="O164" s="59"/>
    </row>
    <row r="165" spans="10:15" x14ac:dyDescent="0.3">
      <c r="J165"/>
      <c r="K165" s="59"/>
      <c r="L165" s="59"/>
      <c r="M165" s="59"/>
      <c r="N165" s="59"/>
      <c r="O165" s="59"/>
    </row>
    <row r="166" spans="10:15" x14ac:dyDescent="0.3">
      <c r="J166"/>
      <c r="K166" s="59"/>
      <c r="L166" s="59"/>
      <c r="M166" s="59"/>
      <c r="N166" s="59"/>
      <c r="O166" s="59"/>
    </row>
    <row r="167" spans="10:15" x14ac:dyDescent="0.3">
      <c r="J167"/>
      <c r="K167" s="59"/>
      <c r="L167" s="59"/>
      <c r="M167" s="59"/>
      <c r="N167" s="59"/>
      <c r="O167" s="59"/>
    </row>
    <row r="168" spans="10:15" x14ac:dyDescent="0.3">
      <c r="J168"/>
      <c r="K168" s="59"/>
      <c r="L168" s="59"/>
      <c r="M168" s="59"/>
      <c r="N168" s="59"/>
      <c r="O168" s="59"/>
    </row>
    <row r="169" spans="10:15" x14ac:dyDescent="0.3">
      <c r="J169"/>
      <c r="K169" s="59"/>
      <c r="L169" s="59"/>
      <c r="M169" s="59"/>
      <c r="N169" s="59"/>
      <c r="O169" s="59"/>
    </row>
    <row r="170" spans="10:15" x14ac:dyDescent="0.3">
      <c r="J170"/>
      <c r="K170" s="59"/>
      <c r="L170" s="59"/>
      <c r="M170" s="59"/>
      <c r="N170" s="59"/>
      <c r="O170" s="59"/>
    </row>
    <row r="171" spans="10:15" x14ac:dyDescent="0.3">
      <c r="J171"/>
      <c r="K171" s="59"/>
      <c r="L171" s="59"/>
      <c r="M171" s="59"/>
      <c r="N171" s="59"/>
      <c r="O171" s="59"/>
    </row>
    <row r="172" spans="10:15" x14ac:dyDescent="0.3">
      <c r="J172"/>
      <c r="K172" s="59"/>
      <c r="L172" s="59"/>
      <c r="M172" s="59"/>
      <c r="N172" s="59"/>
      <c r="O172" s="59"/>
    </row>
    <row r="173" spans="10:15" x14ac:dyDescent="0.3">
      <c r="J173"/>
      <c r="K173" s="59"/>
      <c r="L173" s="59"/>
      <c r="M173" s="59"/>
      <c r="N173" s="59"/>
      <c r="O173" s="59"/>
    </row>
    <row r="174" spans="10:15" x14ac:dyDescent="0.3">
      <c r="J174"/>
      <c r="K174" s="59"/>
      <c r="L174" s="59"/>
      <c r="M174" s="59"/>
      <c r="N174" s="59"/>
      <c r="O174" s="59"/>
    </row>
    <row r="175" spans="10:15" x14ac:dyDescent="0.3">
      <c r="J175"/>
      <c r="K175" s="59"/>
      <c r="L175" s="59"/>
      <c r="M175" s="59"/>
      <c r="N175" s="59"/>
      <c r="O175" s="59"/>
    </row>
    <row r="176" spans="10:15" x14ac:dyDescent="0.3">
      <c r="J176"/>
      <c r="K176" s="59"/>
      <c r="L176" s="59"/>
      <c r="M176" s="59"/>
      <c r="N176" s="59"/>
      <c r="O176" s="59"/>
    </row>
    <row r="177" spans="10:15" x14ac:dyDescent="0.3">
      <c r="J177"/>
      <c r="K177" s="59"/>
      <c r="L177" s="59"/>
      <c r="M177" s="59"/>
      <c r="N177" s="59"/>
      <c r="O177" s="59"/>
    </row>
    <row r="178" spans="10:15" x14ac:dyDescent="0.3">
      <c r="J178"/>
      <c r="K178" s="59"/>
      <c r="L178" s="59"/>
      <c r="M178" s="59"/>
      <c r="N178" s="59"/>
      <c r="O178" s="59"/>
    </row>
    <row r="179" spans="10:15" x14ac:dyDescent="0.3">
      <c r="J179"/>
      <c r="K179" s="59"/>
      <c r="L179" s="59"/>
      <c r="M179" s="59"/>
      <c r="N179" s="59"/>
      <c r="O179" s="59"/>
    </row>
    <row r="180" spans="10:15" x14ac:dyDescent="0.3">
      <c r="J180"/>
      <c r="K180" s="59"/>
      <c r="L180" s="59"/>
      <c r="M180" s="59"/>
      <c r="N180" s="59"/>
      <c r="O180" s="59"/>
    </row>
    <row r="181" spans="10:15" x14ac:dyDescent="0.3">
      <c r="J181"/>
      <c r="K181" s="59"/>
      <c r="L181" s="59"/>
      <c r="M181" s="59"/>
      <c r="N181" s="59"/>
      <c r="O181" s="59"/>
    </row>
    <row r="182" spans="10:15" x14ac:dyDescent="0.3">
      <c r="J182"/>
      <c r="K182" s="59"/>
      <c r="L182" s="59"/>
      <c r="M182" s="59"/>
      <c r="N182" s="59"/>
      <c r="O182" s="59"/>
    </row>
    <row r="183" spans="10:15" x14ac:dyDescent="0.3">
      <c r="J183"/>
      <c r="K183" s="59"/>
      <c r="L183" s="59"/>
      <c r="M183" s="59"/>
      <c r="N183" s="59"/>
      <c r="O183" s="59"/>
    </row>
    <row r="184" spans="10:15" x14ac:dyDescent="0.3">
      <c r="J184"/>
      <c r="K184" s="59"/>
      <c r="L184" s="59"/>
      <c r="M184" s="59"/>
      <c r="N184" s="59"/>
      <c r="O184" s="59"/>
    </row>
    <row r="185" spans="10:15" x14ac:dyDescent="0.3">
      <c r="J185"/>
      <c r="K185" s="59"/>
      <c r="L185" s="59"/>
      <c r="M185" s="59"/>
      <c r="N185" s="59"/>
      <c r="O185" s="59"/>
    </row>
    <row r="186" spans="10:15" x14ac:dyDescent="0.3">
      <c r="J186"/>
      <c r="K186" s="59"/>
      <c r="L186" s="59"/>
      <c r="M186" s="59"/>
      <c r="N186" s="59"/>
      <c r="O186" s="59"/>
    </row>
    <row r="187" spans="10:15" x14ac:dyDescent="0.3">
      <c r="J187"/>
      <c r="K187" s="59"/>
      <c r="L187" s="59"/>
      <c r="M187" s="59"/>
      <c r="N187" s="59"/>
      <c r="O187" s="59"/>
    </row>
    <row r="188" spans="10:15" x14ac:dyDescent="0.3">
      <c r="J188"/>
      <c r="K188" s="59"/>
      <c r="L188" s="59"/>
      <c r="M188" s="59"/>
      <c r="N188" s="59"/>
      <c r="O188" s="59"/>
    </row>
    <row r="189" spans="10:15" x14ac:dyDescent="0.3">
      <c r="J189"/>
      <c r="K189" s="59"/>
      <c r="L189" s="59"/>
      <c r="M189" s="59"/>
      <c r="N189" s="59"/>
      <c r="O189" s="59"/>
    </row>
    <row r="190" spans="10:15" x14ac:dyDescent="0.3">
      <c r="J190"/>
      <c r="K190" s="59"/>
      <c r="L190" s="59"/>
      <c r="M190" s="59"/>
      <c r="N190" s="59"/>
      <c r="O190" s="59"/>
    </row>
    <row r="191" spans="10:15" x14ac:dyDescent="0.3">
      <c r="J191"/>
      <c r="K191" s="59"/>
      <c r="L191" s="59"/>
      <c r="M191" s="59"/>
      <c r="N191" s="59"/>
      <c r="O191" s="59"/>
    </row>
    <row r="192" spans="10:15" x14ac:dyDescent="0.3">
      <c r="J192"/>
      <c r="K192" s="59"/>
      <c r="L192" s="59"/>
      <c r="M192" s="59"/>
      <c r="N192" s="59"/>
      <c r="O192" s="59"/>
    </row>
    <row r="193" spans="10:15" x14ac:dyDescent="0.3">
      <c r="J193"/>
      <c r="K193" s="59"/>
      <c r="L193" s="59"/>
      <c r="M193" s="59"/>
      <c r="N193" s="59"/>
      <c r="O193" s="59"/>
    </row>
    <row r="194" spans="10:15" x14ac:dyDescent="0.3">
      <c r="J194"/>
      <c r="K194" s="59"/>
      <c r="L194" s="59"/>
      <c r="M194" s="59"/>
      <c r="N194" s="59"/>
      <c r="O194" s="59"/>
    </row>
    <row r="195" spans="10:15" x14ac:dyDescent="0.3">
      <c r="J195"/>
      <c r="K195" s="59"/>
      <c r="L195" s="59"/>
      <c r="M195" s="59"/>
      <c r="N195" s="59"/>
      <c r="O195" s="59"/>
    </row>
    <row r="196" spans="10:15" x14ac:dyDescent="0.3">
      <c r="J196"/>
      <c r="K196" s="59"/>
      <c r="L196" s="59"/>
      <c r="M196" s="59"/>
      <c r="N196" s="59"/>
      <c r="O196" s="59"/>
    </row>
    <row r="197" spans="10:15" x14ac:dyDescent="0.3">
      <c r="J197"/>
      <c r="K197" s="59"/>
      <c r="L197" s="59"/>
      <c r="M197" s="59"/>
      <c r="N197" s="59"/>
      <c r="O197" s="59"/>
    </row>
    <row r="198" spans="10:15" x14ac:dyDescent="0.3">
      <c r="J198"/>
      <c r="K198" s="59"/>
      <c r="L198" s="59"/>
      <c r="M198" s="59"/>
      <c r="N198" s="59"/>
      <c r="O198" s="59"/>
    </row>
    <row r="199" spans="10:15" x14ac:dyDescent="0.3">
      <c r="J199"/>
      <c r="K199" s="59"/>
      <c r="L199" s="59"/>
      <c r="M199" s="59"/>
      <c r="N199" s="59"/>
      <c r="O199" s="59"/>
    </row>
    <row r="200" spans="10:15" x14ac:dyDescent="0.3">
      <c r="J200"/>
      <c r="K200" s="59"/>
      <c r="L200" s="59"/>
      <c r="M200" s="59"/>
      <c r="N200" s="59"/>
      <c r="O200" s="59"/>
    </row>
    <row r="201" spans="10:15" x14ac:dyDescent="0.3">
      <c r="J201"/>
      <c r="K201" s="59"/>
      <c r="L201" s="59"/>
      <c r="M201" s="59"/>
      <c r="N201" s="59"/>
      <c r="O201" s="59"/>
    </row>
    <row r="202" spans="10:15" x14ac:dyDescent="0.3">
      <c r="J202"/>
      <c r="K202" s="59"/>
      <c r="L202" s="59"/>
      <c r="M202" s="59"/>
      <c r="N202" s="59"/>
      <c r="O202" s="59"/>
    </row>
    <row r="203" spans="10:15" x14ac:dyDescent="0.3">
      <c r="J203"/>
      <c r="K203" s="59"/>
      <c r="L203" s="59"/>
      <c r="M203" s="59"/>
      <c r="N203" s="59"/>
      <c r="O203" s="59"/>
    </row>
    <row r="204" spans="10:15" x14ac:dyDescent="0.3">
      <c r="J204"/>
      <c r="K204" s="59"/>
      <c r="L204" s="59"/>
      <c r="M204" s="59"/>
      <c r="N204" s="59"/>
      <c r="O204" s="59"/>
    </row>
    <row r="205" spans="10:15" x14ac:dyDescent="0.3">
      <c r="J205"/>
      <c r="K205" s="59"/>
      <c r="L205" s="59"/>
      <c r="M205" s="59"/>
      <c r="N205" s="59"/>
      <c r="O205" s="59"/>
    </row>
    <row r="206" spans="10:15" x14ac:dyDescent="0.3">
      <c r="J206"/>
      <c r="K206" s="59"/>
      <c r="L206" s="59"/>
      <c r="M206" s="59"/>
      <c r="N206" s="59"/>
      <c r="O206" s="59"/>
    </row>
    <row r="207" spans="10:15" x14ac:dyDescent="0.3">
      <c r="J207"/>
      <c r="K207" s="59"/>
      <c r="L207" s="59"/>
      <c r="M207" s="59"/>
      <c r="N207" s="59"/>
      <c r="O207" s="59"/>
    </row>
    <row r="208" spans="10:15" x14ac:dyDescent="0.3">
      <c r="J208"/>
      <c r="K208" s="59"/>
      <c r="L208" s="59"/>
      <c r="M208" s="59"/>
      <c r="N208" s="59"/>
      <c r="O208" s="59"/>
    </row>
    <row r="209" spans="10:15" x14ac:dyDescent="0.3">
      <c r="J209"/>
      <c r="K209" s="59"/>
      <c r="L209" s="59"/>
      <c r="M209" s="59"/>
      <c r="N209" s="59"/>
      <c r="O209" s="59"/>
    </row>
    <row r="210" spans="10:15" x14ac:dyDescent="0.3">
      <c r="J210"/>
      <c r="K210" s="59"/>
      <c r="L210" s="59"/>
      <c r="M210" s="59"/>
      <c r="N210" s="59"/>
      <c r="O210" s="59"/>
    </row>
    <row r="211" spans="10:15" x14ac:dyDescent="0.3">
      <c r="J211"/>
      <c r="K211" s="59"/>
      <c r="L211" s="59"/>
      <c r="M211" s="59"/>
      <c r="N211" s="59"/>
      <c r="O211" s="59"/>
    </row>
    <row r="212" spans="10:15" x14ac:dyDescent="0.3">
      <c r="J212"/>
      <c r="K212" s="59"/>
      <c r="L212" s="59"/>
      <c r="M212" s="59"/>
      <c r="N212" s="59"/>
      <c r="O212" s="59"/>
    </row>
    <row r="213" spans="10:15" x14ac:dyDescent="0.3">
      <c r="J213"/>
      <c r="K213" s="59"/>
      <c r="L213" s="59"/>
      <c r="M213" s="59"/>
      <c r="N213" s="59"/>
      <c r="O213" s="59"/>
    </row>
    <row r="214" spans="10:15" x14ac:dyDescent="0.3">
      <c r="J214"/>
      <c r="K214" s="59"/>
      <c r="L214" s="59"/>
      <c r="M214" s="59"/>
      <c r="N214" s="59"/>
      <c r="O214" s="59"/>
    </row>
    <row r="215" spans="10:15" x14ac:dyDescent="0.3">
      <c r="J215"/>
      <c r="K215" s="59"/>
      <c r="L215" s="59"/>
      <c r="M215" s="59"/>
      <c r="N215" s="59"/>
      <c r="O215" s="59"/>
    </row>
    <row r="216" spans="10:15" x14ac:dyDescent="0.3">
      <c r="J216"/>
      <c r="K216" s="59"/>
      <c r="L216" s="59"/>
      <c r="M216" s="59"/>
      <c r="N216" s="59"/>
      <c r="O216" s="59"/>
    </row>
    <row r="217" spans="10:15" x14ac:dyDescent="0.3">
      <c r="J217"/>
      <c r="K217" s="59"/>
      <c r="L217" s="59"/>
      <c r="M217" s="59"/>
      <c r="N217" s="59"/>
      <c r="O217" s="59"/>
    </row>
    <row r="218" spans="10:15" x14ac:dyDescent="0.3">
      <c r="J218"/>
      <c r="K218" s="59"/>
      <c r="L218" s="59"/>
      <c r="M218" s="59"/>
      <c r="N218" s="59"/>
      <c r="O218" s="59"/>
    </row>
    <row r="219" spans="10:15" x14ac:dyDescent="0.3">
      <c r="J219"/>
      <c r="K219" s="59"/>
      <c r="L219" s="59"/>
      <c r="M219" s="59"/>
      <c r="N219" s="59"/>
      <c r="O219" s="59"/>
    </row>
    <row r="220" spans="10:15" x14ac:dyDescent="0.3">
      <c r="J220"/>
      <c r="K220" s="59"/>
      <c r="L220" s="59"/>
      <c r="M220" s="59"/>
      <c r="N220" s="59"/>
      <c r="O220" s="59"/>
    </row>
    <row r="221" spans="10:15" x14ac:dyDescent="0.3">
      <c r="J221"/>
      <c r="K221" s="59"/>
      <c r="L221" s="59"/>
      <c r="M221" s="59"/>
      <c r="N221" s="59"/>
      <c r="O221" s="59"/>
    </row>
    <row r="222" spans="10:15" x14ac:dyDescent="0.3">
      <c r="J222"/>
      <c r="K222" s="59"/>
      <c r="L222" s="59"/>
      <c r="M222" s="59"/>
      <c r="N222" s="59"/>
      <c r="O222" s="59"/>
    </row>
    <row r="223" spans="10:15" x14ac:dyDescent="0.3">
      <c r="J223"/>
      <c r="K223" s="59"/>
      <c r="L223" s="59"/>
      <c r="M223" s="59"/>
      <c r="N223" s="59"/>
      <c r="O223" s="59"/>
    </row>
    <row r="224" spans="10:15" x14ac:dyDescent="0.3">
      <c r="J224"/>
      <c r="K224" s="59"/>
      <c r="L224" s="59"/>
      <c r="M224" s="59"/>
      <c r="N224" s="59"/>
      <c r="O224" s="59"/>
    </row>
    <row r="225" spans="10:15" x14ac:dyDescent="0.3">
      <c r="J225"/>
      <c r="K225" s="59"/>
      <c r="L225" s="59"/>
      <c r="M225" s="59"/>
      <c r="N225" s="59"/>
      <c r="O225" s="59"/>
    </row>
    <row r="226" spans="10:15" x14ac:dyDescent="0.3">
      <c r="J226"/>
      <c r="K226" s="59"/>
      <c r="L226" s="59"/>
      <c r="M226" s="59"/>
      <c r="N226" s="59"/>
      <c r="O226" s="59"/>
    </row>
    <row r="227" spans="10:15" x14ac:dyDescent="0.3">
      <c r="J227"/>
      <c r="K227" s="59"/>
      <c r="L227" s="59"/>
      <c r="M227" s="59"/>
      <c r="N227" s="59"/>
      <c r="O227" s="59"/>
    </row>
    <row r="228" spans="10:15" x14ac:dyDescent="0.3">
      <c r="J228"/>
      <c r="K228" s="59"/>
      <c r="L228" s="59"/>
      <c r="M228" s="59"/>
      <c r="N228" s="59"/>
      <c r="O228" s="59"/>
    </row>
    <row r="229" spans="10:15" x14ac:dyDescent="0.3">
      <c r="J229"/>
      <c r="K229" s="59"/>
      <c r="L229" s="59"/>
      <c r="M229" s="59"/>
      <c r="N229" s="59"/>
      <c r="O229" s="59"/>
    </row>
    <row r="230" spans="10:15" x14ac:dyDescent="0.3">
      <c r="J230"/>
      <c r="K230" s="59"/>
      <c r="L230" s="59"/>
      <c r="M230" s="59"/>
      <c r="N230" s="59"/>
      <c r="O230" s="59"/>
    </row>
    <row r="231" spans="10:15" x14ac:dyDescent="0.3">
      <c r="J231"/>
      <c r="K231" s="59"/>
      <c r="L231" s="59"/>
      <c r="M231" s="59"/>
      <c r="N231" s="59"/>
      <c r="O231" s="59"/>
    </row>
    <row r="232" spans="10:15" x14ac:dyDescent="0.3">
      <c r="J232"/>
      <c r="K232" s="59"/>
      <c r="L232" s="59"/>
      <c r="M232" s="59"/>
      <c r="N232" s="59"/>
      <c r="O232" s="59"/>
    </row>
    <row r="233" spans="10:15" x14ac:dyDescent="0.3">
      <c r="J233"/>
      <c r="K233" s="59"/>
      <c r="L233" s="59"/>
      <c r="M233" s="59"/>
      <c r="N233" s="59"/>
      <c r="O233" s="59"/>
    </row>
    <row r="234" spans="10:15" x14ac:dyDescent="0.3">
      <c r="J234"/>
      <c r="K234" s="59"/>
      <c r="L234" s="59"/>
      <c r="M234" s="59"/>
      <c r="N234" s="59"/>
      <c r="O234" s="59"/>
    </row>
    <row r="235" spans="10:15" x14ac:dyDescent="0.3">
      <c r="J235"/>
      <c r="K235" s="59"/>
      <c r="L235" s="59"/>
      <c r="M235" s="59"/>
      <c r="N235" s="59"/>
      <c r="O235" s="59"/>
    </row>
    <row r="236" spans="10:15" x14ac:dyDescent="0.3">
      <c r="J236"/>
      <c r="K236" s="59"/>
      <c r="L236" s="59"/>
      <c r="M236" s="59"/>
      <c r="N236" s="59"/>
      <c r="O236" s="59"/>
    </row>
    <row r="237" spans="10:15" x14ac:dyDescent="0.3">
      <c r="J237"/>
      <c r="K237" s="59"/>
      <c r="L237" s="59"/>
      <c r="M237" s="59"/>
      <c r="N237" s="59"/>
      <c r="O237" s="59"/>
    </row>
    <row r="238" spans="10:15" x14ac:dyDescent="0.3">
      <c r="J238"/>
      <c r="K238" s="59"/>
      <c r="L238" s="59"/>
      <c r="M238" s="59"/>
      <c r="N238" s="59"/>
      <c r="O238" s="59"/>
    </row>
    <row r="239" spans="10:15" x14ac:dyDescent="0.3">
      <c r="J239"/>
      <c r="K239" s="59"/>
      <c r="L239" s="59"/>
      <c r="M239" s="59"/>
      <c r="N239" s="59"/>
      <c r="O239" s="59"/>
    </row>
    <row r="240" spans="10:15" x14ac:dyDescent="0.3">
      <c r="J240"/>
      <c r="K240" s="59"/>
      <c r="L240" s="59"/>
      <c r="M240" s="59"/>
      <c r="N240" s="59"/>
      <c r="O240" s="59"/>
    </row>
    <row r="241" spans="10:15" x14ac:dyDescent="0.3">
      <c r="J241"/>
      <c r="K241" s="59"/>
      <c r="L241" s="59"/>
      <c r="M241" s="59"/>
      <c r="N241" s="59"/>
      <c r="O241" s="59"/>
    </row>
    <row r="242" spans="10:15" x14ac:dyDescent="0.3">
      <c r="J242"/>
      <c r="K242" s="59"/>
      <c r="L242" s="59"/>
      <c r="M242" s="59"/>
      <c r="N242" s="59"/>
      <c r="O242" s="59"/>
    </row>
    <row r="243" spans="10:15" x14ac:dyDescent="0.3">
      <c r="J243"/>
      <c r="K243" s="59"/>
      <c r="L243" s="59"/>
      <c r="M243" s="59"/>
      <c r="N243" s="59"/>
      <c r="O243" s="59"/>
    </row>
    <row r="244" spans="10:15" x14ac:dyDescent="0.3">
      <c r="J244"/>
      <c r="K244" s="59"/>
      <c r="L244" s="59"/>
      <c r="M244" s="59"/>
      <c r="N244" s="59"/>
      <c r="O244" s="59"/>
    </row>
    <row r="245" spans="10:15" x14ac:dyDescent="0.3">
      <c r="J245"/>
      <c r="K245" s="59"/>
      <c r="L245" s="59"/>
      <c r="M245" s="59"/>
      <c r="N245" s="59"/>
      <c r="O245" s="59"/>
    </row>
    <row r="246" spans="10:15" x14ac:dyDescent="0.3">
      <c r="J246"/>
      <c r="K246" s="59"/>
      <c r="L246" s="59"/>
      <c r="M246" s="59"/>
      <c r="N246" s="59"/>
      <c r="O246" s="59"/>
    </row>
    <row r="247" spans="10:15" x14ac:dyDescent="0.3">
      <c r="J247"/>
      <c r="K247" s="59"/>
      <c r="L247" s="59"/>
      <c r="M247" s="59"/>
      <c r="N247" s="59"/>
      <c r="O247" s="59"/>
    </row>
    <row r="248" spans="10:15" x14ac:dyDescent="0.3">
      <c r="J248"/>
      <c r="K248" s="59"/>
      <c r="L248" s="59"/>
      <c r="M248" s="59"/>
      <c r="N248" s="59"/>
      <c r="O248" s="59"/>
    </row>
    <row r="249" spans="10:15" x14ac:dyDescent="0.3">
      <c r="J249"/>
      <c r="K249" s="59"/>
      <c r="L249" s="59"/>
      <c r="M249" s="59"/>
      <c r="N249" s="59"/>
      <c r="O249" s="59"/>
    </row>
    <row r="250" spans="10:15" x14ac:dyDescent="0.3">
      <c r="J250"/>
      <c r="K250" s="59"/>
      <c r="L250" s="59"/>
      <c r="M250" s="59"/>
      <c r="N250" s="59"/>
      <c r="O250" s="59"/>
    </row>
    <row r="251" spans="10:15" x14ac:dyDescent="0.3">
      <c r="J251"/>
      <c r="K251" s="59"/>
      <c r="L251" s="59"/>
      <c r="M251" s="59"/>
      <c r="N251" s="59"/>
      <c r="O251" s="59"/>
    </row>
    <row r="252" spans="10:15" x14ac:dyDescent="0.3">
      <c r="J252"/>
      <c r="K252" s="59"/>
      <c r="L252" s="59"/>
      <c r="M252" s="59"/>
      <c r="N252" s="59"/>
      <c r="O252" s="59"/>
    </row>
    <row r="253" spans="10:15" x14ac:dyDescent="0.3">
      <c r="J253"/>
      <c r="K253" s="59"/>
      <c r="L253" s="59"/>
      <c r="M253" s="59"/>
      <c r="N253" s="59"/>
      <c r="O253" s="59"/>
    </row>
    <row r="254" spans="10:15" x14ac:dyDescent="0.3">
      <c r="J254"/>
      <c r="K254" s="59"/>
      <c r="L254" s="59"/>
      <c r="M254" s="59"/>
      <c r="N254" s="59"/>
      <c r="O254" s="59"/>
    </row>
    <row r="255" spans="10:15" x14ac:dyDescent="0.3">
      <c r="J255"/>
      <c r="K255" s="59"/>
      <c r="L255" s="59"/>
      <c r="M255" s="59"/>
      <c r="N255" s="59"/>
      <c r="O255" s="59"/>
    </row>
    <row r="256" spans="10:15" x14ac:dyDescent="0.3">
      <c r="J256"/>
      <c r="K256" s="59"/>
      <c r="L256" s="59"/>
      <c r="M256" s="59"/>
      <c r="N256" s="59"/>
      <c r="O256" s="59"/>
    </row>
    <row r="257" spans="10:15" x14ac:dyDescent="0.3">
      <c r="J257"/>
      <c r="K257" s="59"/>
      <c r="L257" s="59"/>
      <c r="M257" s="59"/>
      <c r="N257" s="59"/>
      <c r="O257" s="59"/>
    </row>
    <row r="258" spans="10:15" x14ac:dyDescent="0.3">
      <c r="J258"/>
      <c r="K258" s="59"/>
      <c r="L258" s="59"/>
      <c r="M258" s="59"/>
      <c r="N258" s="59"/>
      <c r="O258" s="59"/>
    </row>
    <row r="259" spans="10:15" x14ac:dyDescent="0.3">
      <c r="J259"/>
      <c r="K259" s="59"/>
      <c r="L259" s="59"/>
      <c r="M259" s="59"/>
      <c r="N259" s="59"/>
      <c r="O259" s="59"/>
    </row>
    <row r="260" spans="10:15" x14ac:dyDescent="0.3">
      <c r="J260"/>
      <c r="K260" s="59"/>
      <c r="L260" s="59"/>
      <c r="M260" s="59"/>
      <c r="N260" s="59"/>
      <c r="O260" s="59"/>
    </row>
    <row r="261" spans="10:15" x14ac:dyDescent="0.3">
      <c r="J261"/>
      <c r="K261" s="59"/>
      <c r="L261" s="59"/>
      <c r="M261" s="59"/>
      <c r="N261" s="59"/>
      <c r="O261" s="59"/>
    </row>
    <row r="262" spans="10:15" x14ac:dyDescent="0.3">
      <c r="J262"/>
      <c r="K262" s="59"/>
      <c r="L262" s="59"/>
      <c r="M262" s="59"/>
      <c r="N262" s="59"/>
      <c r="O262" s="59"/>
    </row>
    <row r="263" spans="10:15" x14ac:dyDescent="0.3">
      <c r="J263"/>
      <c r="K263" s="59"/>
      <c r="L263" s="59"/>
      <c r="M263" s="59"/>
      <c r="N263" s="59"/>
      <c r="O263" s="59"/>
    </row>
    <row r="264" spans="10:15" x14ac:dyDescent="0.3">
      <c r="J264"/>
      <c r="K264" s="59"/>
      <c r="L264" s="59"/>
      <c r="M264" s="59"/>
      <c r="N264" s="59"/>
      <c r="O264" s="59"/>
    </row>
    <row r="265" spans="10:15" x14ac:dyDescent="0.3">
      <c r="J265"/>
      <c r="K265" s="59"/>
      <c r="L265" s="59"/>
      <c r="M265" s="59"/>
      <c r="N265" s="59"/>
      <c r="O265" s="59"/>
    </row>
    <row r="266" spans="10:15" x14ac:dyDescent="0.3">
      <c r="J266"/>
      <c r="K266" s="59"/>
      <c r="L266" s="59"/>
      <c r="M266" s="59"/>
      <c r="N266" s="59"/>
      <c r="O266" s="59"/>
    </row>
    <row r="267" spans="10:15" x14ac:dyDescent="0.3">
      <c r="J267"/>
      <c r="K267" s="59"/>
      <c r="L267" s="59"/>
      <c r="M267" s="59"/>
      <c r="N267" s="59"/>
      <c r="O267" s="59"/>
    </row>
    <row r="268" spans="10:15" x14ac:dyDescent="0.3">
      <c r="J268"/>
      <c r="K268" s="59"/>
      <c r="L268" s="59"/>
      <c r="M268" s="59"/>
      <c r="N268" s="59"/>
      <c r="O268" s="59"/>
    </row>
    <row r="269" spans="10:15" x14ac:dyDescent="0.3">
      <c r="J269"/>
      <c r="K269" s="59"/>
      <c r="L269" s="59"/>
      <c r="M269" s="59"/>
      <c r="N269" s="59"/>
      <c r="O269" s="59"/>
    </row>
    <row r="270" spans="10:15" x14ac:dyDescent="0.3">
      <c r="J270"/>
      <c r="K270" s="59"/>
      <c r="L270" s="59"/>
      <c r="M270" s="59"/>
      <c r="N270" s="59"/>
      <c r="O270" s="59"/>
    </row>
    <row r="271" spans="10:15" x14ac:dyDescent="0.3">
      <c r="J271"/>
      <c r="K271" s="59"/>
      <c r="L271" s="59"/>
      <c r="M271" s="59"/>
      <c r="N271" s="59"/>
      <c r="O271" s="59"/>
    </row>
    <row r="272" spans="10:15" x14ac:dyDescent="0.3">
      <c r="J272"/>
      <c r="K272" s="59"/>
      <c r="L272" s="59"/>
      <c r="M272" s="59"/>
      <c r="N272" s="59"/>
      <c r="O272" s="59"/>
    </row>
    <row r="273" spans="10:15" x14ac:dyDescent="0.3">
      <c r="J273"/>
      <c r="K273" s="59"/>
      <c r="L273" s="59"/>
      <c r="M273" s="59"/>
      <c r="N273" s="59"/>
      <c r="O273" s="59"/>
    </row>
    <row r="274" spans="10:15" x14ac:dyDescent="0.3">
      <c r="J274"/>
      <c r="K274" s="59"/>
      <c r="L274" s="59"/>
      <c r="M274" s="59"/>
      <c r="N274" s="59"/>
      <c r="O274" s="59"/>
    </row>
    <row r="275" spans="10:15" x14ac:dyDescent="0.3">
      <c r="J275"/>
      <c r="K275" s="59"/>
      <c r="L275" s="59"/>
      <c r="M275" s="59"/>
      <c r="N275" s="59"/>
      <c r="O275" s="59"/>
    </row>
    <row r="276" spans="10:15" x14ac:dyDescent="0.3">
      <c r="J276"/>
      <c r="K276" s="59"/>
      <c r="L276" s="59"/>
      <c r="M276" s="59"/>
      <c r="N276" s="59"/>
      <c r="O276" s="59"/>
    </row>
    <row r="277" spans="10:15" x14ac:dyDescent="0.3">
      <c r="J277"/>
      <c r="K277" s="59"/>
      <c r="L277" s="59"/>
      <c r="M277" s="59"/>
      <c r="N277" s="59"/>
      <c r="O277" s="59"/>
    </row>
    <row r="278" spans="10:15" x14ac:dyDescent="0.3">
      <c r="J278"/>
      <c r="K278" s="59"/>
      <c r="L278" s="59"/>
      <c r="M278" s="59"/>
      <c r="N278" s="59"/>
      <c r="O278" s="59"/>
    </row>
    <row r="279" spans="10:15" x14ac:dyDescent="0.3">
      <c r="J279"/>
      <c r="K279" s="59"/>
      <c r="L279" s="59"/>
      <c r="M279" s="59"/>
      <c r="N279" s="59"/>
      <c r="O279" s="59"/>
    </row>
    <row r="280" spans="10:15" x14ac:dyDescent="0.3">
      <c r="J280"/>
      <c r="K280" s="59"/>
      <c r="L280" s="59"/>
      <c r="M280" s="59"/>
      <c r="N280" s="59"/>
      <c r="O280" s="59"/>
    </row>
    <row r="281" spans="10:15" x14ac:dyDescent="0.3">
      <c r="J281"/>
      <c r="K281" s="59"/>
      <c r="L281" s="59"/>
      <c r="M281" s="59"/>
      <c r="N281" s="59"/>
      <c r="O281" s="59"/>
    </row>
    <row r="282" spans="10:15" x14ac:dyDescent="0.3">
      <c r="J282"/>
      <c r="K282" s="59"/>
      <c r="L282" s="59"/>
      <c r="M282" s="59"/>
      <c r="N282" s="59"/>
      <c r="O282" s="59"/>
    </row>
    <row r="283" spans="10:15" x14ac:dyDescent="0.3">
      <c r="J283"/>
      <c r="K283" s="59"/>
      <c r="L283" s="59"/>
      <c r="M283" s="59"/>
      <c r="N283" s="59"/>
      <c r="O283" s="59"/>
    </row>
    <row r="284" spans="10:15" x14ac:dyDescent="0.3">
      <c r="J284"/>
      <c r="K284" s="59"/>
      <c r="L284" s="59"/>
      <c r="M284" s="59"/>
      <c r="N284" s="59"/>
      <c r="O284" s="59"/>
    </row>
    <row r="285" spans="10:15" x14ac:dyDescent="0.3">
      <c r="J285"/>
      <c r="K285" s="59"/>
      <c r="L285" s="59"/>
      <c r="M285" s="59"/>
      <c r="N285" s="59"/>
      <c r="O285" s="59"/>
    </row>
    <row r="286" spans="10:15" x14ac:dyDescent="0.3">
      <c r="J286"/>
      <c r="K286" s="59"/>
      <c r="L286" s="59"/>
      <c r="M286" s="59"/>
      <c r="N286" s="59"/>
      <c r="O286" s="59"/>
    </row>
    <row r="287" spans="10:15" x14ac:dyDescent="0.3">
      <c r="J287"/>
      <c r="K287" s="59"/>
      <c r="L287" s="59"/>
      <c r="M287" s="59"/>
      <c r="N287" s="59"/>
      <c r="O287" s="59"/>
    </row>
    <row r="288" spans="10:15" x14ac:dyDescent="0.3">
      <c r="J288"/>
      <c r="K288" s="59"/>
      <c r="L288" s="59"/>
      <c r="M288" s="59"/>
      <c r="N288" s="59"/>
      <c r="O288" s="59"/>
    </row>
    <row r="289" spans="10:15" x14ac:dyDescent="0.3">
      <c r="J289"/>
      <c r="K289" s="59"/>
      <c r="L289" s="59"/>
      <c r="M289" s="59"/>
      <c r="N289" s="59"/>
      <c r="O289" s="59"/>
    </row>
    <row r="290" spans="10:15" x14ac:dyDescent="0.3">
      <c r="J290"/>
      <c r="K290" s="59"/>
      <c r="L290" s="59"/>
      <c r="M290" s="59"/>
      <c r="N290" s="59"/>
      <c r="O290" s="59"/>
    </row>
    <row r="291" spans="10:15" x14ac:dyDescent="0.3">
      <c r="J291"/>
      <c r="K291" s="59"/>
      <c r="L291" s="59"/>
      <c r="M291" s="59"/>
      <c r="N291" s="59"/>
      <c r="O291" s="59"/>
    </row>
    <row r="292" spans="10:15" x14ac:dyDescent="0.3">
      <c r="J292"/>
      <c r="K292" s="59"/>
      <c r="L292" s="59"/>
      <c r="M292" s="59"/>
      <c r="N292" s="59"/>
      <c r="O292" s="59"/>
    </row>
    <row r="293" spans="10:15" x14ac:dyDescent="0.3">
      <c r="J293"/>
      <c r="K293" s="59"/>
      <c r="L293" s="59"/>
      <c r="M293" s="59"/>
      <c r="N293" s="59"/>
      <c r="O293" s="59"/>
    </row>
    <row r="294" spans="10:15" x14ac:dyDescent="0.3">
      <c r="J294"/>
      <c r="K294" s="59"/>
      <c r="L294" s="59"/>
      <c r="M294" s="59"/>
      <c r="N294" s="59"/>
      <c r="O294" s="59"/>
    </row>
    <row r="295" spans="10:15" x14ac:dyDescent="0.3">
      <c r="J295"/>
      <c r="K295" s="59"/>
      <c r="L295" s="59"/>
      <c r="M295" s="59"/>
      <c r="N295" s="59"/>
      <c r="O295" s="59"/>
    </row>
    <row r="296" spans="10:15" x14ac:dyDescent="0.3">
      <c r="J296"/>
      <c r="K296" s="59"/>
      <c r="L296" s="59"/>
      <c r="M296" s="59"/>
      <c r="N296" s="59"/>
      <c r="O296" s="59"/>
    </row>
    <row r="297" spans="10:15" x14ac:dyDescent="0.3">
      <c r="J297"/>
      <c r="K297" s="59"/>
      <c r="L297" s="59"/>
      <c r="M297" s="59"/>
      <c r="N297" s="59"/>
      <c r="O297" s="59"/>
    </row>
    <row r="298" spans="10:15" x14ac:dyDescent="0.3">
      <c r="J298"/>
      <c r="K298" s="59"/>
      <c r="L298" s="59"/>
      <c r="M298" s="59"/>
      <c r="N298" s="59"/>
      <c r="O298" s="59"/>
    </row>
    <row r="299" spans="10:15" x14ac:dyDescent="0.3">
      <c r="J299"/>
      <c r="K299" s="59"/>
      <c r="L299" s="59"/>
      <c r="M299" s="59"/>
      <c r="N299" s="59"/>
      <c r="O299" s="59"/>
    </row>
    <row r="300" spans="10:15" x14ac:dyDescent="0.3">
      <c r="J300"/>
      <c r="K300" s="59"/>
      <c r="L300" s="59"/>
      <c r="M300" s="59"/>
      <c r="N300" s="59"/>
      <c r="O300" s="59"/>
    </row>
    <row r="301" spans="10:15" x14ac:dyDescent="0.3">
      <c r="J301"/>
      <c r="K301" s="59"/>
      <c r="L301" s="59"/>
      <c r="M301" s="59"/>
      <c r="N301" s="59"/>
      <c r="O301" s="59"/>
    </row>
    <row r="302" spans="10:15" x14ac:dyDescent="0.3">
      <c r="J302"/>
      <c r="K302" s="59"/>
      <c r="L302" s="59"/>
      <c r="M302" s="59"/>
      <c r="N302" s="59"/>
      <c r="O302" s="59"/>
    </row>
    <row r="303" spans="10:15" x14ac:dyDescent="0.3">
      <c r="J303"/>
      <c r="K303" s="59"/>
      <c r="L303" s="59"/>
      <c r="M303" s="59"/>
      <c r="N303" s="59"/>
      <c r="O303" s="59"/>
    </row>
    <row r="304" spans="10:15" x14ac:dyDescent="0.3">
      <c r="J304"/>
      <c r="K304" s="59"/>
      <c r="L304" s="59"/>
      <c r="M304" s="59"/>
      <c r="N304" s="59"/>
      <c r="O304" s="59"/>
    </row>
    <row r="305" spans="10:15" x14ac:dyDescent="0.3">
      <c r="J305"/>
      <c r="K305" s="59"/>
      <c r="L305" s="59"/>
      <c r="M305" s="59"/>
      <c r="N305" s="59"/>
      <c r="O305" s="59"/>
    </row>
    <row r="306" spans="10:15" x14ac:dyDescent="0.3">
      <c r="J306"/>
      <c r="K306" s="59"/>
      <c r="L306" s="59"/>
      <c r="M306" s="59"/>
      <c r="N306" s="59"/>
      <c r="O306" s="59"/>
    </row>
    <row r="307" spans="10:15" x14ac:dyDescent="0.3">
      <c r="J307"/>
      <c r="K307" s="59"/>
      <c r="L307" s="59"/>
      <c r="M307" s="59"/>
      <c r="N307" s="59"/>
      <c r="O307" s="59"/>
    </row>
    <row r="308" spans="10:15" x14ac:dyDescent="0.3">
      <c r="J308"/>
      <c r="K308" s="59"/>
      <c r="L308" s="59"/>
      <c r="M308" s="59"/>
      <c r="N308" s="59"/>
      <c r="O308" s="59"/>
    </row>
    <row r="309" spans="10:15" x14ac:dyDescent="0.3">
      <c r="J309"/>
      <c r="K309" s="59"/>
      <c r="L309" s="59"/>
      <c r="M309" s="59"/>
      <c r="N309" s="59"/>
      <c r="O309" s="59"/>
    </row>
    <row r="310" spans="10:15" x14ac:dyDescent="0.3">
      <c r="J310"/>
      <c r="K310" s="59"/>
      <c r="L310" s="59"/>
      <c r="M310" s="59"/>
      <c r="N310" s="59"/>
      <c r="O310" s="59"/>
    </row>
    <row r="311" spans="10:15" x14ac:dyDescent="0.3">
      <c r="J311"/>
      <c r="K311" s="59"/>
      <c r="L311" s="59"/>
      <c r="M311" s="59"/>
      <c r="N311" s="59"/>
      <c r="O311" s="59"/>
    </row>
    <row r="312" spans="10:15" x14ac:dyDescent="0.3">
      <c r="J312"/>
      <c r="K312" s="59"/>
      <c r="L312" s="59"/>
      <c r="M312" s="59"/>
      <c r="N312" s="59"/>
      <c r="O312" s="59"/>
    </row>
    <row r="313" spans="10:15" x14ac:dyDescent="0.3">
      <c r="J313"/>
      <c r="K313" s="59"/>
      <c r="L313" s="59"/>
      <c r="M313" s="59"/>
      <c r="N313" s="59"/>
      <c r="O313" s="59"/>
    </row>
    <row r="314" spans="10:15" x14ac:dyDescent="0.3">
      <c r="J314"/>
      <c r="K314" s="59"/>
      <c r="L314" s="59"/>
      <c r="M314" s="59"/>
      <c r="N314" s="59"/>
      <c r="O314" s="59"/>
    </row>
    <row r="315" spans="10:15" x14ac:dyDescent="0.3">
      <c r="J315"/>
      <c r="K315" s="59"/>
      <c r="L315" s="59"/>
      <c r="M315" s="59"/>
      <c r="N315" s="59"/>
      <c r="O315" s="59"/>
    </row>
    <row r="316" spans="10:15" x14ac:dyDescent="0.3">
      <c r="J316"/>
      <c r="K316" s="59"/>
      <c r="L316" s="59"/>
      <c r="M316" s="59"/>
      <c r="N316" s="59"/>
      <c r="O316" s="59"/>
    </row>
    <row r="317" spans="10:15" x14ac:dyDescent="0.3">
      <c r="J317"/>
      <c r="K317" s="59"/>
      <c r="L317" s="59"/>
      <c r="M317" s="59"/>
      <c r="N317" s="59"/>
      <c r="O317" s="59"/>
    </row>
    <row r="318" spans="10:15" x14ac:dyDescent="0.3">
      <c r="J318"/>
      <c r="K318" s="59"/>
      <c r="L318" s="59"/>
      <c r="M318" s="59"/>
      <c r="N318" s="59"/>
      <c r="O318" s="59"/>
    </row>
    <row r="319" spans="10:15" x14ac:dyDescent="0.3">
      <c r="J319"/>
      <c r="K319" s="59"/>
      <c r="L319" s="59"/>
      <c r="M319" s="59"/>
      <c r="N319" s="59"/>
      <c r="O319" s="59"/>
    </row>
    <row r="320" spans="10:15" x14ac:dyDescent="0.3">
      <c r="J320"/>
      <c r="K320" s="59"/>
      <c r="L320" s="59"/>
      <c r="M320" s="59"/>
      <c r="N320" s="59"/>
      <c r="O320" s="59"/>
    </row>
    <row r="321" spans="10:15" x14ac:dyDescent="0.3">
      <c r="J321"/>
      <c r="K321" s="59"/>
      <c r="L321" s="59"/>
      <c r="M321" s="59"/>
      <c r="N321" s="59"/>
      <c r="O321" s="59"/>
    </row>
    <row r="322" spans="10:15" x14ac:dyDescent="0.3">
      <c r="J322"/>
      <c r="K322" s="59"/>
      <c r="L322" s="59"/>
      <c r="M322" s="59"/>
      <c r="N322" s="59"/>
      <c r="O322" s="59"/>
    </row>
    <row r="323" spans="10:15" x14ac:dyDescent="0.3">
      <c r="J323"/>
      <c r="K323" s="59"/>
      <c r="L323" s="59"/>
      <c r="M323" s="59"/>
      <c r="N323" s="59"/>
      <c r="O323" s="59"/>
    </row>
    <row r="324" spans="10:15" x14ac:dyDescent="0.3">
      <c r="J324"/>
      <c r="K324" s="59"/>
      <c r="L324" s="59"/>
      <c r="M324" s="59"/>
      <c r="N324" s="59"/>
      <c r="O324" s="59"/>
    </row>
    <row r="325" spans="10:15" x14ac:dyDescent="0.3">
      <c r="J325"/>
      <c r="K325" s="59"/>
      <c r="L325" s="59"/>
      <c r="M325" s="59"/>
      <c r="N325" s="59"/>
      <c r="O325" s="59"/>
    </row>
    <row r="326" spans="10:15" x14ac:dyDescent="0.3">
      <c r="J326"/>
      <c r="K326" s="59"/>
      <c r="L326" s="59"/>
      <c r="M326" s="59"/>
      <c r="N326" s="59"/>
      <c r="O326" s="59"/>
    </row>
    <row r="327" spans="10:15" x14ac:dyDescent="0.3">
      <c r="J327"/>
      <c r="K327" s="59"/>
      <c r="L327" s="59"/>
      <c r="M327" s="59"/>
      <c r="N327" s="59"/>
      <c r="O327" s="59"/>
    </row>
    <row r="328" spans="10:15" x14ac:dyDescent="0.3">
      <c r="J328"/>
      <c r="K328" s="59"/>
      <c r="L328" s="59"/>
      <c r="M328" s="59"/>
      <c r="N328" s="59"/>
      <c r="O328" s="59"/>
    </row>
    <row r="329" spans="10:15" x14ac:dyDescent="0.3">
      <c r="J329"/>
      <c r="K329" s="59"/>
      <c r="L329" s="59"/>
      <c r="M329" s="59"/>
      <c r="N329" s="59"/>
      <c r="O329" s="59"/>
    </row>
    <row r="330" spans="10:15" x14ac:dyDescent="0.3">
      <c r="J330"/>
      <c r="K330" s="59"/>
      <c r="L330" s="59"/>
      <c r="M330" s="59"/>
      <c r="N330" s="59"/>
      <c r="O330" s="59"/>
    </row>
    <row r="331" spans="10:15" x14ac:dyDescent="0.3">
      <c r="J331"/>
      <c r="K331" s="59"/>
      <c r="L331" s="59"/>
      <c r="M331" s="59"/>
      <c r="N331" s="59"/>
      <c r="O331" s="59"/>
    </row>
    <row r="332" spans="10:15" x14ac:dyDescent="0.3">
      <c r="J332"/>
      <c r="K332" s="59"/>
      <c r="L332" s="59"/>
      <c r="M332" s="59"/>
      <c r="N332" s="59"/>
      <c r="O332" s="59"/>
    </row>
    <row r="333" spans="10:15" x14ac:dyDescent="0.3">
      <c r="J333"/>
      <c r="K333" s="59"/>
      <c r="L333" s="59"/>
      <c r="M333" s="59"/>
      <c r="N333" s="59"/>
      <c r="O333" s="59"/>
    </row>
    <row r="334" spans="10:15" x14ac:dyDescent="0.3">
      <c r="J334"/>
      <c r="K334" s="59"/>
      <c r="L334" s="59"/>
      <c r="M334" s="59"/>
      <c r="N334" s="59"/>
      <c r="O334" s="59"/>
    </row>
    <row r="335" spans="10:15" x14ac:dyDescent="0.3">
      <c r="J335"/>
      <c r="K335" s="59"/>
      <c r="L335" s="59"/>
      <c r="M335" s="59"/>
      <c r="N335" s="59"/>
      <c r="O335" s="59"/>
    </row>
    <row r="336" spans="10:15" x14ac:dyDescent="0.3">
      <c r="J336"/>
      <c r="K336" s="59"/>
      <c r="L336" s="59"/>
      <c r="M336" s="59"/>
      <c r="N336" s="59"/>
      <c r="O336" s="59"/>
    </row>
    <row r="337" spans="10:15" x14ac:dyDescent="0.3">
      <c r="J337"/>
      <c r="K337" s="59"/>
      <c r="L337" s="59"/>
      <c r="M337" s="59"/>
      <c r="N337" s="59"/>
      <c r="O337" s="59"/>
    </row>
    <row r="338" spans="10:15" x14ac:dyDescent="0.3">
      <c r="J338"/>
      <c r="K338" s="59"/>
      <c r="L338" s="59"/>
      <c r="M338" s="59"/>
      <c r="N338" s="59"/>
      <c r="O338" s="59"/>
    </row>
    <row r="339" spans="10:15" x14ac:dyDescent="0.3">
      <c r="J339"/>
      <c r="K339" s="59"/>
      <c r="L339" s="59"/>
      <c r="M339" s="59"/>
      <c r="N339" s="59"/>
      <c r="O339" s="59"/>
    </row>
    <row r="340" spans="10:15" x14ac:dyDescent="0.3">
      <c r="J340"/>
      <c r="K340" s="59"/>
      <c r="L340" s="59"/>
      <c r="M340" s="59"/>
      <c r="N340" s="59"/>
      <c r="O340" s="59"/>
    </row>
    <row r="341" spans="10:15" x14ac:dyDescent="0.3">
      <c r="J341"/>
      <c r="K341" s="59"/>
      <c r="L341" s="59"/>
      <c r="M341" s="59"/>
      <c r="N341" s="59"/>
      <c r="O341" s="59"/>
    </row>
    <row r="342" spans="10:15" x14ac:dyDescent="0.3">
      <c r="J342"/>
      <c r="K342" s="59"/>
      <c r="L342" s="59"/>
      <c r="M342" s="59"/>
      <c r="N342" s="59"/>
      <c r="O342" s="59"/>
    </row>
    <row r="343" spans="10:15" x14ac:dyDescent="0.3">
      <c r="J343"/>
      <c r="K343" s="59"/>
      <c r="L343" s="59"/>
      <c r="M343" s="59"/>
      <c r="N343" s="59"/>
      <c r="O343" s="59"/>
    </row>
    <row r="344" spans="10:15" x14ac:dyDescent="0.3">
      <c r="J344"/>
      <c r="K344" s="59"/>
      <c r="L344" s="59"/>
      <c r="M344" s="59"/>
      <c r="N344" s="59"/>
      <c r="O344" s="59"/>
    </row>
    <row r="345" spans="10:15" x14ac:dyDescent="0.3">
      <c r="J345"/>
      <c r="K345" s="59"/>
      <c r="L345" s="59"/>
      <c r="M345" s="59"/>
      <c r="N345" s="59"/>
      <c r="O345" s="59"/>
    </row>
    <row r="346" spans="10:15" x14ac:dyDescent="0.3">
      <c r="J346"/>
      <c r="K346" s="59"/>
      <c r="L346" s="59"/>
      <c r="M346" s="59"/>
      <c r="N346" s="59"/>
      <c r="O346" s="59"/>
    </row>
    <row r="347" spans="10:15" x14ac:dyDescent="0.3">
      <c r="J347"/>
      <c r="K347" s="59"/>
      <c r="L347" s="59"/>
      <c r="M347" s="59"/>
      <c r="N347" s="59"/>
      <c r="O347" s="59"/>
    </row>
    <row r="348" spans="10:15" x14ac:dyDescent="0.3">
      <c r="J348"/>
      <c r="K348" s="59"/>
      <c r="L348" s="59"/>
      <c r="M348" s="59"/>
      <c r="N348" s="59"/>
      <c r="O348" s="59"/>
    </row>
    <row r="349" spans="10:15" x14ac:dyDescent="0.3">
      <c r="J349"/>
      <c r="K349" s="59"/>
      <c r="L349" s="59"/>
      <c r="M349" s="59"/>
      <c r="N349" s="59"/>
      <c r="O349" s="59"/>
    </row>
    <row r="350" spans="10:15" x14ac:dyDescent="0.3">
      <c r="J350"/>
      <c r="K350" s="59"/>
      <c r="L350" s="59"/>
      <c r="M350" s="59"/>
      <c r="N350" s="59"/>
      <c r="O350" s="59"/>
    </row>
    <row r="351" spans="10:15" x14ac:dyDescent="0.3">
      <c r="J351"/>
      <c r="K351" s="59"/>
      <c r="L351" s="59"/>
      <c r="M351" s="59"/>
      <c r="N351" s="59"/>
      <c r="O351" s="59"/>
    </row>
    <row r="352" spans="10:15" x14ac:dyDescent="0.3">
      <c r="J352"/>
      <c r="K352" s="59"/>
      <c r="L352" s="59"/>
      <c r="M352" s="59"/>
      <c r="N352" s="59"/>
      <c r="O352" s="59"/>
    </row>
    <row r="353" spans="10:15" x14ac:dyDescent="0.3">
      <c r="J353"/>
      <c r="K353" s="59"/>
      <c r="L353" s="59"/>
      <c r="M353" s="59"/>
      <c r="N353" s="59"/>
      <c r="O353" s="59"/>
    </row>
    <row r="354" spans="10:15" x14ac:dyDescent="0.3">
      <c r="J354"/>
      <c r="K354" s="59"/>
      <c r="L354" s="59"/>
      <c r="M354" s="59"/>
      <c r="N354" s="59"/>
      <c r="O354" s="59"/>
    </row>
    <row r="355" spans="10:15" x14ac:dyDescent="0.3">
      <c r="J355"/>
      <c r="K355" s="59"/>
      <c r="L355" s="59"/>
      <c r="M355" s="59"/>
      <c r="N355" s="59"/>
      <c r="O355" s="59"/>
    </row>
    <row r="356" spans="10:15" x14ac:dyDescent="0.3">
      <c r="J356"/>
      <c r="K356" s="59"/>
      <c r="L356" s="59"/>
      <c r="M356" s="59"/>
      <c r="N356" s="59"/>
      <c r="O356" s="59"/>
    </row>
    <row r="357" spans="10:15" x14ac:dyDescent="0.3">
      <c r="J357"/>
      <c r="K357" s="59"/>
      <c r="L357" s="59"/>
      <c r="M357" s="59"/>
      <c r="N357" s="59"/>
      <c r="O357" s="59"/>
    </row>
    <row r="358" spans="10:15" x14ac:dyDescent="0.3">
      <c r="J358"/>
      <c r="K358" s="59"/>
      <c r="L358" s="59"/>
      <c r="M358" s="59"/>
      <c r="N358" s="59"/>
      <c r="O358" s="59"/>
    </row>
    <row r="359" spans="10:15" x14ac:dyDescent="0.3">
      <c r="J359"/>
      <c r="K359" s="59"/>
      <c r="L359" s="59"/>
      <c r="M359" s="59"/>
      <c r="N359" s="59"/>
      <c r="O359" s="59"/>
    </row>
    <row r="360" spans="10:15" x14ac:dyDescent="0.3">
      <c r="J360"/>
      <c r="K360" s="59"/>
      <c r="L360" s="59"/>
      <c r="M360" s="59"/>
      <c r="N360" s="59"/>
      <c r="O360" s="59"/>
    </row>
    <row r="361" spans="10:15" x14ac:dyDescent="0.3">
      <c r="J361"/>
      <c r="K361" s="59"/>
      <c r="L361" s="59"/>
      <c r="M361" s="59"/>
      <c r="N361" s="59"/>
      <c r="O361" s="59"/>
    </row>
    <row r="362" spans="10:15" x14ac:dyDescent="0.3">
      <c r="J362"/>
      <c r="K362" s="59"/>
      <c r="L362" s="59"/>
      <c r="M362" s="59"/>
      <c r="N362" s="59"/>
      <c r="O362" s="59"/>
    </row>
    <row r="363" spans="10:15" x14ac:dyDescent="0.3">
      <c r="J363"/>
      <c r="K363" s="59"/>
      <c r="L363" s="59"/>
      <c r="M363" s="59"/>
      <c r="N363" s="59"/>
      <c r="O363" s="59"/>
    </row>
    <row r="364" spans="10:15" x14ac:dyDescent="0.3">
      <c r="J364"/>
      <c r="K364" s="59"/>
      <c r="L364" s="59"/>
      <c r="M364" s="59"/>
      <c r="N364" s="59"/>
      <c r="O364" s="59"/>
    </row>
    <row r="365" spans="10:15" x14ac:dyDescent="0.3">
      <c r="J365"/>
      <c r="K365" s="59"/>
      <c r="L365" s="59"/>
      <c r="M365" s="59"/>
      <c r="N365" s="59"/>
      <c r="O365" s="59"/>
    </row>
    <row r="366" spans="10:15" x14ac:dyDescent="0.3">
      <c r="J366"/>
      <c r="K366" s="59"/>
      <c r="L366" s="59"/>
      <c r="M366" s="59"/>
      <c r="N366" s="59"/>
      <c r="O366" s="59"/>
    </row>
    <row r="367" spans="10:15" x14ac:dyDescent="0.3">
      <c r="J367"/>
      <c r="K367" s="59"/>
      <c r="L367" s="59"/>
      <c r="M367" s="59"/>
      <c r="N367" s="59"/>
      <c r="O367" s="59"/>
    </row>
    <row r="368" spans="10:15" x14ac:dyDescent="0.3">
      <c r="J368"/>
      <c r="K368" s="59"/>
      <c r="L368" s="59"/>
      <c r="M368" s="59"/>
      <c r="N368" s="59"/>
      <c r="O368" s="59"/>
    </row>
    <row r="369" spans="10:15" x14ac:dyDescent="0.3">
      <c r="J369"/>
      <c r="K369" s="59"/>
      <c r="L369" s="59"/>
      <c r="M369" s="59"/>
      <c r="N369" s="59"/>
      <c r="O369" s="59"/>
    </row>
    <row r="370" spans="10:15" x14ac:dyDescent="0.3">
      <c r="J370"/>
      <c r="K370" s="59"/>
      <c r="L370" s="59"/>
      <c r="M370" s="59"/>
      <c r="N370" s="59"/>
      <c r="O370" s="59"/>
    </row>
    <row r="371" spans="10:15" x14ac:dyDescent="0.3">
      <c r="J371"/>
      <c r="K371" s="59"/>
      <c r="L371" s="59"/>
      <c r="M371" s="59"/>
      <c r="N371" s="59"/>
      <c r="O371" s="59"/>
    </row>
    <row r="372" spans="10:15" x14ac:dyDescent="0.3">
      <c r="J372"/>
      <c r="K372" s="59"/>
      <c r="L372" s="59"/>
      <c r="M372" s="59"/>
      <c r="N372" s="59"/>
      <c r="O372" s="59"/>
    </row>
    <row r="373" spans="10:15" x14ac:dyDescent="0.3">
      <c r="J373"/>
      <c r="K373" s="59"/>
      <c r="L373" s="59"/>
      <c r="M373" s="59"/>
      <c r="N373" s="59"/>
      <c r="O373" s="59"/>
    </row>
    <row r="374" spans="10:15" x14ac:dyDescent="0.3">
      <c r="J374"/>
      <c r="K374" s="59"/>
      <c r="L374" s="59"/>
      <c r="M374" s="59"/>
      <c r="N374" s="59"/>
      <c r="O374" s="59"/>
    </row>
    <row r="375" spans="10:15" x14ac:dyDescent="0.3">
      <c r="J375"/>
      <c r="K375" s="59"/>
      <c r="L375" s="59"/>
      <c r="M375" s="59"/>
      <c r="N375" s="59"/>
      <c r="O375" s="59"/>
    </row>
    <row r="376" spans="10:15" x14ac:dyDescent="0.3">
      <c r="J376"/>
      <c r="K376" s="59"/>
      <c r="L376" s="59"/>
      <c r="M376" s="59"/>
      <c r="N376" s="59"/>
      <c r="O376" s="59"/>
    </row>
    <row r="377" spans="10:15" x14ac:dyDescent="0.3">
      <c r="J377"/>
      <c r="K377" s="59"/>
      <c r="L377" s="59"/>
      <c r="M377" s="59"/>
      <c r="N377" s="59"/>
      <c r="O377" s="59"/>
    </row>
    <row r="378" spans="10:15" x14ac:dyDescent="0.3">
      <c r="J378"/>
      <c r="K378" s="59"/>
      <c r="L378" s="59"/>
      <c r="M378" s="59"/>
      <c r="N378" s="59"/>
      <c r="O378" s="59"/>
    </row>
    <row r="379" spans="10:15" x14ac:dyDescent="0.3">
      <c r="J379"/>
      <c r="K379" s="59"/>
      <c r="L379" s="59"/>
      <c r="M379" s="59"/>
      <c r="N379" s="59"/>
      <c r="O379" s="59"/>
    </row>
    <row r="380" spans="10:15" x14ac:dyDescent="0.3">
      <c r="J380"/>
      <c r="K380" s="59"/>
      <c r="L380" s="59"/>
      <c r="M380" s="59"/>
      <c r="N380" s="59"/>
      <c r="O380" s="59"/>
    </row>
    <row r="381" spans="10:15" x14ac:dyDescent="0.3">
      <c r="J381"/>
      <c r="K381" s="59"/>
      <c r="L381" s="59"/>
      <c r="M381" s="59"/>
      <c r="N381" s="59"/>
      <c r="O381" s="59"/>
    </row>
    <row r="382" spans="10:15" x14ac:dyDescent="0.3">
      <c r="J382"/>
      <c r="K382" s="59"/>
      <c r="L382" s="59"/>
      <c r="M382" s="59"/>
      <c r="N382" s="59"/>
      <c r="O382" s="59"/>
    </row>
    <row r="383" spans="10:15" x14ac:dyDescent="0.3">
      <c r="J383"/>
      <c r="K383" s="59"/>
      <c r="L383" s="59"/>
      <c r="M383" s="59"/>
      <c r="N383" s="59"/>
      <c r="O383" s="59"/>
    </row>
    <row r="384" spans="10:15" x14ac:dyDescent="0.3">
      <c r="J384"/>
      <c r="K384" s="59"/>
      <c r="L384" s="59"/>
      <c r="M384" s="59"/>
      <c r="N384" s="59"/>
      <c r="O384" s="59"/>
    </row>
    <row r="385" spans="10:15" x14ac:dyDescent="0.3">
      <c r="J385"/>
      <c r="K385" s="59"/>
      <c r="L385" s="59"/>
      <c r="M385" s="59"/>
      <c r="N385" s="59"/>
      <c r="O385" s="59"/>
    </row>
    <row r="386" spans="10:15" x14ac:dyDescent="0.3">
      <c r="J386"/>
      <c r="K386" s="59"/>
      <c r="L386" s="59"/>
      <c r="M386" s="59"/>
      <c r="N386" s="59"/>
      <c r="O386" s="59"/>
    </row>
    <row r="387" spans="10:15" x14ac:dyDescent="0.3">
      <c r="J387"/>
      <c r="K387" s="59"/>
      <c r="L387" s="59"/>
      <c r="M387" s="59"/>
      <c r="N387" s="59"/>
      <c r="O387" s="59"/>
    </row>
    <row r="388" spans="10:15" x14ac:dyDescent="0.3">
      <c r="J388"/>
      <c r="K388" s="59"/>
      <c r="L388" s="59"/>
      <c r="M388" s="59"/>
      <c r="N388" s="59"/>
      <c r="O388" s="59"/>
    </row>
    <row r="389" spans="10:15" x14ac:dyDescent="0.3">
      <c r="J389"/>
      <c r="K389" s="59"/>
      <c r="L389" s="59"/>
      <c r="M389" s="59"/>
      <c r="N389" s="59"/>
      <c r="O389" s="59"/>
    </row>
    <row r="390" spans="10:15" x14ac:dyDescent="0.3">
      <c r="J390"/>
      <c r="K390" s="59"/>
      <c r="L390" s="59"/>
      <c r="M390" s="59"/>
      <c r="N390" s="59"/>
      <c r="O390" s="59"/>
    </row>
    <row r="391" spans="10:15" x14ac:dyDescent="0.3">
      <c r="J391"/>
      <c r="K391" s="59"/>
      <c r="L391" s="59"/>
      <c r="M391" s="59"/>
      <c r="N391" s="59"/>
      <c r="O391" s="59"/>
    </row>
    <row r="392" spans="10:15" x14ac:dyDescent="0.3">
      <c r="J392"/>
      <c r="K392" s="59"/>
      <c r="L392" s="59"/>
      <c r="M392" s="59"/>
      <c r="N392" s="59"/>
      <c r="O392" s="59"/>
    </row>
    <row r="393" spans="10:15" x14ac:dyDescent="0.3">
      <c r="J393"/>
      <c r="K393" s="59"/>
      <c r="L393" s="59"/>
      <c r="M393" s="59"/>
      <c r="N393" s="59"/>
      <c r="O393" s="59"/>
    </row>
    <row r="394" spans="10:15" x14ac:dyDescent="0.3">
      <c r="J394"/>
      <c r="K394" s="59"/>
      <c r="L394" s="59"/>
      <c r="M394" s="59"/>
      <c r="N394" s="59"/>
      <c r="O394" s="59"/>
    </row>
    <row r="395" spans="10:15" x14ac:dyDescent="0.3">
      <c r="J395"/>
      <c r="K395" s="59"/>
      <c r="L395" s="59"/>
      <c r="M395" s="59"/>
      <c r="N395" s="59"/>
      <c r="O395" s="59"/>
    </row>
    <row r="396" spans="10:15" x14ac:dyDescent="0.3">
      <c r="J396"/>
      <c r="K396" s="59"/>
      <c r="L396" s="59"/>
      <c r="M396" s="59"/>
      <c r="N396" s="59"/>
      <c r="O396" s="59"/>
    </row>
    <row r="397" spans="10:15" x14ac:dyDescent="0.3">
      <c r="J397"/>
      <c r="K397" s="59"/>
      <c r="L397" s="59"/>
      <c r="M397" s="59"/>
      <c r="N397" s="59"/>
      <c r="O397" s="59"/>
    </row>
    <row r="398" spans="10:15" x14ac:dyDescent="0.3">
      <c r="J398"/>
      <c r="K398" s="59"/>
      <c r="L398" s="59"/>
      <c r="M398" s="59"/>
      <c r="N398" s="59"/>
      <c r="O398" s="59"/>
    </row>
    <row r="399" spans="10:15" x14ac:dyDescent="0.3">
      <c r="J399"/>
      <c r="K399" s="59"/>
      <c r="L399" s="59"/>
      <c r="M399" s="59"/>
      <c r="N399" s="59"/>
      <c r="O399" s="59"/>
    </row>
    <row r="400" spans="10:15" x14ac:dyDescent="0.3">
      <c r="J400"/>
      <c r="K400" s="59"/>
      <c r="L400" s="59"/>
      <c r="M400" s="59"/>
      <c r="N400" s="59"/>
      <c r="O400" s="59"/>
    </row>
    <row r="401" spans="10:15" x14ac:dyDescent="0.3">
      <c r="J401"/>
      <c r="K401" s="59"/>
      <c r="L401" s="59"/>
      <c r="M401" s="59"/>
      <c r="N401" s="59"/>
      <c r="O401" s="59"/>
    </row>
    <row r="402" spans="10:15" x14ac:dyDescent="0.3">
      <c r="J402"/>
      <c r="K402" s="59"/>
      <c r="L402" s="59"/>
      <c r="M402" s="59"/>
      <c r="N402" s="59"/>
      <c r="O402" s="59"/>
    </row>
    <row r="403" spans="10:15" x14ac:dyDescent="0.3">
      <c r="J403"/>
      <c r="K403" s="59"/>
      <c r="L403" s="59"/>
      <c r="M403" s="59"/>
      <c r="N403" s="59"/>
      <c r="O403" s="59"/>
    </row>
    <row r="404" spans="10:15" x14ac:dyDescent="0.3">
      <c r="J404"/>
      <c r="K404" s="59"/>
      <c r="L404" s="59"/>
      <c r="M404" s="59"/>
      <c r="N404" s="59"/>
      <c r="O404" s="59"/>
    </row>
    <row r="405" spans="10:15" x14ac:dyDescent="0.3">
      <c r="J405"/>
      <c r="K405" s="59"/>
      <c r="L405" s="59"/>
      <c r="M405" s="59"/>
      <c r="N405" s="59"/>
      <c r="O405" s="59"/>
    </row>
    <row r="406" spans="10:15" x14ac:dyDescent="0.3">
      <c r="J406"/>
      <c r="K406" s="59"/>
      <c r="L406" s="59"/>
      <c r="M406" s="59"/>
      <c r="N406" s="59"/>
      <c r="O406" s="59"/>
    </row>
    <row r="407" spans="10:15" x14ac:dyDescent="0.3">
      <c r="J407"/>
      <c r="K407" s="59"/>
      <c r="L407" s="59"/>
      <c r="M407" s="59"/>
      <c r="N407" s="59"/>
      <c r="O407" s="59"/>
    </row>
    <row r="408" spans="10:15" x14ac:dyDescent="0.3">
      <c r="J408"/>
      <c r="K408" s="59"/>
      <c r="L408" s="59"/>
      <c r="M408" s="59"/>
      <c r="N408" s="59"/>
      <c r="O408" s="59"/>
    </row>
    <row r="409" spans="10:15" x14ac:dyDescent="0.3">
      <c r="J409"/>
      <c r="K409" s="59"/>
      <c r="L409" s="59"/>
      <c r="M409" s="59"/>
      <c r="N409" s="59"/>
      <c r="O409" s="59"/>
    </row>
    <row r="410" spans="10:15" x14ac:dyDescent="0.3">
      <c r="J410"/>
      <c r="K410" s="59"/>
      <c r="L410" s="59"/>
      <c r="M410" s="59"/>
      <c r="N410" s="59"/>
      <c r="O410" s="59"/>
    </row>
    <row r="411" spans="10:15" x14ac:dyDescent="0.3">
      <c r="J411"/>
      <c r="K411" s="59"/>
      <c r="L411" s="59"/>
      <c r="M411" s="59"/>
      <c r="N411" s="59"/>
      <c r="O411" s="59"/>
    </row>
    <row r="412" spans="10:15" x14ac:dyDescent="0.3">
      <c r="J412"/>
      <c r="K412" s="59"/>
      <c r="L412" s="59"/>
      <c r="M412" s="59"/>
      <c r="N412" s="59"/>
      <c r="O412" s="59"/>
    </row>
    <row r="413" spans="10:15" x14ac:dyDescent="0.3">
      <c r="J413"/>
      <c r="K413" s="59"/>
      <c r="L413" s="59"/>
      <c r="M413" s="59"/>
      <c r="N413" s="59"/>
      <c r="O413" s="59"/>
    </row>
    <row r="414" spans="10:15" x14ac:dyDescent="0.3">
      <c r="J414"/>
      <c r="K414" s="59"/>
      <c r="L414" s="59"/>
      <c r="M414" s="59"/>
      <c r="N414" s="59"/>
      <c r="O414" s="59"/>
    </row>
    <row r="415" spans="10:15" x14ac:dyDescent="0.3">
      <c r="J415"/>
      <c r="K415" s="59"/>
      <c r="L415" s="59"/>
      <c r="M415" s="59"/>
      <c r="N415" s="59"/>
      <c r="O415" s="59"/>
    </row>
    <row r="416" spans="10:15" x14ac:dyDescent="0.3">
      <c r="J416"/>
      <c r="K416" s="59"/>
      <c r="L416" s="59"/>
      <c r="M416" s="59"/>
      <c r="N416" s="59"/>
      <c r="O416" s="59"/>
    </row>
    <row r="417" spans="10:15" x14ac:dyDescent="0.3">
      <c r="J417"/>
      <c r="K417" s="59"/>
      <c r="L417" s="59"/>
      <c r="M417" s="59"/>
      <c r="N417" s="59"/>
      <c r="O417" s="59"/>
    </row>
    <row r="418" spans="10:15" x14ac:dyDescent="0.3">
      <c r="J418"/>
      <c r="K418" s="59"/>
      <c r="L418" s="59"/>
      <c r="M418" s="59"/>
      <c r="N418" s="59"/>
      <c r="O418" s="59"/>
    </row>
    <row r="419" spans="10:15" x14ac:dyDescent="0.3">
      <c r="J419"/>
      <c r="K419" s="59"/>
      <c r="L419" s="59"/>
      <c r="M419" s="59"/>
      <c r="N419" s="59"/>
      <c r="O419" s="59"/>
    </row>
    <row r="420" spans="10:15" x14ac:dyDescent="0.3">
      <c r="J420"/>
      <c r="K420" s="59"/>
      <c r="L420" s="59"/>
      <c r="M420" s="59"/>
      <c r="N420" s="59"/>
      <c r="O420" s="59"/>
    </row>
    <row r="421" spans="10:15" x14ac:dyDescent="0.3">
      <c r="J421"/>
      <c r="K421" s="59"/>
      <c r="L421" s="59"/>
      <c r="M421" s="59"/>
      <c r="N421" s="59"/>
      <c r="O421" s="59"/>
    </row>
    <row r="422" spans="10:15" x14ac:dyDescent="0.3">
      <c r="J422"/>
      <c r="K422" s="59"/>
      <c r="L422" s="59"/>
      <c r="M422" s="59"/>
      <c r="N422" s="59"/>
      <c r="O422" s="59"/>
    </row>
    <row r="423" spans="10:15" x14ac:dyDescent="0.3">
      <c r="J423"/>
      <c r="K423" s="59"/>
      <c r="L423" s="59"/>
      <c r="M423" s="59"/>
      <c r="N423" s="59"/>
      <c r="O423" s="59"/>
    </row>
    <row r="424" spans="10:15" x14ac:dyDescent="0.3">
      <c r="J424"/>
      <c r="K424" s="59"/>
      <c r="L424" s="59"/>
      <c r="M424" s="59"/>
      <c r="N424" s="59"/>
      <c r="O424" s="59"/>
    </row>
    <row r="425" spans="10:15" x14ac:dyDescent="0.3">
      <c r="J425"/>
      <c r="K425" s="59"/>
      <c r="L425" s="59"/>
      <c r="M425" s="59"/>
      <c r="N425" s="59"/>
      <c r="O425" s="59"/>
    </row>
    <row r="426" spans="10:15" x14ac:dyDescent="0.3">
      <c r="J426"/>
      <c r="K426" s="59"/>
      <c r="L426" s="59"/>
      <c r="M426" s="59"/>
      <c r="N426" s="59"/>
      <c r="O426" s="59"/>
    </row>
    <row r="427" spans="10:15" x14ac:dyDescent="0.3">
      <c r="J427"/>
      <c r="K427" s="59"/>
      <c r="L427" s="59"/>
      <c r="M427" s="59"/>
      <c r="N427" s="59"/>
      <c r="O427" s="59"/>
    </row>
    <row r="428" spans="10:15" x14ac:dyDescent="0.3">
      <c r="J428"/>
      <c r="K428" s="59"/>
      <c r="L428" s="59"/>
      <c r="M428" s="59"/>
      <c r="N428" s="59"/>
      <c r="O428" s="59"/>
    </row>
    <row r="429" spans="10:15" x14ac:dyDescent="0.3">
      <c r="J429"/>
      <c r="K429" s="59"/>
      <c r="L429" s="59"/>
      <c r="M429" s="59"/>
      <c r="N429" s="59"/>
      <c r="O429" s="59"/>
    </row>
    <row r="430" spans="10:15" x14ac:dyDescent="0.3">
      <c r="J430"/>
      <c r="K430" s="59"/>
      <c r="L430" s="59"/>
      <c r="M430" s="59"/>
      <c r="N430" s="59"/>
      <c r="O430" s="59"/>
    </row>
    <row r="431" spans="10:15" x14ac:dyDescent="0.3">
      <c r="J431"/>
      <c r="K431" s="59"/>
      <c r="L431" s="59"/>
      <c r="M431" s="59"/>
      <c r="N431" s="59"/>
      <c r="O431" s="59"/>
    </row>
    <row r="432" spans="10:15" x14ac:dyDescent="0.3">
      <c r="J432"/>
      <c r="K432" s="59"/>
      <c r="L432" s="59"/>
      <c r="M432" s="59"/>
      <c r="N432" s="59"/>
      <c r="O432" s="59"/>
    </row>
    <row r="433" spans="10:15" x14ac:dyDescent="0.3">
      <c r="J433"/>
      <c r="K433" s="59"/>
      <c r="L433" s="59"/>
      <c r="M433" s="59"/>
      <c r="N433" s="59"/>
      <c r="O433" s="59"/>
    </row>
    <row r="434" spans="10:15" x14ac:dyDescent="0.3">
      <c r="J434"/>
      <c r="K434" s="59"/>
      <c r="L434" s="59"/>
      <c r="M434" s="59"/>
      <c r="N434" s="59"/>
      <c r="O434" s="59"/>
    </row>
    <row r="435" spans="10:15" x14ac:dyDescent="0.3">
      <c r="J435"/>
      <c r="K435" s="59"/>
      <c r="L435" s="59"/>
      <c r="M435" s="59"/>
      <c r="N435" s="59"/>
      <c r="O435" s="59"/>
    </row>
    <row r="436" spans="10:15" x14ac:dyDescent="0.3">
      <c r="J436"/>
      <c r="K436" s="59"/>
      <c r="L436" s="59"/>
      <c r="M436" s="59"/>
      <c r="N436" s="59"/>
      <c r="O436" s="59"/>
    </row>
    <row r="437" spans="10:15" x14ac:dyDescent="0.3">
      <c r="J437"/>
      <c r="K437" s="59"/>
      <c r="L437" s="59"/>
      <c r="M437" s="59"/>
      <c r="N437" s="59"/>
      <c r="O437" s="59"/>
    </row>
    <row r="438" spans="10:15" x14ac:dyDescent="0.3">
      <c r="J438"/>
      <c r="K438" s="59"/>
      <c r="L438" s="59"/>
      <c r="M438" s="59"/>
      <c r="N438" s="59"/>
      <c r="O438" s="59"/>
    </row>
    <row r="439" spans="10:15" x14ac:dyDescent="0.3">
      <c r="J439"/>
      <c r="K439" s="59"/>
      <c r="L439" s="59"/>
      <c r="M439" s="59"/>
      <c r="N439" s="59"/>
      <c r="O439" s="59"/>
    </row>
    <row r="440" spans="10:15" x14ac:dyDescent="0.3">
      <c r="J440"/>
      <c r="K440" s="59"/>
      <c r="L440" s="59"/>
      <c r="M440" s="59"/>
      <c r="N440" s="59"/>
      <c r="O440" s="59"/>
    </row>
    <row r="441" spans="10:15" x14ac:dyDescent="0.3">
      <c r="J441"/>
      <c r="K441" s="59"/>
      <c r="L441" s="59"/>
      <c r="M441" s="59"/>
      <c r="N441" s="59"/>
      <c r="O441" s="59"/>
    </row>
    <row r="442" spans="10:15" x14ac:dyDescent="0.3">
      <c r="J442"/>
      <c r="K442" s="59"/>
      <c r="L442" s="59"/>
      <c r="M442" s="59"/>
      <c r="N442" s="59"/>
      <c r="O442" s="59"/>
    </row>
    <row r="443" spans="10:15" x14ac:dyDescent="0.3">
      <c r="J443"/>
      <c r="K443" s="59"/>
      <c r="L443" s="59"/>
      <c r="M443" s="59"/>
      <c r="N443" s="59"/>
      <c r="O443" s="59"/>
    </row>
    <row r="444" spans="10:15" x14ac:dyDescent="0.3">
      <c r="J444"/>
      <c r="K444" s="59"/>
      <c r="L444" s="59"/>
      <c r="M444" s="59"/>
      <c r="N444" s="59"/>
      <c r="O444" s="59"/>
    </row>
    <row r="445" spans="10:15" x14ac:dyDescent="0.3">
      <c r="J445"/>
      <c r="K445" s="59"/>
      <c r="L445" s="59"/>
      <c r="M445" s="59"/>
      <c r="N445" s="59"/>
      <c r="O445" s="59"/>
    </row>
    <row r="446" spans="10:15" x14ac:dyDescent="0.3">
      <c r="J446"/>
      <c r="K446" s="59"/>
      <c r="L446" s="59"/>
      <c r="M446" s="59"/>
      <c r="N446" s="59"/>
      <c r="O446" s="59"/>
    </row>
    <row r="447" spans="10:15" x14ac:dyDescent="0.3">
      <c r="J447"/>
      <c r="K447" s="59"/>
      <c r="L447" s="59"/>
      <c r="M447" s="59"/>
      <c r="N447" s="59"/>
      <c r="O447" s="59"/>
    </row>
    <row r="448" spans="10:15" x14ac:dyDescent="0.3">
      <c r="J448"/>
      <c r="K448" s="59"/>
      <c r="L448" s="59"/>
      <c r="M448" s="59"/>
      <c r="N448" s="59"/>
      <c r="O448" s="59"/>
    </row>
    <row r="449" spans="10:15" x14ac:dyDescent="0.3">
      <c r="J449"/>
      <c r="K449" s="59"/>
      <c r="L449" s="59"/>
      <c r="M449" s="59"/>
      <c r="N449" s="59"/>
      <c r="O449" s="59"/>
    </row>
    <row r="450" spans="10:15" x14ac:dyDescent="0.3">
      <c r="J450"/>
      <c r="K450" s="59"/>
      <c r="L450" s="59"/>
      <c r="M450" s="59"/>
      <c r="N450" s="59"/>
      <c r="O450" s="59"/>
    </row>
    <row r="451" spans="10:15" x14ac:dyDescent="0.3">
      <c r="J451"/>
      <c r="K451" s="59"/>
      <c r="L451" s="59"/>
      <c r="M451" s="59"/>
      <c r="N451" s="59"/>
      <c r="O451" s="59"/>
    </row>
    <row r="452" spans="10:15" x14ac:dyDescent="0.3">
      <c r="J452"/>
      <c r="K452" s="59"/>
      <c r="L452" s="59"/>
      <c r="M452" s="59"/>
      <c r="N452" s="59"/>
      <c r="O452" s="59"/>
    </row>
    <row r="453" spans="10:15" x14ac:dyDescent="0.3">
      <c r="J453"/>
      <c r="K453" s="59"/>
      <c r="L453" s="59"/>
      <c r="M453" s="59"/>
      <c r="N453" s="59"/>
      <c r="O453" s="59"/>
    </row>
    <row r="454" spans="10:15" x14ac:dyDescent="0.3">
      <c r="J454"/>
      <c r="K454" s="59"/>
      <c r="L454" s="59"/>
      <c r="M454" s="59"/>
      <c r="N454" s="59"/>
      <c r="O454" s="59"/>
    </row>
    <row r="455" spans="10:15" x14ac:dyDescent="0.3">
      <c r="J455"/>
      <c r="K455" s="59"/>
      <c r="L455" s="59"/>
      <c r="M455" s="59"/>
      <c r="N455" s="59"/>
      <c r="O455" s="59"/>
    </row>
    <row r="456" spans="10:15" x14ac:dyDescent="0.3">
      <c r="J456"/>
      <c r="K456" s="59"/>
      <c r="L456" s="59"/>
      <c r="M456" s="59"/>
      <c r="N456" s="59"/>
      <c r="O456" s="59"/>
    </row>
    <row r="457" spans="10:15" x14ac:dyDescent="0.3">
      <c r="J457"/>
      <c r="K457" s="59"/>
      <c r="L457" s="59"/>
      <c r="M457" s="59"/>
      <c r="N457" s="59"/>
      <c r="O457" s="59"/>
    </row>
    <row r="458" spans="10:15" x14ac:dyDescent="0.3">
      <c r="J458"/>
      <c r="K458" s="59"/>
      <c r="L458" s="59"/>
      <c r="M458" s="59"/>
      <c r="N458" s="59"/>
      <c r="O458" s="59"/>
    </row>
    <row r="459" spans="10:15" x14ac:dyDescent="0.3">
      <c r="J459"/>
      <c r="K459" s="59"/>
      <c r="L459" s="59"/>
      <c r="M459" s="59"/>
      <c r="N459" s="59"/>
      <c r="O459" s="59"/>
    </row>
    <row r="460" spans="10:15" x14ac:dyDescent="0.3">
      <c r="J460"/>
      <c r="K460" s="59"/>
      <c r="L460" s="59"/>
      <c r="M460" s="59"/>
      <c r="N460" s="59"/>
      <c r="O460" s="59"/>
    </row>
    <row r="461" spans="10:15" x14ac:dyDescent="0.3">
      <c r="J461"/>
      <c r="K461" s="59"/>
      <c r="L461" s="59"/>
      <c r="M461" s="59"/>
      <c r="N461" s="59"/>
      <c r="O461" s="59"/>
    </row>
    <row r="462" spans="10:15" x14ac:dyDescent="0.3">
      <c r="J462"/>
      <c r="K462" s="59"/>
      <c r="L462" s="59"/>
      <c r="M462" s="59"/>
      <c r="N462" s="59"/>
      <c r="O462" s="59"/>
    </row>
    <row r="463" spans="10:15" x14ac:dyDescent="0.3">
      <c r="J463"/>
      <c r="K463" s="59"/>
      <c r="L463" s="59"/>
      <c r="M463" s="59"/>
      <c r="N463" s="59"/>
      <c r="O463" s="59"/>
    </row>
    <row r="464" spans="10:15" x14ac:dyDescent="0.3">
      <c r="J464"/>
      <c r="K464" s="59"/>
      <c r="L464" s="59"/>
      <c r="M464" s="59"/>
      <c r="N464" s="59"/>
      <c r="O464" s="59"/>
    </row>
    <row r="465" spans="10:15" x14ac:dyDescent="0.3">
      <c r="J465"/>
      <c r="K465" s="59"/>
      <c r="L465" s="59"/>
      <c r="M465" s="59"/>
      <c r="N465" s="59"/>
      <c r="O465" s="59"/>
    </row>
    <row r="466" spans="10:15" x14ac:dyDescent="0.3">
      <c r="J466"/>
      <c r="K466" s="59"/>
      <c r="L466" s="59"/>
      <c r="M466" s="59"/>
      <c r="N466" s="59"/>
      <c r="O466" s="59"/>
    </row>
    <row r="467" spans="10:15" x14ac:dyDescent="0.3">
      <c r="J467"/>
      <c r="K467" s="59"/>
      <c r="L467" s="59"/>
      <c r="M467" s="59"/>
      <c r="N467" s="59"/>
      <c r="O467" s="59"/>
    </row>
    <row r="468" spans="10:15" x14ac:dyDescent="0.3">
      <c r="J468"/>
      <c r="K468" s="59"/>
      <c r="L468" s="59"/>
      <c r="M468" s="59"/>
      <c r="N468" s="59"/>
      <c r="O468" s="59"/>
    </row>
    <row r="469" spans="10:15" x14ac:dyDescent="0.3">
      <c r="J469"/>
      <c r="K469" s="59"/>
      <c r="L469" s="59"/>
      <c r="M469" s="59"/>
      <c r="N469" s="59"/>
      <c r="O469" s="59"/>
    </row>
    <row r="470" spans="10:15" x14ac:dyDescent="0.3">
      <c r="J470"/>
      <c r="K470" s="59"/>
      <c r="L470" s="59"/>
      <c r="M470" s="59"/>
      <c r="N470" s="59"/>
      <c r="O470" s="59"/>
    </row>
    <row r="471" spans="10:15" x14ac:dyDescent="0.3">
      <c r="J471"/>
      <c r="K471" s="59"/>
      <c r="L471" s="59"/>
      <c r="M471" s="59"/>
      <c r="N471" s="59"/>
      <c r="O471" s="59"/>
    </row>
    <row r="472" spans="10:15" x14ac:dyDescent="0.3">
      <c r="J472"/>
      <c r="K472" s="59"/>
      <c r="L472" s="59"/>
      <c r="M472" s="59"/>
      <c r="N472" s="59"/>
      <c r="O472" s="59"/>
    </row>
    <row r="473" spans="10:15" x14ac:dyDescent="0.3">
      <c r="J473"/>
      <c r="K473" s="59"/>
      <c r="L473" s="59"/>
      <c r="M473" s="59"/>
      <c r="N473" s="59"/>
      <c r="O473" s="59"/>
    </row>
    <row r="474" spans="10:15" x14ac:dyDescent="0.3">
      <c r="J474"/>
      <c r="K474" s="59"/>
      <c r="L474" s="59"/>
      <c r="M474" s="59"/>
      <c r="N474" s="59"/>
      <c r="O474" s="59"/>
    </row>
    <row r="475" spans="10:15" x14ac:dyDescent="0.3">
      <c r="J475"/>
      <c r="K475" s="59"/>
      <c r="L475" s="59"/>
      <c r="M475" s="59"/>
      <c r="N475" s="59"/>
      <c r="O475" s="59"/>
    </row>
    <row r="476" spans="10:15" x14ac:dyDescent="0.3">
      <c r="J476"/>
      <c r="K476" s="59"/>
      <c r="L476" s="59"/>
      <c r="M476" s="59"/>
      <c r="N476" s="59"/>
      <c r="O476" s="59"/>
    </row>
    <row r="477" spans="10:15" x14ac:dyDescent="0.3">
      <c r="J477"/>
      <c r="K477" s="59"/>
      <c r="L477" s="59"/>
      <c r="M477" s="59"/>
      <c r="N477" s="59"/>
      <c r="O477" s="59"/>
    </row>
    <row r="478" spans="10:15" x14ac:dyDescent="0.3">
      <c r="J478"/>
      <c r="K478" s="59"/>
      <c r="L478" s="59"/>
      <c r="M478" s="59"/>
      <c r="N478" s="59"/>
      <c r="O478" s="59"/>
    </row>
    <row r="479" spans="10:15" x14ac:dyDescent="0.3">
      <c r="J479"/>
      <c r="K479" s="59"/>
      <c r="L479" s="59"/>
      <c r="M479" s="59"/>
      <c r="N479" s="59"/>
      <c r="O479" s="59"/>
    </row>
    <row r="480" spans="10:15" x14ac:dyDescent="0.3">
      <c r="J480"/>
      <c r="K480" s="59"/>
      <c r="L480" s="59"/>
      <c r="M480" s="59"/>
      <c r="N480" s="59"/>
      <c r="O480" s="59"/>
    </row>
    <row r="481" spans="10:15" x14ac:dyDescent="0.3">
      <c r="J481"/>
      <c r="K481" s="59"/>
      <c r="L481" s="59"/>
      <c r="M481" s="59"/>
      <c r="N481" s="59"/>
      <c r="O481" s="59"/>
    </row>
    <row r="482" spans="10:15" x14ac:dyDescent="0.3">
      <c r="J482"/>
      <c r="K482" s="59"/>
      <c r="L482" s="59"/>
      <c r="M482" s="59"/>
      <c r="N482" s="59"/>
      <c r="O482" s="59"/>
    </row>
    <row r="483" spans="10:15" x14ac:dyDescent="0.3">
      <c r="J483"/>
      <c r="K483" s="59"/>
      <c r="L483" s="59"/>
      <c r="M483" s="59"/>
      <c r="N483" s="59"/>
      <c r="O483" s="59"/>
    </row>
    <row r="484" spans="10:15" x14ac:dyDescent="0.3">
      <c r="J484"/>
      <c r="K484" s="59"/>
      <c r="L484" s="59"/>
      <c r="M484" s="59"/>
      <c r="N484" s="59"/>
      <c r="O484" s="59"/>
    </row>
    <row r="485" spans="10:15" x14ac:dyDescent="0.3">
      <c r="J485"/>
      <c r="K485" s="59"/>
      <c r="L485" s="59"/>
      <c r="M485" s="59"/>
      <c r="N485" s="59"/>
      <c r="O485" s="59"/>
    </row>
    <row r="486" spans="10:15" x14ac:dyDescent="0.3">
      <c r="J486"/>
      <c r="K486" s="59"/>
      <c r="L486" s="59"/>
      <c r="M486" s="59"/>
      <c r="N486" s="59"/>
      <c r="O486" s="59"/>
    </row>
    <row r="487" spans="10:15" x14ac:dyDescent="0.3">
      <c r="J487"/>
      <c r="K487" s="59"/>
      <c r="L487" s="59"/>
      <c r="M487" s="59"/>
      <c r="N487" s="59"/>
      <c r="O487" s="59"/>
    </row>
    <row r="488" spans="10:15" x14ac:dyDescent="0.3">
      <c r="J488"/>
      <c r="K488" s="59"/>
      <c r="L488" s="59"/>
      <c r="M488" s="59"/>
      <c r="N488" s="59"/>
      <c r="O488" s="59"/>
    </row>
    <row r="489" spans="10:15" x14ac:dyDescent="0.3">
      <c r="J489"/>
      <c r="K489" s="59"/>
      <c r="L489" s="59"/>
      <c r="M489" s="59"/>
      <c r="N489" s="59"/>
      <c r="O489" s="59"/>
    </row>
    <row r="490" spans="10:15" x14ac:dyDescent="0.3">
      <c r="J490"/>
      <c r="K490" s="59"/>
      <c r="L490" s="59"/>
      <c r="M490" s="59"/>
      <c r="N490" s="59"/>
      <c r="O490" s="59"/>
    </row>
    <row r="491" spans="10:15" x14ac:dyDescent="0.3">
      <c r="J491"/>
      <c r="K491" s="59"/>
      <c r="L491" s="59"/>
      <c r="M491" s="59"/>
      <c r="N491" s="59"/>
      <c r="O491" s="59"/>
    </row>
    <row r="492" spans="10:15" x14ac:dyDescent="0.3">
      <c r="J492"/>
      <c r="K492" s="59"/>
      <c r="L492" s="59"/>
      <c r="M492" s="59"/>
      <c r="N492" s="59"/>
      <c r="O492" s="59"/>
    </row>
    <row r="493" spans="10:15" x14ac:dyDescent="0.3">
      <c r="J493"/>
      <c r="K493" s="59"/>
      <c r="L493" s="59"/>
      <c r="M493" s="59"/>
      <c r="N493" s="59"/>
      <c r="O493" s="59"/>
    </row>
    <row r="494" spans="10:15" x14ac:dyDescent="0.3">
      <c r="J494"/>
      <c r="K494" s="59"/>
      <c r="L494" s="59"/>
      <c r="M494" s="59"/>
      <c r="N494" s="59"/>
      <c r="O494" s="59"/>
    </row>
    <row r="495" spans="10:15" x14ac:dyDescent="0.3">
      <c r="J495"/>
      <c r="K495" s="59"/>
      <c r="L495" s="59"/>
      <c r="M495" s="59"/>
      <c r="N495" s="59"/>
      <c r="O495" s="59"/>
    </row>
    <row r="496" spans="10:15" x14ac:dyDescent="0.3">
      <c r="J496"/>
      <c r="K496" s="59"/>
      <c r="L496" s="59"/>
      <c r="M496" s="59"/>
      <c r="N496" s="59"/>
      <c r="O496" s="59"/>
    </row>
    <row r="497" spans="10:15" x14ac:dyDescent="0.3">
      <c r="J497"/>
      <c r="K497" s="59"/>
      <c r="L497" s="59"/>
      <c r="M497" s="59"/>
      <c r="N497" s="59"/>
      <c r="O497" s="59"/>
    </row>
    <row r="498" spans="10:15" x14ac:dyDescent="0.3">
      <c r="J498"/>
      <c r="K498" s="59"/>
      <c r="L498" s="59"/>
      <c r="M498" s="59"/>
      <c r="N498" s="59"/>
      <c r="O498" s="59"/>
    </row>
    <row r="499" spans="10:15" x14ac:dyDescent="0.3">
      <c r="J499"/>
      <c r="K499" s="59"/>
      <c r="L499" s="59"/>
      <c r="M499" s="59"/>
      <c r="N499" s="59"/>
      <c r="O499" s="59"/>
    </row>
    <row r="500" spans="10:15" x14ac:dyDescent="0.3">
      <c r="J500"/>
      <c r="K500" s="59"/>
      <c r="L500" s="59"/>
      <c r="M500" s="59"/>
      <c r="N500" s="59"/>
      <c r="O500" s="59"/>
    </row>
    <row r="501" spans="10:15" x14ac:dyDescent="0.3">
      <c r="J501"/>
      <c r="K501" s="59"/>
      <c r="L501" s="59"/>
      <c r="M501" s="59"/>
      <c r="N501" s="59"/>
      <c r="O501" s="59"/>
    </row>
    <row r="502" spans="10:15" x14ac:dyDescent="0.3">
      <c r="J502"/>
      <c r="K502" s="59"/>
      <c r="L502" s="59"/>
      <c r="M502" s="59"/>
      <c r="N502" s="59"/>
      <c r="O502" s="59"/>
    </row>
    <row r="503" spans="10:15" x14ac:dyDescent="0.3">
      <c r="J503"/>
      <c r="K503" s="59"/>
      <c r="L503" s="59"/>
      <c r="M503" s="59"/>
      <c r="N503" s="59"/>
      <c r="O503" s="59"/>
    </row>
    <row r="504" spans="10:15" x14ac:dyDescent="0.3">
      <c r="J504"/>
      <c r="K504" s="59"/>
      <c r="L504" s="59"/>
      <c r="M504" s="59"/>
      <c r="N504" s="59"/>
      <c r="O504" s="59"/>
    </row>
    <row r="505" spans="10:15" x14ac:dyDescent="0.3">
      <c r="J505"/>
      <c r="K505" s="59"/>
      <c r="L505" s="59"/>
      <c r="M505" s="59"/>
      <c r="N505" s="59"/>
      <c r="O505" s="59"/>
    </row>
    <row r="506" spans="10:15" x14ac:dyDescent="0.3">
      <c r="J506"/>
      <c r="K506" s="59"/>
      <c r="L506" s="59"/>
      <c r="M506" s="59"/>
      <c r="N506" s="59"/>
      <c r="O506" s="59"/>
    </row>
    <row r="507" spans="10:15" x14ac:dyDescent="0.3">
      <c r="J507"/>
      <c r="K507" s="59"/>
      <c r="L507" s="59"/>
      <c r="M507" s="59"/>
      <c r="N507" s="59"/>
      <c r="O507" s="59"/>
    </row>
    <row r="508" spans="10:15" x14ac:dyDescent="0.3">
      <c r="J508"/>
      <c r="K508" s="59"/>
      <c r="L508" s="59"/>
      <c r="M508" s="59"/>
      <c r="N508" s="59"/>
      <c r="O508" s="59"/>
    </row>
    <row r="509" spans="10:15" x14ac:dyDescent="0.3">
      <c r="J509"/>
      <c r="K509" s="59"/>
      <c r="L509" s="59"/>
      <c r="M509" s="59"/>
      <c r="N509" s="59"/>
      <c r="O509" s="59"/>
    </row>
    <row r="510" spans="10:15" x14ac:dyDescent="0.3">
      <c r="J510"/>
      <c r="K510" s="59"/>
      <c r="L510" s="59"/>
      <c r="M510" s="59"/>
      <c r="N510" s="59"/>
      <c r="O510" s="59"/>
    </row>
    <row r="511" spans="10:15" x14ac:dyDescent="0.3">
      <c r="J511"/>
      <c r="K511" s="59"/>
      <c r="L511" s="59"/>
      <c r="M511" s="59"/>
      <c r="N511" s="59"/>
      <c r="O511" s="59"/>
    </row>
    <row r="512" spans="10:15" x14ac:dyDescent="0.3">
      <c r="J512"/>
      <c r="K512" s="59"/>
      <c r="L512" s="59"/>
      <c r="M512" s="59"/>
      <c r="N512" s="59"/>
      <c r="O512" s="59"/>
    </row>
    <row r="513" spans="10:15" x14ac:dyDescent="0.3">
      <c r="J513"/>
      <c r="K513" s="59"/>
      <c r="L513" s="59"/>
      <c r="M513" s="59"/>
      <c r="N513" s="59"/>
      <c r="O513" s="59"/>
    </row>
    <row r="514" spans="10:15" x14ac:dyDescent="0.3">
      <c r="J514"/>
      <c r="K514" s="59"/>
      <c r="L514" s="59"/>
      <c r="M514" s="59"/>
      <c r="N514" s="59"/>
      <c r="O514" s="59"/>
    </row>
    <row r="515" spans="10:15" x14ac:dyDescent="0.3">
      <c r="J515"/>
      <c r="K515" s="59"/>
      <c r="L515" s="59"/>
      <c r="M515" s="59"/>
      <c r="N515" s="59"/>
      <c r="O515" s="59"/>
    </row>
    <row r="516" spans="10:15" x14ac:dyDescent="0.3">
      <c r="J516"/>
      <c r="K516" s="59"/>
      <c r="L516" s="59"/>
      <c r="M516" s="59"/>
      <c r="N516" s="59"/>
      <c r="O516" s="59"/>
    </row>
    <row r="517" spans="10:15" x14ac:dyDescent="0.3">
      <c r="J517"/>
      <c r="K517" s="59"/>
      <c r="L517" s="59"/>
      <c r="M517" s="59"/>
      <c r="N517" s="59"/>
      <c r="O517" s="59"/>
    </row>
    <row r="518" spans="10:15" x14ac:dyDescent="0.3">
      <c r="J518"/>
      <c r="K518" s="59"/>
      <c r="L518" s="59"/>
      <c r="M518" s="59"/>
      <c r="N518" s="59"/>
      <c r="O518" s="59"/>
    </row>
    <row r="519" spans="10:15" x14ac:dyDescent="0.3">
      <c r="J519"/>
      <c r="K519" s="59"/>
      <c r="L519" s="59"/>
      <c r="M519" s="59"/>
      <c r="N519" s="59"/>
      <c r="O519" s="59"/>
    </row>
    <row r="520" spans="10:15" x14ac:dyDescent="0.3">
      <c r="J520"/>
      <c r="K520" s="59"/>
      <c r="L520" s="59"/>
      <c r="M520" s="59"/>
      <c r="N520" s="59"/>
      <c r="O520" s="59"/>
    </row>
    <row r="521" spans="10:15" x14ac:dyDescent="0.3">
      <c r="J521"/>
      <c r="K521" s="59"/>
      <c r="L521" s="59"/>
      <c r="M521" s="59"/>
      <c r="N521" s="59"/>
      <c r="O521" s="59"/>
    </row>
    <row r="522" spans="10:15" x14ac:dyDescent="0.3">
      <c r="J522"/>
      <c r="K522" s="59"/>
      <c r="L522" s="59"/>
      <c r="M522" s="59"/>
      <c r="N522" s="59"/>
      <c r="O522" s="59"/>
    </row>
    <row r="523" spans="10:15" x14ac:dyDescent="0.3">
      <c r="J523"/>
      <c r="K523" s="59"/>
      <c r="L523" s="59"/>
      <c r="M523" s="59"/>
      <c r="N523" s="59"/>
      <c r="O523" s="59"/>
    </row>
    <row r="524" spans="10:15" x14ac:dyDescent="0.3">
      <c r="J524"/>
      <c r="K524" s="59"/>
      <c r="L524" s="59"/>
      <c r="M524" s="59"/>
      <c r="N524" s="59"/>
      <c r="O524" s="59"/>
    </row>
    <row r="525" spans="10:15" x14ac:dyDescent="0.3">
      <c r="J525"/>
      <c r="K525" s="59"/>
      <c r="L525" s="59"/>
      <c r="M525" s="59"/>
      <c r="N525" s="59"/>
      <c r="O525" s="59"/>
    </row>
    <row r="526" spans="10:15" x14ac:dyDescent="0.3">
      <c r="J526"/>
      <c r="K526" s="59"/>
      <c r="L526" s="59"/>
      <c r="M526" s="59"/>
      <c r="N526" s="59"/>
      <c r="O526" s="59"/>
    </row>
    <row r="527" spans="10:15" x14ac:dyDescent="0.3">
      <c r="J527"/>
      <c r="K527" s="59"/>
      <c r="L527" s="59"/>
      <c r="M527" s="59"/>
      <c r="N527" s="59"/>
      <c r="O527" s="59"/>
    </row>
    <row r="528" spans="10:15" x14ac:dyDescent="0.3">
      <c r="J528"/>
      <c r="K528" s="59"/>
      <c r="L528" s="59"/>
      <c r="M528" s="59"/>
      <c r="N528" s="59"/>
      <c r="O528" s="59"/>
    </row>
    <row r="529" spans="10:15" x14ac:dyDescent="0.3">
      <c r="J529"/>
      <c r="K529" s="59"/>
      <c r="L529" s="59"/>
      <c r="M529" s="59"/>
      <c r="N529" s="59"/>
      <c r="O529" s="59"/>
    </row>
    <row r="530" spans="10:15" x14ac:dyDescent="0.3">
      <c r="J530"/>
      <c r="K530" s="59"/>
      <c r="L530" s="59"/>
      <c r="M530" s="59"/>
      <c r="N530" s="59"/>
      <c r="O530" s="59"/>
    </row>
    <row r="531" spans="10:15" x14ac:dyDescent="0.3">
      <c r="J531"/>
      <c r="K531" s="59"/>
      <c r="L531" s="59"/>
      <c r="M531" s="59"/>
      <c r="N531" s="59"/>
      <c r="O531" s="59"/>
    </row>
    <row r="532" spans="10:15" x14ac:dyDescent="0.3">
      <c r="J532"/>
      <c r="K532" s="59"/>
      <c r="L532" s="59"/>
      <c r="M532" s="59"/>
      <c r="N532" s="59"/>
      <c r="O532" s="59"/>
    </row>
    <row r="533" spans="10:15" x14ac:dyDescent="0.3">
      <c r="J533"/>
      <c r="K533" s="59"/>
      <c r="L533" s="59"/>
      <c r="M533" s="59"/>
      <c r="N533" s="59"/>
      <c r="O533" s="59"/>
    </row>
    <row r="534" spans="10:15" x14ac:dyDescent="0.3">
      <c r="J534"/>
      <c r="K534" s="59"/>
      <c r="L534" s="59"/>
      <c r="M534" s="59"/>
      <c r="N534" s="59"/>
      <c r="O534" s="59"/>
    </row>
    <row r="535" spans="10:15" x14ac:dyDescent="0.3">
      <c r="J535"/>
      <c r="K535" s="59"/>
      <c r="L535" s="59"/>
      <c r="M535" s="59"/>
      <c r="N535" s="59"/>
      <c r="O535" s="59"/>
    </row>
    <row r="536" spans="10:15" x14ac:dyDescent="0.3">
      <c r="J536"/>
      <c r="K536" s="59"/>
      <c r="L536" s="59"/>
      <c r="M536" s="59"/>
      <c r="N536" s="59"/>
      <c r="O536" s="59"/>
    </row>
    <row r="537" spans="10:15" x14ac:dyDescent="0.3">
      <c r="J537"/>
      <c r="K537" s="59"/>
      <c r="L537" s="59"/>
      <c r="M537" s="59"/>
      <c r="N537" s="59"/>
      <c r="O537" s="59"/>
    </row>
    <row r="538" spans="10:15" x14ac:dyDescent="0.3">
      <c r="J538"/>
      <c r="K538" s="59"/>
      <c r="L538" s="59"/>
      <c r="M538" s="59"/>
      <c r="N538" s="59"/>
      <c r="O538" s="59"/>
    </row>
    <row r="539" spans="10:15" x14ac:dyDescent="0.3">
      <c r="J539"/>
      <c r="K539" s="59"/>
      <c r="L539" s="59"/>
      <c r="M539" s="59"/>
      <c r="N539" s="59"/>
      <c r="O539" s="59"/>
    </row>
    <row r="540" spans="10:15" x14ac:dyDescent="0.3">
      <c r="J540"/>
      <c r="K540" s="59"/>
      <c r="L540" s="59"/>
      <c r="M540" s="59"/>
      <c r="N540" s="59"/>
      <c r="O540" s="59"/>
    </row>
    <row r="541" spans="10:15" x14ac:dyDescent="0.3">
      <c r="J541"/>
      <c r="K541" s="59"/>
      <c r="L541" s="59"/>
      <c r="M541" s="59"/>
      <c r="N541" s="59"/>
      <c r="O541" s="59"/>
    </row>
    <row r="542" spans="10:15" x14ac:dyDescent="0.3">
      <c r="J542"/>
      <c r="K542" s="59"/>
      <c r="L542" s="59"/>
      <c r="M542" s="59"/>
      <c r="N542" s="59"/>
      <c r="O542" s="59"/>
    </row>
    <row r="543" spans="10:15" x14ac:dyDescent="0.3">
      <c r="J543"/>
      <c r="K543" s="59"/>
      <c r="L543" s="59"/>
      <c r="M543" s="59"/>
      <c r="N543" s="59"/>
      <c r="O543" s="59"/>
    </row>
    <row r="544" spans="10:15" x14ac:dyDescent="0.3">
      <c r="J544"/>
      <c r="K544" s="59"/>
      <c r="L544" s="59"/>
      <c r="M544" s="59"/>
      <c r="N544" s="59"/>
      <c r="O544" s="59"/>
    </row>
    <row r="545" spans="10:15" x14ac:dyDescent="0.3">
      <c r="J545"/>
      <c r="K545" s="59"/>
      <c r="L545" s="59"/>
      <c r="M545" s="59"/>
      <c r="N545" s="59"/>
      <c r="O545" s="59"/>
    </row>
    <row r="546" spans="10:15" x14ac:dyDescent="0.3">
      <c r="J546"/>
      <c r="K546" s="59"/>
      <c r="L546" s="59"/>
      <c r="M546" s="59"/>
      <c r="N546" s="59"/>
      <c r="O546" s="59"/>
    </row>
    <row r="547" spans="10:15" x14ac:dyDescent="0.3">
      <c r="J547"/>
      <c r="K547" s="59"/>
      <c r="L547" s="59"/>
      <c r="M547" s="59"/>
      <c r="N547" s="59"/>
      <c r="O547" s="59"/>
    </row>
    <row r="548" spans="10:15" x14ac:dyDescent="0.3">
      <c r="J548"/>
      <c r="K548" s="59"/>
      <c r="L548" s="59"/>
      <c r="M548" s="59"/>
      <c r="N548" s="59"/>
      <c r="O548" s="59"/>
    </row>
    <row r="549" spans="10:15" x14ac:dyDescent="0.3">
      <c r="J549"/>
      <c r="K549" s="59"/>
      <c r="L549" s="59"/>
      <c r="M549" s="59"/>
      <c r="N549" s="59"/>
      <c r="O549" s="59"/>
    </row>
    <row r="550" spans="10:15" x14ac:dyDescent="0.3">
      <c r="J550"/>
      <c r="K550" s="59"/>
      <c r="L550" s="59"/>
      <c r="M550" s="59"/>
      <c r="N550" s="59"/>
      <c r="O550" s="59"/>
    </row>
    <row r="551" spans="10:15" x14ac:dyDescent="0.3">
      <c r="J551"/>
      <c r="K551" s="59"/>
      <c r="L551" s="59"/>
      <c r="M551" s="59"/>
      <c r="N551" s="59"/>
      <c r="O551" s="59"/>
    </row>
    <row r="552" spans="10:15" x14ac:dyDescent="0.3">
      <c r="J552"/>
      <c r="K552" s="59"/>
      <c r="L552" s="59"/>
      <c r="M552" s="59"/>
      <c r="N552" s="59"/>
      <c r="O552" s="59"/>
    </row>
    <row r="553" spans="10:15" x14ac:dyDescent="0.3">
      <c r="J553"/>
      <c r="K553" s="59"/>
      <c r="L553" s="59"/>
      <c r="M553" s="59"/>
      <c r="N553" s="59"/>
      <c r="O553" s="59"/>
    </row>
    <row r="554" spans="10:15" x14ac:dyDescent="0.3">
      <c r="J554"/>
      <c r="K554" s="59"/>
      <c r="L554" s="59"/>
      <c r="M554" s="59"/>
      <c r="N554" s="59"/>
      <c r="O554" s="59"/>
    </row>
    <row r="555" spans="10:15" x14ac:dyDescent="0.3">
      <c r="J555"/>
      <c r="K555" s="59"/>
      <c r="L555" s="59"/>
      <c r="M555" s="59"/>
      <c r="N555" s="59"/>
      <c r="O555" s="59"/>
    </row>
    <row r="556" spans="10:15" x14ac:dyDescent="0.3">
      <c r="J556"/>
      <c r="K556" s="59"/>
      <c r="L556" s="59"/>
      <c r="M556" s="59"/>
      <c r="N556" s="59"/>
      <c r="O556" s="59"/>
    </row>
    <row r="557" spans="10:15" x14ac:dyDescent="0.3">
      <c r="J557"/>
      <c r="K557" s="59"/>
      <c r="L557" s="59"/>
      <c r="M557" s="59"/>
      <c r="N557" s="59"/>
      <c r="O557" s="59"/>
    </row>
    <row r="558" spans="10:15" x14ac:dyDescent="0.3">
      <c r="J558"/>
      <c r="K558" s="59"/>
      <c r="L558" s="59"/>
      <c r="M558" s="59"/>
      <c r="N558" s="59"/>
      <c r="O558" s="59"/>
    </row>
    <row r="559" spans="10:15" x14ac:dyDescent="0.3">
      <c r="J559"/>
      <c r="K559" s="59"/>
      <c r="L559" s="59"/>
      <c r="M559" s="59"/>
      <c r="N559" s="59"/>
      <c r="O559" s="59"/>
    </row>
    <row r="560" spans="10:15" x14ac:dyDescent="0.3">
      <c r="J560"/>
      <c r="K560" s="59"/>
      <c r="L560" s="59"/>
      <c r="M560" s="59"/>
      <c r="N560" s="59"/>
      <c r="O560" s="59"/>
    </row>
    <row r="561" spans="10:15" x14ac:dyDescent="0.3">
      <c r="J561"/>
      <c r="K561" s="59"/>
      <c r="L561" s="59"/>
      <c r="M561" s="59"/>
      <c r="N561" s="59"/>
      <c r="O561" s="59"/>
    </row>
    <row r="562" spans="10:15" x14ac:dyDescent="0.3">
      <c r="J562"/>
      <c r="K562" s="59"/>
      <c r="L562" s="59"/>
      <c r="M562" s="59"/>
      <c r="N562" s="59"/>
      <c r="O562" s="59"/>
    </row>
    <row r="563" spans="10:15" x14ac:dyDescent="0.3">
      <c r="J563"/>
      <c r="K563" s="59"/>
      <c r="L563" s="59"/>
      <c r="M563" s="59"/>
      <c r="N563" s="59"/>
      <c r="O563" s="59"/>
    </row>
    <row r="564" spans="10:15" x14ac:dyDescent="0.3">
      <c r="J564"/>
      <c r="K564" s="59"/>
      <c r="L564" s="59"/>
      <c r="M564" s="59"/>
      <c r="N564" s="59"/>
      <c r="O564" s="59"/>
    </row>
    <row r="565" spans="10:15" x14ac:dyDescent="0.3">
      <c r="J565"/>
      <c r="K565" s="59"/>
      <c r="L565" s="59"/>
      <c r="M565" s="59"/>
      <c r="N565" s="59"/>
      <c r="O565" s="59"/>
    </row>
    <row r="566" spans="10:15" x14ac:dyDescent="0.3">
      <c r="J566"/>
      <c r="K566" s="59"/>
      <c r="L566" s="59"/>
      <c r="M566" s="59"/>
      <c r="N566" s="59"/>
      <c r="O566" s="59"/>
    </row>
    <row r="567" spans="10:15" x14ac:dyDescent="0.3">
      <c r="J567"/>
      <c r="K567" s="59"/>
      <c r="L567" s="59"/>
      <c r="M567" s="59"/>
      <c r="N567" s="59"/>
      <c r="O567" s="59"/>
    </row>
    <row r="568" spans="10:15" x14ac:dyDescent="0.3">
      <c r="J568"/>
      <c r="K568" s="59"/>
      <c r="L568" s="59"/>
      <c r="M568" s="59"/>
      <c r="N568" s="59"/>
      <c r="O568" s="59"/>
    </row>
    <row r="569" spans="10:15" x14ac:dyDescent="0.3">
      <c r="J569"/>
      <c r="K569" s="59"/>
      <c r="L569" s="59"/>
      <c r="M569" s="59"/>
      <c r="N569" s="59"/>
      <c r="O569" s="59"/>
    </row>
    <row r="570" spans="10:15" x14ac:dyDescent="0.3">
      <c r="J570"/>
      <c r="K570" s="59"/>
      <c r="L570" s="59"/>
      <c r="M570" s="59"/>
      <c r="N570" s="59"/>
      <c r="O570" s="59"/>
    </row>
    <row r="571" spans="10:15" x14ac:dyDescent="0.3">
      <c r="J571"/>
      <c r="K571" s="59"/>
      <c r="L571" s="59"/>
      <c r="M571" s="59"/>
      <c r="N571" s="59"/>
      <c r="O571" s="59"/>
    </row>
    <row r="572" spans="10:15" x14ac:dyDescent="0.3">
      <c r="J572"/>
      <c r="K572" s="59"/>
      <c r="L572" s="59"/>
      <c r="M572" s="59"/>
      <c r="N572" s="59"/>
      <c r="O572" s="59"/>
    </row>
    <row r="573" spans="10:15" x14ac:dyDescent="0.3">
      <c r="J573"/>
      <c r="K573" s="59"/>
      <c r="L573" s="59"/>
      <c r="M573" s="59"/>
      <c r="N573" s="59"/>
      <c r="O573" s="59"/>
    </row>
    <row r="574" spans="10:15" x14ac:dyDescent="0.3">
      <c r="J574"/>
      <c r="K574" s="59"/>
      <c r="L574" s="59"/>
      <c r="M574" s="59"/>
      <c r="N574" s="59"/>
      <c r="O574" s="59"/>
    </row>
    <row r="575" spans="10:15" x14ac:dyDescent="0.3">
      <c r="J575"/>
      <c r="K575" s="59"/>
      <c r="L575" s="59"/>
      <c r="M575" s="59"/>
      <c r="N575" s="59"/>
      <c r="O575" s="59"/>
    </row>
    <row r="576" spans="10:15" x14ac:dyDescent="0.3">
      <c r="J576"/>
      <c r="K576" s="59"/>
      <c r="L576" s="59"/>
      <c r="M576" s="59"/>
      <c r="N576" s="59"/>
      <c r="O576" s="59"/>
    </row>
    <row r="577" spans="10:15" x14ac:dyDescent="0.3">
      <c r="J577"/>
      <c r="K577" s="59"/>
      <c r="L577" s="59"/>
      <c r="M577" s="59"/>
      <c r="N577" s="59"/>
      <c r="O577" s="59"/>
    </row>
    <row r="578" spans="10:15" x14ac:dyDescent="0.3">
      <c r="J578"/>
      <c r="K578" s="59"/>
      <c r="L578" s="59"/>
      <c r="M578" s="59"/>
      <c r="N578" s="59"/>
      <c r="O578" s="59"/>
    </row>
    <row r="579" spans="10:15" x14ac:dyDescent="0.3">
      <c r="J579"/>
      <c r="K579" s="59"/>
      <c r="L579" s="59"/>
      <c r="M579" s="59"/>
      <c r="N579" s="59"/>
      <c r="O579" s="59"/>
    </row>
    <row r="580" spans="10:15" x14ac:dyDescent="0.3">
      <c r="J580"/>
      <c r="K580" s="59"/>
      <c r="L580" s="59"/>
      <c r="M580" s="59"/>
      <c r="N580" s="59"/>
      <c r="O580" s="59"/>
    </row>
    <row r="581" spans="10:15" x14ac:dyDescent="0.3">
      <c r="J581"/>
      <c r="K581" s="59"/>
      <c r="L581" s="59"/>
      <c r="M581" s="59"/>
      <c r="N581" s="59"/>
      <c r="O581" s="59"/>
    </row>
    <row r="582" spans="10:15" x14ac:dyDescent="0.3">
      <c r="J582"/>
      <c r="K582" s="59"/>
      <c r="L582" s="59"/>
      <c r="M582" s="59"/>
      <c r="N582" s="59"/>
      <c r="O582" s="59"/>
    </row>
    <row r="583" spans="10:15" x14ac:dyDescent="0.3">
      <c r="J583"/>
      <c r="K583" s="59"/>
      <c r="L583" s="59"/>
      <c r="M583" s="59"/>
      <c r="N583" s="59"/>
      <c r="O583" s="59"/>
    </row>
    <row r="584" spans="10:15" x14ac:dyDescent="0.3">
      <c r="J584"/>
      <c r="K584" s="59"/>
      <c r="L584" s="59"/>
      <c r="M584" s="59"/>
      <c r="N584" s="59"/>
      <c r="O584" s="59"/>
    </row>
    <row r="585" spans="10:15" x14ac:dyDescent="0.3">
      <c r="J585"/>
      <c r="K585" s="59"/>
      <c r="L585" s="59"/>
      <c r="M585" s="59"/>
      <c r="N585" s="59"/>
      <c r="O585" s="59"/>
    </row>
    <row r="586" spans="10:15" x14ac:dyDescent="0.3">
      <c r="J586"/>
      <c r="K586" s="59"/>
      <c r="L586" s="59"/>
      <c r="M586" s="59"/>
      <c r="N586" s="59"/>
      <c r="O586" s="59"/>
    </row>
    <row r="587" spans="10:15" x14ac:dyDescent="0.3">
      <c r="J587"/>
      <c r="K587" s="59"/>
      <c r="L587" s="59"/>
      <c r="M587" s="59"/>
      <c r="N587" s="59"/>
      <c r="O587" s="59"/>
    </row>
    <row r="588" spans="10:15" x14ac:dyDescent="0.3">
      <c r="J588"/>
      <c r="K588" s="59"/>
      <c r="L588" s="59"/>
      <c r="M588" s="59"/>
      <c r="N588" s="59"/>
      <c r="O588" s="59"/>
    </row>
    <row r="589" spans="10:15" x14ac:dyDescent="0.3">
      <c r="J589"/>
      <c r="K589" s="59"/>
      <c r="L589" s="59"/>
      <c r="M589" s="59"/>
      <c r="N589" s="59"/>
      <c r="O589" s="59"/>
    </row>
    <row r="590" spans="10:15" x14ac:dyDescent="0.3">
      <c r="J590"/>
      <c r="K590" s="59"/>
      <c r="L590" s="59"/>
      <c r="M590" s="59"/>
      <c r="N590" s="59"/>
      <c r="O590" s="59"/>
    </row>
    <row r="591" spans="10:15" x14ac:dyDescent="0.3">
      <c r="J591"/>
      <c r="K591" s="59"/>
      <c r="L591" s="59"/>
      <c r="M591" s="59"/>
      <c r="N591" s="59"/>
      <c r="O591" s="59"/>
    </row>
    <row r="592" spans="10:15" x14ac:dyDescent="0.3">
      <c r="J592"/>
      <c r="K592" s="59"/>
      <c r="L592" s="59"/>
      <c r="M592" s="59"/>
      <c r="N592" s="59"/>
      <c r="O592" s="59"/>
    </row>
    <row r="593" spans="10:15" x14ac:dyDescent="0.3">
      <c r="J593"/>
      <c r="K593" s="59"/>
      <c r="L593" s="59"/>
      <c r="M593" s="59"/>
      <c r="N593" s="59"/>
      <c r="O593" s="59"/>
    </row>
    <row r="594" spans="10:15" x14ac:dyDescent="0.3">
      <c r="J594"/>
      <c r="K594" s="59"/>
      <c r="L594" s="59"/>
      <c r="M594" s="59"/>
      <c r="N594" s="59"/>
      <c r="O594" s="59"/>
    </row>
    <row r="595" spans="10:15" x14ac:dyDescent="0.3">
      <c r="J595"/>
      <c r="K595" s="59"/>
      <c r="L595" s="59"/>
      <c r="M595" s="59"/>
      <c r="N595" s="59"/>
      <c r="O595" s="59"/>
    </row>
    <row r="596" spans="10:15" x14ac:dyDescent="0.3">
      <c r="J596"/>
      <c r="K596" s="59"/>
      <c r="L596" s="59"/>
      <c r="M596" s="59"/>
      <c r="N596" s="59"/>
      <c r="O596" s="59"/>
    </row>
    <row r="597" spans="10:15" x14ac:dyDescent="0.3">
      <c r="J597"/>
      <c r="K597" s="59"/>
      <c r="L597" s="59"/>
      <c r="M597" s="59"/>
      <c r="N597" s="59"/>
      <c r="O597" s="59"/>
    </row>
    <row r="598" spans="10:15" x14ac:dyDescent="0.3">
      <c r="J598"/>
      <c r="K598" s="59"/>
      <c r="L598" s="59"/>
      <c r="M598" s="59"/>
      <c r="N598" s="59"/>
      <c r="O598" s="59"/>
    </row>
    <row r="599" spans="10:15" x14ac:dyDescent="0.3">
      <c r="J599"/>
      <c r="K599" s="59"/>
      <c r="L599" s="59"/>
      <c r="M599" s="59"/>
      <c r="N599" s="59"/>
      <c r="O599" s="59"/>
    </row>
    <row r="600" spans="10:15" x14ac:dyDescent="0.3">
      <c r="J600"/>
      <c r="K600" s="59"/>
      <c r="L600" s="59"/>
      <c r="M600" s="59"/>
      <c r="N600" s="59"/>
      <c r="O600" s="59"/>
    </row>
    <row r="601" spans="10:15" x14ac:dyDescent="0.3">
      <c r="J601"/>
      <c r="K601" s="59"/>
      <c r="L601" s="59"/>
      <c r="M601" s="59"/>
      <c r="N601" s="59"/>
      <c r="O601" s="59"/>
    </row>
    <row r="602" spans="10:15" x14ac:dyDescent="0.3">
      <c r="J602"/>
      <c r="K602" s="59"/>
      <c r="L602" s="59"/>
      <c r="M602" s="59"/>
      <c r="N602" s="59"/>
      <c r="O602" s="59"/>
    </row>
    <row r="603" spans="10:15" x14ac:dyDescent="0.3">
      <c r="J603"/>
      <c r="K603" s="59"/>
      <c r="L603" s="59"/>
      <c r="M603" s="59"/>
      <c r="N603" s="59"/>
      <c r="O603" s="59"/>
    </row>
    <row r="604" spans="10:15" x14ac:dyDescent="0.3">
      <c r="J604"/>
      <c r="K604" s="59"/>
      <c r="L604" s="59"/>
      <c r="M604" s="59"/>
      <c r="N604" s="59"/>
      <c r="O604" s="59"/>
    </row>
    <row r="605" spans="10:15" x14ac:dyDescent="0.3">
      <c r="J605"/>
      <c r="K605" s="59"/>
      <c r="L605" s="59"/>
      <c r="M605" s="59"/>
      <c r="N605" s="59"/>
      <c r="O605" s="59"/>
    </row>
    <row r="606" spans="10:15" x14ac:dyDescent="0.3">
      <c r="J606"/>
      <c r="K606" s="59"/>
      <c r="L606" s="59"/>
      <c r="M606" s="59"/>
      <c r="N606" s="59"/>
      <c r="O606" s="59"/>
    </row>
    <row r="607" spans="10:15" x14ac:dyDescent="0.3">
      <c r="J607"/>
      <c r="K607" s="59"/>
      <c r="L607" s="59"/>
      <c r="M607" s="59"/>
      <c r="N607" s="59"/>
      <c r="O607" s="59"/>
    </row>
    <row r="608" spans="10:15" x14ac:dyDescent="0.3">
      <c r="J608"/>
      <c r="K608" s="59"/>
      <c r="L608" s="59"/>
      <c r="M608" s="59"/>
      <c r="N608" s="59"/>
      <c r="O608" s="59"/>
    </row>
    <row r="609" spans="10:15" x14ac:dyDescent="0.3">
      <c r="J609"/>
      <c r="K609" s="59"/>
      <c r="L609" s="59"/>
      <c r="M609" s="59"/>
      <c r="N609" s="59"/>
      <c r="O609" s="59"/>
    </row>
    <row r="610" spans="10:15" x14ac:dyDescent="0.3">
      <c r="J610"/>
      <c r="K610" s="59"/>
      <c r="L610" s="59"/>
      <c r="M610" s="59"/>
      <c r="N610" s="59"/>
      <c r="O610" s="59"/>
    </row>
    <row r="611" spans="10:15" x14ac:dyDescent="0.3">
      <c r="J611"/>
      <c r="K611" s="59"/>
      <c r="L611" s="59"/>
      <c r="M611" s="59"/>
      <c r="N611" s="59"/>
      <c r="O611" s="59"/>
    </row>
    <row r="612" spans="10:15" x14ac:dyDescent="0.3">
      <c r="J612"/>
      <c r="K612" s="59"/>
      <c r="L612" s="59"/>
      <c r="M612" s="59"/>
      <c r="N612" s="59"/>
      <c r="O612" s="59"/>
    </row>
    <row r="613" spans="10:15" x14ac:dyDescent="0.3">
      <c r="J613"/>
      <c r="K613" s="59"/>
      <c r="L613" s="59"/>
      <c r="M613" s="59"/>
      <c r="N613" s="59"/>
      <c r="O613" s="59"/>
    </row>
    <row r="614" spans="10:15" x14ac:dyDescent="0.3">
      <c r="J614"/>
      <c r="K614" s="59"/>
      <c r="L614" s="59"/>
      <c r="M614" s="59"/>
      <c r="N614" s="59"/>
      <c r="O614" s="59"/>
    </row>
    <row r="615" spans="10:15" x14ac:dyDescent="0.3">
      <c r="J615"/>
      <c r="K615" s="59"/>
      <c r="L615" s="59"/>
      <c r="M615" s="59"/>
      <c r="N615" s="59"/>
      <c r="O615" s="59"/>
    </row>
    <row r="616" spans="10:15" x14ac:dyDescent="0.3">
      <c r="J616"/>
      <c r="K616" s="59"/>
      <c r="L616" s="59"/>
      <c r="M616" s="59"/>
      <c r="N616" s="59"/>
      <c r="O616" s="59"/>
    </row>
    <row r="617" spans="10:15" x14ac:dyDescent="0.3">
      <c r="J617"/>
      <c r="K617" s="59"/>
      <c r="L617" s="59"/>
      <c r="M617" s="59"/>
      <c r="N617" s="59"/>
      <c r="O617" s="59"/>
    </row>
    <row r="618" spans="10:15" x14ac:dyDescent="0.3">
      <c r="J618"/>
      <c r="K618" s="59"/>
      <c r="L618" s="59"/>
      <c r="M618" s="59"/>
      <c r="N618" s="59"/>
      <c r="O618" s="59"/>
    </row>
    <row r="619" spans="10:15" x14ac:dyDescent="0.3">
      <c r="J619"/>
      <c r="K619" s="59"/>
      <c r="L619" s="59"/>
      <c r="M619" s="59"/>
      <c r="N619" s="59"/>
      <c r="O619" s="59"/>
    </row>
    <row r="620" spans="10:15" x14ac:dyDescent="0.3">
      <c r="J620"/>
      <c r="K620" s="59"/>
      <c r="L620" s="59"/>
      <c r="M620" s="59"/>
      <c r="N620" s="59"/>
      <c r="O620" s="59"/>
    </row>
    <row r="621" spans="10:15" x14ac:dyDescent="0.3">
      <c r="J621"/>
      <c r="K621" s="59"/>
      <c r="L621" s="59"/>
      <c r="M621" s="59"/>
      <c r="N621" s="59"/>
      <c r="O621" s="59"/>
    </row>
    <row r="622" spans="10:15" x14ac:dyDescent="0.3">
      <c r="J622"/>
      <c r="K622" s="59"/>
      <c r="L622" s="59"/>
      <c r="M622" s="59"/>
      <c r="N622" s="59"/>
      <c r="O622" s="59"/>
    </row>
    <row r="623" spans="10:15" x14ac:dyDescent="0.3">
      <c r="J623"/>
      <c r="K623" s="59"/>
      <c r="L623" s="59"/>
      <c r="M623" s="59"/>
      <c r="N623" s="59"/>
      <c r="O623" s="59"/>
    </row>
    <row r="624" spans="10:15" x14ac:dyDescent="0.3">
      <c r="J624"/>
      <c r="K624" s="59"/>
      <c r="L624" s="59"/>
      <c r="M624" s="59"/>
      <c r="N624" s="59"/>
      <c r="O624" s="59"/>
    </row>
    <row r="625" spans="10:15" x14ac:dyDescent="0.3">
      <c r="J625"/>
      <c r="K625" s="59"/>
      <c r="L625" s="59"/>
      <c r="M625" s="59"/>
      <c r="N625" s="59"/>
      <c r="O625" s="59"/>
    </row>
    <row r="626" spans="10:15" x14ac:dyDescent="0.3">
      <c r="J626"/>
      <c r="K626" s="59"/>
      <c r="L626" s="59"/>
      <c r="M626" s="59"/>
      <c r="N626" s="59"/>
      <c r="O626" s="59"/>
    </row>
    <row r="627" spans="10:15" x14ac:dyDescent="0.3">
      <c r="J627"/>
      <c r="K627" s="59"/>
      <c r="L627" s="59"/>
      <c r="M627" s="59"/>
      <c r="N627" s="59"/>
      <c r="O627" s="59"/>
    </row>
    <row r="628" spans="10:15" x14ac:dyDescent="0.3">
      <c r="J628"/>
      <c r="K628" s="59"/>
      <c r="L628" s="59"/>
      <c r="M628" s="59"/>
      <c r="N628" s="59"/>
      <c r="O628" s="59"/>
    </row>
    <row r="629" spans="10:15" x14ac:dyDescent="0.3">
      <c r="J629"/>
      <c r="K629" s="59"/>
      <c r="L629" s="59"/>
      <c r="M629" s="59"/>
      <c r="N629" s="59"/>
      <c r="O629" s="59"/>
    </row>
    <row r="630" spans="10:15" x14ac:dyDescent="0.3">
      <c r="J630"/>
      <c r="K630" s="59"/>
      <c r="L630" s="59"/>
      <c r="M630" s="59"/>
      <c r="N630" s="59"/>
      <c r="O630" s="59"/>
    </row>
    <row r="631" spans="10:15" x14ac:dyDescent="0.3">
      <c r="J631"/>
      <c r="K631" s="59"/>
      <c r="L631" s="59"/>
      <c r="M631" s="59"/>
      <c r="N631" s="59"/>
      <c r="O631" s="59"/>
    </row>
    <row r="632" spans="10:15" x14ac:dyDescent="0.3">
      <c r="J632"/>
      <c r="K632" s="59"/>
      <c r="L632" s="59"/>
      <c r="M632" s="59"/>
      <c r="N632" s="59"/>
      <c r="O632" s="59"/>
    </row>
    <row r="633" spans="10:15" x14ac:dyDescent="0.3">
      <c r="J633"/>
      <c r="K633" s="59"/>
      <c r="L633" s="59"/>
      <c r="M633" s="59"/>
      <c r="N633" s="59"/>
      <c r="O633" s="59"/>
    </row>
    <row r="634" spans="10:15" x14ac:dyDescent="0.3">
      <c r="J634"/>
      <c r="K634" s="59"/>
      <c r="L634" s="59"/>
      <c r="M634" s="59"/>
      <c r="N634" s="59"/>
      <c r="O634" s="59"/>
    </row>
    <row r="635" spans="10:15" x14ac:dyDescent="0.3">
      <c r="J635"/>
      <c r="K635" s="59"/>
      <c r="L635" s="59"/>
      <c r="M635" s="59"/>
      <c r="N635" s="59"/>
      <c r="O635" s="59"/>
    </row>
    <row r="636" spans="10:15" x14ac:dyDescent="0.3">
      <c r="J636"/>
      <c r="K636" s="59"/>
      <c r="L636" s="59"/>
      <c r="M636" s="59"/>
      <c r="N636" s="59"/>
      <c r="O636" s="59"/>
    </row>
    <row r="637" spans="10:15" x14ac:dyDescent="0.3">
      <c r="J637"/>
      <c r="K637" s="59"/>
      <c r="L637" s="59"/>
      <c r="M637" s="59"/>
      <c r="N637" s="59"/>
      <c r="O637" s="59"/>
    </row>
    <row r="638" spans="10:15" x14ac:dyDescent="0.3">
      <c r="J638"/>
      <c r="K638" s="59"/>
      <c r="L638" s="59"/>
      <c r="M638" s="59"/>
      <c r="N638" s="59"/>
      <c r="O638" s="59"/>
    </row>
    <row r="639" spans="10:15" x14ac:dyDescent="0.3">
      <c r="J639"/>
      <c r="K639" s="59"/>
      <c r="L639" s="59"/>
      <c r="M639" s="59"/>
      <c r="N639" s="59"/>
      <c r="O639" s="59"/>
    </row>
    <row r="640" spans="10:15" x14ac:dyDescent="0.3">
      <c r="J640"/>
      <c r="K640" s="59"/>
      <c r="L640" s="59"/>
      <c r="M640" s="59"/>
      <c r="N640" s="59"/>
      <c r="O640" s="59"/>
    </row>
    <row r="641" spans="10:15" x14ac:dyDescent="0.3">
      <c r="J641"/>
      <c r="K641" s="59"/>
      <c r="L641" s="59"/>
      <c r="M641" s="59"/>
      <c r="N641" s="59"/>
      <c r="O641" s="59"/>
    </row>
    <row r="642" spans="10:15" x14ac:dyDescent="0.3">
      <c r="J642"/>
      <c r="K642" s="59"/>
      <c r="L642" s="59"/>
      <c r="M642" s="59"/>
      <c r="N642" s="59"/>
      <c r="O642" s="59"/>
    </row>
    <row r="643" spans="10:15" x14ac:dyDescent="0.3">
      <c r="J643"/>
      <c r="K643" s="59"/>
      <c r="L643" s="59"/>
      <c r="M643" s="59"/>
      <c r="N643" s="59"/>
      <c r="O643" s="59"/>
    </row>
    <row r="644" spans="10:15" x14ac:dyDescent="0.3">
      <c r="J644"/>
      <c r="K644" s="59"/>
      <c r="L644" s="59"/>
      <c r="M644" s="59"/>
      <c r="N644" s="59"/>
      <c r="O644" s="59"/>
    </row>
    <row r="645" spans="10:15" x14ac:dyDescent="0.3">
      <c r="J645"/>
      <c r="K645" s="59"/>
      <c r="L645" s="59"/>
      <c r="M645" s="59"/>
      <c r="N645" s="59"/>
      <c r="O645" s="59"/>
    </row>
    <row r="646" spans="10:15" x14ac:dyDescent="0.3">
      <c r="J646"/>
      <c r="K646" s="59"/>
      <c r="L646" s="59"/>
      <c r="M646" s="59"/>
      <c r="N646" s="59"/>
      <c r="O646" s="59"/>
    </row>
    <row r="647" spans="10:15" x14ac:dyDescent="0.3">
      <c r="J647"/>
      <c r="K647" s="59"/>
      <c r="L647" s="59"/>
      <c r="M647" s="59"/>
      <c r="N647" s="59"/>
      <c r="O647" s="59"/>
    </row>
    <row r="648" spans="10:15" x14ac:dyDescent="0.3">
      <c r="J648"/>
      <c r="K648" s="59"/>
      <c r="L648" s="59"/>
      <c r="M648" s="59"/>
      <c r="N648" s="59"/>
      <c r="O648" s="59"/>
    </row>
    <row r="649" spans="10:15" x14ac:dyDescent="0.3">
      <c r="J649"/>
      <c r="K649" s="59"/>
      <c r="L649" s="59"/>
      <c r="M649" s="59"/>
      <c r="N649" s="59"/>
      <c r="O649" s="59"/>
    </row>
    <row r="650" spans="10:15" x14ac:dyDescent="0.3">
      <c r="J650"/>
      <c r="K650" s="59"/>
      <c r="L650" s="59"/>
      <c r="M650" s="59"/>
      <c r="N650" s="59"/>
      <c r="O650" s="59"/>
    </row>
    <row r="651" spans="10:15" x14ac:dyDescent="0.3">
      <c r="J651"/>
      <c r="K651" s="59"/>
      <c r="L651" s="59"/>
      <c r="M651" s="59"/>
      <c r="N651" s="59"/>
      <c r="O651" s="59"/>
    </row>
    <row r="652" spans="10:15" x14ac:dyDescent="0.3">
      <c r="J652"/>
      <c r="K652" s="59"/>
      <c r="L652" s="59"/>
      <c r="M652" s="59"/>
      <c r="N652" s="59"/>
      <c r="O652" s="59"/>
    </row>
    <row r="653" spans="10:15" x14ac:dyDescent="0.3">
      <c r="J653"/>
      <c r="K653" s="59"/>
      <c r="L653" s="59"/>
      <c r="M653" s="59"/>
      <c r="N653" s="59"/>
      <c r="O653" s="59"/>
    </row>
    <row r="654" spans="10:15" x14ac:dyDescent="0.3">
      <c r="J654"/>
      <c r="K654" s="59"/>
      <c r="L654" s="59"/>
      <c r="M654" s="59"/>
      <c r="N654" s="59"/>
      <c r="O654" s="59"/>
    </row>
    <row r="655" spans="10:15" x14ac:dyDescent="0.3">
      <c r="J655"/>
      <c r="K655" s="59"/>
      <c r="L655" s="59"/>
      <c r="M655" s="59"/>
      <c r="N655" s="59"/>
      <c r="O655" s="59"/>
    </row>
    <row r="656" spans="10:15" x14ac:dyDescent="0.3">
      <c r="J656"/>
      <c r="K656" s="59"/>
      <c r="L656" s="59"/>
      <c r="M656" s="59"/>
      <c r="N656" s="59"/>
      <c r="O656" s="59"/>
    </row>
    <row r="657" spans="10:15" x14ac:dyDescent="0.3">
      <c r="J657"/>
      <c r="K657" s="59"/>
      <c r="L657" s="59"/>
      <c r="M657" s="59"/>
      <c r="N657" s="59"/>
      <c r="O657" s="59"/>
    </row>
    <row r="658" spans="10:15" x14ac:dyDescent="0.3">
      <c r="J658"/>
      <c r="K658" s="59"/>
      <c r="L658" s="59"/>
      <c r="M658" s="59"/>
      <c r="N658" s="59"/>
      <c r="O658" s="59"/>
    </row>
    <row r="659" spans="10:15" x14ac:dyDescent="0.3">
      <c r="J659"/>
      <c r="K659" s="59"/>
      <c r="L659" s="59"/>
      <c r="M659" s="59"/>
      <c r="N659" s="59"/>
      <c r="O659" s="59"/>
    </row>
    <row r="660" spans="10:15" x14ac:dyDescent="0.3">
      <c r="J660"/>
      <c r="K660" s="59"/>
      <c r="L660" s="59"/>
      <c r="M660" s="59"/>
      <c r="N660" s="59"/>
      <c r="O660" s="59"/>
    </row>
    <row r="661" spans="10:15" x14ac:dyDescent="0.3">
      <c r="J661"/>
      <c r="K661" s="59"/>
      <c r="L661" s="59"/>
      <c r="M661" s="59"/>
      <c r="N661" s="59"/>
      <c r="O661" s="59"/>
    </row>
    <row r="662" spans="10:15" x14ac:dyDescent="0.3">
      <c r="J662"/>
      <c r="K662" s="59"/>
      <c r="L662" s="59"/>
      <c r="M662" s="59"/>
      <c r="N662" s="59"/>
      <c r="O662" s="59"/>
    </row>
    <row r="663" spans="10:15" x14ac:dyDescent="0.3">
      <c r="J663"/>
      <c r="K663" s="59"/>
      <c r="L663" s="59"/>
      <c r="M663" s="59"/>
      <c r="N663" s="59"/>
      <c r="O663" s="59"/>
    </row>
    <row r="664" spans="10:15" x14ac:dyDescent="0.3">
      <c r="J664"/>
      <c r="K664" s="59"/>
      <c r="L664" s="59"/>
      <c r="M664" s="59"/>
      <c r="N664" s="59"/>
      <c r="O664" s="59"/>
    </row>
    <row r="665" spans="10:15" x14ac:dyDescent="0.3">
      <c r="J665"/>
      <c r="K665" s="59"/>
      <c r="L665" s="59"/>
      <c r="M665" s="59"/>
      <c r="N665" s="59"/>
      <c r="O665" s="59"/>
    </row>
    <row r="666" spans="10:15" x14ac:dyDescent="0.3">
      <c r="J666"/>
      <c r="K666" s="59"/>
      <c r="L666" s="59"/>
      <c r="M666" s="59"/>
      <c r="N666" s="59"/>
      <c r="O666" s="59"/>
    </row>
    <row r="667" spans="10:15" x14ac:dyDescent="0.3">
      <c r="J667"/>
      <c r="K667" s="59"/>
      <c r="L667" s="59"/>
      <c r="M667" s="59"/>
      <c r="N667" s="59"/>
      <c r="O667" s="59"/>
    </row>
    <row r="668" spans="10:15" x14ac:dyDescent="0.3">
      <c r="J668"/>
      <c r="K668" s="59"/>
      <c r="L668" s="59"/>
      <c r="M668" s="59"/>
      <c r="N668" s="59"/>
      <c r="O668" s="59"/>
    </row>
    <row r="669" spans="10:15" x14ac:dyDescent="0.3">
      <c r="J669"/>
      <c r="K669" s="59"/>
      <c r="L669" s="59"/>
      <c r="M669" s="59"/>
      <c r="N669" s="59"/>
      <c r="O669" s="59"/>
    </row>
    <row r="670" spans="10:15" x14ac:dyDescent="0.3">
      <c r="J670"/>
      <c r="K670" s="59"/>
      <c r="L670" s="59"/>
      <c r="M670" s="59"/>
      <c r="N670" s="59"/>
      <c r="O670" s="59"/>
    </row>
    <row r="671" spans="10:15" x14ac:dyDescent="0.3">
      <c r="J671"/>
      <c r="K671" s="59"/>
      <c r="L671" s="59"/>
      <c r="M671" s="59"/>
      <c r="N671" s="59"/>
      <c r="O671" s="59"/>
    </row>
    <row r="672" spans="10:15" x14ac:dyDescent="0.3">
      <c r="J672"/>
      <c r="K672" s="59"/>
      <c r="L672" s="59"/>
      <c r="M672" s="59"/>
      <c r="N672" s="59"/>
      <c r="O672" s="59"/>
    </row>
    <row r="673" spans="10:15" x14ac:dyDescent="0.3">
      <c r="J673"/>
      <c r="K673" s="59"/>
      <c r="L673" s="59"/>
      <c r="M673" s="59"/>
      <c r="N673" s="59"/>
      <c r="O673" s="59"/>
    </row>
    <row r="674" spans="10:15" x14ac:dyDescent="0.3">
      <c r="J674"/>
      <c r="K674" s="59"/>
      <c r="L674" s="59"/>
      <c r="M674" s="59"/>
      <c r="N674" s="59"/>
      <c r="O674" s="59"/>
    </row>
    <row r="675" spans="10:15" x14ac:dyDescent="0.3">
      <c r="J675"/>
      <c r="K675" s="59"/>
      <c r="L675" s="59"/>
      <c r="M675" s="59"/>
      <c r="N675" s="59"/>
      <c r="O675" s="59"/>
    </row>
    <row r="676" spans="10:15" x14ac:dyDescent="0.3">
      <c r="J676"/>
      <c r="K676" s="59"/>
      <c r="L676" s="59"/>
      <c r="M676" s="59"/>
      <c r="N676" s="59"/>
      <c r="O676" s="59"/>
    </row>
    <row r="677" spans="10:15" x14ac:dyDescent="0.3">
      <c r="J677"/>
      <c r="K677" s="59"/>
      <c r="L677" s="59"/>
      <c r="M677" s="59"/>
      <c r="N677" s="59"/>
      <c r="O677" s="59"/>
    </row>
    <row r="678" spans="10:15" x14ac:dyDescent="0.3">
      <c r="J678"/>
      <c r="K678" s="59"/>
      <c r="L678" s="59"/>
      <c r="M678" s="59"/>
      <c r="N678" s="59"/>
      <c r="O678" s="59"/>
    </row>
    <row r="679" spans="10:15" x14ac:dyDescent="0.3">
      <c r="J679"/>
      <c r="K679" s="59"/>
      <c r="L679" s="59"/>
      <c r="M679" s="59"/>
      <c r="N679" s="59"/>
      <c r="O679" s="59"/>
    </row>
    <row r="680" spans="10:15" x14ac:dyDescent="0.3">
      <c r="J680"/>
      <c r="K680" s="59"/>
      <c r="L680" s="59"/>
      <c r="M680" s="59"/>
      <c r="N680" s="59"/>
      <c r="O680" s="59"/>
    </row>
    <row r="681" spans="10:15" x14ac:dyDescent="0.3">
      <c r="J681"/>
      <c r="K681" s="59"/>
      <c r="L681" s="59"/>
      <c r="M681" s="59"/>
      <c r="N681" s="59"/>
      <c r="O681" s="59"/>
    </row>
    <row r="682" spans="10:15" x14ac:dyDescent="0.3">
      <c r="J682"/>
      <c r="K682" s="59"/>
      <c r="L682" s="59"/>
      <c r="M682" s="59"/>
      <c r="N682" s="59"/>
      <c r="O682" s="59"/>
    </row>
    <row r="683" spans="10:15" x14ac:dyDescent="0.3">
      <c r="J683"/>
      <c r="K683" s="59"/>
      <c r="L683" s="59"/>
      <c r="M683" s="59"/>
      <c r="N683" s="59"/>
      <c r="O683" s="59"/>
    </row>
    <row r="684" spans="10:15" x14ac:dyDescent="0.3">
      <c r="J684"/>
      <c r="K684" s="59"/>
      <c r="L684" s="59"/>
      <c r="M684" s="59"/>
      <c r="N684" s="59"/>
      <c r="O684" s="59"/>
    </row>
    <row r="685" spans="10:15" x14ac:dyDescent="0.3">
      <c r="J685"/>
      <c r="K685" s="59"/>
      <c r="L685" s="59"/>
      <c r="M685" s="59"/>
      <c r="N685" s="59"/>
      <c r="O685" s="59"/>
    </row>
    <row r="686" spans="10:15" x14ac:dyDescent="0.3">
      <c r="J686"/>
      <c r="K686" s="59"/>
      <c r="L686" s="59"/>
      <c r="M686" s="59"/>
      <c r="N686" s="59"/>
      <c r="O686" s="59"/>
    </row>
    <row r="687" spans="10:15" x14ac:dyDescent="0.3">
      <c r="J687"/>
      <c r="K687" s="59"/>
      <c r="L687" s="59"/>
      <c r="M687" s="59"/>
      <c r="N687" s="59"/>
      <c r="O687" s="59"/>
    </row>
    <row r="688" spans="10:15" x14ac:dyDescent="0.3">
      <c r="J688"/>
      <c r="K688" s="59"/>
      <c r="L688" s="59"/>
      <c r="M688" s="59"/>
      <c r="N688" s="59"/>
      <c r="O688" s="59"/>
    </row>
    <row r="689" spans="10:15" x14ac:dyDescent="0.3">
      <c r="J689"/>
      <c r="K689" s="59"/>
      <c r="L689" s="59"/>
      <c r="M689" s="59"/>
      <c r="N689" s="59"/>
      <c r="O689" s="59"/>
    </row>
    <row r="690" spans="10:15" x14ac:dyDescent="0.3">
      <c r="J690"/>
      <c r="K690" s="59"/>
      <c r="L690" s="59"/>
      <c r="M690" s="59"/>
      <c r="N690" s="59"/>
      <c r="O690" s="59"/>
    </row>
    <row r="691" spans="10:15" x14ac:dyDescent="0.3">
      <c r="J691"/>
      <c r="K691" s="59"/>
      <c r="L691" s="59"/>
      <c r="M691" s="59"/>
      <c r="N691" s="59"/>
      <c r="O691" s="59"/>
    </row>
    <row r="692" spans="10:15" x14ac:dyDescent="0.3">
      <c r="J692"/>
      <c r="K692" s="59"/>
      <c r="L692" s="59"/>
      <c r="M692" s="59"/>
      <c r="N692" s="59"/>
      <c r="O692" s="59"/>
    </row>
    <row r="693" spans="10:15" x14ac:dyDescent="0.3">
      <c r="J693"/>
      <c r="K693" s="59"/>
      <c r="L693" s="59"/>
      <c r="M693" s="59"/>
      <c r="N693" s="59"/>
      <c r="O693" s="59"/>
    </row>
    <row r="694" spans="10:15" x14ac:dyDescent="0.3">
      <c r="J694"/>
      <c r="K694" s="59"/>
      <c r="L694" s="59"/>
      <c r="M694" s="59"/>
      <c r="N694" s="59"/>
      <c r="O694" s="59"/>
    </row>
    <row r="695" spans="10:15" x14ac:dyDescent="0.3">
      <c r="J695"/>
      <c r="K695" s="59"/>
      <c r="L695" s="59"/>
      <c r="M695" s="59"/>
      <c r="N695" s="59"/>
      <c r="O695" s="59"/>
    </row>
    <row r="696" spans="10:15" x14ac:dyDescent="0.3">
      <c r="J696"/>
      <c r="K696" s="59"/>
      <c r="L696" s="59"/>
      <c r="M696" s="59"/>
      <c r="N696" s="59"/>
      <c r="O696" s="59"/>
    </row>
    <row r="697" spans="10:15" x14ac:dyDescent="0.3">
      <c r="J697"/>
      <c r="K697" s="59"/>
      <c r="L697" s="59"/>
      <c r="M697" s="59"/>
      <c r="N697" s="59"/>
      <c r="O697" s="59"/>
    </row>
    <row r="698" spans="10:15" x14ac:dyDescent="0.3">
      <c r="J698"/>
      <c r="K698" s="59"/>
      <c r="L698" s="59"/>
      <c r="M698" s="59"/>
      <c r="N698" s="59"/>
      <c r="O698" s="59"/>
    </row>
    <row r="699" spans="10:15" x14ac:dyDescent="0.3">
      <c r="J699"/>
      <c r="K699" s="59"/>
      <c r="L699" s="59"/>
      <c r="M699" s="59"/>
      <c r="N699" s="59"/>
      <c r="O699" s="59"/>
    </row>
    <row r="700" spans="10:15" x14ac:dyDescent="0.3">
      <c r="J700"/>
      <c r="K700" s="59"/>
      <c r="L700" s="59"/>
      <c r="M700" s="59"/>
      <c r="N700" s="59"/>
      <c r="O700" s="59"/>
    </row>
    <row r="701" spans="10:15" x14ac:dyDescent="0.3">
      <c r="J701"/>
      <c r="K701" s="59"/>
      <c r="L701" s="59"/>
      <c r="M701" s="59"/>
      <c r="N701" s="59"/>
      <c r="O701" s="59"/>
    </row>
    <row r="702" spans="10:15" x14ac:dyDescent="0.3">
      <c r="J702"/>
      <c r="K702" s="59"/>
      <c r="L702" s="59"/>
      <c r="M702" s="59"/>
      <c r="N702" s="59"/>
      <c r="O702" s="59"/>
    </row>
    <row r="703" spans="10:15" x14ac:dyDescent="0.3">
      <c r="J703"/>
      <c r="K703" s="59"/>
      <c r="L703" s="59"/>
      <c r="M703" s="59"/>
      <c r="N703" s="59"/>
      <c r="O703" s="59"/>
    </row>
    <row r="704" spans="10:15" x14ac:dyDescent="0.3">
      <c r="J704"/>
      <c r="K704" s="59"/>
      <c r="L704" s="59"/>
      <c r="M704" s="59"/>
      <c r="N704" s="59"/>
      <c r="O704" s="59"/>
    </row>
    <row r="705" spans="10:15" x14ac:dyDescent="0.3">
      <c r="J705"/>
      <c r="K705" s="59"/>
      <c r="L705" s="59"/>
      <c r="M705" s="59"/>
      <c r="N705" s="59"/>
      <c r="O705" s="59"/>
    </row>
    <row r="706" spans="10:15" x14ac:dyDescent="0.3">
      <c r="J706"/>
      <c r="K706" s="59"/>
      <c r="L706" s="59"/>
      <c r="M706" s="59"/>
      <c r="N706" s="59"/>
      <c r="O706" s="59"/>
    </row>
    <row r="707" spans="10:15" x14ac:dyDescent="0.3">
      <c r="J707"/>
      <c r="K707" s="59"/>
      <c r="L707" s="59"/>
      <c r="M707" s="59"/>
      <c r="N707" s="59"/>
      <c r="O707" s="59"/>
    </row>
    <row r="708" spans="10:15" x14ac:dyDescent="0.3">
      <c r="J708"/>
      <c r="K708" s="59"/>
      <c r="L708" s="59"/>
      <c r="M708" s="59"/>
      <c r="N708" s="59"/>
      <c r="O708" s="59"/>
    </row>
    <row r="709" spans="10:15" x14ac:dyDescent="0.3">
      <c r="J709"/>
      <c r="K709" s="59"/>
      <c r="L709" s="59"/>
      <c r="M709" s="59"/>
      <c r="N709" s="59"/>
      <c r="O709" s="59"/>
    </row>
    <row r="710" spans="10:15" x14ac:dyDescent="0.3">
      <c r="J710"/>
      <c r="K710" s="59"/>
      <c r="L710" s="59"/>
      <c r="M710" s="59"/>
      <c r="N710" s="59"/>
      <c r="O710" s="59"/>
    </row>
    <row r="711" spans="10:15" x14ac:dyDescent="0.3">
      <c r="J711"/>
      <c r="K711" s="59"/>
      <c r="L711" s="59"/>
      <c r="M711" s="59"/>
      <c r="N711" s="59"/>
      <c r="O711" s="59"/>
    </row>
    <row r="712" spans="10:15" x14ac:dyDescent="0.3">
      <c r="J712"/>
      <c r="K712" s="59"/>
      <c r="L712" s="59"/>
      <c r="M712" s="59"/>
      <c r="N712" s="59"/>
      <c r="O712" s="59"/>
    </row>
    <row r="713" spans="10:15" x14ac:dyDescent="0.3">
      <c r="J713"/>
      <c r="K713" s="59"/>
      <c r="L713" s="59"/>
      <c r="M713" s="59"/>
      <c r="N713" s="59"/>
      <c r="O713" s="59"/>
    </row>
    <row r="714" spans="10:15" x14ac:dyDescent="0.3">
      <c r="J714"/>
      <c r="K714" s="59"/>
      <c r="L714" s="59"/>
      <c r="M714" s="59"/>
      <c r="N714" s="59"/>
      <c r="O714" s="59"/>
    </row>
    <row r="715" spans="10:15" x14ac:dyDescent="0.3">
      <c r="J715"/>
      <c r="K715" s="59"/>
      <c r="L715" s="59"/>
      <c r="M715" s="59"/>
      <c r="N715" s="59"/>
      <c r="O715" s="59"/>
    </row>
    <row r="716" spans="10:15" x14ac:dyDescent="0.3">
      <c r="J716"/>
      <c r="K716" s="59"/>
      <c r="L716" s="59"/>
      <c r="M716" s="59"/>
      <c r="N716" s="59"/>
      <c r="O716" s="59"/>
    </row>
    <row r="717" spans="10:15" x14ac:dyDescent="0.3">
      <c r="J717"/>
      <c r="K717" s="59"/>
      <c r="L717" s="59"/>
      <c r="M717" s="59"/>
      <c r="N717" s="59"/>
      <c r="O717" s="59"/>
    </row>
    <row r="718" spans="10:15" x14ac:dyDescent="0.3">
      <c r="J718"/>
      <c r="K718" s="59"/>
      <c r="L718" s="59"/>
      <c r="M718" s="59"/>
      <c r="N718" s="59"/>
      <c r="O718" s="59"/>
    </row>
    <row r="719" spans="10:15" x14ac:dyDescent="0.3">
      <c r="J719"/>
      <c r="K719" s="59"/>
      <c r="L719" s="59"/>
      <c r="M719" s="59"/>
      <c r="N719" s="59"/>
      <c r="O719" s="59"/>
    </row>
    <row r="720" spans="10:15" x14ac:dyDescent="0.3">
      <c r="J720"/>
      <c r="K720" s="59"/>
      <c r="L720" s="59"/>
      <c r="M720" s="59"/>
      <c r="N720" s="59"/>
      <c r="O720" s="59"/>
    </row>
    <row r="721" spans="10:15" x14ac:dyDescent="0.3">
      <c r="J721"/>
      <c r="K721" s="59"/>
      <c r="L721" s="59"/>
      <c r="M721" s="59"/>
      <c r="N721" s="59"/>
      <c r="O721" s="59"/>
    </row>
    <row r="722" spans="10:15" x14ac:dyDescent="0.3">
      <c r="J722"/>
      <c r="K722" s="59"/>
      <c r="L722" s="59"/>
      <c r="M722" s="59"/>
      <c r="N722" s="59"/>
      <c r="O722" s="59"/>
    </row>
    <row r="723" spans="10:15" x14ac:dyDescent="0.3">
      <c r="J723"/>
      <c r="K723" s="59"/>
      <c r="L723" s="59"/>
      <c r="M723" s="59"/>
      <c r="N723" s="59"/>
      <c r="O723" s="59"/>
    </row>
    <row r="724" spans="10:15" x14ac:dyDescent="0.3">
      <c r="J724"/>
      <c r="K724" s="59"/>
      <c r="L724" s="59"/>
      <c r="M724" s="59"/>
      <c r="N724" s="59"/>
      <c r="O724" s="59"/>
    </row>
    <row r="725" spans="10:15" x14ac:dyDescent="0.3">
      <c r="J725"/>
      <c r="K725" s="59"/>
      <c r="L725" s="59"/>
      <c r="M725" s="59"/>
      <c r="N725" s="59"/>
      <c r="O725" s="59"/>
    </row>
    <row r="726" spans="10:15" x14ac:dyDescent="0.3">
      <c r="J726"/>
      <c r="K726" s="59"/>
      <c r="L726" s="59"/>
      <c r="M726" s="59"/>
      <c r="N726" s="59"/>
      <c r="O726" s="59"/>
    </row>
    <row r="727" spans="10:15" x14ac:dyDescent="0.3">
      <c r="J727"/>
      <c r="K727" s="59"/>
      <c r="L727" s="59"/>
      <c r="M727" s="59"/>
      <c r="N727" s="59"/>
      <c r="O727" s="59"/>
    </row>
    <row r="728" spans="10:15" x14ac:dyDescent="0.3">
      <c r="J728"/>
      <c r="K728" s="59"/>
      <c r="L728" s="59"/>
      <c r="M728" s="59"/>
      <c r="N728" s="59"/>
      <c r="O728" s="59"/>
    </row>
    <row r="729" spans="10:15" x14ac:dyDescent="0.3">
      <c r="J729"/>
      <c r="K729" s="59"/>
      <c r="L729" s="59"/>
      <c r="M729" s="59"/>
      <c r="N729" s="59"/>
      <c r="O729" s="59"/>
    </row>
    <row r="730" spans="10:15" x14ac:dyDescent="0.3">
      <c r="J730"/>
      <c r="K730" s="59"/>
      <c r="L730" s="59"/>
      <c r="M730" s="59"/>
      <c r="N730" s="59"/>
      <c r="O730" s="59"/>
    </row>
    <row r="731" spans="10:15" x14ac:dyDescent="0.3">
      <c r="J731"/>
      <c r="K731" s="59"/>
      <c r="L731" s="59"/>
      <c r="M731" s="59"/>
      <c r="N731" s="59"/>
      <c r="O731" s="59"/>
    </row>
    <row r="732" spans="10:15" x14ac:dyDescent="0.3">
      <c r="J732"/>
      <c r="K732" s="59"/>
      <c r="L732" s="59"/>
      <c r="M732" s="59"/>
      <c r="N732" s="59"/>
      <c r="O732" s="59"/>
    </row>
    <row r="733" spans="10:15" x14ac:dyDescent="0.3">
      <c r="J733"/>
      <c r="K733" s="59"/>
      <c r="L733" s="59"/>
      <c r="M733" s="59"/>
      <c r="N733" s="59"/>
      <c r="O733" s="59"/>
    </row>
    <row r="734" spans="10:15" x14ac:dyDescent="0.3">
      <c r="J734"/>
      <c r="K734" s="59"/>
      <c r="L734" s="59"/>
      <c r="M734" s="59"/>
      <c r="N734" s="59"/>
      <c r="O734" s="59"/>
    </row>
    <row r="735" spans="10:15" x14ac:dyDescent="0.3">
      <c r="J735"/>
      <c r="K735" s="59"/>
      <c r="L735" s="59"/>
      <c r="M735" s="59"/>
      <c r="N735" s="59"/>
      <c r="O735" s="59"/>
    </row>
    <row r="736" spans="10:15" x14ac:dyDescent="0.3">
      <c r="J736"/>
      <c r="K736" s="59"/>
      <c r="L736" s="59"/>
      <c r="M736" s="59"/>
      <c r="N736" s="59"/>
      <c r="O736" s="59"/>
    </row>
    <row r="737" spans="10:15" x14ac:dyDescent="0.3">
      <c r="J737"/>
      <c r="K737" s="59"/>
      <c r="L737" s="59"/>
      <c r="M737" s="59"/>
      <c r="N737" s="59"/>
      <c r="O737" s="59"/>
    </row>
    <row r="738" spans="10:15" x14ac:dyDescent="0.3">
      <c r="J738"/>
      <c r="K738" s="59"/>
      <c r="L738" s="59"/>
      <c r="M738" s="59"/>
      <c r="N738" s="59"/>
      <c r="O738" s="59"/>
    </row>
    <row r="739" spans="10:15" x14ac:dyDescent="0.3">
      <c r="J739"/>
      <c r="K739" s="59"/>
      <c r="L739" s="59"/>
      <c r="M739" s="59"/>
      <c r="N739" s="59"/>
      <c r="O739" s="59"/>
    </row>
    <row r="740" spans="10:15" x14ac:dyDescent="0.3">
      <c r="J740"/>
      <c r="K740" s="59"/>
      <c r="L740" s="59"/>
      <c r="M740" s="59"/>
      <c r="N740" s="59"/>
      <c r="O740" s="59"/>
    </row>
    <row r="741" spans="10:15" x14ac:dyDescent="0.3">
      <c r="J741"/>
      <c r="K741" s="59"/>
      <c r="L741" s="59"/>
      <c r="M741" s="59"/>
      <c r="N741" s="59"/>
      <c r="O741" s="59"/>
    </row>
    <row r="742" spans="10:15" x14ac:dyDescent="0.3">
      <c r="J742"/>
      <c r="K742" s="59"/>
      <c r="L742" s="59"/>
      <c r="M742" s="59"/>
      <c r="N742" s="59"/>
      <c r="O742" s="59"/>
    </row>
    <row r="743" spans="10:15" x14ac:dyDescent="0.3">
      <c r="J743"/>
      <c r="K743" s="59"/>
      <c r="L743" s="59"/>
      <c r="M743" s="59"/>
      <c r="N743" s="59"/>
      <c r="O743" s="59"/>
    </row>
    <row r="744" spans="10:15" x14ac:dyDescent="0.3">
      <c r="J744"/>
      <c r="K744" s="59"/>
      <c r="L744" s="59"/>
      <c r="M744" s="59"/>
      <c r="N744" s="59"/>
      <c r="O744" s="59"/>
    </row>
    <row r="745" spans="10:15" x14ac:dyDescent="0.3">
      <c r="J745"/>
      <c r="K745" s="59"/>
      <c r="L745" s="59"/>
      <c r="M745" s="59"/>
      <c r="N745" s="59"/>
      <c r="O745" s="59"/>
    </row>
    <row r="746" spans="10:15" x14ac:dyDescent="0.3">
      <c r="J746"/>
      <c r="K746" s="59"/>
      <c r="L746" s="59"/>
      <c r="M746" s="59"/>
      <c r="N746" s="59"/>
      <c r="O746" s="59"/>
    </row>
    <row r="747" spans="10:15" x14ac:dyDescent="0.3">
      <c r="J747"/>
      <c r="K747" s="59"/>
      <c r="L747" s="59"/>
      <c r="M747" s="59"/>
      <c r="N747" s="59"/>
      <c r="O747" s="59"/>
    </row>
    <row r="748" spans="10:15" x14ac:dyDescent="0.3">
      <c r="J748"/>
      <c r="K748" s="59"/>
      <c r="L748" s="59"/>
      <c r="M748" s="59"/>
      <c r="N748" s="59"/>
      <c r="O748" s="59"/>
    </row>
    <row r="749" spans="10:15" x14ac:dyDescent="0.3">
      <c r="J749"/>
      <c r="K749" s="59"/>
      <c r="L749" s="59"/>
      <c r="M749" s="59"/>
      <c r="N749" s="59"/>
      <c r="O749" s="59"/>
    </row>
    <row r="750" spans="10:15" x14ac:dyDescent="0.3">
      <c r="J750"/>
      <c r="K750" s="59"/>
      <c r="L750" s="59"/>
      <c r="M750" s="59"/>
      <c r="N750" s="59"/>
      <c r="O750" s="59"/>
    </row>
    <row r="751" spans="10:15" x14ac:dyDescent="0.3">
      <c r="J751"/>
      <c r="K751" s="59"/>
      <c r="L751" s="59"/>
      <c r="M751" s="59"/>
      <c r="N751" s="59"/>
      <c r="O751" s="59"/>
    </row>
    <row r="752" spans="10:15" x14ac:dyDescent="0.3">
      <c r="J752"/>
      <c r="K752" s="59"/>
      <c r="L752" s="59"/>
      <c r="M752" s="59"/>
      <c r="N752" s="59"/>
      <c r="O752" s="59"/>
    </row>
    <row r="753" spans="10:15" x14ac:dyDescent="0.3">
      <c r="J753"/>
      <c r="K753" s="59"/>
      <c r="L753" s="59"/>
      <c r="M753" s="59"/>
      <c r="N753" s="59"/>
      <c r="O753" s="59"/>
    </row>
    <row r="754" spans="10:15" x14ac:dyDescent="0.3">
      <c r="J754"/>
      <c r="K754" s="59"/>
      <c r="L754" s="59"/>
      <c r="M754" s="59"/>
      <c r="N754" s="59"/>
      <c r="O754" s="59"/>
    </row>
    <row r="755" spans="10:15" x14ac:dyDescent="0.3">
      <c r="J755"/>
      <c r="K755" s="59"/>
      <c r="L755" s="59"/>
      <c r="M755" s="59"/>
      <c r="N755" s="59"/>
      <c r="O755" s="59"/>
    </row>
    <row r="756" spans="10:15" x14ac:dyDescent="0.3">
      <c r="J756"/>
      <c r="K756" s="59"/>
      <c r="L756" s="59"/>
      <c r="M756" s="59"/>
      <c r="N756" s="59"/>
      <c r="O756" s="59"/>
    </row>
    <row r="757" spans="10:15" x14ac:dyDescent="0.3">
      <c r="J757"/>
      <c r="K757" s="59"/>
      <c r="L757" s="59"/>
      <c r="M757" s="59"/>
      <c r="N757" s="59"/>
      <c r="O757" s="59"/>
    </row>
    <row r="758" spans="10:15" x14ac:dyDescent="0.3">
      <c r="J758"/>
      <c r="K758" s="59"/>
      <c r="L758" s="59"/>
      <c r="M758" s="59"/>
      <c r="N758" s="59"/>
      <c r="O758" s="59"/>
    </row>
    <row r="759" spans="10:15" x14ac:dyDescent="0.3">
      <c r="J759"/>
      <c r="K759" s="59"/>
      <c r="L759" s="59"/>
      <c r="M759" s="59"/>
      <c r="N759" s="59"/>
      <c r="O759" s="59"/>
    </row>
    <row r="760" spans="10:15" x14ac:dyDescent="0.3">
      <c r="J760"/>
      <c r="K760" s="59"/>
      <c r="L760" s="59"/>
      <c r="M760" s="59"/>
      <c r="N760" s="59"/>
      <c r="O760" s="59"/>
    </row>
    <row r="761" spans="10:15" x14ac:dyDescent="0.3">
      <c r="J761"/>
      <c r="K761" s="59"/>
      <c r="L761" s="59"/>
      <c r="M761" s="59"/>
      <c r="N761" s="59"/>
      <c r="O761" s="59"/>
    </row>
    <row r="762" spans="10:15" x14ac:dyDescent="0.3">
      <c r="J762"/>
      <c r="K762" s="59"/>
      <c r="L762" s="59"/>
      <c r="M762" s="59"/>
      <c r="N762" s="59"/>
      <c r="O762" s="59"/>
    </row>
    <row r="763" spans="10:15" x14ac:dyDescent="0.3">
      <c r="J763"/>
      <c r="K763" s="59"/>
      <c r="L763" s="59"/>
      <c r="M763" s="59"/>
      <c r="N763" s="59"/>
      <c r="O763" s="59"/>
    </row>
    <row r="764" spans="10:15" x14ac:dyDescent="0.3">
      <c r="J764"/>
      <c r="K764" s="59"/>
      <c r="L764" s="59"/>
      <c r="M764" s="59"/>
      <c r="N764" s="59"/>
      <c r="O764" s="59"/>
    </row>
    <row r="765" spans="10:15" x14ac:dyDescent="0.3">
      <c r="J765"/>
      <c r="K765" s="59"/>
      <c r="L765" s="59"/>
      <c r="M765" s="59"/>
      <c r="N765" s="59"/>
      <c r="O765" s="59"/>
    </row>
    <row r="766" spans="10:15" x14ac:dyDescent="0.3">
      <c r="J766"/>
      <c r="K766" s="59"/>
      <c r="L766" s="59"/>
      <c r="M766" s="59"/>
      <c r="N766" s="59"/>
      <c r="O766" s="59"/>
    </row>
    <row r="767" spans="10:15" x14ac:dyDescent="0.3">
      <c r="J767"/>
      <c r="K767" s="59"/>
      <c r="L767" s="59"/>
      <c r="M767" s="59"/>
      <c r="N767" s="59"/>
      <c r="O767" s="59"/>
    </row>
    <row r="768" spans="10:15" x14ac:dyDescent="0.3">
      <c r="J768"/>
      <c r="K768" s="59"/>
      <c r="L768" s="59"/>
      <c r="M768" s="59"/>
      <c r="N768" s="59"/>
      <c r="O768" s="59"/>
    </row>
    <row r="769" spans="10:15" x14ac:dyDescent="0.3">
      <c r="J769"/>
      <c r="K769" s="59"/>
      <c r="L769" s="59"/>
      <c r="M769" s="59"/>
      <c r="N769" s="59"/>
      <c r="O769" s="59"/>
    </row>
    <row r="770" spans="10:15" x14ac:dyDescent="0.3">
      <c r="J770"/>
      <c r="K770" s="59"/>
      <c r="L770" s="59"/>
      <c r="M770" s="59"/>
      <c r="N770" s="59"/>
      <c r="O770" s="59"/>
    </row>
    <row r="771" spans="10:15" x14ac:dyDescent="0.3">
      <c r="J771"/>
      <c r="K771" s="59"/>
      <c r="L771" s="59"/>
      <c r="M771" s="59"/>
      <c r="N771" s="59"/>
      <c r="O771" s="59"/>
    </row>
    <row r="772" spans="10:15" x14ac:dyDescent="0.3">
      <c r="J772"/>
      <c r="K772" s="59"/>
      <c r="L772" s="59"/>
      <c r="M772" s="59"/>
      <c r="N772" s="59"/>
      <c r="O772" s="59"/>
    </row>
    <row r="773" spans="10:15" x14ac:dyDescent="0.3">
      <c r="J773"/>
      <c r="K773" s="59"/>
      <c r="L773" s="59"/>
      <c r="M773" s="59"/>
      <c r="N773" s="59"/>
      <c r="O773" s="59"/>
    </row>
    <row r="774" spans="10:15" x14ac:dyDescent="0.3">
      <c r="J774"/>
      <c r="K774" s="59"/>
      <c r="L774" s="59"/>
      <c r="M774" s="59"/>
      <c r="N774" s="59"/>
      <c r="O774" s="59"/>
    </row>
    <row r="775" spans="10:15" x14ac:dyDescent="0.3">
      <c r="J775"/>
      <c r="K775" s="59"/>
      <c r="L775" s="59"/>
      <c r="M775" s="59"/>
      <c r="N775" s="59"/>
      <c r="O775" s="59"/>
    </row>
    <row r="776" spans="10:15" x14ac:dyDescent="0.3">
      <c r="J776"/>
      <c r="K776" s="59"/>
      <c r="L776" s="59"/>
      <c r="M776" s="59"/>
      <c r="N776" s="59"/>
      <c r="O776" s="59"/>
    </row>
    <row r="777" spans="10:15" x14ac:dyDescent="0.3">
      <c r="J777"/>
      <c r="K777" s="59"/>
      <c r="L777" s="59"/>
      <c r="M777" s="59"/>
      <c r="N777" s="59"/>
      <c r="O777" s="59"/>
    </row>
    <row r="778" spans="10:15" x14ac:dyDescent="0.3">
      <c r="J778"/>
      <c r="K778" s="59"/>
      <c r="L778" s="59"/>
      <c r="M778" s="59"/>
      <c r="N778" s="59"/>
      <c r="O778" s="59"/>
    </row>
    <row r="779" spans="10:15" x14ac:dyDescent="0.3">
      <c r="J779"/>
      <c r="K779" s="59"/>
      <c r="L779" s="59"/>
      <c r="M779" s="59"/>
      <c r="N779" s="59"/>
      <c r="O779" s="59"/>
    </row>
    <row r="780" spans="10:15" x14ac:dyDescent="0.3">
      <c r="J780"/>
      <c r="K780" s="59"/>
      <c r="L780" s="59"/>
      <c r="M780" s="59"/>
      <c r="N780" s="59"/>
      <c r="O780" s="59"/>
    </row>
    <row r="781" spans="10:15" x14ac:dyDescent="0.3">
      <c r="J781"/>
      <c r="K781" s="59"/>
      <c r="L781" s="59"/>
      <c r="M781" s="59"/>
      <c r="N781" s="59"/>
      <c r="O781" s="59"/>
    </row>
    <row r="782" spans="10:15" x14ac:dyDescent="0.3">
      <c r="J782"/>
      <c r="K782" s="59"/>
      <c r="L782" s="59"/>
      <c r="M782" s="59"/>
      <c r="N782" s="59"/>
      <c r="O782" s="59"/>
    </row>
    <row r="783" spans="10:15" x14ac:dyDescent="0.3">
      <c r="J783"/>
      <c r="K783" s="59"/>
      <c r="L783" s="59"/>
      <c r="M783" s="59"/>
      <c r="N783" s="59"/>
      <c r="O783" s="59"/>
    </row>
    <row r="784" spans="10:15" x14ac:dyDescent="0.3">
      <c r="J784"/>
      <c r="K784" s="59"/>
      <c r="L784" s="59"/>
      <c r="M784" s="59"/>
      <c r="N784" s="59"/>
      <c r="O784" s="59"/>
    </row>
    <row r="785" spans="10:15" x14ac:dyDescent="0.3">
      <c r="J785"/>
      <c r="K785" s="59"/>
      <c r="L785" s="59"/>
      <c r="M785" s="59"/>
      <c r="N785" s="59"/>
      <c r="O785" s="59"/>
    </row>
    <row r="786" spans="10:15" x14ac:dyDescent="0.3">
      <c r="J786"/>
      <c r="K786" s="59"/>
      <c r="L786" s="59"/>
      <c r="M786" s="59"/>
      <c r="N786" s="59"/>
      <c r="O786" s="59"/>
    </row>
    <row r="787" spans="10:15" x14ac:dyDescent="0.3">
      <c r="J787"/>
      <c r="K787" s="59"/>
      <c r="L787" s="59"/>
      <c r="M787" s="59"/>
      <c r="N787" s="59"/>
      <c r="O787" s="59"/>
    </row>
    <row r="788" spans="10:15" x14ac:dyDescent="0.3">
      <c r="J788"/>
      <c r="K788" s="59"/>
      <c r="L788" s="59"/>
      <c r="M788" s="59"/>
      <c r="N788" s="59"/>
      <c r="O788" s="59"/>
    </row>
    <row r="789" spans="10:15" x14ac:dyDescent="0.3">
      <c r="J789"/>
      <c r="K789" s="59"/>
      <c r="L789" s="59"/>
      <c r="M789" s="59"/>
      <c r="N789" s="59"/>
      <c r="O789" s="59"/>
    </row>
    <row r="790" spans="10:15" x14ac:dyDescent="0.3">
      <c r="J790"/>
      <c r="K790" s="59"/>
      <c r="L790" s="59"/>
      <c r="M790" s="59"/>
      <c r="N790" s="59"/>
      <c r="O790" s="59"/>
    </row>
    <row r="791" spans="10:15" x14ac:dyDescent="0.3">
      <c r="J791"/>
      <c r="K791" s="59"/>
      <c r="L791" s="59"/>
      <c r="M791" s="59"/>
      <c r="N791" s="59"/>
      <c r="O791" s="59"/>
    </row>
    <row r="792" spans="10:15" x14ac:dyDescent="0.3">
      <c r="J792"/>
      <c r="K792" s="59"/>
      <c r="L792" s="59"/>
      <c r="M792" s="59"/>
      <c r="N792" s="59"/>
      <c r="O792" s="59"/>
    </row>
    <row r="793" spans="10:15" x14ac:dyDescent="0.3">
      <c r="J793"/>
      <c r="K793" s="59"/>
      <c r="L793" s="59"/>
      <c r="M793" s="59"/>
      <c r="N793" s="59"/>
      <c r="O793" s="59"/>
    </row>
    <row r="794" spans="10:15" x14ac:dyDescent="0.3">
      <c r="J794"/>
      <c r="K794" s="59"/>
      <c r="L794" s="59"/>
      <c r="M794" s="59"/>
      <c r="N794" s="59"/>
      <c r="O794" s="59"/>
    </row>
    <row r="795" spans="10:15" x14ac:dyDescent="0.3">
      <c r="J795"/>
      <c r="K795" s="59"/>
      <c r="L795" s="59"/>
      <c r="M795" s="59"/>
      <c r="N795" s="59"/>
      <c r="O795" s="59"/>
    </row>
    <row r="796" spans="10:15" x14ac:dyDescent="0.3">
      <c r="J796"/>
      <c r="K796" s="59"/>
      <c r="L796" s="59"/>
      <c r="M796" s="59"/>
      <c r="N796" s="59"/>
      <c r="O796" s="59"/>
    </row>
    <row r="797" spans="10:15" x14ac:dyDescent="0.3">
      <c r="J797"/>
      <c r="K797" s="59"/>
      <c r="L797" s="59"/>
      <c r="M797" s="59"/>
      <c r="N797" s="59"/>
      <c r="O797" s="59"/>
    </row>
    <row r="798" spans="10:15" x14ac:dyDescent="0.3">
      <c r="J798"/>
      <c r="K798" s="59"/>
      <c r="L798" s="59"/>
      <c r="M798" s="59"/>
      <c r="N798" s="59"/>
      <c r="O798" s="59"/>
    </row>
    <row r="799" spans="10:15" x14ac:dyDescent="0.3">
      <c r="J799"/>
      <c r="K799" s="59"/>
      <c r="L799" s="59"/>
      <c r="M799" s="59"/>
      <c r="N799" s="59"/>
      <c r="O799" s="59"/>
    </row>
    <row r="800" spans="10:15" x14ac:dyDescent="0.3">
      <c r="J800"/>
      <c r="K800" s="59"/>
      <c r="L800" s="59"/>
      <c r="M800" s="59"/>
      <c r="N800" s="59"/>
      <c r="O800" s="59"/>
    </row>
    <row r="801" spans="10:15" x14ac:dyDescent="0.3">
      <c r="J801"/>
      <c r="K801" s="59"/>
      <c r="L801" s="59"/>
      <c r="M801" s="59"/>
      <c r="N801" s="59"/>
      <c r="O801" s="59"/>
    </row>
    <row r="802" spans="10:15" x14ac:dyDescent="0.3">
      <c r="J802"/>
      <c r="K802" s="59"/>
      <c r="L802" s="59"/>
      <c r="M802" s="59"/>
      <c r="N802" s="59"/>
      <c r="O802" s="59"/>
    </row>
    <row r="803" spans="10:15" x14ac:dyDescent="0.3">
      <c r="J803"/>
      <c r="K803" s="59"/>
      <c r="L803" s="59"/>
      <c r="M803" s="59"/>
      <c r="N803" s="59"/>
      <c r="O803" s="59"/>
    </row>
    <row r="804" spans="10:15" x14ac:dyDescent="0.3">
      <c r="J804"/>
      <c r="K804" s="59"/>
      <c r="L804" s="59"/>
      <c r="M804" s="59"/>
      <c r="N804" s="59"/>
      <c r="O804" s="59"/>
    </row>
    <row r="805" spans="10:15" x14ac:dyDescent="0.3">
      <c r="J805"/>
      <c r="K805" s="59"/>
      <c r="L805" s="59"/>
      <c r="M805" s="59"/>
      <c r="N805" s="59"/>
      <c r="O805" s="59"/>
    </row>
    <row r="806" spans="10:15" x14ac:dyDescent="0.3">
      <c r="J806"/>
      <c r="K806" s="59"/>
      <c r="L806" s="59"/>
      <c r="M806" s="59"/>
      <c r="N806" s="59"/>
      <c r="O806" s="59"/>
    </row>
    <row r="807" spans="10:15" x14ac:dyDescent="0.3">
      <c r="J807"/>
      <c r="K807" s="59"/>
      <c r="L807" s="59"/>
      <c r="M807" s="59"/>
      <c r="N807" s="59"/>
      <c r="O807" s="59"/>
    </row>
    <row r="808" spans="10:15" x14ac:dyDescent="0.3">
      <c r="J808"/>
      <c r="K808" s="59"/>
      <c r="L808" s="59"/>
      <c r="M808" s="59"/>
      <c r="N808" s="59"/>
      <c r="O808" s="59"/>
    </row>
    <row r="809" spans="10:15" x14ac:dyDescent="0.3">
      <c r="J809"/>
      <c r="K809" s="59"/>
      <c r="L809" s="59"/>
      <c r="M809" s="59"/>
      <c r="N809" s="59"/>
      <c r="O809" s="59"/>
    </row>
    <row r="810" spans="10:15" x14ac:dyDescent="0.3">
      <c r="J810"/>
      <c r="K810" s="59"/>
      <c r="L810" s="59"/>
      <c r="M810" s="59"/>
      <c r="N810" s="59"/>
      <c r="O810" s="59"/>
    </row>
    <row r="811" spans="10:15" x14ac:dyDescent="0.3">
      <c r="J811"/>
      <c r="K811" s="59"/>
      <c r="L811" s="59"/>
      <c r="M811" s="59"/>
      <c r="N811" s="59"/>
      <c r="O811" s="59"/>
    </row>
    <row r="812" spans="10:15" x14ac:dyDescent="0.3">
      <c r="J812"/>
      <c r="K812" s="59"/>
      <c r="L812" s="59"/>
      <c r="M812" s="59"/>
      <c r="N812" s="59"/>
      <c r="O812" s="59"/>
    </row>
    <row r="813" spans="10:15" x14ac:dyDescent="0.3">
      <c r="J813"/>
      <c r="K813" s="59"/>
      <c r="L813" s="59"/>
      <c r="M813" s="59"/>
      <c r="N813" s="59"/>
      <c r="O813" s="59"/>
    </row>
    <row r="814" spans="10:15" x14ac:dyDescent="0.3">
      <c r="J814"/>
      <c r="K814" s="59"/>
      <c r="L814" s="59"/>
      <c r="M814" s="59"/>
      <c r="N814" s="59"/>
      <c r="O814" s="59"/>
    </row>
    <row r="815" spans="10:15" x14ac:dyDescent="0.3">
      <c r="J815"/>
      <c r="K815" s="59"/>
      <c r="L815" s="59"/>
      <c r="M815" s="59"/>
      <c r="N815" s="59"/>
      <c r="O815" s="59"/>
    </row>
    <row r="816" spans="10:15" x14ac:dyDescent="0.3">
      <c r="J816"/>
      <c r="K816" s="59"/>
      <c r="L816" s="59"/>
      <c r="M816" s="59"/>
      <c r="N816" s="59"/>
      <c r="O816" s="59"/>
    </row>
    <row r="817" spans="10:15" x14ac:dyDescent="0.3">
      <c r="J817"/>
      <c r="K817" s="59"/>
      <c r="L817" s="59"/>
      <c r="M817" s="59"/>
      <c r="N817" s="59"/>
      <c r="O817" s="59"/>
    </row>
    <row r="818" spans="10:15" x14ac:dyDescent="0.3">
      <c r="J818"/>
      <c r="K818" s="59"/>
      <c r="L818" s="59"/>
      <c r="M818" s="59"/>
      <c r="N818" s="59"/>
      <c r="O818" s="59"/>
    </row>
    <row r="819" spans="10:15" x14ac:dyDescent="0.3">
      <c r="J819"/>
      <c r="K819" s="59"/>
      <c r="L819" s="59"/>
      <c r="M819" s="59"/>
      <c r="N819" s="59"/>
      <c r="O819" s="59"/>
    </row>
    <row r="820" spans="10:15" x14ac:dyDescent="0.3">
      <c r="J820"/>
      <c r="K820" s="59"/>
      <c r="L820" s="59"/>
      <c r="M820" s="59"/>
      <c r="N820" s="59"/>
      <c r="O820" s="59"/>
    </row>
    <row r="821" spans="10:15" x14ac:dyDescent="0.3">
      <c r="J821"/>
      <c r="K821" s="59"/>
      <c r="L821" s="59"/>
      <c r="M821" s="59"/>
      <c r="N821" s="59"/>
      <c r="O821" s="59"/>
    </row>
    <row r="822" spans="10:15" x14ac:dyDescent="0.3">
      <c r="J822"/>
      <c r="K822" s="59"/>
      <c r="L822" s="59"/>
      <c r="M822" s="59"/>
      <c r="N822" s="59"/>
      <c r="O822" s="59"/>
    </row>
    <row r="823" spans="10:15" x14ac:dyDescent="0.3">
      <c r="J823"/>
      <c r="K823" s="59"/>
      <c r="L823" s="59"/>
      <c r="M823" s="59"/>
      <c r="N823" s="59"/>
      <c r="O823" s="59"/>
    </row>
    <row r="824" spans="10:15" x14ac:dyDescent="0.3">
      <c r="J824"/>
      <c r="K824" s="59"/>
      <c r="L824" s="59"/>
      <c r="M824" s="59"/>
      <c r="N824" s="59"/>
      <c r="O824" s="59"/>
    </row>
    <row r="825" spans="10:15" x14ac:dyDescent="0.3">
      <c r="J825"/>
      <c r="K825" s="59"/>
      <c r="L825" s="59"/>
      <c r="M825" s="59"/>
      <c r="N825" s="59"/>
      <c r="O825" s="59"/>
    </row>
    <row r="826" spans="10:15" x14ac:dyDescent="0.3">
      <c r="J826"/>
      <c r="K826" s="59"/>
      <c r="L826" s="59"/>
      <c r="M826" s="59"/>
      <c r="N826" s="59"/>
      <c r="O826" s="59"/>
    </row>
    <row r="827" spans="10:15" x14ac:dyDescent="0.3">
      <c r="J827"/>
      <c r="K827" s="59"/>
      <c r="L827" s="59"/>
      <c r="M827" s="59"/>
      <c r="N827" s="59"/>
      <c r="O827" s="59"/>
    </row>
    <row r="828" spans="10:15" x14ac:dyDescent="0.3">
      <c r="J828"/>
      <c r="K828" s="59"/>
      <c r="L828" s="59"/>
      <c r="M828" s="59"/>
      <c r="N828" s="59"/>
      <c r="O828" s="59"/>
    </row>
    <row r="829" spans="10:15" x14ac:dyDescent="0.3">
      <c r="J829"/>
      <c r="K829" s="59"/>
      <c r="L829" s="59"/>
      <c r="M829" s="59"/>
      <c r="N829" s="59"/>
      <c r="O829" s="59"/>
    </row>
    <row r="830" spans="10:15" x14ac:dyDescent="0.3">
      <c r="J830"/>
      <c r="K830" s="59"/>
      <c r="L830" s="59"/>
      <c r="M830" s="59"/>
      <c r="N830" s="59"/>
      <c r="O830" s="59"/>
    </row>
    <row r="831" spans="10:15" x14ac:dyDescent="0.3">
      <c r="J831"/>
      <c r="K831" s="59"/>
      <c r="L831" s="59"/>
      <c r="M831" s="59"/>
      <c r="N831" s="59"/>
      <c r="O831" s="59"/>
    </row>
    <row r="832" spans="10:15" x14ac:dyDescent="0.3">
      <c r="J832"/>
      <c r="K832" s="59"/>
      <c r="L832" s="59"/>
      <c r="M832" s="59"/>
      <c r="N832" s="59"/>
      <c r="O832" s="59"/>
    </row>
    <row r="833" spans="10:15" x14ac:dyDescent="0.3">
      <c r="J833"/>
      <c r="K833" s="59"/>
      <c r="L833" s="59"/>
      <c r="M833" s="59"/>
      <c r="N833" s="59"/>
      <c r="O833" s="59"/>
    </row>
    <row r="834" spans="10:15" x14ac:dyDescent="0.3">
      <c r="J834"/>
      <c r="K834" s="59"/>
      <c r="L834" s="59"/>
      <c r="M834" s="59"/>
      <c r="N834" s="59"/>
      <c r="O834" s="59"/>
    </row>
    <row r="835" spans="10:15" x14ac:dyDescent="0.3">
      <c r="J835"/>
      <c r="K835" s="59"/>
      <c r="L835" s="59"/>
      <c r="M835" s="59"/>
      <c r="N835" s="59"/>
      <c r="O835" s="59"/>
    </row>
    <row r="836" spans="10:15" x14ac:dyDescent="0.3">
      <c r="J836"/>
      <c r="K836" s="59"/>
      <c r="L836" s="59"/>
      <c r="M836" s="59"/>
      <c r="N836" s="59"/>
      <c r="O836" s="59"/>
    </row>
    <row r="837" spans="10:15" x14ac:dyDescent="0.3">
      <c r="J837"/>
      <c r="K837" s="59"/>
      <c r="L837" s="59"/>
      <c r="M837" s="59"/>
      <c r="N837" s="59"/>
      <c r="O837" s="59"/>
    </row>
    <row r="838" spans="10:15" x14ac:dyDescent="0.3">
      <c r="J838"/>
      <c r="K838" s="59"/>
      <c r="L838" s="59"/>
      <c r="M838" s="59"/>
      <c r="N838" s="59"/>
      <c r="O838" s="59"/>
    </row>
    <row r="839" spans="10:15" x14ac:dyDescent="0.3">
      <c r="J839"/>
      <c r="K839" s="59"/>
      <c r="L839" s="59"/>
      <c r="M839" s="59"/>
      <c r="N839" s="59"/>
      <c r="O839" s="59"/>
    </row>
    <row r="840" spans="10:15" x14ac:dyDescent="0.3">
      <c r="J840"/>
      <c r="K840" s="59"/>
      <c r="L840" s="59"/>
      <c r="M840" s="59"/>
      <c r="N840" s="59"/>
      <c r="O840" s="59"/>
    </row>
    <row r="841" spans="10:15" x14ac:dyDescent="0.3">
      <c r="J841"/>
      <c r="K841" s="59"/>
      <c r="L841" s="59"/>
      <c r="M841" s="59"/>
      <c r="N841" s="59"/>
      <c r="O841" s="59"/>
    </row>
    <row r="842" spans="10:15" x14ac:dyDescent="0.3">
      <c r="J842"/>
      <c r="K842" s="59"/>
      <c r="L842" s="59"/>
      <c r="M842" s="59"/>
      <c r="N842" s="59"/>
      <c r="O842" s="59"/>
    </row>
    <row r="843" spans="10:15" x14ac:dyDescent="0.3">
      <c r="J843"/>
      <c r="K843" s="59"/>
      <c r="L843" s="59"/>
      <c r="M843" s="59"/>
      <c r="N843" s="59"/>
      <c r="O843" s="59"/>
    </row>
    <row r="844" spans="10:15" x14ac:dyDescent="0.3">
      <c r="J844"/>
      <c r="K844" s="59"/>
      <c r="L844" s="59"/>
      <c r="M844" s="59"/>
      <c r="N844" s="59"/>
      <c r="O844" s="59"/>
    </row>
    <row r="845" spans="10:15" x14ac:dyDescent="0.3">
      <c r="J845"/>
      <c r="K845" s="59"/>
      <c r="L845" s="59"/>
      <c r="M845" s="59"/>
      <c r="N845" s="59"/>
      <c r="O845" s="59"/>
    </row>
    <row r="846" spans="10:15" x14ac:dyDescent="0.3">
      <c r="J846"/>
      <c r="K846" s="59"/>
      <c r="L846" s="59"/>
      <c r="M846" s="59"/>
      <c r="N846" s="59"/>
      <c r="O846" s="59"/>
    </row>
    <row r="847" spans="10:15" x14ac:dyDescent="0.3">
      <c r="J847"/>
      <c r="K847" s="59"/>
      <c r="L847" s="59"/>
      <c r="M847" s="59"/>
      <c r="N847" s="59"/>
      <c r="O847" s="59"/>
    </row>
    <row r="848" spans="10:15" x14ac:dyDescent="0.3">
      <c r="J848"/>
      <c r="K848" s="59"/>
      <c r="L848" s="59"/>
      <c r="M848" s="59"/>
      <c r="N848" s="59"/>
      <c r="O848" s="59"/>
    </row>
    <row r="849" spans="10:15" x14ac:dyDescent="0.3">
      <c r="J849"/>
      <c r="K849" s="59"/>
      <c r="L849" s="59"/>
      <c r="M849" s="59"/>
      <c r="N849" s="59"/>
      <c r="O849" s="59"/>
    </row>
    <row r="850" spans="10:15" x14ac:dyDescent="0.3">
      <c r="J850"/>
      <c r="K850" s="59"/>
      <c r="L850" s="59"/>
      <c r="M850" s="59"/>
      <c r="N850" s="59"/>
      <c r="O850" s="59"/>
    </row>
    <row r="851" spans="10:15" x14ac:dyDescent="0.3">
      <c r="J851"/>
      <c r="K851" s="59"/>
      <c r="L851" s="59"/>
      <c r="M851" s="59"/>
      <c r="N851" s="59"/>
      <c r="O851" s="59"/>
    </row>
    <row r="852" spans="10:15" x14ac:dyDescent="0.3">
      <c r="J852"/>
      <c r="K852" s="59"/>
      <c r="L852" s="59"/>
      <c r="M852" s="59"/>
      <c r="N852" s="59"/>
      <c r="O852" s="59"/>
    </row>
    <row r="853" spans="10:15" x14ac:dyDescent="0.3">
      <c r="J853"/>
      <c r="K853" s="59"/>
      <c r="L853" s="59"/>
      <c r="M853" s="59"/>
      <c r="N853" s="59"/>
      <c r="O853" s="59"/>
    </row>
    <row r="854" spans="10:15" x14ac:dyDescent="0.3">
      <c r="J854"/>
      <c r="K854" s="59"/>
      <c r="L854" s="59"/>
      <c r="M854" s="59"/>
      <c r="N854" s="59"/>
      <c r="O854" s="59"/>
    </row>
    <row r="855" spans="10:15" x14ac:dyDescent="0.3">
      <c r="J855"/>
      <c r="K855" s="59"/>
      <c r="L855" s="59"/>
      <c r="M855" s="59"/>
      <c r="N855" s="59"/>
      <c r="O855" s="59"/>
    </row>
    <row r="856" spans="10:15" x14ac:dyDescent="0.3">
      <c r="J856"/>
      <c r="K856" s="59"/>
      <c r="L856" s="59"/>
      <c r="M856" s="59"/>
      <c r="N856" s="59"/>
      <c r="O856" s="59"/>
    </row>
    <row r="857" spans="10:15" x14ac:dyDescent="0.3">
      <c r="J857"/>
      <c r="K857" s="59"/>
      <c r="L857" s="59"/>
      <c r="M857" s="59"/>
      <c r="N857" s="59"/>
      <c r="O857" s="59"/>
    </row>
    <row r="858" spans="10:15" x14ac:dyDescent="0.3">
      <c r="J858"/>
      <c r="K858" s="59"/>
      <c r="L858" s="59"/>
      <c r="M858" s="59"/>
      <c r="N858" s="59"/>
      <c r="O858" s="59"/>
    </row>
    <row r="859" spans="10:15" x14ac:dyDescent="0.3">
      <c r="J859"/>
      <c r="K859" s="59"/>
      <c r="L859" s="59"/>
      <c r="M859" s="59"/>
      <c r="N859" s="59"/>
      <c r="O859" s="59"/>
    </row>
    <row r="860" spans="10:15" x14ac:dyDescent="0.3">
      <c r="J860"/>
      <c r="K860" s="59"/>
      <c r="L860" s="59"/>
      <c r="M860" s="59"/>
      <c r="N860" s="59"/>
      <c r="O860" s="59"/>
    </row>
    <row r="861" spans="10:15" x14ac:dyDescent="0.3">
      <c r="J861"/>
      <c r="K861" s="59"/>
      <c r="L861" s="59"/>
      <c r="M861" s="59"/>
      <c r="N861" s="59"/>
      <c r="O861" s="59"/>
    </row>
    <row r="862" spans="10:15" x14ac:dyDescent="0.3">
      <c r="J862"/>
      <c r="K862" s="59"/>
      <c r="L862" s="59"/>
      <c r="M862" s="59"/>
      <c r="N862" s="59"/>
      <c r="O862" s="59"/>
    </row>
    <row r="863" spans="10:15" x14ac:dyDescent="0.3">
      <c r="J863"/>
      <c r="K863" s="59"/>
      <c r="L863" s="59"/>
      <c r="M863" s="59"/>
      <c r="N863" s="59"/>
      <c r="O863" s="59"/>
    </row>
    <row r="864" spans="10:15" x14ac:dyDescent="0.3">
      <c r="J864"/>
      <c r="K864" s="59"/>
      <c r="L864" s="59"/>
      <c r="M864" s="59"/>
      <c r="N864" s="59"/>
      <c r="O864" s="59"/>
    </row>
    <row r="865" spans="10:15" x14ac:dyDescent="0.3">
      <c r="J865"/>
      <c r="K865" s="59"/>
      <c r="L865" s="59"/>
      <c r="M865" s="59"/>
      <c r="N865" s="59"/>
      <c r="O865" s="59"/>
    </row>
    <row r="866" spans="10:15" x14ac:dyDescent="0.3">
      <c r="J866"/>
      <c r="K866" s="59"/>
      <c r="L866" s="59"/>
      <c r="M866" s="59"/>
      <c r="N866" s="59"/>
      <c r="O866" s="59"/>
    </row>
    <row r="867" spans="10:15" x14ac:dyDescent="0.3">
      <c r="J867"/>
      <c r="K867" s="59"/>
      <c r="L867" s="59"/>
      <c r="M867" s="59"/>
      <c r="N867" s="59"/>
      <c r="O867" s="59"/>
    </row>
    <row r="868" spans="10:15" x14ac:dyDescent="0.3">
      <c r="J868"/>
      <c r="K868" s="59"/>
      <c r="L868" s="59"/>
      <c r="M868" s="59"/>
      <c r="N868" s="59"/>
      <c r="O868" s="59"/>
    </row>
    <row r="869" spans="10:15" x14ac:dyDescent="0.3">
      <c r="J869"/>
      <c r="K869" s="59"/>
      <c r="L869" s="59"/>
      <c r="M869" s="59"/>
      <c r="N869" s="59"/>
      <c r="O869" s="59"/>
    </row>
    <row r="870" spans="10:15" x14ac:dyDescent="0.3">
      <c r="J870"/>
      <c r="K870" s="59"/>
      <c r="L870" s="59"/>
      <c r="M870" s="59"/>
      <c r="N870" s="59"/>
      <c r="O870" s="59"/>
    </row>
    <row r="871" spans="10:15" x14ac:dyDescent="0.3">
      <c r="J871"/>
      <c r="K871" s="59"/>
      <c r="L871" s="59"/>
      <c r="M871" s="59"/>
      <c r="N871" s="59"/>
      <c r="O871" s="59"/>
    </row>
    <row r="872" spans="10:15" x14ac:dyDescent="0.3">
      <c r="J872"/>
      <c r="K872" s="59"/>
      <c r="L872" s="59"/>
      <c r="M872" s="59"/>
      <c r="N872" s="59"/>
      <c r="O872" s="59"/>
    </row>
    <row r="873" spans="10:15" x14ac:dyDescent="0.3">
      <c r="J873"/>
      <c r="K873" s="59"/>
      <c r="L873" s="59"/>
      <c r="M873" s="59"/>
      <c r="N873" s="59"/>
      <c r="O873" s="59"/>
    </row>
    <row r="874" spans="10:15" x14ac:dyDescent="0.3">
      <c r="J874"/>
      <c r="K874" s="59"/>
      <c r="L874" s="59"/>
      <c r="M874" s="59"/>
      <c r="N874" s="59"/>
      <c r="O874" s="59"/>
    </row>
    <row r="875" spans="10:15" x14ac:dyDescent="0.3">
      <c r="J875"/>
      <c r="K875" s="59"/>
      <c r="L875" s="59"/>
      <c r="M875" s="59"/>
      <c r="N875" s="59"/>
      <c r="O875" s="59"/>
    </row>
    <row r="876" spans="10:15" x14ac:dyDescent="0.3">
      <c r="J876"/>
      <c r="K876" s="59"/>
      <c r="L876" s="59"/>
      <c r="M876" s="59"/>
      <c r="N876" s="59"/>
      <c r="O876" s="59"/>
    </row>
    <row r="877" spans="10:15" x14ac:dyDescent="0.3">
      <c r="J877"/>
      <c r="K877" s="59"/>
      <c r="L877" s="59"/>
      <c r="M877" s="59"/>
      <c r="N877" s="59"/>
      <c r="O877" s="59"/>
    </row>
    <row r="878" spans="10:15" x14ac:dyDescent="0.3">
      <c r="J878"/>
      <c r="K878" s="59"/>
      <c r="L878" s="59"/>
      <c r="M878" s="59"/>
      <c r="N878" s="59"/>
      <c r="O878" s="59"/>
    </row>
    <row r="879" spans="10:15" x14ac:dyDescent="0.3">
      <c r="J879"/>
      <c r="K879" s="59"/>
      <c r="L879" s="59"/>
      <c r="M879" s="59"/>
      <c r="N879" s="59"/>
      <c r="O879" s="59"/>
    </row>
    <row r="880" spans="10:15" x14ac:dyDescent="0.3">
      <c r="J880"/>
      <c r="K880" s="59"/>
      <c r="L880" s="59"/>
      <c r="M880" s="59"/>
      <c r="N880" s="59"/>
      <c r="O880" s="59"/>
    </row>
    <row r="881" spans="10:15" x14ac:dyDescent="0.3">
      <c r="J881"/>
      <c r="K881" s="59"/>
      <c r="L881" s="59"/>
      <c r="M881" s="59"/>
      <c r="N881" s="59"/>
      <c r="O881" s="59"/>
    </row>
    <row r="882" spans="10:15" x14ac:dyDescent="0.3">
      <c r="J882"/>
      <c r="K882" s="59"/>
      <c r="L882" s="59"/>
      <c r="M882" s="59"/>
      <c r="N882" s="59"/>
      <c r="O882" s="59"/>
    </row>
    <row r="883" spans="10:15" x14ac:dyDescent="0.3">
      <c r="J883"/>
      <c r="K883" s="59"/>
      <c r="L883" s="59"/>
      <c r="M883" s="59"/>
      <c r="N883" s="59"/>
      <c r="O883" s="59"/>
    </row>
    <row r="884" spans="10:15" x14ac:dyDescent="0.3">
      <c r="J884"/>
      <c r="K884" s="59"/>
      <c r="L884" s="59"/>
      <c r="M884" s="59"/>
      <c r="N884" s="59"/>
      <c r="O884" s="59"/>
    </row>
    <row r="885" spans="10:15" x14ac:dyDescent="0.3">
      <c r="J885"/>
      <c r="K885" s="59"/>
      <c r="L885" s="59"/>
      <c r="M885" s="59"/>
      <c r="N885" s="59"/>
      <c r="O885" s="59"/>
    </row>
    <row r="886" spans="10:15" x14ac:dyDescent="0.3">
      <c r="J886"/>
      <c r="K886" s="59"/>
      <c r="L886" s="59"/>
      <c r="M886" s="59"/>
      <c r="N886" s="59"/>
      <c r="O886" s="59"/>
    </row>
    <row r="887" spans="10:15" x14ac:dyDescent="0.3">
      <c r="J887"/>
      <c r="K887" s="59"/>
      <c r="L887" s="59"/>
      <c r="M887" s="59"/>
      <c r="N887" s="59"/>
      <c r="O887" s="59"/>
    </row>
    <row r="888" spans="10:15" x14ac:dyDescent="0.3">
      <c r="J888"/>
      <c r="K888" s="59"/>
      <c r="L888" s="59"/>
      <c r="M888" s="59"/>
      <c r="N888" s="59"/>
      <c r="O888" s="59"/>
    </row>
    <row r="889" spans="10:15" x14ac:dyDescent="0.3">
      <c r="J889"/>
      <c r="K889" s="59"/>
      <c r="L889" s="59"/>
      <c r="M889" s="59"/>
      <c r="N889" s="59"/>
      <c r="O889" s="59"/>
    </row>
    <row r="890" spans="10:15" x14ac:dyDescent="0.3">
      <c r="J890"/>
      <c r="K890" s="59"/>
      <c r="L890" s="59"/>
      <c r="M890" s="59"/>
      <c r="N890" s="59"/>
      <c r="O890" s="59"/>
    </row>
    <row r="891" spans="10:15" x14ac:dyDescent="0.3">
      <c r="J891"/>
      <c r="K891" s="59"/>
      <c r="L891" s="59"/>
      <c r="M891" s="59"/>
      <c r="N891" s="59"/>
      <c r="O891" s="59"/>
    </row>
    <row r="892" spans="10:15" x14ac:dyDescent="0.3">
      <c r="J892"/>
      <c r="K892" s="59"/>
      <c r="L892" s="59"/>
      <c r="M892" s="59"/>
      <c r="N892" s="59"/>
      <c r="O892" s="59"/>
    </row>
    <row r="893" spans="10:15" x14ac:dyDescent="0.3">
      <c r="J893"/>
      <c r="K893" s="59"/>
      <c r="L893" s="59"/>
      <c r="M893" s="59"/>
      <c r="N893" s="59"/>
      <c r="O893" s="59"/>
    </row>
    <row r="894" spans="10:15" x14ac:dyDescent="0.3">
      <c r="J894"/>
      <c r="K894" s="59"/>
      <c r="L894" s="59"/>
      <c r="M894" s="59"/>
      <c r="N894" s="59"/>
      <c r="O894" s="59"/>
    </row>
    <row r="895" spans="10:15" x14ac:dyDescent="0.3">
      <c r="J895"/>
      <c r="K895" s="59"/>
      <c r="L895" s="59"/>
      <c r="M895" s="59"/>
      <c r="N895" s="59"/>
      <c r="O895" s="59"/>
    </row>
    <row r="896" spans="10:15" x14ac:dyDescent="0.3">
      <c r="J896"/>
      <c r="K896" s="59"/>
      <c r="L896" s="59"/>
      <c r="M896" s="59"/>
      <c r="N896" s="59"/>
      <c r="O896" s="59"/>
    </row>
    <row r="897" spans="10:15" x14ac:dyDescent="0.3">
      <c r="J897"/>
      <c r="K897" s="59"/>
      <c r="L897" s="59"/>
      <c r="M897" s="59"/>
      <c r="N897" s="59"/>
      <c r="O897" s="59"/>
    </row>
    <row r="898" spans="10:15" x14ac:dyDescent="0.3">
      <c r="J898"/>
      <c r="K898" s="59"/>
      <c r="L898" s="59"/>
      <c r="M898" s="59"/>
      <c r="N898" s="59"/>
      <c r="O898" s="59"/>
    </row>
    <row r="899" spans="10:15" x14ac:dyDescent="0.3">
      <c r="J899"/>
      <c r="K899" s="59"/>
      <c r="L899" s="59"/>
      <c r="M899" s="59"/>
      <c r="N899" s="59"/>
      <c r="O899" s="59"/>
    </row>
    <row r="900" spans="10:15" x14ac:dyDescent="0.3">
      <c r="J900"/>
      <c r="K900" s="59"/>
      <c r="L900" s="59"/>
      <c r="M900" s="59"/>
      <c r="N900" s="59"/>
      <c r="O900" s="59"/>
    </row>
    <row r="901" spans="10:15" x14ac:dyDescent="0.3">
      <c r="J901"/>
      <c r="K901" s="59"/>
      <c r="L901" s="59"/>
      <c r="M901" s="59"/>
      <c r="N901" s="59"/>
      <c r="O901" s="59"/>
    </row>
    <row r="902" spans="10:15" x14ac:dyDescent="0.3">
      <c r="J902"/>
      <c r="K902" s="59"/>
      <c r="L902" s="59"/>
      <c r="M902" s="59"/>
      <c r="N902" s="59"/>
      <c r="O902" s="59"/>
    </row>
    <row r="903" spans="10:15" x14ac:dyDescent="0.3">
      <c r="J903"/>
      <c r="K903" s="59"/>
      <c r="L903" s="59"/>
      <c r="M903" s="59"/>
      <c r="N903" s="59"/>
      <c r="O903" s="59"/>
    </row>
    <row r="904" spans="10:15" x14ac:dyDescent="0.3">
      <c r="J904"/>
      <c r="K904" s="59"/>
      <c r="L904" s="59"/>
      <c r="M904" s="59"/>
      <c r="N904" s="59"/>
      <c r="O904" s="59"/>
    </row>
    <row r="905" spans="10:15" x14ac:dyDescent="0.3">
      <c r="J905"/>
      <c r="K905" s="59"/>
      <c r="L905" s="59"/>
      <c r="M905" s="59"/>
      <c r="N905" s="59"/>
      <c r="O905" s="59"/>
    </row>
    <row r="906" spans="10:15" x14ac:dyDescent="0.3">
      <c r="J906"/>
      <c r="K906" s="59"/>
      <c r="L906" s="59"/>
      <c r="M906" s="59"/>
      <c r="N906" s="59"/>
      <c r="O906" s="59"/>
    </row>
    <row r="907" spans="10:15" x14ac:dyDescent="0.3">
      <c r="J907"/>
      <c r="K907" s="59"/>
      <c r="L907" s="59"/>
      <c r="M907" s="59"/>
      <c r="N907" s="59"/>
      <c r="O907" s="59"/>
    </row>
    <row r="908" spans="10:15" x14ac:dyDescent="0.3">
      <c r="J908"/>
      <c r="K908" s="59"/>
      <c r="L908" s="59"/>
      <c r="M908" s="59"/>
      <c r="N908" s="59"/>
      <c r="O908" s="59"/>
    </row>
    <row r="909" spans="10:15" x14ac:dyDescent="0.3">
      <c r="J909"/>
      <c r="K909" s="59"/>
      <c r="L909" s="59"/>
      <c r="M909" s="59"/>
      <c r="N909" s="59"/>
      <c r="O909" s="59"/>
    </row>
    <row r="910" spans="10:15" x14ac:dyDescent="0.3">
      <c r="J910"/>
      <c r="K910" s="59"/>
      <c r="L910" s="59"/>
      <c r="M910" s="59"/>
      <c r="N910" s="59"/>
      <c r="O910" s="59"/>
    </row>
    <row r="911" spans="10:15" x14ac:dyDescent="0.3">
      <c r="J911"/>
      <c r="K911" s="59"/>
      <c r="L911" s="59"/>
      <c r="M911" s="59"/>
      <c r="N911" s="59"/>
      <c r="O911" s="59"/>
    </row>
    <row r="912" spans="10:15" x14ac:dyDescent="0.3">
      <c r="J912"/>
      <c r="K912" s="59"/>
      <c r="L912" s="59"/>
      <c r="M912" s="59"/>
      <c r="N912" s="59"/>
      <c r="O912" s="59"/>
    </row>
    <row r="913" spans="10:15" x14ac:dyDescent="0.3">
      <c r="J913"/>
      <c r="K913" s="59"/>
      <c r="L913" s="59"/>
      <c r="M913" s="59"/>
      <c r="N913" s="59"/>
      <c r="O913" s="59"/>
    </row>
    <row r="914" spans="10:15" x14ac:dyDescent="0.3">
      <c r="J914"/>
      <c r="K914" s="59"/>
      <c r="L914" s="59"/>
      <c r="M914" s="59"/>
      <c r="N914" s="59"/>
      <c r="O914" s="59"/>
    </row>
    <row r="915" spans="10:15" x14ac:dyDescent="0.3">
      <c r="J915"/>
      <c r="K915" s="59"/>
      <c r="L915" s="59"/>
      <c r="M915" s="59"/>
      <c r="N915" s="59"/>
      <c r="O915" s="59"/>
    </row>
    <row r="916" spans="10:15" x14ac:dyDescent="0.3">
      <c r="J916"/>
      <c r="K916" s="59"/>
      <c r="L916" s="59"/>
      <c r="M916" s="59"/>
      <c r="N916" s="59"/>
      <c r="O916" s="59"/>
    </row>
    <row r="917" spans="10:15" x14ac:dyDescent="0.3">
      <c r="J917"/>
      <c r="K917" s="59"/>
      <c r="L917" s="59"/>
      <c r="M917" s="59"/>
      <c r="N917" s="59"/>
      <c r="O917" s="59"/>
    </row>
    <row r="918" spans="10:15" x14ac:dyDescent="0.3">
      <c r="J918"/>
      <c r="K918" s="59"/>
      <c r="L918" s="59"/>
      <c r="M918" s="59"/>
      <c r="N918" s="59"/>
      <c r="O918" s="59"/>
    </row>
    <row r="919" spans="10:15" x14ac:dyDescent="0.3">
      <c r="J919"/>
      <c r="K919" s="59"/>
      <c r="L919" s="59"/>
      <c r="M919" s="59"/>
      <c r="N919" s="59"/>
      <c r="O919" s="59"/>
    </row>
    <row r="920" spans="10:15" x14ac:dyDescent="0.3">
      <c r="J920"/>
      <c r="K920" s="59"/>
      <c r="L920" s="59"/>
      <c r="M920" s="59"/>
      <c r="N920" s="59"/>
      <c r="O920" s="59"/>
    </row>
    <row r="921" spans="10:15" x14ac:dyDescent="0.3">
      <c r="J921"/>
      <c r="K921" s="59"/>
      <c r="L921" s="59"/>
      <c r="M921" s="59"/>
      <c r="N921" s="59"/>
      <c r="O921" s="59"/>
    </row>
    <row r="922" spans="10:15" x14ac:dyDescent="0.3">
      <c r="J922"/>
      <c r="K922" s="59"/>
      <c r="L922" s="59"/>
      <c r="M922" s="59"/>
      <c r="N922" s="59"/>
      <c r="O922" s="59"/>
    </row>
    <row r="923" spans="10:15" x14ac:dyDescent="0.3">
      <c r="J923"/>
      <c r="K923" s="59"/>
      <c r="L923" s="59"/>
      <c r="M923" s="59"/>
      <c r="N923" s="59"/>
      <c r="O923" s="59"/>
    </row>
    <row r="924" spans="10:15" x14ac:dyDescent="0.3">
      <c r="J924"/>
      <c r="K924" s="59"/>
      <c r="L924" s="59"/>
      <c r="M924" s="59"/>
      <c r="N924" s="59"/>
      <c r="O924" s="59"/>
    </row>
    <row r="925" spans="10:15" x14ac:dyDescent="0.3">
      <c r="J925"/>
      <c r="K925" s="59"/>
      <c r="L925" s="59"/>
      <c r="M925" s="59"/>
      <c r="N925" s="59"/>
      <c r="O925" s="59"/>
    </row>
    <row r="926" spans="10:15" x14ac:dyDescent="0.3">
      <c r="J926"/>
      <c r="K926" s="59"/>
      <c r="L926" s="59"/>
      <c r="M926" s="59"/>
      <c r="N926" s="59"/>
      <c r="O926" s="59"/>
    </row>
    <row r="927" spans="10:15" x14ac:dyDescent="0.3">
      <c r="J927"/>
      <c r="K927" s="59"/>
      <c r="L927" s="59"/>
      <c r="M927" s="59"/>
      <c r="N927" s="59"/>
      <c r="O927" s="59"/>
    </row>
    <row r="928" spans="10:15" x14ac:dyDescent="0.3">
      <c r="J928"/>
      <c r="K928" s="59"/>
      <c r="L928" s="59"/>
      <c r="M928" s="59"/>
      <c r="N928" s="59"/>
      <c r="O928" s="59"/>
    </row>
    <row r="929" spans="10:15" x14ac:dyDescent="0.3">
      <c r="J929"/>
      <c r="K929" s="59"/>
      <c r="L929" s="59"/>
      <c r="M929" s="59"/>
      <c r="N929" s="59"/>
      <c r="O929" s="59"/>
    </row>
    <row r="930" spans="10:15" x14ac:dyDescent="0.3">
      <c r="J930"/>
      <c r="K930" s="59"/>
      <c r="L930" s="59"/>
      <c r="M930" s="59"/>
      <c r="N930" s="59"/>
      <c r="O930" s="59"/>
    </row>
    <row r="931" spans="10:15" x14ac:dyDescent="0.3">
      <c r="J931"/>
      <c r="K931" s="59"/>
      <c r="L931" s="59"/>
      <c r="M931" s="59"/>
      <c r="N931" s="59"/>
      <c r="O931" s="59"/>
    </row>
    <row r="932" spans="10:15" x14ac:dyDescent="0.3">
      <c r="J932"/>
      <c r="K932" s="59"/>
      <c r="L932" s="59"/>
      <c r="M932" s="59"/>
      <c r="N932" s="59"/>
      <c r="O932" s="59"/>
    </row>
    <row r="933" spans="10:15" x14ac:dyDescent="0.3">
      <c r="J933"/>
      <c r="K933" s="59"/>
      <c r="L933" s="59"/>
      <c r="M933" s="59"/>
      <c r="N933" s="59"/>
      <c r="O933" s="59"/>
    </row>
    <row r="934" spans="10:15" x14ac:dyDescent="0.3">
      <c r="J934"/>
      <c r="K934" s="59"/>
      <c r="L934" s="59"/>
      <c r="M934" s="59"/>
      <c r="N934" s="59"/>
      <c r="O934" s="59"/>
    </row>
    <row r="935" spans="10:15" x14ac:dyDescent="0.3">
      <c r="J935"/>
      <c r="K935" s="59"/>
      <c r="L935" s="59"/>
      <c r="M935" s="59"/>
      <c r="N935" s="59"/>
      <c r="O935" s="59"/>
    </row>
    <row r="936" spans="10:15" x14ac:dyDescent="0.3">
      <c r="J936"/>
      <c r="K936" s="59"/>
      <c r="L936" s="59"/>
      <c r="M936" s="59"/>
      <c r="N936" s="59"/>
      <c r="O936" s="59"/>
    </row>
    <row r="937" spans="10:15" x14ac:dyDescent="0.3">
      <c r="J937"/>
      <c r="K937" s="59"/>
      <c r="L937" s="59"/>
      <c r="M937" s="59"/>
      <c r="N937" s="59"/>
      <c r="O937" s="59"/>
    </row>
    <row r="938" spans="10:15" x14ac:dyDescent="0.3">
      <c r="J938"/>
      <c r="K938" s="59"/>
      <c r="L938" s="59"/>
      <c r="M938" s="59"/>
      <c r="N938" s="59"/>
      <c r="O938" s="59"/>
    </row>
    <row r="939" spans="10:15" x14ac:dyDescent="0.3">
      <c r="J939"/>
      <c r="K939" s="59"/>
      <c r="L939" s="59"/>
      <c r="M939" s="59"/>
      <c r="N939" s="59"/>
      <c r="O939" s="59"/>
    </row>
    <row r="940" spans="10:15" x14ac:dyDescent="0.3">
      <c r="J940"/>
      <c r="K940" s="59"/>
      <c r="L940" s="59"/>
      <c r="M940" s="59"/>
      <c r="N940" s="59"/>
      <c r="O940" s="59"/>
    </row>
    <row r="941" spans="10:15" x14ac:dyDescent="0.3">
      <c r="J941"/>
      <c r="K941" s="59"/>
      <c r="L941" s="59"/>
      <c r="M941" s="59"/>
      <c r="N941" s="59"/>
      <c r="O941" s="59"/>
    </row>
    <row r="942" spans="10:15" x14ac:dyDescent="0.3">
      <c r="J942"/>
      <c r="K942" s="59"/>
      <c r="L942" s="59"/>
      <c r="M942" s="59"/>
      <c r="N942" s="59"/>
      <c r="O942" s="59"/>
    </row>
    <row r="943" spans="10:15" x14ac:dyDescent="0.3">
      <c r="J943"/>
      <c r="K943" s="59"/>
      <c r="L943" s="59"/>
      <c r="M943" s="59"/>
      <c r="N943" s="59"/>
      <c r="O943" s="59"/>
    </row>
    <row r="944" spans="10:15" x14ac:dyDescent="0.3">
      <c r="J944"/>
      <c r="K944" s="59"/>
      <c r="L944" s="59"/>
      <c r="M944" s="59"/>
      <c r="N944" s="59"/>
      <c r="O944" s="59"/>
    </row>
    <row r="945" spans="10:15" x14ac:dyDescent="0.3">
      <c r="J945"/>
      <c r="K945" s="59"/>
      <c r="L945" s="59"/>
      <c r="M945" s="59"/>
      <c r="N945" s="59"/>
      <c r="O945" s="59"/>
    </row>
    <row r="946" spans="10:15" x14ac:dyDescent="0.3">
      <c r="J946"/>
      <c r="K946" s="59"/>
      <c r="L946" s="59"/>
      <c r="M946" s="59"/>
      <c r="N946" s="59"/>
      <c r="O946" s="59"/>
    </row>
    <row r="947" spans="10:15" x14ac:dyDescent="0.3">
      <c r="J947"/>
      <c r="K947" s="59"/>
      <c r="L947" s="59"/>
      <c r="M947" s="59"/>
      <c r="N947" s="59"/>
      <c r="O947" s="59"/>
    </row>
    <row r="948" spans="10:15" x14ac:dyDescent="0.3">
      <c r="J948"/>
      <c r="K948" s="59"/>
      <c r="L948" s="59"/>
      <c r="M948" s="59"/>
      <c r="N948" s="59"/>
      <c r="O948" s="59"/>
    </row>
    <row r="949" spans="10:15" x14ac:dyDescent="0.3">
      <c r="J949"/>
      <c r="K949" s="59"/>
      <c r="L949" s="59"/>
      <c r="M949" s="59"/>
      <c r="N949" s="59"/>
      <c r="O949" s="59"/>
    </row>
    <row r="950" spans="10:15" x14ac:dyDescent="0.3">
      <c r="J950"/>
      <c r="K950" s="59"/>
      <c r="L950" s="59"/>
      <c r="M950" s="59"/>
      <c r="N950" s="59"/>
      <c r="O950" s="59"/>
    </row>
    <row r="951" spans="10:15" x14ac:dyDescent="0.3">
      <c r="J951"/>
      <c r="K951" s="59"/>
      <c r="L951" s="59"/>
      <c r="M951" s="59"/>
      <c r="N951" s="59"/>
      <c r="O951" s="59"/>
    </row>
    <row r="952" spans="10:15" x14ac:dyDescent="0.3">
      <c r="J952"/>
      <c r="K952" s="59"/>
      <c r="L952" s="59"/>
      <c r="M952" s="59"/>
      <c r="N952" s="59"/>
      <c r="O952" s="59"/>
    </row>
    <row r="953" spans="10:15" x14ac:dyDescent="0.3">
      <c r="J953"/>
      <c r="K953" s="59"/>
      <c r="L953" s="59"/>
      <c r="M953" s="59"/>
      <c r="N953" s="59"/>
      <c r="O953" s="59"/>
    </row>
    <row r="954" spans="10:15" x14ac:dyDescent="0.3">
      <c r="J954"/>
      <c r="K954" s="59"/>
      <c r="L954" s="59"/>
      <c r="M954" s="59"/>
      <c r="N954" s="59"/>
      <c r="O954" s="59"/>
    </row>
    <row r="955" spans="10:15" x14ac:dyDescent="0.3">
      <c r="J955"/>
      <c r="K955" s="59"/>
      <c r="L955" s="59"/>
      <c r="M955" s="59"/>
      <c r="N955" s="59"/>
      <c r="O955" s="59"/>
    </row>
    <row r="956" spans="10:15" x14ac:dyDescent="0.3">
      <c r="J956"/>
      <c r="K956" s="59"/>
      <c r="L956" s="59"/>
      <c r="M956" s="59"/>
      <c r="N956" s="59"/>
      <c r="O956" s="59"/>
    </row>
    <row r="957" spans="10:15" x14ac:dyDescent="0.3">
      <c r="J957"/>
      <c r="K957" s="59"/>
      <c r="L957" s="59"/>
      <c r="M957" s="59"/>
      <c r="N957" s="59"/>
      <c r="O957" s="59"/>
    </row>
    <row r="958" spans="10:15" x14ac:dyDescent="0.3">
      <c r="J958"/>
      <c r="K958" s="59"/>
      <c r="L958" s="59"/>
      <c r="M958" s="59"/>
      <c r="N958" s="59"/>
      <c r="O958" s="59"/>
    </row>
    <row r="959" spans="10:15" x14ac:dyDescent="0.3">
      <c r="J959"/>
      <c r="K959" s="59"/>
      <c r="L959" s="59"/>
      <c r="M959" s="59"/>
      <c r="N959" s="59"/>
      <c r="O959" s="59"/>
    </row>
    <row r="960" spans="10:15" x14ac:dyDescent="0.3">
      <c r="J960"/>
      <c r="K960" s="59"/>
      <c r="L960" s="59"/>
      <c r="M960" s="59"/>
      <c r="N960" s="59"/>
      <c r="O960" s="59"/>
    </row>
    <row r="961" spans="10:15" x14ac:dyDescent="0.3">
      <c r="J961"/>
      <c r="K961" s="59"/>
      <c r="L961" s="59"/>
      <c r="M961" s="59"/>
      <c r="N961" s="59"/>
      <c r="O961" s="59"/>
    </row>
    <row r="962" spans="10:15" x14ac:dyDescent="0.3">
      <c r="J962"/>
      <c r="K962" s="59"/>
      <c r="L962" s="59"/>
      <c r="M962" s="59"/>
      <c r="N962" s="59"/>
      <c r="O962" s="59"/>
    </row>
    <row r="963" spans="10:15" x14ac:dyDescent="0.3">
      <c r="J963"/>
      <c r="K963" s="59"/>
      <c r="L963" s="59"/>
      <c r="M963" s="59"/>
      <c r="N963" s="59"/>
      <c r="O963" s="59"/>
    </row>
    <row r="964" spans="10:15" x14ac:dyDescent="0.3">
      <c r="J964"/>
      <c r="K964" s="59"/>
      <c r="L964" s="59"/>
      <c r="M964" s="59"/>
      <c r="N964" s="59"/>
      <c r="O964" s="59"/>
    </row>
    <row r="965" spans="10:15" x14ac:dyDescent="0.3">
      <c r="J965"/>
      <c r="K965" s="59"/>
      <c r="L965" s="59"/>
      <c r="M965" s="59"/>
      <c r="N965" s="59"/>
      <c r="O965" s="59"/>
    </row>
    <row r="966" spans="10:15" x14ac:dyDescent="0.3">
      <c r="J966"/>
      <c r="K966" s="59"/>
      <c r="L966" s="59"/>
      <c r="M966" s="59"/>
      <c r="N966" s="59"/>
      <c r="O966" s="59"/>
    </row>
    <row r="967" spans="10:15" x14ac:dyDescent="0.3">
      <c r="J967"/>
      <c r="K967" s="59"/>
      <c r="L967" s="59"/>
      <c r="M967" s="59"/>
      <c r="N967" s="59"/>
      <c r="O967" s="59"/>
    </row>
    <row r="968" spans="10:15" x14ac:dyDescent="0.3">
      <c r="J968"/>
      <c r="K968" s="59"/>
      <c r="L968" s="59"/>
      <c r="M968" s="59"/>
      <c r="N968" s="59"/>
      <c r="O968" s="59"/>
    </row>
    <row r="969" spans="10:15" x14ac:dyDescent="0.3">
      <c r="J969"/>
      <c r="K969" s="59"/>
      <c r="L969" s="59"/>
      <c r="M969" s="59"/>
      <c r="N969" s="59"/>
      <c r="O969" s="59"/>
    </row>
    <row r="970" spans="10:15" x14ac:dyDescent="0.3">
      <c r="J970"/>
      <c r="K970" s="59"/>
      <c r="L970" s="59"/>
      <c r="M970" s="59"/>
      <c r="N970" s="59"/>
      <c r="O970" s="59"/>
    </row>
    <row r="971" spans="10:15" x14ac:dyDescent="0.3">
      <c r="J971"/>
      <c r="K971" s="59"/>
      <c r="L971" s="59"/>
      <c r="M971" s="59"/>
      <c r="N971" s="59"/>
      <c r="O971" s="59"/>
    </row>
    <row r="972" spans="10:15" x14ac:dyDescent="0.3">
      <c r="J972"/>
      <c r="K972" s="59"/>
      <c r="L972" s="59"/>
      <c r="M972" s="59"/>
      <c r="N972" s="59"/>
      <c r="O972" s="59"/>
    </row>
    <row r="973" spans="10:15" x14ac:dyDescent="0.3">
      <c r="J973"/>
      <c r="K973" s="59"/>
      <c r="L973" s="59"/>
      <c r="M973" s="59"/>
      <c r="N973" s="59"/>
      <c r="O973" s="59"/>
    </row>
    <row r="974" spans="10:15" x14ac:dyDescent="0.3">
      <c r="J974"/>
      <c r="K974" s="59"/>
      <c r="L974" s="59"/>
      <c r="M974" s="59"/>
      <c r="N974" s="59"/>
      <c r="O974" s="59"/>
    </row>
    <row r="975" spans="10:15" x14ac:dyDescent="0.3">
      <c r="J975"/>
      <c r="K975" s="59"/>
      <c r="L975" s="59"/>
      <c r="M975" s="59"/>
      <c r="N975" s="59"/>
      <c r="O975" s="59"/>
    </row>
    <row r="976" spans="10:15" x14ac:dyDescent="0.3">
      <c r="J976"/>
      <c r="K976" s="59"/>
      <c r="L976" s="59"/>
      <c r="M976" s="59"/>
      <c r="N976" s="59"/>
      <c r="O976" s="59"/>
    </row>
    <row r="977" spans="10:15" x14ac:dyDescent="0.3">
      <c r="J977"/>
      <c r="K977" s="59"/>
      <c r="L977" s="59"/>
      <c r="M977" s="59"/>
      <c r="N977" s="59"/>
      <c r="O977" s="59"/>
    </row>
    <row r="978" spans="10:15" x14ac:dyDescent="0.3">
      <c r="J978"/>
      <c r="K978" s="59"/>
      <c r="L978" s="59"/>
      <c r="M978" s="59"/>
      <c r="N978" s="59"/>
      <c r="O978" s="59"/>
    </row>
    <row r="979" spans="10:15" x14ac:dyDescent="0.3">
      <c r="J979"/>
      <c r="K979" s="59"/>
      <c r="L979" s="59"/>
      <c r="M979" s="59"/>
      <c r="N979" s="59"/>
      <c r="O979" s="59"/>
    </row>
    <row r="980" spans="10:15" x14ac:dyDescent="0.3">
      <c r="J980"/>
      <c r="K980" s="59"/>
      <c r="L980" s="59"/>
      <c r="M980" s="59"/>
      <c r="N980" s="59"/>
      <c r="O980" s="59"/>
    </row>
    <row r="981" spans="10:15" x14ac:dyDescent="0.3">
      <c r="J981"/>
      <c r="K981" s="59"/>
      <c r="L981" s="59"/>
      <c r="M981" s="59"/>
      <c r="N981" s="59"/>
      <c r="O981" s="59"/>
    </row>
    <row r="982" spans="10:15" x14ac:dyDescent="0.3">
      <c r="J982"/>
      <c r="K982" s="59"/>
      <c r="L982" s="59"/>
      <c r="M982" s="59"/>
      <c r="N982" s="59"/>
      <c r="O982" s="59"/>
    </row>
    <row r="983" spans="10:15" x14ac:dyDescent="0.3">
      <c r="J983"/>
      <c r="K983" s="59"/>
      <c r="L983" s="59"/>
      <c r="M983" s="59"/>
      <c r="N983" s="59"/>
      <c r="O983" s="59"/>
    </row>
    <row r="984" spans="10:15" x14ac:dyDescent="0.3">
      <c r="J984"/>
      <c r="K984" s="59"/>
      <c r="L984" s="59"/>
      <c r="M984" s="59"/>
      <c r="N984" s="59"/>
      <c r="O984" s="59"/>
    </row>
    <row r="985" spans="10:15" x14ac:dyDescent="0.3">
      <c r="J985"/>
      <c r="K985" s="59"/>
      <c r="L985" s="59"/>
      <c r="M985" s="59"/>
      <c r="N985" s="59"/>
      <c r="O985" s="59"/>
    </row>
    <row r="986" spans="10:15" x14ac:dyDescent="0.3">
      <c r="J986"/>
      <c r="K986" s="59"/>
      <c r="L986" s="59"/>
      <c r="M986" s="59"/>
      <c r="N986" s="59"/>
      <c r="O986" s="59"/>
    </row>
    <row r="987" spans="10:15" x14ac:dyDescent="0.3">
      <c r="J987"/>
      <c r="K987" s="59"/>
      <c r="L987" s="59"/>
      <c r="M987" s="59"/>
      <c r="N987" s="59"/>
      <c r="O987" s="59"/>
    </row>
    <row r="988" spans="10:15" x14ac:dyDescent="0.3">
      <c r="J988"/>
      <c r="K988" s="59"/>
      <c r="L988" s="59"/>
      <c r="M988" s="59"/>
      <c r="N988" s="59"/>
      <c r="O988" s="59"/>
    </row>
    <row r="989" spans="10:15" x14ac:dyDescent="0.3">
      <c r="J989"/>
      <c r="K989" s="59"/>
      <c r="L989" s="59"/>
      <c r="M989" s="59"/>
      <c r="N989" s="59"/>
      <c r="O989" s="59"/>
    </row>
    <row r="990" spans="10:15" x14ac:dyDescent="0.3">
      <c r="J990"/>
      <c r="K990" s="59"/>
      <c r="L990" s="59"/>
      <c r="M990" s="59"/>
      <c r="N990" s="59"/>
      <c r="O990" s="59"/>
    </row>
    <row r="991" spans="10:15" x14ac:dyDescent="0.3">
      <c r="J991"/>
      <c r="K991" s="59"/>
      <c r="L991" s="59"/>
      <c r="M991" s="59"/>
      <c r="N991" s="59"/>
      <c r="O991" s="59"/>
    </row>
    <row r="992" spans="10:15" x14ac:dyDescent="0.3">
      <c r="J992"/>
      <c r="K992" s="59"/>
      <c r="L992" s="59"/>
      <c r="M992" s="59"/>
      <c r="N992" s="59"/>
      <c r="O992" s="59"/>
    </row>
    <row r="993" spans="10:15" x14ac:dyDescent="0.3">
      <c r="J993"/>
      <c r="K993" s="59"/>
      <c r="L993" s="59"/>
      <c r="M993" s="59"/>
      <c r="N993" s="59"/>
      <c r="O993" s="59"/>
    </row>
    <row r="994" spans="10:15" x14ac:dyDescent="0.3">
      <c r="J994"/>
      <c r="K994" s="59"/>
      <c r="L994" s="59"/>
      <c r="M994" s="59"/>
      <c r="N994" s="59"/>
      <c r="O994" s="59"/>
    </row>
    <row r="995" spans="10:15" x14ac:dyDescent="0.3">
      <c r="J995"/>
      <c r="K995" s="59"/>
      <c r="L995" s="59"/>
      <c r="M995" s="59"/>
      <c r="N995" s="59"/>
      <c r="O995" s="59"/>
    </row>
    <row r="996" spans="10:15" x14ac:dyDescent="0.3">
      <c r="J996"/>
      <c r="K996" s="59"/>
      <c r="L996" s="59"/>
      <c r="M996" s="59"/>
      <c r="N996" s="59"/>
      <c r="O996" s="59"/>
    </row>
    <row r="997" spans="10:15" x14ac:dyDescent="0.3">
      <c r="J997"/>
      <c r="K997" s="59"/>
      <c r="L997" s="59"/>
      <c r="M997" s="59"/>
      <c r="N997" s="59"/>
      <c r="O997" s="59"/>
    </row>
    <row r="998" spans="10:15" x14ac:dyDescent="0.3">
      <c r="J998"/>
      <c r="K998" s="59"/>
      <c r="L998" s="59"/>
      <c r="M998" s="59"/>
      <c r="N998" s="59"/>
      <c r="O998" s="59"/>
    </row>
    <row r="999" spans="10:15" x14ac:dyDescent="0.3">
      <c r="J999"/>
      <c r="K999" s="59"/>
      <c r="L999" s="59"/>
      <c r="M999" s="59"/>
      <c r="N999" s="59"/>
      <c r="O999" s="59"/>
    </row>
    <row r="1000" spans="10:15" x14ac:dyDescent="0.3">
      <c r="J1000"/>
      <c r="K1000" s="59"/>
      <c r="L1000" s="59"/>
      <c r="M1000" s="59"/>
      <c r="N1000" s="59"/>
      <c r="O1000" s="59"/>
    </row>
    <row r="1001" spans="10:15" x14ac:dyDescent="0.3">
      <c r="J1001"/>
      <c r="K1001" s="59"/>
      <c r="L1001" s="59"/>
      <c r="M1001" s="59"/>
      <c r="N1001" s="59"/>
      <c r="O1001" s="59"/>
    </row>
    <row r="1002" spans="10:15" x14ac:dyDescent="0.3">
      <c r="J1002"/>
      <c r="K1002" s="59"/>
      <c r="L1002" s="59"/>
      <c r="M1002" s="59"/>
      <c r="N1002" s="59"/>
      <c r="O1002" s="59"/>
    </row>
    <row r="1003" spans="10:15" x14ac:dyDescent="0.3">
      <c r="J1003"/>
      <c r="K1003" s="59"/>
      <c r="L1003" s="59"/>
      <c r="M1003" s="59"/>
      <c r="N1003" s="59"/>
      <c r="O1003" s="59"/>
    </row>
    <row r="1004" spans="10:15" x14ac:dyDescent="0.3">
      <c r="J1004"/>
      <c r="K1004" s="59"/>
      <c r="L1004" s="59"/>
      <c r="M1004" s="59"/>
      <c r="N1004" s="59"/>
      <c r="O1004" s="59"/>
    </row>
    <row r="1005" spans="10:15" x14ac:dyDescent="0.3">
      <c r="J1005"/>
      <c r="K1005" s="59"/>
      <c r="L1005" s="59"/>
      <c r="M1005" s="59"/>
      <c r="N1005" s="59"/>
      <c r="O1005" s="59"/>
    </row>
    <row r="1006" spans="10:15" x14ac:dyDescent="0.3">
      <c r="J1006"/>
      <c r="K1006" s="59"/>
      <c r="L1006" s="59"/>
      <c r="M1006" s="59"/>
      <c r="N1006" s="59"/>
      <c r="O1006" s="59"/>
    </row>
    <row r="1007" spans="10:15" x14ac:dyDescent="0.3">
      <c r="J1007"/>
      <c r="K1007" s="59"/>
      <c r="L1007" s="59"/>
      <c r="M1007" s="59"/>
      <c r="N1007" s="59"/>
      <c r="O1007" s="59"/>
    </row>
    <row r="1008" spans="10:15" x14ac:dyDescent="0.3">
      <c r="J1008"/>
      <c r="K1008" s="59"/>
      <c r="L1008" s="59"/>
      <c r="M1008" s="59"/>
      <c r="N1008" s="59"/>
      <c r="O1008" s="59"/>
    </row>
    <row r="1009" spans="10:15" x14ac:dyDescent="0.3">
      <c r="J1009"/>
      <c r="K1009" s="59"/>
      <c r="L1009" s="59"/>
      <c r="M1009" s="59"/>
      <c r="N1009" s="59"/>
      <c r="O1009" s="59"/>
    </row>
    <row r="1010" spans="10:15" x14ac:dyDescent="0.3">
      <c r="J1010"/>
      <c r="K1010" s="59"/>
      <c r="L1010" s="59"/>
      <c r="M1010" s="59"/>
      <c r="N1010" s="59"/>
      <c r="O1010" s="59"/>
    </row>
    <row r="1011" spans="10:15" x14ac:dyDescent="0.3">
      <c r="J1011"/>
      <c r="K1011" s="59"/>
      <c r="L1011" s="59"/>
      <c r="M1011" s="59"/>
      <c r="N1011" s="59"/>
      <c r="O1011" s="59"/>
    </row>
    <row r="1012" spans="10:15" x14ac:dyDescent="0.3">
      <c r="J1012"/>
      <c r="K1012" s="59"/>
      <c r="L1012" s="59"/>
      <c r="M1012" s="59"/>
      <c r="N1012" s="59"/>
      <c r="O1012" s="59"/>
    </row>
    <row r="1013" spans="10:15" x14ac:dyDescent="0.3">
      <c r="J1013"/>
      <c r="K1013" s="59"/>
      <c r="L1013" s="59"/>
      <c r="M1013" s="59"/>
      <c r="N1013" s="59"/>
      <c r="O1013" s="59"/>
    </row>
    <row r="1014" spans="10:15" x14ac:dyDescent="0.3">
      <c r="J1014"/>
      <c r="K1014" s="59"/>
      <c r="L1014" s="59"/>
      <c r="M1014" s="59"/>
      <c r="N1014" s="59"/>
      <c r="O1014" s="59"/>
    </row>
    <row r="1015" spans="10:15" x14ac:dyDescent="0.3">
      <c r="J1015"/>
      <c r="K1015" s="59"/>
      <c r="L1015" s="59"/>
      <c r="M1015" s="59"/>
      <c r="N1015" s="59"/>
      <c r="O1015" s="59"/>
    </row>
    <row r="1016" spans="10:15" x14ac:dyDescent="0.3">
      <c r="J1016"/>
      <c r="K1016" s="59"/>
      <c r="L1016" s="59"/>
      <c r="M1016" s="59"/>
      <c r="N1016" s="59"/>
      <c r="O1016" s="59"/>
    </row>
    <row r="1017" spans="10:15" x14ac:dyDescent="0.3">
      <c r="J1017"/>
      <c r="K1017" s="59"/>
      <c r="L1017" s="59"/>
      <c r="M1017" s="59"/>
      <c r="N1017" s="59"/>
      <c r="O1017" s="59"/>
    </row>
    <row r="1018" spans="10:15" x14ac:dyDescent="0.3">
      <c r="J1018"/>
      <c r="K1018" s="59"/>
      <c r="L1018" s="59"/>
      <c r="M1018" s="59"/>
      <c r="N1018" s="59"/>
      <c r="O1018" s="59"/>
    </row>
    <row r="1019" spans="10:15" x14ac:dyDescent="0.3">
      <c r="J1019"/>
      <c r="K1019" s="59"/>
      <c r="L1019" s="59"/>
      <c r="M1019" s="59"/>
      <c r="N1019" s="59"/>
      <c r="O1019" s="59"/>
    </row>
    <row r="1020" spans="10:15" x14ac:dyDescent="0.3">
      <c r="J1020"/>
      <c r="K1020" s="59"/>
      <c r="L1020" s="59"/>
      <c r="M1020" s="59"/>
      <c r="N1020" s="59"/>
      <c r="O1020" s="59"/>
    </row>
    <row r="1021" spans="10:15" x14ac:dyDescent="0.3">
      <c r="J1021"/>
      <c r="K1021" s="59"/>
      <c r="L1021" s="59"/>
      <c r="M1021" s="59"/>
      <c r="N1021" s="59"/>
      <c r="O1021" s="59"/>
    </row>
    <row r="1022" spans="10:15" x14ac:dyDescent="0.3">
      <c r="J1022"/>
      <c r="K1022" s="59"/>
      <c r="L1022" s="59"/>
      <c r="M1022" s="59"/>
      <c r="N1022" s="59"/>
      <c r="O1022" s="59"/>
    </row>
    <row r="1023" spans="10:15" x14ac:dyDescent="0.3">
      <c r="J1023"/>
      <c r="K1023" s="59"/>
      <c r="L1023" s="59"/>
      <c r="M1023" s="59"/>
      <c r="N1023" s="59"/>
      <c r="O1023" s="59"/>
    </row>
    <row r="1024" spans="10:15" x14ac:dyDescent="0.3">
      <c r="J1024"/>
      <c r="K1024" s="59"/>
      <c r="L1024" s="59"/>
      <c r="M1024" s="59"/>
      <c r="N1024" s="59"/>
      <c r="O1024" s="59"/>
    </row>
    <row r="1025" spans="10:15" x14ac:dyDescent="0.3">
      <c r="J1025"/>
      <c r="K1025" s="59"/>
      <c r="L1025" s="59"/>
      <c r="M1025" s="59"/>
      <c r="N1025" s="59"/>
      <c r="O1025" s="59"/>
    </row>
    <row r="1026" spans="10:15" x14ac:dyDescent="0.3">
      <c r="J1026"/>
      <c r="K1026" s="59"/>
      <c r="L1026" s="59"/>
      <c r="M1026" s="59"/>
      <c r="N1026" s="59"/>
      <c r="O1026" s="59"/>
    </row>
    <row r="1027" spans="10:15" x14ac:dyDescent="0.3">
      <c r="J1027"/>
      <c r="K1027" s="59"/>
      <c r="L1027" s="59"/>
      <c r="M1027" s="59"/>
      <c r="N1027" s="59"/>
      <c r="O1027" s="59"/>
    </row>
    <row r="1028" spans="10:15" x14ac:dyDescent="0.3">
      <c r="J1028"/>
      <c r="K1028" s="59"/>
      <c r="L1028" s="59"/>
      <c r="M1028" s="59"/>
      <c r="N1028" s="59"/>
      <c r="O1028" s="59"/>
    </row>
    <row r="1029" spans="10:15" x14ac:dyDescent="0.3">
      <c r="J1029"/>
      <c r="K1029" s="59"/>
      <c r="L1029" s="59"/>
      <c r="M1029" s="59"/>
      <c r="N1029" s="59"/>
      <c r="O1029" s="59"/>
    </row>
    <row r="1030" spans="10:15" x14ac:dyDescent="0.3">
      <c r="J1030"/>
      <c r="K1030" s="59"/>
      <c r="L1030" s="59"/>
      <c r="M1030" s="59"/>
      <c r="N1030" s="59"/>
      <c r="O1030" s="59"/>
    </row>
    <row r="1031" spans="10:15" x14ac:dyDescent="0.3">
      <c r="J1031"/>
      <c r="K1031" s="59"/>
      <c r="L1031" s="59"/>
      <c r="M1031" s="59"/>
      <c r="N1031" s="59"/>
      <c r="O1031" s="59"/>
    </row>
    <row r="1032" spans="10:15" x14ac:dyDescent="0.3">
      <c r="J1032"/>
      <c r="K1032" s="59"/>
      <c r="L1032" s="59"/>
      <c r="M1032" s="59"/>
      <c r="N1032" s="59"/>
      <c r="O1032" s="59"/>
    </row>
    <row r="1033" spans="10:15" x14ac:dyDescent="0.3">
      <c r="J1033"/>
      <c r="K1033" s="59"/>
      <c r="L1033" s="59"/>
      <c r="M1033" s="59"/>
      <c r="N1033" s="59"/>
      <c r="O1033" s="59"/>
    </row>
    <row r="1034" spans="10:15" x14ac:dyDescent="0.3">
      <c r="J1034"/>
      <c r="K1034" s="59"/>
      <c r="L1034" s="59"/>
      <c r="M1034" s="59"/>
      <c r="N1034" s="59"/>
      <c r="O1034" s="59"/>
    </row>
    <row r="1035" spans="10:15" x14ac:dyDescent="0.3">
      <c r="J1035"/>
      <c r="K1035" s="59"/>
      <c r="L1035" s="59"/>
      <c r="M1035" s="59"/>
      <c r="N1035" s="59"/>
      <c r="O1035" s="59"/>
    </row>
    <row r="1036" spans="10:15" x14ac:dyDescent="0.3">
      <c r="J1036"/>
      <c r="K1036" s="59"/>
      <c r="L1036" s="59"/>
      <c r="M1036" s="59"/>
      <c r="N1036" s="59"/>
      <c r="O1036" s="59"/>
    </row>
    <row r="1037" spans="10:15" x14ac:dyDescent="0.3">
      <c r="J1037"/>
      <c r="K1037" s="59"/>
      <c r="L1037" s="59"/>
      <c r="M1037" s="59"/>
      <c r="N1037" s="59"/>
      <c r="O1037" s="59"/>
    </row>
    <row r="1038" spans="10:15" x14ac:dyDescent="0.3">
      <c r="J1038"/>
      <c r="K1038" s="59"/>
      <c r="L1038" s="59"/>
      <c r="M1038" s="59"/>
      <c r="N1038" s="59"/>
      <c r="O1038" s="59"/>
    </row>
    <row r="1039" spans="10:15" x14ac:dyDescent="0.3">
      <c r="J1039"/>
      <c r="K1039" s="59"/>
      <c r="L1039" s="59"/>
      <c r="M1039" s="59"/>
      <c r="N1039" s="59"/>
      <c r="O1039" s="59"/>
    </row>
    <row r="1040" spans="10:15" x14ac:dyDescent="0.3">
      <c r="J1040"/>
      <c r="K1040" s="59"/>
      <c r="L1040" s="59"/>
      <c r="M1040" s="59"/>
      <c r="N1040" s="59"/>
      <c r="O1040" s="59"/>
    </row>
    <row r="1041" spans="10:15" x14ac:dyDescent="0.3">
      <c r="J1041"/>
      <c r="K1041" s="59"/>
      <c r="L1041" s="59"/>
      <c r="M1041" s="59"/>
      <c r="N1041" s="59"/>
      <c r="O1041" s="59"/>
    </row>
    <row r="1042" spans="10:15" x14ac:dyDescent="0.3">
      <c r="J1042"/>
      <c r="K1042" s="59"/>
      <c r="L1042" s="59"/>
      <c r="M1042" s="59"/>
      <c r="N1042" s="59"/>
      <c r="O1042" s="59"/>
    </row>
    <row r="1043" spans="10:15" x14ac:dyDescent="0.3">
      <c r="J1043"/>
      <c r="K1043" s="59"/>
      <c r="L1043" s="59"/>
      <c r="M1043" s="59"/>
      <c r="N1043" s="59"/>
      <c r="O1043" s="59"/>
    </row>
    <row r="1044" spans="10:15" x14ac:dyDescent="0.3">
      <c r="J1044"/>
      <c r="K1044" s="59"/>
      <c r="L1044" s="59"/>
      <c r="M1044" s="59"/>
      <c r="N1044" s="59"/>
      <c r="O1044" s="59"/>
    </row>
    <row r="1045" spans="10:15" x14ac:dyDescent="0.3">
      <c r="J1045"/>
      <c r="K1045" s="59"/>
      <c r="L1045" s="59"/>
      <c r="M1045" s="59"/>
      <c r="N1045" s="59"/>
      <c r="O1045" s="59"/>
    </row>
    <row r="1046" spans="10:15" x14ac:dyDescent="0.3">
      <c r="J1046"/>
      <c r="K1046" s="59"/>
      <c r="L1046" s="59"/>
      <c r="M1046" s="59"/>
      <c r="N1046" s="59"/>
      <c r="O1046" s="59"/>
    </row>
    <row r="1047" spans="10:15" x14ac:dyDescent="0.3">
      <c r="J1047"/>
      <c r="K1047" s="59"/>
      <c r="L1047" s="59"/>
      <c r="M1047" s="59"/>
      <c r="N1047" s="59"/>
      <c r="O1047" s="59"/>
    </row>
    <row r="1048" spans="10:15" x14ac:dyDescent="0.3">
      <c r="J1048"/>
      <c r="K1048" s="59"/>
      <c r="L1048" s="59"/>
      <c r="M1048" s="59"/>
      <c r="N1048" s="59"/>
      <c r="O1048" s="59"/>
    </row>
    <row r="1049" spans="10:15" x14ac:dyDescent="0.3">
      <c r="J1049"/>
      <c r="K1049" s="59"/>
      <c r="L1049" s="59"/>
      <c r="M1049" s="59"/>
      <c r="N1049" s="59"/>
      <c r="O1049" s="59"/>
    </row>
    <row r="1050" spans="10:15" x14ac:dyDescent="0.3">
      <c r="J1050"/>
      <c r="K1050" s="59"/>
      <c r="L1050" s="59"/>
      <c r="M1050" s="59"/>
      <c r="N1050" s="59"/>
      <c r="O1050" s="59"/>
    </row>
    <row r="1051" spans="10:15" x14ac:dyDescent="0.3">
      <c r="J1051"/>
      <c r="K1051" s="59"/>
      <c r="L1051" s="59"/>
      <c r="M1051" s="59"/>
      <c r="N1051" s="59"/>
      <c r="O1051" s="59"/>
    </row>
    <row r="1052" spans="10:15" x14ac:dyDescent="0.3">
      <c r="J1052"/>
      <c r="K1052" s="59"/>
      <c r="L1052" s="59"/>
      <c r="M1052" s="59"/>
      <c r="N1052" s="59"/>
      <c r="O1052" s="59"/>
    </row>
    <row r="1053" spans="10:15" x14ac:dyDescent="0.3">
      <c r="J1053"/>
      <c r="K1053" s="59"/>
      <c r="L1053" s="59"/>
      <c r="M1053" s="59"/>
      <c r="N1053" s="59"/>
      <c r="O1053" s="59"/>
    </row>
    <row r="1054" spans="10:15" x14ac:dyDescent="0.3">
      <c r="J1054"/>
      <c r="K1054" s="59"/>
      <c r="L1054" s="59"/>
      <c r="M1054" s="59"/>
      <c r="N1054" s="59"/>
      <c r="O1054" s="59"/>
    </row>
    <row r="1055" spans="10:15" x14ac:dyDescent="0.3">
      <c r="J1055"/>
      <c r="K1055" s="59"/>
      <c r="L1055" s="59"/>
      <c r="M1055" s="59"/>
      <c r="N1055" s="59"/>
      <c r="O1055" s="59"/>
    </row>
    <row r="1056" spans="10:15" x14ac:dyDescent="0.3">
      <c r="J1056"/>
      <c r="K1056" s="59"/>
      <c r="L1056" s="59"/>
      <c r="M1056" s="59"/>
      <c r="N1056" s="59"/>
      <c r="O1056" s="59"/>
    </row>
    <row r="1057" spans="10:15" x14ac:dyDescent="0.3">
      <c r="J1057"/>
      <c r="K1057" s="59"/>
      <c r="L1057" s="59"/>
      <c r="M1057" s="59"/>
      <c r="N1057" s="59"/>
      <c r="O1057" s="59"/>
    </row>
    <row r="1058" spans="10:15" x14ac:dyDescent="0.3">
      <c r="J1058"/>
      <c r="K1058" s="59"/>
      <c r="L1058" s="59"/>
      <c r="M1058" s="59"/>
      <c r="N1058" s="59"/>
      <c r="O1058" s="59"/>
    </row>
    <row r="1059" spans="10:15" x14ac:dyDescent="0.3">
      <c r="J1059"/>
      <c r="K1059" s="59"/>
      <c r="L1059" s="59"/>
      <c r="M1059" s="59"/>
      <c r="N1059" s="59"/>
      <c r="O1059" s="59"/>
    </row>
    <row r="1060" spans="10:15" x14ac:dyDescent="0.3">
      <c r="J1060"/>
      <c r="K1060" s="59"/>
      <c r="L1060" s="59"/>
      <c r="M1060" s="59"/>
      <c r="N1060" s="59"/>
      <c r="O1060" s="59"/>
    </row>
    <row r="1061" spans="10:15" x14ac:dyDescent="0.3">
      <c r="J1061"/>
      <c r="K1061" s="59"/>
      <c r="L1061" s="59"/>
      <c r="M1061" s="59"/>
      <c r="N1061" s="59"/>
      <c r="O1061" s="59"/>
    </row>
    <row r="1062" spans="10:15" x14ac:dyDescent="0.3">
      <c r="J1062"/>
      <c r="K1062" s="59"/>
      <c r="L1062" s="59"/>
      <c r="M1062" s="59"/>
      <c r="N1062" s="59"/>
      <c r="O1062" s="59"/>
    </row>
    <row r="1063" spans="10:15" x14ac:dyDescent="0.3">
      <c r="J1063"/>
      <c r="K1063" s="59"/>
      <c r="L1063" s="59"/>
      <c r="M1063" s="59"/>
      <c r="N1063" s="59"/>
      <c r="O1063" s="59"/>
    </row>
    <row r="1064" spans="10:15" x14ac:dyDescent="0.3">
      <c r="J1064"/>
      <c r="K1064" s="59"/>
      <c r="L1064" s="59"/>
      <c r="M1064" s="59"/>
      <c r="N1064" s="59"/>
      <c r="O1064" s="59"/>
    </row>
    <row r="1065" spans="10:15" x14ac:dyDescent="0.3">
      <c r="J1065"/>
      <c r="K1065" s="59"/>
      <c r="L1065" s="59"/>
      <c r="M1065" s="59"/>
      <c r="N1065" s="59"/>
      <c r="O1065" s="59"/>
    </row>
    <row r="1066" spans="10:15" x14ac:dyDescent="0.3">
      <c r="J1066"/>
      <c r="K1066" s="59"/>
      <c r="L1066" s="59"/>
      <c r="M1066" s="59"/>
      <c r="N1066" s="59"/>
      <c r="O1066" s="59"/>
    </row>
    <row r="1067" spans="10:15" x14ac:dyDescent="0.3">
      <c r="J1067"/>
      <c r="K1067" s="59"/>
      <c r="L1067" s="59"/>
      <c r="M1067" s="59"/>
      <c r="N1067" s="59"/>
      <c r="O1067" s="59"/>
    </row>
    <row r="1068" spans="10:15" x14ac:dyDescent="0.3">
      <c r="J1068"/>
      <c r="K1068" s="59"/>
      <c r="L1068" s="59"/>
      <c r="M1068" s="59"/>
      <c r="N1068" s="59"/>
      <c r="O1068" s="59"/>
    </row>
    <row r="1069" spans="10:15" x14ac:dyDescent="0.3">
      <c r="J1069"/>
      <c r="K1069" s="59"/>
      <c r="L1069" s="59"/>
      <c r="M1069" s="59"/>
      <c r="N1069" s="59"/>
      <c r="O1069" s="59"/>
    </row>
    <row r="1070" spans="10:15" x14ac:dyDescent="0.3">
      <c r="J1070"/>
      <c r="K1070" s="59"/>
      <c r="L1070" s="59"/>
      <c r="M1070" s="59"/>
      <c r="N1070" s="59"/>
      <c r="O1070" s="59"/>
    </row>
    <row r="1071" spans="10:15" x14ac:dyDescent="0.3">
      <c r="J1071"/>
      <c r="K1071" s="59"/>
      <c r="L1071" s="59"/>
      <c r="M1071" s="59"/>
      <c r="N1071" s="59"/>
      <c r="O1071" s="59"/>
    </row>
    <row r="1072" spans="10:15" x14ac:dyDescent="0.3">
      <c r="J1072"/>
      <c r="K1072" s="59"/>
      <c r="L1072" s="59"/>
      <c r="M1072" s="59"/>
      <c r="N1072" s="59"/>
      <c r="O1072" s="59"/>
    </row>
    <row r="1073" spans="10:15" x14ac:dyDescent="0.3">
      <c r="J1073"/>
      <c r="K1073" s="59"/>
      <c r="L1073" s="59"/>
      <c r="M1073" s="59"/>
      <c r="N1073" s="59"/>
      <c r="O1073" s="59"/>
    </row>
    <row r="1074" spans="10:15" x14ac:dyDescent="0.3">
      <c r="J1074"/>
      <c r="K1074" s="59"/>
      <c r="L1074" s="59"/>
      <c r="M1074" s="59"/>
      <c r="N1074" s="59"/>
      <c r="O1074" s="59"/>
    </row>
    <row r="1075" spans="10:15" x14ac:dyDescent="0.3">
      <c r="J1075"/>
      <c r="K1075" s="59"/>
      <c r="L1075" s="59"/>
      <c r="M1075" s="59"/>
      <c r="N1075" s="59"/>
      <c r="O1075" s="59"/>
    </row>
    <row r="1076" spans="10:15" x14ac:dyDescent="0.3">
      <c r="J1076"/>
      <c r="K1076" s="59"/>
      <c r="L1076" s="59"/>
      <c r="M1076" s="59"/>
      <c r="N1076" s="59"/>
      <c r="O1076" s="59"/>
    </row>
    <row r="1077" spans="10:15" x14ac:dyDescent="0.3">
      <c r="J1077"/>
      <c r="K1077" s="59"/>
      <c r="L1077" s="59"/>
      <c r="M1077" s="59"/>
      <c r="N1077" s="59"/>
      <c r="O1077" s="59"/>
    </row>
    <row r="1078" spans="10:15" x14ac:dyDescent="0.3">
      <c r="J1078"/>
      <c r="K1078" s="59"/>
      <c r="L1078" s="59"/>
      <c r="M1078" s="59"/>
      <c r="N1078" s="59"/>
      <c r="O1078" s="59"/>
    </row>
    <row r="1079" spans="10:15" x14ac:dyDescent="0.3">
      <c r="J1079"/>
      <c r="K1079" s="59"/>
      <c r="L1079" s="59"/>
      <c r="M1079" s="59"/>
      <c r="N1079" s="59"/>
      <c r="O1079" s="59"/>
    </row>
    <row r="1080" spans="10:15" x14ac:dyDescent="0.3">
      <c r="J1080"/>
      <c r="K1080" s="59"/>
      <c r="L1080" s="59"/>
      <c r="M1080" s="59"/>
      <c r="N1080" s="59"/>
      <c r="O1080" s="59"/>
    </row>
    <row r="1081" spans="10:15" x14ac:dyDescent="0.3">
      <c r="J1081"/>
      <c r="K1081" s="59"/>
      <c r="L1081" s="59"/>
      <c r="M1081" s="59"/>
      <c r="N1081" s="59"/>
      <c r="O1081" s="59"/>
    </row>
    <row r="1082" spans="10:15" x14ac:dyDescent="0.3">
      <c r="J1082"/>
      <c r="K1082" s="59"/>
      <c r="L1082" s="59"/>
      <c r="M1082" s="59"/>
      <c r="N1082" s="59"/>
      <c r="O1082" s="59"/>
    </row>
    <row r="1083" spans="10:15" x14ac:dyDescent="0.3">
      <c r="J1083"/>
      <c r="K1083" s="59"/>
      <c r="L1083" s="59"/>
      <c r="M1083" s="59"/>
      <c r="N1083" s="59"/>
      <c r="O1083" s="59"/>
    </row>
    <row r="1084" spans="10:15" x14ac:dyDescent="0.3">
      <c r="J1084"/>
      <c r="K1084" s="59"/>
      <c r="L1084" s="59"/>
      <c r="M1084" s="59"/>
      <c r="N1084" s="59"/>
      <c r="O1084" s="59"/>
    </row>
    <row r="1085" spans="10:15" x14ac:dyDescent="0.3">
      <c r="J1085"/>
      <c r="K1085" s="59"/>
      <c r="L1085" s="59"/>
      <c r="M1085" s="59"/>
      <c r="N1085" s="59"/>
      <c r="O1085" s="59"/>
    </row>
    <row r="1086" spans="10:15" x14ac:dyDescent="0.3">
      <c r="J1086"/>
      <c r="K1086" s="59"/>
      <c r="L1086" s="59"/>
      <c r="M1086" s="59"/>
      <c r="N1086" s="59"/>
      <c r="O1086" s="59"/>
    </row>
    <row r="1087" spans="10:15" x14ac:dyDescent="0.3">
      <c r="J1087"/>
      <c r="K1087" s="59"/>
      <c r="L1087" s="59"/>
      <c r="M1087" s="59"/>
      <c r="N1087" s="59"/>
      <c r="O1087" s="59"/>
    </row>
    <row r="1088" spans="10:15" x14ac:dyDescent="0.3">
      <c r="J1088"/>
      <c r="K1088" s="59"/>
      <c r="L1088" s="59"/>
      <c r="M1088" s="59"/>
      <c r="N1088" s="59"/>
      <c r="O1088" s="59"/>
    </row>
    <row r="1089" spans="10:15" x14ac:dyDescent="0.3">
      <c r="J1089"/>
      <c r="K1089" s="59"/>
      <c r="L1089" s="59"/>
      <c r="M1089" s="59"/>
      <c r="N1089" s="59"/>
      <c r="O1089" s="59"/>
    </row>
    <row r="1090" spans="10:15" x14ac:dyDescent="0.3">
      <c r="J1090"/>
      <c r="K1090" s="59"/>
      <c r="L1090" s="59"/>
      <c r="M1090" s="59"/>
      <c r="N1090" s="59"/>
      <c r="O1090" s="59"/>
    </row>
    <row r="1091" spans="10:15" x14ac:dyDescent="0.3">
      <c r="J1091"/>
      <c r="K1091" s="59"/>
      <c r="L1091" s="59"/>
      <c r="M1091" s="59"/>
      <c r="N1091" s="59"/>
      <c r="O1091" s="59"/>
    </row>
    <row r="1092" spans="10:15" x14ac:dyDescent="0.3">
      <c r="J1092"/>
      <c r="K1092" s="59"/>
      <c r="L1092" s="59"/>
      <c r="M1092" s="59"/>
      <c r="N1092" s="59"/>
      <c r="O1092" s="59"/>
    </row>
    <row r="1093" spans="10:15" x14ac:dyDescent="0.3">
      <c r="J1093"/>
      <c r="K1093" s="59"/>
      <c r="L1093" s="59"/>
      <c r="M1093" s="59"/>
      <c r="N1093" s="59"/>
      <c r="O1093" s="59"/>
    </row>
    <row r="1094" spans="10:15" x14ac:dyDescent="0.3">
      <c r="J1094"/>
      <c r="K1094" s="59"/>
      <c r="L1094" s="59"/>
      <c r="M1094" s="59"/>
      <c r="N1094" s="59"/>
      <c r="O1094" s="59"/>
    </row>
    <row r="1095" spans="10:15" x14ac:dyDescent="0.3">
      <c r="J1095"/>
      <c r="K1095" s="59"/>
      <c r="L1095" s="59"/>
      <c r="M1095" s="59"/>
      <c r="N1095" s="59"/>
      <c r="O1095" s="59"/>
    </row>
    <row r="1096" spans="10:15" x14ac:dyDescent="0.3">
      <c r="J1096"/>
      <c r="K1096" s="59"/>
      <c r="L1096" s="59"/>
      <c r="M1096" s="59"/>
      <c r="N1096" s="59"/>
      <c r="O1096" s="59"/>
    </row>
    <row r="1097" spans="10:15" x14ac:dyDescent="0.3">
      <c r="J1097"/>
      <c r="K1097" s="59"/>
      <c r="L1097" s="59"/>
      <c r="M1097" s="59"/>
      <c r="N1097" s="59"/>
      <c r="O1097" s="59"/>
    </row>
    <row r="1098" spans="10:15" x14ac:dyDescent="0.3">
      <c r="J1098"/>
      <c r="K1098" s="59"/>
      <c r="L1098" s="59"/>
      <c r="M1098" s="59"/>
      <c r="N1098" s="59"/>
      <c r="O1098" s="59"/>
    </row>
    <row r="1099" spans="10:15" x14ac:dyDescent="0.3">
      <c r="J1099"/>
      <c r="K1099" s="59"/>
      <c r="L1099" s="59"/>
      <c r="M1099" s="59"/>
      <c r="N1099" s="59"/>
      <c r="O1099" s="59"/>
    </row>
    <row r="1100" spans="10:15" x14ac:dyDescent="0.3">
      <c r="J1100"/>
      <c r="K1100" s="59"/>
      <c r="L1100" s="59"/>
      <c r="M1100" s="59"/>
      <c r="N1100" s="59"/>
      <c r="O1100" s="59"/>
    </row>
    <row r="1101" spans="10:15" x14ac:dyDescent="0.3">
      <c r="J1101"/>
      <c r="K1101" s="59"/>
      <c r="L1101" s="59"/>
      <c r="M1101" s="59"/>
      <c r="N1101" s="59"/>
      <c r="O1101" s="59"/>
    </row>
    <row r="1102" spans="10:15" x14ac:dyDescent="0.3">
      <c r="J1102"/>
      <c r="K1102" s="59"/>
      <c r="L1102" s="59"/>
      <c r="M1102" s="59"/>
      <c r="N1102" s="59"/>
      <c r="O1102" s="59"/>
    </row>
    <row r="1103" spans="10:15" x14ac:dyDescent="0.3">
      <c r="J1103"/>
      <c r="K1103" s="59"/>
      <c r="L1103" s="59"/>
      <c r="M1103" s="59"/>
      <c r="N1103" s="59"/>
      <c r="O1103" s="59"/>
    </row>
    <row r="1104" spans="10:15" x14ac:dyDescent="0.3">
      <c r="J1104"/>
      <c r="K1104" s="59"/>
      <c r="L1104" s="59"/>
      <c r="M1104" s="59"/>
      <c r="N1104" s="59"/>
      <c r="O1104" s="59"/>
    </row>
    <row r="1105" spans="10:15" x14ac:dyDescent="0.3">
      <c r="J1105"/>
      <c r="K1105" s="59"/>
      <c r="L1105" s="59"/>
      <c r="M1105" s="59"/>
      <c r="N1105" s="59"/>
      <c r="O1105" s="59"/>
    </row>
    <row r="1106" spans="10:15" x14ac:dyDescent="0.3">
      <c r="J1106"/>
      <c r="K1106" s="59"/>
      <c r="L1106" s="59"/>
      <c r="M1106" s="59"/>
      <c r="N1106" s="59"/>
      <c r="O1106" s="59"/>
    </row>
    <row r="1107" spans="10:15" x14ac:dyDescent="0.3">
      <c r="J1107"/>
      <c r="K1107" s="59"/>
      <c r="L1107" s="59"/>
      <c r="M1107" s="59"/>
      <c r="N1107" s="59"/>
      <c r="O1107" s="59"/>
    </row>
    <row r="1108" spans="10:15" x14ac:dyDescent="0.3">
      <c r="J1108"/>
      <c r="K1108" s="59"/>
      <c r="L1108" s="59"/>
      <c r="M1108" s="59"/>
      <c r="N1108" s="59"/>
      <c r="O1108" s="59"/>
    </row>
    <row r="1109" spans="10:15" x14ac:dyDescent="0.3">
      <c r="J1109"/>
      <c r="K1109" s="59"/>
      <c r="L1109" s="59"/>
      <c r="M1109" s="59"/>
      <c r="N1109" s="59"/>
      <c r="O1109" s="59"/>
    </row>
    <row r="1110" spans="10:15" x14ac:dyDescent="0.3">
      <c r="J1110"/>
      <c r="K1110" s="59"/>
      <c r="L1110" s="59"/>
      <c r="M1110" s="59"/>
      <c r="N1110" s="59"/>
      <c r="O1110" s="59"/>
    </row>
    <row r="1111" spans="10:15" x14ac:dyDescent="0.3">
      <c r="J1111"/>
      <c r="K1111" s="59"/>
      <c r="L1111" s="59"/>
      <c r="M1111" s="59"/>
      <c r="N1111" s="59"/>
      <c r="O1111" s="59"/>
    </row>
    <row r="1112" spans="10:15" x14ac:dyDescent="0.3">
      <c r="J1112"/>
      <c r="K1112" s="59"/>
      <c r="L1112" s="59"/>
      <c r="M1112" s="59"/>
      <c r="N1112" s="59"/>
      <c r="O1112" s="59"/>
    </row>
    <row r="1113" spans="10:15" x14ac:dyDescent="0.3">
      <c r="J1113"/>
      <c r="K1113" s="59"/>
      <c r="L1113" s="59"/>
      <c r="M1113" s="59"/>
      <c r="N1113" s="59"/>
      <c r="O1113" s="59"/>
    </row>
    <row r="1114" spans="10:15" x14ac:dyDescent="0.3">
      <c r="J1114"/>
      <c r="K1114" s="59"/>
      <c r="L1114" s="59"/>
      <c r="M1114" s="59"/>
      <c r="N1114" s="59"/>
      <c r="O1114" s="59"/>
    </row>
    <row r="1115" spans="10:15" x14ac:dyDescent="0.3">
      <c r="J1115"/>
      <c r="K1115" s="59"/>
      <c r="L1115" s="59"/>
      <c r="M1115" s="59"/>
      <c r="N1115" s="59"/>
      <c r="O1115" s="59"/>
    </row>
    <row r="1116" spans="10:15" x14ac:dyDescent="0.3">
      <c r="J1116"/>
      <c r="K1116" s="59"/>
      <c r="L1116" s="59"/>
      <c r="M1116" s="59"/>
      <c r="N1116" s="59"/>
      <c r="O1116" s="59"/>
    </row>
    <row r="1117" spans="10:15" x14ac:dyDescent="0.3">
      <c r="J1117"/>
      <c r="K1117" s="59"/>
      <c r="L1117" s="59"/>
      <c r="M1117" s="59"/>
      <c r="N1117" s="59"/>
      <c r="O1117" s="59"/>
    </row>
    <row r="1118" spans="10:15" x14ac:dyDescent="0.3">
      <c r="J1118"/>
      <c r="K1118" s="59"/>
      <c r="L1118" s="59"/>
      <c r="M1118" s="59"/>
      <c r="N1118" s="59"/>
      <c r="O1118" s="59"/>
    </row>
    <row r="1119" spans="10:15" x14ac:dyDescent="0.3">
      <c r="J1119"/>
      <c r="K1119" s="59"/>
      <c r="L1119" s="59"/>
      <c r="M1119" s="59"/>
      <c r="N1119" s="59"/>
      <c r="O1119" s="59"/>
    </row>
    <row r="1120" spans="10:15" x14ac:dyDescent="0.3">
      <c r="J1120"/>
      <c r="K1120" s="59"/>
      <c r="L1120" s="59"/>
      <c r="M1120" s="59"/>
      <c r="N1120" s="59"/>
      <c r="O1120" s="59"/>
    </row>
    <row r="1121" spans="10:15" x14ac:dyDescent="0.3">
      <c r="J1121"/>
      <c r="K1121" s="59"/>
      <c r="L1121" s="59"/>
      <c r="M1121" s="59"/>
      <c r="N1121" s="59"/>
      <c r="O1121" s="59"/>
    </row>
    <row r="1122" spans="10:15" x14ac:dyDescent="0.3">
      <c r="J1122"/>
      <c r="K1122" s="59"/>
      <c r="L1122" s="59"/>
      <c r="M1122" s="59"/>
      <c r="N1122" s="59"/>
      <c r="O1122" s="59"/>
    </row>
    <row r="1123" spans="10:15" x14ac:dyDescent="0.3">
      <c r="J1123"/>
      <c r="K1123" s="59"/>
      <c r="L1123" s="59"/>
      <c r="M1123" s="59"/>
      <c r="N1123" s="59"/>
      <c r="O1123" s="59"/>
    </row>
    <row r="1124" spans="10:15" x14ac:dyDescent="0.3">
      <c r="J1124"/>
      <c r="K1124" s="59"/>
      <c r="L1124" s="59"/>
      <c r="M1124" s="59"/>
      <c r="N1124" s="59"/>
      <c r="O1124" s="59"/>
    </row>
    <row r="1125" spans="10:15" x14ac:dyDescent="0.3">
      <c r="J1125"/>
      <c r="K1125" s="59"/>
      <c r="L1125" s="59"/>
      <c r="M1125" s="59"/>
      <c r="N1125" s="59"/>
      <c r="O1125" s="59"/>
    </row>
    <row r="1126" spans="10:15" x14ac:dyDescent="0.3">
      <c r="J1126"/>
      <c r="K1126" s="59"/>
      <c r="L1126" s="59"/>
      <c r="M1126" s="59"/>
      <c r="N1126" s="59"/>
      <c r="O1126" s="59"/>
    </row>
    <row r="1127" spans="10:15" x14ac:dyDescent="0.3">
      <c r="J1127"/>
      <c r="K1127" s="59"/>
      <c r="L1127" s="59"/>
      <c r="M1127" s="59"/>
      <c r="N1127" s="59"/>
      <c r="O1127" s="59"/>
    </row>
    <row r="1128" spans="10:15" x14ac:dyDescent="0.3">
      <c r="J1128"/>
      <c r="K1128" s="59"/>
      <c r="L1128" s="59"/>
      <c r="M1128" s="59"/>
      <c r="N1128" s="59"/>
      <c r="O1128" s="59"/>
    </row>
    <row r="1129" spans="10:15" x14ac:dyDescent="0.3">
      <c r="J1129"/>
      <c r="K1129" s="59"/>
      <c r="L1129" s="59"/>
      <c r="M1129" s="59"/>
      <c r="N1129" s="59"/>
      <c r="O1129" s="59"/>
    </row>
    <row r="1130" spans="10:15" x14ac:dyDescent="0.3">
      <c r="J1130"/>
      <c r="K1130" s="59"/>
      <c r="L1130" s="59"/>
      <c r="M1130" s="59"/>
      <c r="N1130" s="59"/>
      <c r="O1130" s="59"/>
    </row>
    <row r="1131" spans="10:15" x14ac:dyDescent="0.3">
      <c r="J1131"/>
      <c r="K1131" s="59"/>
      <c r="L1131" s="59"/>
      <c r="M1131" s="59"/>
      <c r="N1131" s="59"/>
      <c r="O1131" s="59"/>
    </row>
    <row r="1132" spans="10:15" x14ac:dyDescent="0.3">
      <c r="J1132"/>
      <c r="K1132" s="59"/>
      <c r="L1132" s="59"/>
      <c r="M1132" s="59"/>
      <c r="N1132" s="59"/>
      <c r="O1132" s="59"/>
    </row>
    <row r="1133" spans="10:15" x14ac:dyDescent="0.3">
      <c r="J1133"/>
      <c r="K1133" s="59"/>
      <c r="L1133" s="59"/>
      <c r="M1133" s="59"/>
      <c r="N1133" s="59"/>
      <c r="O1133" s="59"/>
    </row>
    <row r="1134" spans="10:15" x14ac:dyDescent="0.3">
      <c r="J1134"/>
      <c r="K1134" s="59"/>
      <c r="L1134" s="59"/>
      <c r="M1134" s="59"/>
      <c r="N1134" s="59"/>
      <c r="O1134" s="59"/>
    </row>
    <row r="1135" spans="10:15" x14ac:dyDescent="0.3">
      <c r="J1135"/>
      <c r="K1135" s="59"/>
      <c r="L1135" s="59"/>
      <c r="M1135" s="59"/>
      <c r="N1135" s="59"/>
      <c r="O1135" s="59"/>
    </row>
    <row r="1136" spans="10:15" x14ac:dyDescent="0.3">
      <c r="J1136"/>
      <c r="K1136" s="59"/>
      <c r="L1136" s="59"/>
      <c r="M1136" s="59"/>
      <c r="N1136" s="59"/>
      <c r="O1136" s="59"/>
    </row>
    <row r="1137" spans="10:15" x14ac:dyDescent="0.3">
      <c r="J1137"/>
      <c r="K1137" s="59"/>
      <c r="L1137" s="59"/>
      <c r="M1137" s="59"/>
      <c r="N1137" s="59"/>
      <c r="O1137" s="59"/>
    </row>
    <row r="1138" spans="10:15" x14ac:dyDescent="0.3">
      <c r="J1138"/>
      <c r="K1138" s="59"/>
      <c r="L1138" s="59"/>
      <c r="M1138" s="59"/>
      <c r="N1138" s="59"/>
      <c r="O1138" s="59"/>
    </row>
    <row r="1139" spans="10:15" x14ac:dyDescent="0.3">
      <c r="J1139"/>
      <c r="K1139" s="59"/>
      <c r="L1139" s="59"/>
      <c r="M1139" s="59"/>
      <c r="N1139" s="59"/>
      <c r="O1139" s="59"/>
    </row>
    <row r="1140" spans="10:15" x14ac:dyDescent="0.3">
      <c r="J1140"/>
      <c r="K1140" s="59"/>
      <c r="L1140" s="59"/>
      <c r="M1140" s="59"/>
      <c r="N1140" s="59"/>
      <c r="O1140" s="59"/>
    </row>
    <row r="1141" spans="10:15" x14ac:dyDescent="0.3">
      <c r="J1141"/>
      <c r="K1141" s="59"/>
      <c r="L1141" s="59"/>
      <c r="M1141" s="59"/>
      <c r="N1141" s="59"/>
      <c r="O1141" s="59"/>
    </row>
    <row r="1142" spans="10:15" x14ac:dyDescent="0.3">
      <c r="J1142"/>
      <c r="K1142" s="59"/>
      <c r="L1142" s="59"/>
      <c r="M1142" s="59"/>
      <c r="N1142" s="59"/>
      <c r="O1142" s="59"/>
    </row>
    <row r="1143" spans="10:15" x14ac:dyDescent="0.3">
      <c r="J1143"/>
      <c r="K1143" s="59"/>
      <c r="L1143" s="59"/>
      <c r="M1143" s="59"/>
      <c r="N1143" s="59"/>
      <c r="O1143" s="59"/>
    </row>
    <row r="1144" spans="10:15" x14ac:dyDescent="0.3">
      <c r="J1144"/>
      <c r="K1144" s="59"/>
      <c r="L1144" s="59"/>
      <c r="M1144" s="59"/>
      <c r="N1144" s="59"/>
      <c r="O1144" s="59"/>
    </row>
    <row r="1145" spans="10:15" x14ac:dyDescent="0.3">
      <c r="J1145"/>
      <c r="K1145" s="59"/>
      <c r="L1145" s="59"/>
      <c r="M1145" s="59"/>
      <c r="N1145" s="59"/>
      <c r="O1145" s="59"/>
    </row>
    <row r="1146" spans="10:15" x14ac:dyDescent="0.3">
      <c r="J1146"/>
      <c r="K1146" s="59"/>
      <c r="L1146" s="59"/>
      <c r="M1146" s="59"/>
      <c r="N1146" s="59"/>
      <c r="O1146" s="59"/>
    </row>
    <row r="1147" spans="10:15" x14ac:dyDescent="0.3">
      <c r="J1147"/>
      <c r="K1147" s="59"/>
      <c r="L1147" s="59"/>
      <c r="M1147" s="59"/>
      <c r="N1147" s="59"/>
      <c r="O1147" s="59"/>
    </row>
    <row r="1148" spans="10:15" x14ac:dyDescent="0.3">
      <c r="J1148"/>
      <c r="K1148" s="59"/>
      <c r="L1148" s="59"/>
      <c r="M1148" s="59"/>
      <c r="N1148" s="59"/>
      <c r="O1148" s="59"/>
    </row>
    <row r="1149" spans="10:15" x14ac:dyDescent="0.3">
      <c r="J1149"/>
      <c r="K1149" s="59"/>
      <c r="L1149" s="59"/>
      <c r="M1149" s="59"/>
      <c r="N1149" s="59"/>
      <c r="O1149" s="59"/>
    </row>
    <row r="1150" spans="10:15" x14ac:dyDescent="0.3">
      <c r="J1150"/>
      <c r="K1150" s="59"/>
      <c r="L1150" s="59"/>
      <c r="M1150" s="59"/>
      <c r="N1150" s="59"/>
      <c r="O1150" s="59"/>
    </row>
    <row r="1151" spans="10:15" x14ac:dyDescent="0.3">
      <c r="J1151"/>
      <c r="K1151" s="59"/>
      <c r="L1151" s="59"/>
      <c r="M1151" s="59"/>
      <c r="N1151" s="59"/>
      <c r="O1151" s="59"/>
    </row>
    <row r="1152" spans="10:15" x14ac:dyDescent="0.3">
      <c r="J1152"/>
      <c r="K1152" s="59"/>
      <c r="L1152" s="59"/>
      <c r="M1152" s="59"/>
      <c r="N1152" s="59"/>
      <c r="O1152" s="59"/>
    </row>
    <row r="1153" spans="10:15" x14ac:dyDescent="0.3">
      <c r="J1153"/>
      <c r="K1153" s="59"/>
      <c r="L1153" s="59"/>
      <c r="M1153" s="59"/>
      <c r="N1153" s="59"/>
      <c r="O1153" s="59"/>
    </row>
    <row r="1154" spans="10:15" x14ac:dyDescent="0.3">
      <c r="J1154"/>
      <c r="K1154" s="59"/>
      <c r="L1154" s="59"/>
      <c r="M1154" s="59"/>
      <c r="N1154" s="59"/>
      <c r="O1154" s="59"/>
    </row>
    <row r="1155" spans="10:15" x14ac:dyDescent="0.3">
      <c r="J1155"/>
      <c r="K1155" s="59"/>
      <c r="L1155" s="59"/>
      <c r="M1155" s="59"/>
      <c r="N1155" s="59"/>
      <c r="O1155" s="59"/>
    </row>
    <row r="1156" spans="10:15" x14ac:dyDescent="0.3">
      <c r="J1156"/>
      <c r="K1156" s="59"/>
      <c r="L1156" s="59"/>
      <c r="M1156" s="59"/>
      <c r="N1156" s="59"/>
      <c r="O1156" s="59"/>
    </row>
    <row r="1157" spans="10:15" x14ac:dyDescent="0.3">
      <c r="J1157"/>
      <c r="K1157" s="59"/>
      <c r="L1157" s="59"/>
      <c r="M1157" s="59"/>
      <c r="N1157" s="59"/>
      <c r="O1157" s="59"/>
    </row>
    <row r="1158" spans="10:15" x14ac:dyDescent="0.3">
      <c r="J1158"/>
      <c r="K1158" s="59"/>
      <c r="L1158" s="59"/>
      <c r="M1158" s="59"/>
      <c r="N1158" s="59"/>
      <c r="O1158" s="59"/>
    </row>
    <row r="1159" spans="10:15" x14ac:dyDescent="0.3">
      <c r="J1159"/>
      <c r="K1159" s="59"/>
      <c r="L1159" s="59"/>
      <c r="M1159" s="59"/>
      <c r="N1159" s="59"/>
      <c r="O1159" s="59"/>
    </row>
    <row r="1160" spans="10:15" x14ac:dyDescent="0.3">
      <c r="J1160"/>
      <c r="K1160" s="59"/>
      <c r="L1160" s="59"/>
      <c r="M1160" s="59"/>
      <c r="N1160" s="59"/>
      <c r="O1160" s="59"/>
    </row>
    <row r="1161" spans="10:15" x14ac:dyDescent="0.3">
      <c r="J1161"/>
      <c r="K1161" s="59"/>
      <c r="L1161" s="59"/>
      <c r="M1161" s="59"/>
      <c r="N1161" s="59"/>
      <c r="O1161" s="59"/>
    </row>
    <row r="1162" spans="10:15" x14ac:dyDescent="0.3">
      <c r="J1162"/>
      <c r="K1162" s="59"/>
      <c r="L1162" s="59"/>
      <c r="M1162" s="59"/>
      <c r="N1162" s="59"/>
      <c r="O1162" s="59"/>
    </row>
    <row r="1163" spans="10:15" x14ac:dyDescent="0.3">
      <c r="J1163"/>
      <c r="K1163" s="59"/>
      <c r="L1163" s="59"/>
      <c r="M1163" s="59"/>
      <c r="N1163" s="59"/>
      <c r="O1163" s="59"/>
    </row>
    <row r="1164" spans="10:15" x14ac:dyDescent="0.3">
      <c r="J1164"/>
      <c r="K1164" s="59"/>
      <c r="L1164" s="59"/>
      <c r="M1164" s="59"/>
      <c r="N1164" s="59"/>
      <c r="O1164" s="59"/>
    </row>
    <row r="1165" spans="10:15" x14ac:dyDescent="0.3">
      <c r="J1165"/>
      <c r="K1165" s="59"/>
      <c r="L1165" s="59"/>
      <c r="M1165" s="59"/>
      <c r="N1165" s="59"/>
      <c r="O1165" s="59"/>
    </row>
    <row r="1166" spans="10:15" x14ac:dyDescent="0.3">
      <c r="J1166"/>
      <c r="K1166" s="59"/>
      <c r="L1166" s="59"/>
      <c r="M1166" s="59"/>
      <c r="N1166" s="59"/>
      <c r="O1166" s="59"/>
    </row>
    <row r="1167" spans="10:15" x14ac:dyDescent="0.3">
      <c r="J1167"/>
      <c r="K1167" s="59"/>
      <c r="L1167" s="59"/>
      <c r="M1167" s="59"/>
      <c r="N1167" s="59"/>
      <c r="O1167" s="59"/>
    </row>
    <row r="1168" spans="10:15" x14ac:dyDescent="0.3">
      <c r="J1168"/>
      <c r="K1168" s="59"/>
      <c r="L1168" s="59"/>
      <c r="M1168" s="59"/>
      <c r="N1168" s="59"/>
      <c r="O1168" s="59"/>
    </row>
    <row r="1169" spans="10:15" x14ac:dyDescent="0.3">
      <c r="J1169"/>
      <c r="K1169" s="59"/>
      <c r="L1169" s="59"/>
      <c r="M1169" s="59"/>
      <c r="N1169" s="59"/>
      <c r="O1169" s="59"/>
    </row>
    <row r="1170" spans="10:15" x14ac:dyDescent="0.3">
      <c r="J1170"/>
      <c r="K1170" s="59"/>
      <c r="L1170" s="59"/>
      <c r="M1170" s="59"/>
      <c r="N1170" s="59"/>
      <c r="O1170" s="59"/>
    </row>
    <row r="1171" spans="10:15" x14ac:dyDescent="0.3">
      <c r="J1171"/>
      <c r="K1171" s="59"/>
      <c r="L1171" s="59"/>
      <c r="M1171" s="59"/>
      <c r="N1171" s="59"/>
      <c r="O1171" s="59"/>
    </row>
    <row r="1172" spans="10:15" x14ac:dyDescent="0.3">
      <c r="J1172"/>
      <c r="K1172" s="59"/>
      <c r="L1172" s="59"/>
      <c r="M1172" s="59"/>
      <c r="N1172" s="59"/>
      <c r="O1172" s="59"/>
    </row>
    <row r="1173" spans="10:15" x14ac:dyDescent="0.3">
      <c r="J1173"/>
      <c r="K1173" s="59"/>
      <c r="L1173" s="59"/>
      <c r="M1173" s="59"/>
      <c r="N1173" s="59"/>
      <c r="O1173" s="59"/>
    </row>
    <row r="1174" spans="10:15" x14ac:dyDescent="0.3">
      <c r="J1174"/>
      <c r="K1174" s="59"/>
      <c r="L1174" s="59"/>
      <c r="M1174" s="59"/>
      <c r="N1174" s="59"/>
      <c r="O1174" s="59"/>
    </row>
    <row r="1175" spans="10:15" x14ac:dyDescent="0.3">
      <c r="J1175"/>
      <c r="K1175" s="59"/>
      <c r="L1175" s="59"/>
      <c r="M1175" s="59"/>
      <c r="N1175" s="59"/>
      <c r="O1175" s="59"/>
    </row>
    <row r="1176" spans="10:15" x14ac:dyDescent="0.3">
      <c r="J1176"/>
      <c r="K1176" s="59"/>
      <c r="L1176" s="59"/>
      <c r="M1176" s="59"/>
      <c r="N1176" s="59"/>
      <c r="O1176" s="59"/>
    </row>
    <row r="1177" spans="10:15" x14ac:dyDescent="0.3">
      <c r="J1177"/>
      <c r="K1177" s="59"/>
      <c r="L1177" s="59"/>
      <c r="M1177" s="59"/>
      <c r="N1177" s="59"/>
      <c r="O1177" s="59"/>
    </row>
    <row r="1178" spans="10:15" x14ac:dyDescent="0.3">
      <c r="J1178"/>
      <c r="K1178" s="59"/>
      <c r="L1178" s="59"/>
      <c r="M1178" s="59"/>
      <c r="N1178" s="59"/>
      <c r="O1178" s="59"/>
    </row>
    <row r="1179" spans="10:15" x14ac:dyDescent="0.3">
      <c r="J1179"/>
      <c r="K1179" s="59"/>
      <c r="L1179" s="59"/>
      <c r="M1179" s="59"/>
      <c r="N1179" s="59"/>
      <c r="O1179" s="59"/>
    </row>
    <row r="1180" spans="10:15" x14ac:dyDescent="0.3">
      <c r="J1180"/>
      <c r="K1180" s="59"/>
      <c r="L1180" s="59"/>
      <c r="M1180" s="59"/>
      <c r="N1180" s="59"/>
      <c r="O1180" s="59"/>
    </row>
    <row r="1181" spans="10:15" x14ac:dyDescent="0.3">
      <c r="J1181"/>
      <c r="K1181" s="59"/>
      <c r="L1181" s="59"/>
      <c r="M1181" s="59"/>
      <c r="N1181" s="59"/>
      <c r="O1181" s="59"/>
    </row>
    <row r="1182" spans="10:15" x14ac:dyDescent="0.3">
      <c r="J1182"/>
      <c r="K1182" s="59"/>
      <c r="L1182" s="59"/>
      <c r="M1182" s="59"/>
      <c r="N1182" s="59"/>
      <c r="O1182" s="59"/>
    </row>
    <row r="1183" spans="10:15" x14ac:dyDescent="0.3">
      <c r="J1183"/>
      <c r="K1183" s="59"/>
      <c r="L1183" s="59"/>
      <c r="M1183" s="59"/>
      <c r="N1183" s="59"/>
      <c r="O1183" s="59"/>
    </row>
    <row r="1184" spans="10:15" x14ac:dyDescent="0.3">
      <c r="J1184"/>
      <c r="K1184" s="59"/>
      <c r="L1184" s="59"/>
      <c r="M1184" s="59"/>
      <c r="N1184" s="59"/>
      <c r="O1184" s="59"/>
    </row>
    <row r="1185" spans="10:15" x14ac:dyDescent="0.3">
      <c r="J1185"/>
      <c r="K1185" s="59"/>
      <c r="L1185" s="59"/>
      <c r="M1185" s="59"/>
      <c r="N1185" s="59"/>
      <c r="O1185" s="59"/>
    </row>
    <row r="1186" spans="10:15" x14ac:dyDescent="0.3">
      <c r="J1186"/>
      <c r="K1186" s="59"/>
      <c r="L1186" s="59"/>
      <c r="M1186" s="59"/>
      <c r="N1186" s="59"/>
      <c r="O1186" s="59"/>
    </row>
    <row r="1187" spans="10:15" x14ac:dyDescent="0.3">
      <c r="J1187"/>
      <c r="K1187" s="59"/>
      <c r="L1187" s="59"/>
      <c r="M1187" s="59"/>
      <c r="N1187" s="59"/>
      <c r="O1187" s="59"/>
    </row>
    <row r="1188" spans="10:15" x14ac:dyDescent="0.3">
      <c r="J1188"/>
      <c r="K1188" s="59"/>
      <c r="L1188" s="59"/>
      <c r="M1188" s="59"/>
      <c r="N1188" s="59"/>
      <c r="O1188" s="59"/>
    </row>
    <row r="1189" spans="10:15" x14ac:dyDescent="0.3">
      <c r="J1189"/>
      <c r="K1189" s="59"/>
      <c r="L1189" s="59"/>
      <c r="M1189" s="59"/>
      <c r="N1189" s="59"/>
      <c r="O1189" s="59"/>
    </row>
    <row r="1190" spans="10:15" x14ac:dyDescent="0.3">
      <c r="J1190"/>
      <c r="K1190" s="59"/>
      <c r="L1190" s="59"/>
      <c r="M1190" s="59"/>
      <c r="N1190" s="59"/>
      <c r="O1190" s="59"/>
    </row>
    <row r="1191" spans="10:15" x14ac:dyDescent="0.3">
      <c r="J1191"/>
      <c r="K1191" s="59"/>
      <c r="L1191" s="59"/>
      <c r="M1191" s="59"/>
      <c r="N1191" s="59"/>
      <c r="O1191" s="59"/>
    </row>
    <row r="1192" spans="10:15" x14ac:dyDescent="0.3">
      <c r="J1192"/>
      <c r="K1192" s="59"/>
      <c r="L1192" s="59"/>
      <c r="M1192" s="59"/>
      <c r="N1192" s="59"/>
      <c r="O1192" s="59"/>
    </row>
    <row r="1193" spans="10:15" x14ac:dyDescent="0.3">
      <c r="J1193"/>
      <c r="K1193" s="59"/>
      <c r="L1193" s="59"/>
      <c r="M1193" s="59"/>
      <c r="N1193" s="59"/>
      <c r="O1193" s="59"/>
    </row>
    <row r="1194" spans="10:15" x14ac:dyDescent="0.3">
      <c r="J1194"/>
      <c r="K1194" s="59"/>
      <c r="L1194" s="59"/>
      <c r="M1194" s="59"/>
      <c r="N1194" s="59"/>
      <c r="O1194" s="59"/>
    </row>
    <row r="1195" spans="10:15" x14ac:dyDescent="0.3">
      <c r="J1195"/>
      <c r="K1195" s="59"/>
      <c r="L1195" s="59"/>
      <c r="M1195" s="59"/>
      <c r="N1195" s="59"/>
      <c r="O1195" s="59"/>
    </row>
    <row r="1196" spans="10:15" x14ac:dyDescent="0.3">
      <c r="J1196"/>
      <c r="K1196" s="59"/>
      <c r="L1196" s="59"/>
      <c r="M1196" s="59"/>
      <c r="N1196" s="59"/>
      <c r="O1196" s="59"/>
    </row>
    <row r="1197" spans="10:15" x14ac:dyDescent="0.3">
      <c r="J1197"/>
      <c r="K1197" s="59"/>
      <c r="L1197" s="59"/>
      <c r="M1197" s="59"/>
      <c r="N1197" s="59"/>
      <c r="O1197" s="59"/>
    </row>
    <row r="1198" spans="10:15" x14ac:dyDescent="0.3">
      <c r="J1198"/>
      <c r="K1198" s="59"/>
      <c r="L1198" s="59"/>
      <c r="M1198" s="59"/>
      <c r="N1198" s="59"/>
      <c r="O1198" s="59"/>
    </row>
    <row r="1199" spans="10:15" x14ac:dyDescent="0.3">
      <c r="J1199"/>
      <c r="K1199" s="59"/>
      <c r="L1199" s="59"/>
      <c r="M1199" s="59"/>
      <c r="N1199" s="59"/>
      <c r="O1199" s="59"/>
    </row>
    <row r="1200" spans="10:15" x14ac:dyDescent="0.3">
      <c r="J1200"/>
      <c r="K1200" s="59"/>
      <c r="L1200" s="59"/>
      <c r="M1200" s="59"/>
      <c r="N1200" s="59"/>
      <c r="O1200" s="59"/>
    </row>
    <row r="1201" spans="10:15" x14ac:dyDescent="0.3">
      <c r="J1201"/>
      <c r="K1201" s="59"/>
      <c r="L1201" s="59"/>
      <c r="M1201" s="59"/>
      <c r="N1201" s="59"/>
      <c r="O1201" s="59"/>
    </row>
    <row r="1202" spans="10:15" x14ac:dyDescent="0.3">
      <c r="J1202"/>
      <c r="K1202" s="59"/>
      <c r="L1202" s="59"/>
      <c r="M1202" s="59"/>
      <c r="N1202" s="59"/>
      <c r="O1202" s="59"/>
    </row>
    <row r="1203" spans="10:15" x14ac:dyDescent="0.3">
      <c r="J1203"/>
      <c r="K1203" s="59"/>
      <c r="L1203" s="59"/>
      <c r="M1203" s="59"/>
      <c r="N1203" s="59"/>
      <c r="O1203" s="59"/>
    </row>
    <row r="1204" spans="10:15" x14ac:dyDescent="0.3">
      <c r="J1204"/>
      <c r="K1204" s="59"/>
      <c r="L1204" s="59"/>
      <c r="M1204" s="59"/>
      <c r="N1204" s="59"/>
      <c r="O1204" s="59"/>
    </row>
    <row r="1205" spans="10:15" x14ac:dyDescent="0.3">
      <c r="J1205"/>
      <c r="K1205" s="59"/>
      <c r="L1205" s="59"/>
      <c r="M1205" s="59"/>
      <c r="N1205" s="59"/>
      <c r="O1205" s="59"/>
    </row>
    <row r="1206" spans="10:15" x14ac:dyDescent="0.3">
      <c r="J1206"/>
      <c r="K1206" s="59"/>
      <c r="L1206" s="59"/>
      <c r="M1206" s="59"/>
      <c r="N1206" s="59"/>
      <c r="O1206" s="59"/>
    </row>
    <row r="1207" spans="10:15" x14ac:dyDescent="0.3">
      <c r="J1207"/>
      <c r="K1207" s="59"/>
      <c r="L1207" s="59"/>
      <c r="M1207" s="59"/>
      <c r="N1207" s="59"/>
      <c r="O1207" s="59"/>
    </row>
    <row r="1208" spans="10:15" x14ac:dyDescent="0.3">
      <c r="J1208"/>
      <c r="K1208" s="59"/>
      <c r="L1208" s="59"/>
      <c r="M1208" s="59"/>
      <c r="N1208" s="59"/>
      <c r="O1208" s="59"/>
    </row>
    <row r="1209" spans="10:15" x14ac:dyDescent="0.3">
      <c r="J1209"/>
      <c r="K1209" s="59"/>
      <c r="L1209" s="59"/>
      <c r="M1209" s="59"/>
      <c r="N1209" s="59"/>
      <c r="O1209" s="59"/>
    </row>
    <row r="1210" spans="10:15" x14ac:dyDescent="0.3">
      <c r="J1210"/>
      <c r="K1210" s="59"/>
      <c r="L1210" s="59"/>
      <c r="M1210" s="59"/>
      <c r="N1210" s="59"/>
      <c r="O1210" s="59"/>
    </row>
    <row r="1211" spans="10:15" x14ac:dyDescent="0.3">
      <c r="J1211"/>
      <c r="K1211" s="59"/>
      <c r="L1211" s="59"/>
      <c r="M1211" s="59"/>
      <c r="N1211" s="59"/>
      <c r="O1211" s="59"/>
    </row>
    <row r="1212" spans="10:15" x14ac:dyDescent="0.3">
      <c r="J1212"/>
      <c r="K1212" s="59"/>
      <c r="L1212" s="59"/>
      <c r="M1212" s="59"/>
      <c r="N1212" s="59"/>
      <c r="O1212" s="59"/>
    </row>
    <row r="1213" spans="10:15" x14ac:dyDescent="0.3">
      <c r="J1213"/>
      <c r="K1213" s="59"/>
      <c r="L1213" s="59"/>
      <c r="M1213" s="59"/>
      <c r="N1213" s="59"/>
      <c r="O1213" s="59"/>
    </row>
    <row r="1214" spans="10:15" x14ac:dyDescent="0.3">
      <c r="J1214"/>
      <c r="K1214" s="59"/>
      <c r="L1214" s="59"/>
      <c r="M1214" s="59"/>
      <c r="N1214" s="59"/>
      <c r="O1214" s="59"/>
    </row>
    <row r="1215" spans="10:15" x14ac:dyDescent="0.3">
      <c r="J1215"/>
      <c r="K1215" s="59"/>
      <c r="L1215" s="59"/>
      <c r="M1215" s="59"/>
      <c r="N1215" s="59"/>
      <c r="O1215" s="59"/>
    </row>
    <row r="1216" spans="10:15" x14ac:dyDescent="0.3">
      <c r="J1216"/>
      <c r="K1216" s="59"/>
      <c r="L1216" s="59"/>
      <c r="M1216" s="59"/>
      <c r="N1216" s="59"/>
      <c r="O1216" s="59"/>
    </row>
    <row r="1217" spans="10:15" x14ac:dyDescent="0.3">
      <c r="J1217"/>
      <c r="K1217" s="59"/>
      <c r="L1217" s="59"/>
      <c r="M1217" s="59"/>
      <c r="N1217" s="59"/>
      <c r="O1217" s="59"/>
    </row>
    <row r="1218" spans="10:15" x14ac:dyDescent="0.3">
      <c r="J1218"/>
      <c r="K1218" s="59"/>
      <c r="L1218" s="59"/>
      <c r="M1218" s="59"/>
      <c r="N1218" s="59"/>
      <c r="O1218" s="59"/>
    </row>
    <row r="1219" spans="10:15" x14ac:dyDescent="0.3">
      <c r="J1219"/>
      <c r="K1219" s="59"/>
      <c r="L1219" s="59"/>
      <c r="M1219" s="59"/>
      <c r="N1219" s="59"/>
      <c r="O1219" s="59"/>
    </row>
    <row r="1220" spans="10:15" x14ac:dyDescent="0.3">
      <c r="J1220"/>
      <c r="K1220" s="59"/>
      <c r="L1220" s="59"/>
      <c r="M1220" s="59"/>
      <c r="N1220" s="59"/>
      <c r="O1220" s="59"/>
    </row>
    <row r="1221" spans="10:15" x14ac:dyDescent="0.3">
      <c r="J1221"/>
      <c r="K1221" s="59"/>
      <c r="L1221" s="59"/>
      <c r="M1221" s="59"/>
      <c r="N1221" s="59"/>
      <c r="O1221" s="59"/>
    </row>
    <row r="1222" spans="10:15" x14ac:dyDescent="0.3">
      <c r="J1222"/>
      <c r="K1222" s="59"/>
      <c r="L1222" s="59"/>
      <c r="M1222" s="59"/>
      <c r="N1222" s="59"/>
      <c r="O1222" s="59"/>
    </row>
    <row r="1223" spans="10:15" x14ac:dyDescent="0.3">
      <c r="J1223"/>
      <c r="K1223" s="59"/>
      <c r="L1223" s="59"/>
      <c r="M1223" s="59"/>
      <c r="N1223" s="59"/>
      <c r="O1223" s="59"/>
    </row>
    <row r="1224" spans="10:15" x14ac:dyDescent="0.3">
      <c r="J1224"/>
      <c r="K1224" s="59"/>
      <c r="L1224" s="59"/>
      <c r="M1224" s="59"/>
      <c r="N1224" s="59"/>
      <c r="O1224" s="59"/>
    </row>
    <row r="1225" spans="10:15" x14ac:dyDescent="0.3">
      <c r="J1225"/>
      <c r="K1225" s="59"/>
      <c r="L1225" s="59"/>
      <c r="M1225" s="59"/>
      <c r="N1225" s="59"/>
      <c r="O1225" s="59"/>
    </row>
    <row r="1226" spans="10:15" x14ac:dyDescent="0.3">
      <c r="J1226"/>
      <c r="K1226" s="59"/>
      <c r="L1226" s="59"/>
      <c r="M1226" s="59"/>
      <c r="N1226" s="59"/>
      <c r="O1226" s="59"/>
    </row>
    <row r="1227" spans="10:15" x14ac:dyDescent="0.3">
      <c r="J1227"/>
      <c r="K1227" s="59"/>
      <c r="L1227" s="59"/>
      <c r="M1227" s="59"/>
      <c r="N1227" s="59"/>
      <c r="O1227" s="59"/>
    </row>
    <row r="1228" spans="10:15" x14ac:dyDescent="0.3">
      <c r="J1228"/>
      <c r="K1228" s="59"/>
      <c r="L1228" s="59"/>
      <c r="M1228" s="59"/>
      <c r="N1228" s="59"/>
      <c r="O1228" s="59"/>
    </row>
    <row r="1229" spans="10:15" x14ac:dyDescent="0.3">
      <c r="J1229"/>
      <c r="K1229" s="59"/>
      <c r="L1229" s="59"/>
      <c r="M1229" s="59"/>
      <c r="N1229" s="59"/>
      <c r="O1229" s="59"/>
    </row>
    <row r="1230" spans="10:15" x14ac:dyDescent="0.3">
      <c r="J1230"/>
      <c r="K1230" s="59"/>
      <c r="L1230" s="59"/>
      <c r="M1230" s="59"/>
      <c r="N1230" s="59"/>
      <c r="O1230" s="59"/>
    </row>
    <row r="1231" spans="10:15" x14ac:dyDescent="0.3">
      <c r="J1231"/>
      <c r="K1231" s="59"/>
      <c r="L1231" s="59"/>
      <c r="M1231" s="59"/>
      <c r="N1231" s="59"/>
      <c r="O1231" s="59"/>
    </row>
    <row r="1232" spans="10:15" x14ac:dyDescent="0.3">
      <c r="J1232"/>
      <c r="K1232" s="59"/>
      <c r="L1232" s="59"/>
      <c r="M1232" s="59"/>
      <c r="N1232" s="59"/>
      <c r="O1232" s="59"/>
    </row>
    <row r="1233" spans="10:15" x14ac:dyDescent="0.3">
      <c r="J1233"/>
      <c r="K1233" s="59"/>
      <c r="L1233" s="59"/>
      <c r="M1233" s="59"/>
      <c r="N1233" s="59"/>
      <c r="O1233" s="59"/>
    </row>
    <row r="1234" spans="10:15" x14ac:dyDescent="0.3">
      <c r="J1234"/>
      <c r="K1234" s="59"/>
      <c r="L1234" s="59"/>
      <c r="M1234" s="59"/>
      <c r="N1234" s="59"/>
      <c r="O1234" s="59"/>
    </row>
    <row r="1235" spans="10:15" x14ac:dyDescent="0.3">
      <c r="J1235"/>
      <c r="K1235" s="59"/>
      <c r="L1235" s="59"/>
      <c r="M1235" s="59"/>
      <c r="N1235" s="59"/>
      <c r="O1235" s="59"/>
    </row>
    <row r="1236" spans="10:15" x14ac:dyDescent="0.3">
      <c r="J1236"/>
      <c r="K1236" s="59"/>
      <c r="L1236" s="59"/>
      <c r="M1236" s="59"/>
      <c r="N1236" s="59"/>
      <c r="O1236" s="59"/>
    </row>
    <row r="1237" spans="10:15" x14ac:dyDescent="0.3">
      <c r="J1237"/>
      <c r="K1237" s="59"/>
      <c r="L1237" s="59"/>
      <c r="M1237" s="59"/>
      <c r="N1237" s="59"/>
      <c r="O1237" s="59"/>
    </row>
    <row r="1238" spans="10:15" x14ac:dyDescent="0.3">
      <c r="J1238"/>
      <c r="K1238" s="59"/>
      <c r="L1238" s="59"/>
      <c r="M1238" s="59"/>
      <c r="N1238" s="59"/>
      <c r="O1238" s="59"/>
    </row>
    <row r="1239" spans="10:15" x14ac:dyDescent="0.3">
      <c r="J1239"/>
      <c r="K1239" s="59"/>
      <c r="L1239" s="59"/>
      <c r="M1239" s="59"/>
      <c r="N1239" s="59"/>
      <c r="O1239" s="59"/>
    </row>
    <row r="1240" spans="10:15" x14ac:dyDescent="0.3">
      <c r="J1240"/>
      <c r="K1240" s="59"/>
      <c r="L1240" s="59"/>
      <c r="M1240" s="59"/>
      <c r="N1240" s="59"/>
      <c r="O1240" s="59"/>
    </row>
    <row r="1241" spans="10:15" x14ac:dyDescent="0.3">
      <c r="J1241"/>
      <c r="K1241" s="59"/>
      <c r="L1241" s="59"/>
      <c r="M1241" s="59"/>
      <c r="N1241" s="59"/>
      <c r="O1241" s="59"/>
    </row>
    <row r="1242" spans="10:15" x14ac:dyDescent="0.3">
      <c r="J1242"/>
      <c r="K1242" s="59"/>
      <c r="L1242" s="59"/>
      <c r="M1242" s="59"/>
      <c r="N1242" s="59"/>
      <c r="O1242" s="59"/>
    </row>
    <row r="1243" spans="10:15" x14ac:dyDescent="0.3">
      <c r="J1243"/>
      <c r="K1243" s="59"/>
      <c r="L1243" s="59"/>
      <c r="M1243" s="59"/>
      <c r="N1243" s="59"/>
      <c r="O1243" s="59"/>
    </row>
    <row r="1244" spans="10:15" x14ac:dyDescent="0.3">
      <c r="J1244"/>
      <c r="K1244" s="59"/>
      <c r="L1244" s="59"/>
      <c r="M1244" s="59"/>
      <c r="N1244" s="59"/>
      <c r="O1244" s="59"/>
    </row>
    <row r="1245" spans="10:15" x14ac:dyDescent="0.3">
      <c r="J1245"/>
      <c r="K1245" s="59"/>
      <c r="L1245" s="59"/>
      <c r="M1245" s="59"/>
      <c r="N1245" s="59"/>
      <c r="O1245" s="59"/>
    </row>
    <row r="1246" spans="10:15" x14ac:dyDescent="0.3">
      <c r="J1246"/>
      <c r="K1246" s="59"/>
      <c r="L1246" s="59"/>
      <c r="M1246" s="59"/>
      <c r="N1246" s="59"/>
      <c r="O1246" s="59"/>
    </row>
    <row r="1247" spans="10:15" x14ac:dyDescent="0.3">
      <c r="J1247"/>
      <c r="K1247" s="59"/>
      <c r="L1247" s="59"/>
      <c r="M1247" s="59"/>
      <c r="N1247" s="59"/>
      <c r="O1247" s="59"/>
    </row>
    <row r="1248" spans="10:15" x14ac:dyDescent="0.3">
      <c r="J1248"/>
      <c r="K1248" s="59"/>
      <c r="L1248" s="59"/>
      <c r="M1248" s="59"/>
      <c r="N1248" s="59"/>
      <c r="O1248" s="59"/>
    </row>
    <row r="1249" spans="10:15" x14ac:dyDescent="0.3">
      <c r="J1249"/>
      <c r="K1249" s="59"/>
      <c r="L1249" s="59"/>
      <c r="M1249" s="59"/>
      <c r="N1249" s="59"/>
      <c r="O1249" s="59"/>
    </row>
    <row r="1250" spans="10:15" x14ac:dyDescent="0.3">
      <c r="J1250"/>
      <c r="K1250" s="59"/>
      <c r="L1250" s="59"/>
      <c r="M1250" s="59"/>
      <c r="N1250" s="59"/>
      <c r="O1250" s="59"/>
    </row>
    <row r="1251" spans="10:15" x14ac:dyDescent="0.3">
      <c r="J1251"/>
      <c r="K1251" s="59"/>
      <c r="L1251" s="59"/>
      <c r="M1251" s="59"/>
      <c r="N1251" s="59"/>
      <c r="O1251" s="59"/>
    </row>
    <row r="1252" spans="10:15" x14ac:dyDescent="0.3">
      <c r="J1252"/>
      <c r="K1252" s="59"/>
      <c r="L1252" s="59"/>
      <c r="M1252" s="59"/>
      <c r="N1252" s="59"/>
      <c r="O1252" s="59"/>
    </row>
    <row r="1253" spans="10:15" x14ac:dyDescent="0.3">
      <c r="J1253"/>
      <c r="K1253" s="59"/>
      <c r="L1253" s="59"/>
      <c r="M1253" s="59"/>
      <c r="N1253" s="59"/>
      <c r="O1253" s="59"/>
    </row>
    <row r="1254" spans="10:15" x14ac:dyDescent="0.3">
      <c r="J1254"/>
      <c r="K1254" s="59"/>
      <c r="L1254" s="59"/>
      <c r="M1254" s="59"/>
      <c r="N1254" s="59"/>
      <c r="O1254" s="59"/>
    </row>
    <row r="1255" spans="10:15" x14ac:dyDescent="0.3">
      <c r="J1255"/>
      <c r="K1255" s="59"/>
      <c r="L1255" s="59"/>
      <c r="M1255" s="59"/>
      <c r="N1255" s="59"/>
      <c r="O1255" s="59"/>
    </row>
    <row r="1256" spans="10:15" x14ac:dyDescent="0.3">
      <c r="J1256"/>
      <c r="K1256" s="59"/>
      <c r="L1256" s="59"/>
      <c r="M1256" s="59"/>
      <c r="N1256" s="59"/>
      <c r="O1256" s="59"/>
    </row>
    <row r="1257" spans="10:15" x14ac:dyDescent="0.3">
      <c r="J1257"/>
      <c r="K1257" s="59"/>
      <c r="L1257" s="59"/>
      <c r="M1257" s="59"/>
      <c r="N1257" s="59"/>
      <c r="O1257" s="59"/>
    </row>
    <row r="1258" spans="10:15" x14ac:dyDescent="0.3">
      <c r="J1258"/>
      <c r="K1258" s="59"/>
      <c r="L1258" s="59"/>
      <c r="M1258" s="59"/>
      <c r="N1258" s="59"/>
      <c r="O1258" s="59"/>
    </row>
    <row r="1259" spans="10:15" x14ac:dyDescent="0.3">
      <c r="J1259"/>
      <c r="K1259" s="59"/>
      <c r="L1259" s="59"/>
      <c r="M1259" s="59"/>
      <c r="N1259" s="59"/>
      <c r="O1259" s="59"/>
    </row>
    <row r="1260" spans="10:15" x14ac:dyDescent="0.3">
      <c r="J1260"/>
      <c r="K1260" s="59"/>
      <c r="L1260" s="59"/>
      <c r="M1260" s="59"/>
      <c r="N1260" s="59"/>
      <c r="O1260" s="59"/>
    </row>
    <row r="1261" spans="10:15" x14ac:dyDescent="0.3">
      <c r="J1261"/>
      <c r="K1261" s="59"/>
      <c r="L1261" s="59"/>
      <c r="M1261" s="59"/>
      <c r="N1261" s="59"/>
      <c r="O1261" s="59"/>
    </row>
    <row r="1262" spans="10:15" x14ac:dyDescent="0.3">
      <c r="J1262"/>
      <c r="K1262" s="59"/>
      <c r="L1262" s="59"/>
      <c r="M1262" s="59"/>
      <c r="N1262" s="59"/>
      <c r="O1262" s="59"/>
    </row>
    <row r="1263" spans="10:15" x14ac:dyDescent="0.3">
      <c r="J1263"/>
      <c r="K1263" s="59"/>
      <c r="L1263" s="59"/>
      <c r="M1263" s="59"/>
      <c r="N1263" s="59"/>
      <c r="O1263" s="59"/>
    </row>
    <row r="1264" spans="10:15" x14ac:dyDescent="0.3">
      <c r="J1264"/>
      <c r="K1264" s="59"/>
      <c r="L1264" s="59"/>
      <c r="M1264" s="59"/>
      <c r="N1264" s="59"/>
      <c r="O1264" s="59"/>
    </row>
    <row r="1265" spans="10:15" x14ac:dyDescent="0.3">
      <c r="J1265"/>
      <c r="K1265" s="59"/>
      <c r="L1265" s="59"/>
      <c r="M1265" s="59"/>
      <c r="N1265" s="59"/>
      <c r="O1265" s="59"/>
    </row>
    <row r="1266" spans="10:15" x14ac:dyDescent="0.3">
      <c r="J1266"/>
      <c r="K1266" s="59"/>
      <c r="L1266" s="59"/>
      <c r="M1266" s="59"/>
      <c r="N1266" s="59"/>
      <c r="O1266" s="59"/>
    </row>
    <row r="1267" spans="10:15" x14ac:dyDescent="0.3">
      <c r="J1267"/>
      <c r="K1267" s="59"/>
      <c r="L1267" s="59"/>
      <c r="M1267" s="59"/>
      <c r="N1267" s="59"/>
      <c r="O1267" s="59"/>
    </row>
    <row r="1268" spans="10:15" x14ac:dyDescent="0.3">
      <c r="J1268"/>
      <c r="K1268" s="59"/>
      <c r="L1268" s="59"/>
      <c r="M1268" s="59"/>
      <c r="N1268" s="59"/>
      <c r="O1268" s="59"/>
    </row>
    <row r="1269" spans="10:15" x14ac:dyDescent="0.3">
      <c r="J1269"/>
      <c r="K1269" s="59"/>
      <c r="L1269" s="59"/>
      <c r="M1269" s="59"/>
      <c r="N1269" s="59"/>
      <c r="O1269" s="59"/>
    </row>
    <row r="1270" spans="10:15" x14ac:dyDescent="0.3">
      <c r="J1270"/>
      <c r="K1270" s="59"/>
      <c r="L1270" s="59"/>
      <c r="M1270" s="59"/>
      <c r="N1270" s="59"/>
      <c r="O1270" s="59"/>
    </row>
    <row r="1271" spans="10:15" x14ac:dyDescent="0.3">
      <c r="J1271"/>
      <c r="K1271" s="59"/>
      <c r="L1271" s="59"/>
      <c r="M1271" s="59"/>
      <c r="N1271" s="59"/>
      <c r="O1271" s="59"/>
    </row>
    <row r="1272" spans="10:15" x14ac:dyDescent="0.3">
      <c r="J1272"/>
      <c r="K1272" s="59"/>
      <c r="L1272" s="59"/>
      <c r="M1272" s="59"/>
      <c r="N1272" s="59"/>
      <c r="O1272" s="59"/>
    </row>
    <row r="1273" spans="10:15" x14ac:dyDescent="0.3">
      <c r="J1273"/>
      <c r="K1273" s="59"/>
      <c r="L1273" s="59"/>
      <c r="M1273" s="59"/>
      <c r="N1273" s="59"/>
      <c r="O1273" s="59"/>
    </row>
    <row r="1274" spans="10:15" x14ac:dyDescent="0.3">
      <c r="J1274"/>
      <c r="K1274" s="59"/>
      <c r="L1274" s="59"/>
      <c r="M1274" s="59"/>
      <c r="N1274" s="59"/>
      <c r="O1274" s="59"/>
    </row>
    <row r="1275" spans="10:15" x14ac:dyDescent="0.3">
      <c r="J1275"/>
      <c r="K1275" s="59"/>
      <c r="L1275" s="59"/>
      <c r="M1275" s="59"/>
      <c r="N1275" s="59"/>
      <c r="O1275" s="59"/>
    </row>
    <row r="1276" spans="10:15" x14ac:dyDescent="0.3">
      <c r="J1276"/>
      <c r="K1276" s="59"/>
      <c r="L1276" s="59"/>
      <c r="M1276" s="59"/>
      <c r="N1276" s="59"/>
      <c r="O1276" s="59"/>
    </row>
    <row r="1277" spans="10:15" x14ac:dyDescent="0.3">
      <c r="J1277"/>
      <c r="K1277" s="59"/>
      <c r="L1277" s="59"/>
      <c r="M1277" s="59"/>
      <c r="N1277" s="59"/>
      <c r="O1277" s="59"/>
    </row>
    <row r="1278" spans="10:15" x14ac:dyDescent="0.3">
      <c r="J1278"/>
      <c r="K1278" s="59"/>
      <c r="L1278" s="59"/>
      <c r="M1278" s="59"/>
      <c r="N1278" s="59"/>
      <c r="O1278" s="59"/>
    </row>
    <row r="1279" spans="10:15" x14ac:dyDescent="0.3">
      <c r="J1279"/>
      <c r="K1279" s="59"/>
      <c r="L1279" s="59"/>
      <c r="M1279" s="59"/>
      <c r="N1279" s="59"/>
      <c r="O1279" s="59"/>
    </row>
    <row r="1280" spans="10:15" x14ac:dyDescent="0.3">
      <c r="J1280"/>
      <c r="K1280" s="59"/>
      <c r="L1280" s="59"/>
      <c r="M1280" s="59"/>
      <c r="N1280" s="59"/>
      <c r="O1280" s="59"/>
    </row>
    <row r="1281" spans="10:15" x14ac:dyDescent="0.3">
      <c r="J1281"/>
      <c r="K1281" s="59"/>
      <c r="L1281" s="59"/>
      <c r="M1281" s="59"/>
      <c r="N1281" s="59"/>
      <c r="O1281" s="59"/>
    </row>
    <row r="1282" spans="10:15" x14ac:dyDescent="0.3">
      <c r="J1282"/>
      <c r="K1282" s="59"/>
      <c r="L1282" s="59"/>
      <c r="M1282" s="59"/>
      <c r="N1282" s="59"/>
      <c r="O1282" s="59"/>
    </row>
    <row r="1283" spans="10:15" x14ac:dyDescent="0.3">
      <c r="J1283"/>
      <c r="K1283" s="59"/>
      <c r="L1283" s="59"/>
      <c r="M1283" s="59"/>
      <c r="N1283" s="59"/>
      <c r="O1283" s="59"/>
    </row>
    <row r="1284" spans="10:15" x14ac:dyDescent="0.3">
      <c r="J1284"/>
      <c r="K1284" s="59"/>
      <c r="L1284" s="59"/>
      <c r="M1284" s="59"/>
      <c r="N1284" s="59"/>
      <c r="O1284" s="59"/>
    </row>
    <row r="1285" spans="10:15" x14ac:dyDescent="0.3">
      <c r="J1285"/>
      <c r="K1285" s="59"/>
      <c r="L1285" s="59"/>
      <c r="M1285" s="59"/>
      <c r="N1285" s="59"/>
      <c r="O1285" s="59"/>
    </row>
    <row r="1286" spans="10:15" x14ac:dyDescent="0.3">
      <c r="J1286"/>
      <c r="K1286" s="59"/>
      <c r="L1286" s="59"/>
      <c r="M1286" s="59"/>
      <c r="N1286" s="59"/>
      <c r="O1286" s="59"/>
    </row>
    <row r="1287" spans="10:15" x14ac:dyDescent="0.3">
      <c r="J1287"/>
      <c r="K1287" s="59"/>
      <c r="L1287" s="59"/>
      <c r="M1287" s="59"/>
      <c r="N1287" s="59"/>
      <c r="O1287" s="59"/>
    </row>
    <row r="1288" spans="10:15" x14ac:dyDescent="0.3">
      <c r="J1288"/>
      <c r="K1288" s="59"/>
      <c r="L1288" s="59"/>
      <c r="M1288" s="59"/>
      <c r="N1288" s="59"/>
      <c r="O1288" s="59"/>
    </row>
    <row r="1289" spans="10:15" x14ac:dyDescent="0.3">
      <c r="J1289"/>
      <c r="K1289" s="59"/>
      <c r="L1289" s="59"/>
      <c r="M1289" s="59"/>
      <c r="N1289" s="59"/>
      <c r="O1289" s="59"/>
    </row>
    <row r="1290" spans="10:15" x14ac:dyDescent="0.3">
      <c r="J1290"/>
      <c r="K1290" s="59"/>
      <c r="L1290" s="59"/>
      <c r="M1290" s="59"/>
      <c r="N1290" s="59"/>
      <c r="O1290" s="59"/>
    </row>
    <row r="1291" spans="10:15" x14ac:dyDescent="0.3">
      <c r="J1291"/>
      <c r="K1291" s="59"/>
      <c r="L1291" s="59"/>
      <c r="M1291" s="59"/>
      <c r="N1291" s="59"/>
      <c r="O1291" s="59"/>
    </row>
    <row r="1292" spans="10:15" x14ac:dyDescent="0.3">
      <c r="J1292"/>
      <c r="K1292" s="59"/>
      <c r="L1292" s="59"/>
      <c r="M1292" s="59"/>
      <c r="N1292" s="59"/>
      <c r="O1292" s="59"/>
    </row>
    <row r="1293" spans="10:15" x14ac:dyDescent="0.3">
      <c r="J1293"/>
      <c r="K1293" s="59"/>
      <c r="L1293" s="59"/>
      <c r="M1293" s="59"/>
      <c r="N1293" s="59"/>
      <c r="O1293" s="59"/>
    </row>
    <row r="1294" spans="10:15" x14ac:dyDescent="0.3">
      <c r="J1294"/>
      <c r="K1294" s="59"/>
      <c r="L1294" s="59"/>
      <c r="M1294" s="59"/>
      <c r="N1294" s="59"/>
      <c r="O1294" s="59"/>
    </row>
    <row r="1295" spans="10:15" x14ac:dyDescent="0.3">
      <c r="J1295"/>
      <c r="K1295" s="59"/>
      <c r="L1295" s="59"/>
      <c r="M1295" s="59"/>
      <c r="N1295" s="59"/>
      <c r="O1295" s="59"/>
    </row>
    <row r="1296" spans="10:15" x14ac:dyDescent="0.3">
      <c r="J1296"/>
      <c r="K1296" s="59"/>
      <c r="L1296" s="59"/>
      <c r="M1296" s="59"/>
      <c r="N1296" s="59"/>
      <c r="O1296" s="59"/>
    </row>
    <row r="1297" spans="10:15" x14ac:dyDescent="0.3">
      <c r="J1297"/>
      <c r="K1297" s="59"/>
      <c r="L1297" s="59"/>
      <c r="M1297" s="59"/>
      <c r="N1297" s="59"/>
      <c r="O1297" s="59"/>
    </row>
    <row r="1298" spans="10:15" x14ac:dyDescent="0.3">
      <c r="J1298"/>
      <c r="K1298" s="59"/>
      <c r="L1298" s="59"/>
      <c r="M1298" s="59"/>
      <c r="N1298" s="59"/>
      <c r="O1298" s="59"/>
    </row>
    <row r="1299" spans="10:15" x14ac:dyDescent="0.3">
      <c r="J1299"/>
      <c r="K1299" s="59"/>
      <c r="L1299" s="59"/>
      <c r="M1299" s="59"/>
      <c r="N1299" s="59"/>
      <c r="O1299" s="59"/>
    </row>
    <row r="1300" spans="10:15" x14ac:dyDescent="0.3">
      <c r="J1300"/>
      <c r="K1300" s="59"/>
      <c r="L1300" s="59"/>
      <c r="M1300" s="59"/>
      <c r="N1300" s="59"/>
      <c r="O1300" s="59"/>
    </row>
    <row r="1301" spans="10:15" x14ac:dyDescent="0.3">
      <c r="J1301"/>
      <c r="K1301" s="59"/>
      <c r="L1301" s="59"/>
      <c r="M1301" s="59"/>
      <c r="N1301" s="59"/>
      <c r="O1301" s="59"/>
    </row>
    <row r="1302" spans="10:15" x14ac:dyDescent="0.3">
      <c r="J1302"/>
      <c r="K1302" s="59"/>
      <c r="L1302" s="59"/>
      <c r="M1302" s="59"/>
      <c r="N1302" s="59"/>
      <c r="O1302" s="59"/>
    </row>
    <row r="1303" spans="10:15" x14ac:dyDescent="0.3">
      <c r="J1303"/>
      <c r="K1303" s="59"/>
      <c r="L1303" s="59"/>
      <c r="M1303" s="59"/>
      <c r="N1303" s="59"/>
      <c r="O1303" s="59"/>
    </row>
    <row r="1304" spans="10:15" x14ac:dyDescent="0.3">
      <c r="J1304"/>
      <c r="K1304" s="59"/>
      <c r="L1304" s="59"/>
      <c r="M1304" s="59"/>
      <c r="N1304" s="59"/>
      <c r="O1304" s="59"/>
    </row>
    <row r="1305" spans="10:15" x14ac:dyDescent="0.3">
      <c r="J1305"/>
      <c r="K1305" s="59"/>
      <c r="L1305" s="59"/>
      <c r="M1305" s="59"/>
      <c r="N1305" s="59"/>
      <c r="O1305" s="59"/>
    </row>
    <row r="1306" spans="10:15" x14ac:dyDescent="0.3">
      <c r="J1306"/>
      <c r="K1306" s="59"/>
      <c r="L1306" s="59"/>
      <c r="M1306" s="59"/>
      <c r="N1306" s="59"/>
      <c r="O1306" s="59"/>
    </row>
    <row r="1307" spans="10:15" x14ac:dyDescent="0.3">
      <c r="J1307"/>
      <c r="K1307" s="59"/>
      <c r="L1307" s="59"/>
      <c r="M1307" s="59"/>
      <c r="N1307" s="59"/>
      <c r="O1307" s="59"/>
    </row>
    <row r="1308" spans="10:15" x14ac:dyDescent="0.3">
      <c r="J1308"/>
      <c r="K1308" s="59"/>
      <c r="L1308" s="59"/>
      <c r="M1308" s="59"/>
      <c r="N1308" s="59"/>
      <c r="O1308" s="59"/>
    </row>
    <row r="1309" spans="10:15" x14ac:dyDescent="0.3">
      <c r="J1309"/>
      <c r="K1309" s="59"/>
      <c r="L1309" s="59"/>
      <c r="M1309" s="59"/>
      <c r="N1309" s="59"/>
      <c r="O1309" s="59"/>
    </row>
    <row r="1310" spans="10:15" x14ac:dyDescent="0.3">
      <c r="J1310"/>
      <c r="K1310" s="59"/>
      <c r="L1310" s="59"/>
      <c r="M1310" s="59"/>
      <c r="N1310" s="59"/>
      <c r="O1310" s="59"/>
    </row>
    <row r="1311" spans="10:15" x14ac:dyDescent="0.3">
      <c r="J1311"/>
      <c r="K1311" s="59"/>
      <c r="L1311" s="59"/>
      <c r="M1311" s="59"/>
      <c r="N1311" s="59"/>
      <c r="O1311" s="59"/>
    </row>
    <row r="1312" spans="10:15" x14ac:dyDescent="0.3">
      <c r="J1312"/>
      <c r="K1312" s="59"/>
      <c r="L1312" s="59"/>
      <c r="M1312" s="59"/>
      <c r="N1312" s="59"/>
      <c r="O1312" s="59"/>
    </row>
    <row r="1313" spans="10:15" x14ac:dyDescent="0.3">
      <c r="J1313"/>
      <c r="K1313" s="59"/>
      <c r="L1313" s="59"/>
      <c r="M1313" s="59"/>
      <c r="N1313" s="59"/>
      <c r="O1313" s="59"/>
    </row>
    <row r="1314" spans="10:15" x14ac:dyDescent="0.3">
      <c r="J1314"/>
      <c r="K1314" s="59"/>
      <c r="L1314" s="59"/>
      <c r="M1314" s="59"/>
      <c r="N1314" s="59"/>
      <c r="O1314" s="59"/>
    </row>
    <row r="1315" spans="10:15" x14ac:dyDescent="0.3">
      <c r="J1315"/>
      <c r="K1315" s="59"/>
      <c r="L1315" s="59"/>
      <c r="M1315" s="59"/>
      <c r="N1315" s="59"/>
      <c r="O1315" s="59"/>
    </row>
    <row r="1316" spans="10:15" x14ac:dyDescent="0.3">
      <c r="J1316"/>
      <c r="K1316" s="59"/>
      <c r="L1316" s="59"/>
      <c r="M1316" s="59"/>
      <c r="N1316" s="59"/>
      <c r="O1316" s="59"/>
    </row>
    <row r="1317" spans="10:15" x14ac:dyDescent="0.3">
      <c r="J1317"/>
      <c r="K1317" s="59"/>
      <c r="L1317" s="59"/>
      <c r="M1317" s="59"/>
      <c r="N1317" s="59"/>
      <c r="O1317" s="59"/>
    </row>
    <row r="1318" spans="10:15" x14ac:dyDescent="0.3">
      <c r="J1318"/>
      <c r="K1318" s="59"/>
      <c r="L1318" s="59"/>
      <c r="M1318" s="59"/>
      <c r="N1318" s="59"/>
      <c r="O1318" s="59"/>
    </row>
    <row r="1319" spans="10:15" x14ac:dyDescent="0.3">
      <c r="J1319"/>
      <c r="K1319" s="59"/>
      <c r="L1319" s="59"/>
      <c r="M1319" s="59"/>
      <c r="N1319" s="59"/>
      <c r="O1319" s="59"/>
    </row>
    <row r="1320" spans="10:15" x14ac:dyDescent="0.3">
      <c r="J1320"/>
      <c r="K1320" s="59"/>
      <c r="L1320" s="59"/>
      <c r="M1320" s="59"/>
      <c r="N1320" s="59"/>
      <c r="O1320" s="59"/>
    </row>
    <row r="1321" spans="10:15" x14ac:dyDescent="0.3">
      <c r="J1321"/>
      <c r="K1321" s="59"/>
      <c r="L1321" s="59"/>
      <c r="M1321" s="59"/>
      <c r="N1321" s="59"/>
      <c r="O1321" s="59"/>
    </row>
    <row r="1322" spans="10:15" x14ac:dyDescent="0.3">
      <c r="J1322"/>
      <c r="K1322" s="59"/>
      <c r="L1322" s="59"/>
      <c r="M1322" s="59"/>
      <c r="N1322" s="59"/>
      <c r="O1322" s="59"/>
    </row>
    <row r="1323" spans="10:15" x14ac:dyDescent="0.3">
      <c r="J1323"/>
      <c r="K1323" s="59"/>
      <c r="L1323" s="59"/>
      <c r="M1323" s="59"/>
      <c r="N1323" s="59"/>
      <c r="O1323" s="59"/>
    </row>
    <row r="1324" spans="10:15" x14ac:dyDescent="0.3">
      <c r="J1324"/>
      <c r="K1324" s="59"/>
      <c r="L1324" s="59"/>
      <c r="M1324" s="59"/>
      <c r="N1324" s="59"/>
      <c r="O1324" s="59"/>
    </row>
    <row r="1325" spans="10:15" x14ac:dyDescent="0.3">
      <c r="J1325"/>
      <c r="K1325" s="59"/>
      <c r="L1325" s="59"/>
      <c r="M1325" s="59"/>
      <c r="N1325" s="59"/>
      <c r="O1325" s="59"/>
    </row>
    <row r="1326" spans="10:15" x14ac:dyDescent="0.3">
      <c r="J1326"/>
      <c r="K1326" s="59"/>
      <c r="L1326" s="59"/>
      <c r="M1326" s="59"/>
      <c r="N1326" s="59"/>
      <c r="O1326" s="59"/>
    </row>
    <row r="1327" spans="10:15" x14ac:dyDescent="0.3">
      <c r="J1327"/>
      <c r="K1327" s="59"/>
      <c r="L1327" s="59"/>
      <c r="M1327" s="59"/>
      <c r="N1327" s="59"/>
      <c r="O1327" s="59"/>
    </row>
    <row r="1328" spans="10:15" x14ac:dyDescent="0.3">
      <c r="J1328"/>
      <c r="K1328" s="59"/>
      <c r="L1328" s="59"/>
      <c r="M1328" s="59"/>
      <c r="N1328" s="59"/>
      <c r="O1328" s="59"/>
    </row>
    <row r="1329" spans="10:15" x14ac:dyDescent="0.3">
      <c r="J1329"/>
      <c r="K1329" s="59"/>
      <c r="L1329" s="59"/>
      <c r="M1329" s="59"/>
      <c r="N1329" s="59"/>
      <c r="O1329" s="59"/>
    </row>
    <row r="1330" spans="10:15" x14ac:dyDescent="0.3">
      <c r="J1330"/>
      <c r="K1330" s="59"/>
      <c r="L1330" s="59"/>
      <c r="M1330" s="59"/>
      <c r="N1330" s="59"/>
      <c r="O1330" s="59"/>
    </row>
    <row r="1331" spans="10:15" x14ac:dyDescent="0.3">
      <c r="J1331"/>
      <c r="K1331" s="59"/>
      <c r="L1331" s="59"/>
      <c r="M1331" s="59"/>
      <c r="N1331" s="59"/>
      <c r="O1331" s="59"/>
    </row>
    <row r="1332" spans="10:15" x14ac:dyDescent="0.3">
      <c r="J1332"/>
      <c r="K1332" s="59"/>
      <c r="L1332" s="59"/>
      <c r="M1332" s="59"/>
      <c r="N1332" s="59"/>
      <c r="O1332" s="59"/>
    </row>
    <row r="1333" spans="10:15" x14ac:dyDescent="0.3">
      <c r="J1333"/>
      <c r="K1333" s="59"/>
      <c r="L1333" s="59"/>
      <c r="M1333" s="59"/>
      <c r="N1333" s="59"/>
      <c r="O1333" s="59"/>
    </row>
    <row r="1334" spans="10:15" x14ac:dyDescent="0.3">
      <c r="J1334"/>
      <c r="K1334" s="59"/>
      <c r="L1334" s="59"/>
      <c r="M1334" s="59"/>
      <c r="N1334" s="59"/>
      <c r="O1334" s="59"/>
    </row>
    <row r="1335" spans="10:15" x14ac:dyDescent="0.3">
      <c r="J1335"/>
      <c r="K1335" s="59"/>
      <c r="L1335" s="59"/>
      <c r="M1335" s="59"/>
      <c r="N1335" s="59"/>
      <c r="O1335" s="59"/>
    </row>
    <row r="1336" spans="10:15" x14ac:dyDescent="0.3">
      <c r="J1336"/>
      <c r="K1336" s="59"/>
      <c r="L1336" s="59"/>
      <c r="M1336" s="59"/>
      <c r="N1336" s="59"/>
      <c r="O1336" s="59"/>
    </row>
    <row r="1337" spans="10:15" x14ac:dyDescent="0.3">
      <c r="J1337"/>
      <c r="K1337" s="59"/>
      <c r="L1337" s="59"/>
      <c r="M1337" s="59"/>
      <c r="N1337" s="59"/>
      <c r="O1337" s="59"/>
    </row>
    <row r="1338" spans="10:15" x14ac:dyDescent="0.3">
      <c r="J1338"/>
      <c r="K1338" s="59"/>
      <c r="L1338" s="59"/>
      <c r="M1338" s="59"/>
      <c r="N1338" s="59"/>
      <c r="O1338" s="59"/>
    </row>
    <row r="1339" spans="10:15" x14ac:dyDescent="0.3">
      <c r="J1339"/>
      <c r="K1339" s="59"/>
      <c r="L1339" s="59"/>
      <c r="M1339" s="59"/>
      <c r="N1339" s="59"/>
      <c r="O1339" s="59"/>
    </row>
    <row r="1340" spans="10:15" x14ac:dyDescent="0.3">
      <c r="J1340"/>
      <c r="K1340" s="59"/>
      <c r="L1340" s="59"/>
      <c r="M1340" s="59"/>
      <c r="N1340" s="59"/>
      <c r="O1340" s="59"/>
    </row>
    <row r="1341" spans="10:15" x14ac:dyDescent="0.3">
      <c r="J1341"/>
      <c r="K1341" s="59"/>
      <c r="L1341" s="59"/>
      <c r="M1341" s="59"/>
      <c r="N1341" s="59"/>
      <c r="O1341" s="59"/>
    </row>
    <row r="1342" spans="10:15" x14ac:dyDescent="0.3">
      <c r="J1342"/>
      <c r="K1342" s="59"/>
      <c r="L1342" s="59"/>
      <c r="M1342" s="59"/>
      <c r="N1342" s="59"/>
      <c r="O1342" s="59"/>
    </row>
    <row r="1343" spans="10:15" x14ac:dyDescent="0.3">
      <c r="J1343"/>
      <c r="K1343" s="59"/>
      <c r="L1343" s="59"/>
      <c r="M1343" s="59"/>
      <c r="N1343" s="59"/>
      <c r="O1343" s="59"/>
    </row>
    <row r="1344" spans="10:15" x14ac:dyDescent="0.3">
      <c r="J1344"/>
      <c r="K1344" s="59"/>
      <c r="L1344" s="59"/>
      <c r="M1344" s="59"/>
      <c r="N1344" s="59"/>
      <c r="O1344" s="59"/>
    </row>
    <row r="1345" spans="10:15" x14ac:dyDescent="0.3">
      <c r="J1345"/>
      <c r="K1345" s="59"/>
      <c r="L1345" s="59"/>
      <c r="M1345" s="59"/>
      <c r="N1345" s="59"/>
      <c r="O1345" s="59"/>
    </row>
    <row r="1346" spans="10:15" x14ac:dyDescent="0.3">
      <c r="J1346"/>
      <c r="K1346" s="59"/>
      <c r="L1346" s="59"/>
      <c r="M1346" s="59"/>
      <c r="N1346" s="59"/>
      <c r="O1346" s="59"/>
    </row>
    <row r="1347" spans="10:15" x14ac:dyDescent="0.3">
      <c r="J1347"/>
      <c r="K1347" s="59"/>
      <c r="L1347" s="59"/>
      <c r="M1347" s="59"/>
      <c r="N1347" s="59"/>
      <c r="O1347" s="59"/>
    </row>
    <row r="1348" spans="10:15" x14ac:dyDescent="0.3">
      <c r="J1348"/>
      <c r="K1348" s="59"/>
      <c r="L1348" s="59"/>
      <c r="M1348" s="59"/>
      <c r="N1348" s="59"/>
      <c r="O1348" s="59"/>
    </row>
    <row r="1349" spans="10:15" x14ac:dyDescent="0.3">
      <c r="J1349"/>
      <c r="K1349" s="59"/>
      <c r="L1349" s="59"/>
      <c r="M1349" s="59"/>
      <c r="N1349" s="59"/>
      <c r="O1349" s="59"/>
    </row>
    <row r="1350" spans="10:15" x14ac:dyDescent="0.3">
      <c r="J1350"/>
      <c r="K1350" s="59"/>
      <c r="L1350" s="59"/>
      <c r="M1350" s="59"/>
      <c r="N1350" s="59"/>
      <c r="O1350" s="59"/>
    </row>
    <row r="1351" spans="10:15" x14ac:dyDescent="0.3">
      <c r="J1351"/>
      <c r="K1351" s="59"/>
      <c r="L1351" s="59"/>
      <c r="M1351" s="59"/>
      <c r="N1351" s="59"/>
      <c r="O1351" s="59"/>
    </row>
    <row r="1352" spans="10:15" x14ac:dyDescent="0.3">
      <c r="J1352"/>
      <c r="K1352" s="59"/>
      <c r="L1352" s="59"/>
      <c r="M1352" s="59"/>
      <c r="N1352" s="59"/>
      <c r="O1352" s="59"/>
    </row>
    <row r="1353" spans="10:15" x14ac:dyDescent="0.3">
      <c r="J1353"/>
      <c r="K1353" s="59"/>
      <c r="L1353" s="59"/>
      <c r="M1353" s="59"/>
      <c r="N1353" s="59"/>
      <c r="O1353" s="59"/>
    </row>
    <row r="1354" spans="10:15" x14ac:dyDescent="0.3">
      <c r="J1354"/>
      <c r="K1354" s="59"/>
      <c r="L1354" s="59"/>
      <c r="M1354" s="59"/>
      <c r="N1354" s="59"/>
      <c r="O1354" s="59"/>
    </row>
    <row r="1355" spans="10:15" x14ac:dyDescent="0.3">
      <c r="J1355"/>
      <c r="K1355" s="59"/>
      <c r="L1355" s="59"/>
      <c r="M1355" s="59"/>
      <c r="N1355" s="59"/>
      <c r="O1355" s="59"/>
    </row>
    <row r="1356" spans="10:15" x14ac:dyDescent="0.3">
      <c r="J1356"/>
      <c r="K1356" s="59"/>
      <c r="L1356" s="59"/>
      <c r="M1356" s="59"/>
      <c r="N1356" s="59"/>
      <c r="O1356" s="59"/>
    </row>
    <row r="1357" spans="10:15" x14ac:dyDescent="0.3">
      <c r="J1357"/>
      <c r="K1357" s="59"/>
      <c r="L1357" s="59"/>
      <c r="M1357" s="59"/>
      <c r="N1357" s="59"/>
      <c r="O1357" s="59"/>
    </row>
    <row r="1358" spans="10:15" x14ac:dyDescent="0.3">
      <c r="J1358"/>
      <c r="K1358" s="59"/>
      <c r="L1358" s="59"/>
      <c r="M1358" s="59"/>
      <c r="N1358" s="59"/>
      <c r="O1358" s="59"/>
    </row>
    <row r="1359" spans="10:15" x14ac:dyDescent="0.3">
      <c r="J1359"/>
      <c r="K1359" s="59"/>
      <c r="L1359" s="59"/>
      <c r="M1359" s="59"/>
      <c r="N1359" s="59"/>
      <c r="O1359" s="59"/>
    </row>
    <row r="1360" spans="10:15" x14ac:dyDescent="0.3">
      <c r="J1360"/>
      <c r="K1360" s="59"/>
      <c r="L1360" s="59"/>
      <c r="M1360" s="59"/>
      <c r="N1360" s="59"/>
      <c r="O1360" s="59"/>
    </row>
    <row r="1361" spans="10:15" x14ac:dyDescent="0.3">
      <c r="J1361"/>
      <c r="K1361" s="59"/>
      <c r="L1361" s="59"/>
      <c r="M1361" s="59"/>
      <c r="N1361" s="59"/>
      <c r="O1361" s="59"/>
    </row>
    <row r="1362" spans="10:15" x14ac:dyDescent="0.3">
      <c r="J1362"/>
      <c r="K1362" s="59"/>
      <c r="L1362" s="59"/>
      <c r="M1362" s="59"/>
      <c r="N1362" s="59"/>
      <c r="O1362" s="59"/>
    </row>
    <row r="1363" spans="10:15" x14ac:dyDescent="0.3">
      <c r="J1363"/>
      <c r="K1363" s="59"/>
      <c r="L1363" s="59"/>
      <c r="M1363" s="59"/>
      <c r="N1363" s="59"/>
      <c r="O1363" s="59"/>
    </row>
    <row r="1364" spans="10:15" x14ac:dyDescent="0.3">
      <c r="J1364"/>
      <c r="K1364" s="59"/>
      <c r="L1364" s="59"/>
      <c r="M1364" s="59"/>
      <c r="N1364" s="59"/>
      <c r="O1364" s="59"/>
    </row>
    <row r="1365" spans="10:15" x14ac:dyDescent="0.3">
      <c r="J1365"/>
      <c r="K1365" s="59"/>
      <c r="L1365" s="59"/>
      <c r="M1365" s="59"/>
      <c r="N1365" s="59"/>
      <c r="O1365" s="59"/>
    </row>
    <row r="1366" spans="10:15" x14ac:dyDescent="0.3">
      <c r="J1366"/>
      <c r="K1366" s="59"/>
      <c r="L1366" s="59"/>
      <c r="M1366" s="59"/>
      <c r="N1366" s="59"/>
      <c r="O1366" s="59"/>
    </row>
    <row r="1367" spans="10:15" x14ac:dyDescent="0.3">
      <c r="J1367"/>
      <c r="K1367" s="59"/>
      <c r="L1367" s="59"/>
      <c r="M1367" s="59"/>
      <c r="N1367" s="59"/>
      <c r="O1367" s="59"/>
    </row>
    <row r="1368" spans="10:15" x14ac:dyDescent="0.3">
      <c r="J1368"/>
      <c r="K1368" s="59"/>
      <c r="L1368" s="59"/>
      <c r="M1368" s="59"/>
      <c r="N1368" s="59"/>
      <c r="O1368" s="59"/>
    </row>
    <row r="1369" spans="10:15" x14ac:dyDescent="0.3">
      <c r="J1369"/>
      <c r="K1369" s="59"/>
      <c r="L1369" s="59"/>
      <c r="M1369" s="59"/>
      <c r="N1369" s="59"/>
      <c r="O1369" s="59"/>
    </row>
    <row r="1370" spans="10:15" x14ac:dyDescent="0.3">
      <c r="J1370"/>
      <c r="K1370" s="59"/>
      <c r="L1370" s="59"/>
      <c r="M1370" s="59"/>
      <c r="N1370" s="59"/>
      <c r="O1370" s="59"/>
    </row>
    <row r="1371" spans="10:15" x14ac:dyDescent="0.3">
      <c r="J1371"/>
      <c r="K1371" s="59"/>
      <c r="L1371" s="59"/>
      <c r="M1371" s="59"/>
      <c r="N1371" s="59"/>
      <c r="O1371" s="59"/>
    </row>
    <row r="1372" spans="10:15" x14ac:dyDescent="0.3">
      <c r="J1372"/>
      <c r="K1372" s="59"/>
      <c r="L1372" s="59"/>
      <c r="M1372" s="59"/>
      <c r="N1372" s="59"/>
      <c r="O1372" s="59"/>
    </row>
    <row r="1373" spans="10:15" x14ac:dyDescent="0.3">
      <c r="J1373"/>
      <c r="K1373" s="59"/>
      <c r="L1373" s="59"/>
      <c r="M1373" s="59"/>
      <c r="N1373" s="59"/>
      <c r="O1373" s="59"/>
    </row>
    <row r="1374" spans="10:15" x14ac:dyDescent="0.3">
      <c r="J1374"/>
      <c r="K1374" s="59"/>
      <c r="L1374" s="59"/>
      <c r="M1374" s="59"/>
      <c r="N1374" s="59"/>
      <c r="O1374" s="59"/>
    </row>
    <row r="1375" spans="10:15" x14ac:dyDescent="0.3">
      <c r="J1375"/>
      <c r="K1375" s="59"/>
      <c r="L1375" s="59"/>
      <c r="M1375" s="59"/>
      <c r="N1375" s="59"/>
      <c r="O1375" s="59"/>
    </row>
    <row r="1376" spans="10:15" x14ac:dyDescent="0.3">
      <c r="J1376"/>
      <c r="K1376" s="59"/>
      <c r="L1376" s="59"/>
      <c r="M1376" s="59"/>
      <c r="N1376" s="59"/>
      <c r="O1376" s="59"/>
    </row>
    <row r="1377" spans="10:15" x14ac:dyDescent="0.3">
      <c r="J1377"/>
      <c r="K1377" s="59"/>
      <c r="L1377" s="59"/>
      <c r="M1377" s="59"/>
      <c r="N1377" s="59"/>
      <c r="O1377" s="59"/>
    </row>
    <row r="1378" spans="10:15" x14ac:dyDescent="0.3">
      <c r="J1378"/>
      <c r="K1378" s="59"/>
      <c r="L1378" s="59"/>
      <c r="M1378" s="59"/>
      <c r="N1378" s="59"/>
      <c r="O1378" s="59"/>
    </row>
    <row r="1379" spans="10:15" x14ac:dyDescent="0.3">
      <c r="J1379"/>
      <c r="K1379" s="59"/>
      <c r="L1379" s="59"/>
      <c r="M1379" s="59"/>
      <c r="N1379" s="59"/>
      <c r="O1379" s="59"/>
    </row>
    <row r="1380" spans="10:15" x14ac:dyDescent="0.3">
      <c r="J1380"/>
      <c r="K1380" s="59"/>
      <c r="L1380" s="59"/>
      <c r="M1380" s="59"/>
      <c r="N1380" s="59"/>
      <c r="O1380" s="59"/>
    </row>
    <row r="1381" spans="10:15" x14ac:dyDescent="0.3">
      <c r="J1381"/>
      <c r="K1381" s="59"/>
      <c r="L1381" s="59"/>
      <c r="M1381" s="59"/>
      <c r="N1381" s="59"/>
      <c r="O1381" s="59"/>
    </row>
    <row r="1382" spans="10:15" x14ac:dyDescent="0.3">
      <c r="J1382"/>
      <c r="K1382" s="59"/>
      <c r="L1382" s="59"/>
      <c r="M1382" s="59"/>
      <c r="N1382" s="59"/>
      <c r="O1382" s="59"/>
    </row>
    <row r="1383" spans="10:15" x14ac:dyDescent="0.3">
      <c r="J1383"/>
      <c r="K1383" s="59"/>
      <c r="L1383" s="59"/>
      <c r="M1383" s="59"/>
      <c r="N1383" s="59"/>
      <c r="O1383" s="59"/>
    </row>
    <row r="1384" spans="10:15" x14ac:dyDescent="0.3">
      <c r="J1384"/>
      <c r="K1384" s="59"/>
      <c r="L1384" s="59"/>
      <c r="M1384" s="59"/>
      <c r="N1384" s="59"/>
      <c r="O1384" s="59"/>
    </row>
    <row r="1385" spans="10:15" x14ac:dyDescent="0.3">
      <c r="J1385"/>
      <c r="K1385" s="59"/>
      <c r="L1385" s="59"/>
      <c r="M1385" s="59"/>
      <c r="N1385" s="59"/>
      <c r="O1385" s="59"/>
    </row>
    <row r="1386" spans="10:15" x14ac:dyDescent="0.3">
      <c r="J1386"/>
      <c r="K1386" s="59"/>
      <c r="L1386" s="59"/>
      <c r="M1386" s="59"/>
      <c r="N1386" s="59"/>
      <c r="O1386" s="59"/>
    </row>
    <row r="1387" spans="10:15" x14ac:dyDescent="0.3">
      <c r="J1387"/>
      <c r="K1387" s="59"/>
      <c r="L1387" s="59"/>
      <c r="M1387" s="59"/>
      <c r="N1387" s="59"/>
      <c r="O1387" s="59"/>
    </row>
    <row r="1388" spans="10:15" x14ac:dyDescent="0.3">
      <c r="J1388"/>
      <c r="K1388" s="59"/>
      <c r="L1388" s="59"/>
      <c r="M1388" s="59"/>
      <c r="N1388" s="59"/>
      <c r="O1388" s="59"/>
    </row>
    <row r="1389" spans="10:15" x14ac:dyDescent="0.3">
      <c r="J1389"/>
      <c r="K1389" s="59"/>
      <c r="L1389" s="59"/>
      <c r="M1389" s="59"/>
      <c r="N1389" s="59"/>
      <c r="O1389" s="59"/>
    </row>
    <row r="1390" spans="10:15" x14ac:dyDescent="0.3">
      <c r="J1390"/>
      <c r="K1390" s="59"/>
      <c r="L1390" s="59"/>
      <c r="M1390" s="59"/>
      <c r="N1390" s="59"/>
      <c r="O1390" s="59"/>
    </row>
    <row r="1391" spans="10:15" x14ac:dyDescent="0.3">
      <c r="J1391"/>
      <c r="K1391" s="59"/>
      <c r="L1391" s="59"/>
      <c r="M1391" s="59"/>
      <c r="N1391" s="59"/>
      <c r="O1391" s="59"/>
    </row>
    <row r="1392" spans="10:15" x14ac:dyDescent="0.3">
      <c r="J1392"/>
      <c r="K1392" s="59"/>
      <c r="L1392" s="59"/>
      <c r="M1392" s="59"/>
      <c r="N1392" s="59"/>
      <c r="O1392" s="59"/>
    </row>
    <row r="1393" spans="10:15" x14ac:dyDescent="0.3">
      <c r="J1393"/>
      <c r="K1393" s="59"/>
      <c r="L1393" s="59"/>
      <c r="M1393" s="59"/>
      <c r="N1393" s="59"/>
      <c r="O1393" s="59"/>
    </row>
    <row r="1394" spans="10:15" x14ac:dyDescent="0.3">
      <c r="J1394"/>
      <c r="K1394" s="59"/>
      <c r="L1394" s="59"/>
      <c r="M1394" s="59"/>
      <c r="N1394" s="59"/>
      <c r="O1394" s="59"/>
    </row>
    <row r="1395" spans="10:15" x14ac:dyDescent="0.3">
      <c r="J1395"/>
      <c r="K1395" s="59"/>
      <c r="L1395" s="59"/>
      <c r="M1395" s="59"/>
      <c r="N1395" s="59"/>
      <c r="O1395" s="59"/>
    </row>
    <row r="1396" spans="10:15" x14ac:dyDescent="0.3">
      <c r="J1396"/>
      <c r="K1396" s="59"/>
      <c r="L1396" s="59"/>
      <c r="M1396" s="59"/>
      <c r="N1396" s="59"/>
      <c r="O1396" s="59"/>
    </row>
    <row r="1397" spans="10:15" x14ac:dyDescent="0.3">
      <c r="J1397"/>
      <c r="K1397" s="59"/>
      <c r="L1397" s="59"/>
      <c r="M1397" s="59"/>
      <c r="N1397" s="59"/>
      <c r="O1397" s="59"/>
    </row>
    <row r="1398" spans="10:15" x14ac:dyDescent="0.3">
      <c r="J1398"/>
      <c r="K1398" s="59"/>
      <c r="L1398" s="59"/>
      <c r="M1398" s="59"/>
      <c r="N1398" s="59"/>
      <c r="O1398" s="59"/>
    </row>
    <row r="1399" spans="10:15" x14ac:dyDescent="0.3">
      <c r="J1399"/>
      <c r="K1399" s="59"/>
      <c r="L1399" s="59"/>
      <c r="M1399" s="59"/>
      <c r="N1399" s="59"/>
      <c r="O1399" s="59"/>
    </row>
    <row r="1400" spans="10:15" x14ac:dyDescent="0.3">
      <c r="J1400"/>
      <c r="K1400" s="59"/>
      <c r="L1400" s="59"/>
      <c r="M1400" s="59"/>
      <c r="N1400" s="59"/>
      <c r="O1400" s="59"/>
    </row>
    <row r="1401" spans="10:15" x14ac:dyDescent="0.3">
      <c r="J1401"/>
      <c r="K1401" s="59"/>
      <c r="L1401" s="59"/>
      <c r="M1401" s="59"/>
      <c r="N1401" s="59"/>
      <c r="O1401" s="59"/>
    </row>
    <row r="1402" spans="10:15" x14ac:dyDescent="0.3">
      <c r="J1402"/>
      <c r="K1402" s="59"/>
      <c r="L1402" s="59"/>
      <c r="M1402" s="59"/>
      <c r="N1402" s="59"/>
      <c r="O1402" s="59"/>
    </row>
    <row r="1403" spans="10:15" x14ac:dyDescent="0.3">
      <c r="J1403"/>
      <c r="K1403" s="59"/>
      <c r="L1403" s="59"/>
      <c r="M1403" s="59"/>
      <c r="N1403" s="59"/>
      <c r="O1403" s="59"/>
    </row>
    <row r="1404" spans="10:15" x14ac:dyDescent="0.3">
      <c r="J1404"/>
      <c r="K1404" s="59"/>
      <c r="L1404" s="59"/>
      <c r="M1404" s="59"/>
      <c r="N1404" s="59"/>
      <c r="O1404" s="59"/>
    </row>
    <row r="1405" spans="10:15" x14ac:dyDescent="0.3">
      <c r="J1405"/>
      <c r="K1405" s="59"/>
      <c r="L1405" s="59"/>
      <c r="M1405" s="59"/>
      <c r="N1405" s="59"/>
      <c r="O1405" s="59"/>
    </row>
    <row r="1406" spans="10:15" x14ac:dyDescent="0.3">
      <c r="J1406"/>
      <c r="K1406" s="59"/>
      <c r="L1406" s="59"/>
      <c r="M1406" s="59"/>
      <c r="N1406" s="59"/>
      <c r="O1406" s="59"/>
    </row>
    <row r="1407" spans="10:15" x14ac:dyDescent="0.3">
      <c r="J1407"/>
      <c r="K1407" s="59"/>
      <c r="L1407" s="59"/>
      <c r="M1407" s="59"/>
      <c r="N1407" s="59"/>
      <c r="O1407" s="59"/>
    </row>
    <row r="1408" spans="10:15" x14ac:dyDescent="0.3">
      <c r="J1408"/>
      <c r="K1408" s="59"/>
      <c r="L1408" s="59"/>
      <c r="M1408" s="59"/>
      <c r="N1408" s="59"/>
      <c r="O1408" s="59"/>
    </row>
    <row r="1409" spans="10:15" x14ac:dyDescent="0.3">
      <c r="J1409"/>
      <c r="K1409" s="59"/>
      <c r="L1409" s="59"/>
      <c r="M1409" s="59"/>
      <c r="N1409" s="59"/>
      <c r="O1409" s="59"/>
    </row>
    <row r="1410" spans="10:15" x14ac:dyDescent="0.3">
      <c r="J1410"/>
      <c r="K1410" s="59"/>
      <c r="L1410" s="59"/>
      <c r="M1410" s="59"/>
      <c r="N1410" s="59"/>
      <c r="O1410" s="59"/>
    </row>
    <row r="1411" spans="10:15" x14ac:dyDescent="0.3">
      <c r="J1411"/>
      <c r="K1411" s="59"/>
      <c r="L1411" s="59"/>
      <c r="M1411" s="59"/>
      <c r="N1411" s="59"/>
      <c r="O1411" s="59"/>
    </row>
    <row r="1412" spans="10:15" x14ac:dyDescent="0.3">
      <c r="J1412"/>
      <c r="K1412" s="59"/>
      <c r="L1412" s="59"/>
      <c r="M1412" s="59"/>
      <c r="N1412" s="59"/>
      <c r="O1412" s="59"/>
    </row>
    <row r="1413" spans="10:15" x14ac:dyDescent="0.3">
      <c r="J1413"/>
      <c r="K1413" s="59"/>
      <c r="L1413" s="59"/>
      <c r="M1413" s="59"/>
      <c r="N1413" s="59"/>
      <c r="O1413" s="59"/>
    </row>
    <row r="1414" spans="10:15" x14ac:dyDescent="0.3">
      <c r="J1414"/>
      <c r="K1414" s="59"/>
      <c r="L1414" s="59"/>
      <c r="M1414" s="59"/>
      <c r="N1414" s="59"/>
      <c r="O1414" s="59"/>
    </row>
    <row r="1415" spans="10:15" x14ac:dyDescent="0.3">
      <c r="J1415"/>
      <c r="K1415" s="59"/>
      <c r="L1415" s="59"/>
      <c r="M1415" s="59"/>
      <c r="N1415" s="59"/>
      <c r="O1415" s="59"/>
    </row>
    <row r="1416" spans="10:15" x14ac:dyDescent="0.3">
      <c r="J1416"/>
      <c r="K1416" s="59"/>
      <c r="L1416" s="59"/>
      <c r="M1416" s="59"/>
      <c r="N1416" s="59"/>
      <c r="O1416" s="59"/>
    </row>
    <row r="1417" spans="10:15" x14ac:dyDescent="0.3">
      <c r="J1417"/>
      <c r="K1417" s="59"/>
      <c r="L1417" s="59"/>
      <c r="M1417" s="59"/>
      <c r="N1417" s="59"/>
      <c r="O1417" s="59"/>
    </row>
    <row r="1418" spans="10:15" x14ac:dyDescent="0.3">
      <c r="J1418"/>
      <c r="K1418" s="59"/>
      <c r="L1418" s="59"/>
      <c r="M1418" s="59"/>
      <c r="N1418" s="59"/>
      <c r="O1418" s="59"/>
    </row>
    <row r="1419" spans="10:15" x14ac:dyDescent="0.3">
      <c r="J1419"/>
      <c r="K1419" s="59"/>
      <c r="L1419" s="59"/>
      <c r="M1419" s="59"/>
      <c r="N1419" s="59"/>
      <c r="O1419" s="59"/>
    </row>
    <row r="1420" spans="10:15" x14ac:dyDescent="0.3">
      <c r="J1420"/>
      <c r="K1420" s="59"/>
      <c r="L1420" s="59"/>
      <c r="M1420" s="59"/>
      <c r="N1420" s="59"/>
      <c r="O1420" s="59"/>
    </row>
    <row r="1421" spans="10:15" x14ac:dyDescent="0.3">
      <c r="J1421"/>
      <c r="K1421" s="59"/>
      <c r="L1421" s="59"/>
      <c r="M1421" s="59"/>
      <c r="N1421" s="59"/>
      <c r="O1421" s="59"/>
    </row>
    <row r="1422" spans="10:15" x14ac:dyDescent="0.3">
      <c r="J1422"/>
      <c r="K1422" s="59"/>
      <c r="L1422" s="59"/>
      <c r="M1422" s="59"/>
      <c r="N1422" s="59"/>
      <c r="O1422" s="59"/>
    </row>
    <row r="1423" spans="10:15" x14ac:dyDescent="0.3">
      <c r="J1423"/>
      <c r="K1423" s="59"/>
      <c r="L1423" s="59"/>
      <c r="M1423" s="59"/>
      <c r="N1423" s="59"/>
      <c r="O1423" s="59"/>
    </row>
    <row r="1424" spans="10:15" x14ac:dyDescent="0.3">
      <c r="J1424"/>
      <c r="K1424" s="59"/>
      <c r="L1424" s="59"/>
      <c r="M1424" s="59"/>
      <c r="N1424" s="59"/>
      <c r="O1424" s="59"/>
    </row>
    <row r="1425" spans="10:15" x14ac:dyDescent="0.3">
      <c r="J1425"/>
      <c r="K1425" s="59"/>
      <c r="L1425" s="59"/>
      <c r="M1425" s="59"/>
      <c r="N1425" s="59"/>
      <c r="O1425" s="59"/>
    </row>
    <row r="1426" spans="10:15" x14ac:dyDescent="0.3">
      <c r="J1426"/>
      <c r="K1426" s="59"/>
      <c r="L1426" s="59"/>
      <c r="M1426" s="59"/>
      <c r="N1426" s="59"/>
      <c r="O1426" s="59"/>
    </row>
    <row r="1427" spans="10:15" x14ac:dyDescent="0.3">
      <c r="J1427"/>
      <c r="K1427" s="59"/>
      <c r="L1427" s="59"/>
      <c r="M1427" s="59"/>
      <c r="N1427" s="59"/>
      <c r="O1427" s="59"/>
    </row>
    <row r="1428" spans="10:15" x14ac:dyDescent="0.3">
      <c r="J1428"/>
      <c r="K1428" s="59"/>
      <c r="L1428" s="59"/>
      <c r="M1428" s="59"/>
      <c r="N1428" s="59"/>
      <c r="O1428" s="59"/>
    </row>
    <row r="1429" spans="10:15" x14ac:dyDescent="0.3">
      <c r="J1429"/>
      <c r="K1429" s="59"/>
      <c r="L1429" s="59"/>
      <c r="M1429" s="59"/>
      <c r="N1429" s="59"/>
      <c r="O1429" s="59"/>
    </row>
    <row r="1430" spans="10:15" x14ac:dyDescent="0.3">
      <c r="J1430"/>
      <c r="K1430" s="59"/>
      <c r="L1430" s="59"/>
      <c r="M1430" s="59"/>
      <c r="N1430" s="59"/>
      <c r="O1430" s="59"/>
    </row>
    <row r="1431" spans="10:15" x14ac:dyDescent="0.3">
      <c r="J1431"/>
      <c r="K1431" s="59"/>
      <c r="L1431" s="59"/>
      <c r="M1431" s="59"/>
      <c r="N1431" s="59"/>
      <c r="O1431" s="59"/>
    </row>
    <row r="1432" spans="10:15" x14ac:dyDescent="0.3">
      <c r="J1432"/>
      <c r="K1432" s="59"/>
      <c r="L1432" s="59"/>
      <c r="M1432" s="59"/>
      <c r="N1432" s="59"/>
      <c r="O1432" s="59"/>
    </row>
    <row r="1433" spans="10:15" x14ac:dyDescent="0.3">
      <c r="J1433"/>
      <c r="K1433" s="59"/>
      <c r="L1433" s="59"/>
      <c r="M1433" s="59"/>
      <c r="N1433" s="59"/>
      <c r="O1433" s="59"/>
    </row>
    <row r="1434" spans="10:15" x14ac:dyDescent="0.3">
      <c r="J1434"/>
      <c r="K1434" s="59"/>
      <c r="L1434" s="59"/>
      <c r="M1434" s="59"/>
      <c r="N1434" s="59"/>
      <c r="O1434" s="59"/>
    </row>
    <row r="1435" spans="10:15" x14ac:dyDescent="0.3">
      <c r="J1435"/>
      <c r="K1435" s="59"/>
      <c r="L1435" s="59"/>
      <c r="M1435" s="59"/>
      <c r="N1435" s="59"/>
      <c r="O1435" s="59"/>
    </row>
    <row r="1436" spans="10:15" x14ac:dyDescent="0.3">
      <c r="J1436"/>
      <c r="K1436" s="59"/>
      <c r="L1436" s="59"/>
      <c r="M1436" s="59"/>
      <c r="N1436" s="59"/>
      <c r="O1436" s="59"/>
    </row>
    <row r="1437" spans="10:15" x14ac:dyDescent="0.3">
      <c r="J1437"/>
      <c r="K1437" s="59"/>
      <c r="L1437" s="59"/>
      <c r="M1437" s="59"/>
      <c r="N1437" s="59"/>
      <c r="O1437" s="59"/>
    </row>
    <row r="1438" spans="10:15" x14ac:dyDescent="0.3">
      <c r="J1438"/>
      <c r="K1438" s="59"/>
      <c r="L1438" s="59"/>
      <c r="M1438" s="59"/>
      <c r="N1438" s="59"/>
      <c r="O1438" s="59"/>
    </row>
    <row r="1439" spans="10:15" x14ac:dyDescent="0.3">
      <c r="J1439"/>
      <c r="K1439" s="59"/>
      <c r="L1439" s="59"/>
      <c r="M1439" s="59"/>
      <c r="N1439" s="59"/>
      <c r="O1439" s="59"/>
    </row>
    <row r="1440" spans="10:15" x14ac:dyDescent="0.3">
      <c r="J1440"/>
      <c r="K1440" s="59"/>
      <c r="L1440" s="59"/>
      <c r="M1440" s="59"/>
      <c r="N1440" s="59"/>
      <c r="O1440" s="59"/>
    </row>
    <row r="1441" spans="10:15" x14ac:dyDescent="0.3">
      <c r="J1441"/>
      <c r="K1441" s="59"/>
      <c r="L1441" s="59"/>
      <c r="M1441" s="59"/>
      <c r="N1441" s="59"/>
      <c r="O1441" s="59"/>
    </row>
    <row r="1442" spans="10:15" x14ac:dyDescent="0.3">
      <c r="J1442"/>
      <c r="K1442" s="59"/>
      <c r="L1442" s="59"/>
      <c r="M1442" s="59"/>
      <c r="N1442" s="59"/>
      <c r="O1442" s="59"/>
    </row>
    <row r="1443" spans="10:15" x14ac:dyDescent="0.3">
      <c r="J1443"/>
      <c r="K1443" s="59"/>
      <c r="L1443" s="59"/>
      <c r="M1443" s="59"/>
      <c r="N1443" s="59"/>
      <c r="O1443" s="59"/>
    </row>
    <row r="1444" spans="10:15" x14ac:dyDescent="0.3">
      <c r="J1444"/>
      <c r="K1444" s="59"/>
      <c r="L1444" s="59"/>
      <c r="M1444" s="59"/>
      <c r="N1444" s="59"/>
      <c r="O1444" s="59"/>
    </row>
    <row r="1445" spans="10:15" x14ac:dyDescent="0.3">
      <c r="J1445"/>
      <c r="K1445" s="59"/>
      <c r="L1445" s="59"/>
      <c r="M1445" s="59"/>
      <c r="N1445" s="59"/>
      <c r="O1445" s="59"/>
    </row>
    <row r="1446" spans="10:15" x14ac:dyDescent="0.3">
      <c r="J1446"/>
      <c r="K1446" s="59"/>
      <c r="L1446" s="59"/>
      <c r="M1446" s="59"/>
      <c r="N1446" s="59"/>
      <c r="O1446" s="59"/>
    </row>
    <row r="1447" spans="10:15" x14ac:dyDescent="0.3">
      <c r="J1447"/>
      <c r="K1447" s="59"/>
      <c r="L1447" s="59"/>
      <c r="M1447" s="59"/>
      <c r="N1447" s="59"/>
      <c r="O1447" s="59"/>
    </row>
    <row r="1448" spans="10:15" x14ac:dyDescent="0.3">
      <c r="J1448"/>
      <c r="K1448" s="59"/>
      <c r="L1448" s="59"/>
      <c r="M1448" s="59"/>
      <c r="N1448" s="59"/>
      <c r="O1448" s="59"/>
    </row>
    <row r="1449" spans="10:15" x14ac:dyDescent="0.3">
      <c r="J1449"/>
      <c r="K1449" s="59"/>
      <c r="L1449" s="59"/>
      <c r="M1449" s="59"/>
      <c r="N1449" s="59"/>
      <c r="O1449" s="59"/>
    </row>
    <row r="1450" spans="10:15" x14ac:dyDescent="0.3">
      <c r="J1450"/>
      <c r="K1450" s="59"/>
      <c r="L1450" s="59"/>
      <c r="M1450" s="59"/>
      <c r="N1450" s="59"/>
      <c r="O1450" s="59"/>
    </row>
    <row r="1451" spans="10:15" x14ac:dyDescent="0.3">
      <c r="J1451"/>
      <c r="K1451" s="59"/>
      <c r="L1451" s="59"/>
      <c r="M1451" s="59"/>
      <c r="N1451" s="59"/>
      <c r="O1451" s="59"/>
    </row>
    <row r="1452" spans="10:15" x14ac:dyDescent="0.3">
      <c r="J1452"/>
      <c r="K1452" s="59"/>
      <c r="L1452" s="59"/>
      <c r="M1452" s="59"/>
      <c r="N1452" s="59"/>
      <c r="O1452" s="59"/>
    </row>
    <row r="1453" spans="10:15" x14ac:dyDescent="0.3">
      <c r="J1453"/>
      <c r="K1453" s="59"/>
      <c r="L1453" s="59"/>
      <c r="M1453" s="59"/>
      <c r="N1453" s="59"/>
      <c r="O1453" s="59"/>
    </row>
    <row r="1454" spans="10:15" x14ac:dyDescent="0.3">
      <c r="J1454"/>
      <c r="K1454" s="59"/>
      <c r="L1454" s="59"/>
      <c r="M1454" s="59"/>
      <c r="N1454" s="59"/>
      <c r="O1454" s="59"/>
    </row>
    <row r="1455" spans="10:15" x14ac:dyDescent="0.3">
      <c r="J1455"/>
      <c r="K1455" s="59"/>
      <c r="L1455" s="59"/>
      <c r="M1455" s="59"/>
      <c r="N1455" s="59"/>
      <c r="O1455" s="59"/>
    </row>
    <row r="1456" spans="10:15" x14ac:dyDescent="0.3">
      <c r="J1456"/>
      <c r="K1456" s="59"/>
      <c r="L1456" s="59"/>
      <c r="M1456" s="59"/>
      <c r="N1456" s="59"/>
      <c r="O1456" s="59"/>
    </row>
    <row r="1457" spans="10:15" x14ac:dyDescent="0.3">
      <c r="J1457"/>
      <c r="K1457" s="59"/>
      <c r="L1457" s="59"/>
      <c r="M1457" s="59"/>
      <c r="N1457" s="59"/>
      <c r="O1457" s="59"/>
    </row>
    <row r="1458" spans="10:15" x14ac:dyDescent="0.3">
      <c r="J1458"/>
      <c r="K1458" s="59"/>
      <c r="L1458" s="59"/>
      <c r="M1458" s="59"/>
      <c r="N1458" s="59"/>
      <c r="O1458" s="59"/>
    </row>
    <row r="1459" spans="10:15" x14ac:dyDescent="0.3">
      <c r="J1459"/>
      <c r="K1459" s="59"/>
      <c r="L1459" s="59"/>
      <c r="M1459" s="59"/>
      <c r="N1459" s="59"/>
      <c r="O1459" s="59"/>
    </row>
    <row r="1460" spans="10:15" x14ac:dyDescent="0.3">
      <c r="J1460"/>
      <c r="K1460" s="59"/>
      <c r="L1460" s="59"/>
      <c r="M1460" s="59"/>
      <c r="N1460" s="59"/>
      <c r="O1460" s="59"/>
    </row>
    <row r="1461" spans="10:15" x14ac:dyDescent="0.3">
      <c r="J1461"/>
      <c r="K1461" s="59"/>
      <c r="L1461" s="59"/>
      <c r="M1461" s="59"/>
      <c r="N1461" s="59"/>
      <c r="O1461" s="59"/>
    </row>
    <row r="1462" spans="10:15" x14ac:dyDescent="0.3">
      <c r="J1462"/>
      <c r="K1462" s="59"/>
      <c r="L1462" s="59"/>
      <c r="M1462" s="59"/>
      <c r="N1462" s="59"/>
      <c r="O1462" s="59"/>
    </row>
    <row r="1463" spans="10:15" x14ac:dyDescent="0.3">
      <c r="J1463"/>
      <c r="K1463" s="59"/>
      <c r="L1463" s="59"/>
      <c r="M1463" s="59"/>
      <c r="N1463" s="59"/>
      <c r="O1463" s="59"/>
    </row>
    <row r="1464" spans="10:15" x14ac:dyDescent="0.3">
      <c r="J1464"/>
      <c r="K1464" s="59"/>
      <c r="L1464" s="59"/>
      <c r="M1464" s="59"/>
      <c r="N1464" s="59"/>
      <c r="O1464" s="59"/>
    </row>
    <row r="1465" spans="10:15" x14ac:dyDescent="0.3">
      <c r="J1465"/>
      <c r="K1465" s="59"/>
      <c r="L1465" s="59"/>
      <c r="M1465" s="59"/>
      <c r="N1465" s="59"/>
      <c r="O1465" s="59"/>
    </row>
    <row r="1466" spans="10:15" x14ac:dyDescent="0.3">
      <c r="J1466"/>
      <c r="K1466" s="59"/>
      <c r="L1466" s="59"/>
      <c r="M1466" s="59"/>
      <c r="N1466" s="59"/>
      <c r="O1466" s="59"/>
    </row>
    <row r="1467" spans="10:15" x14ac:dyDescent="0.3">
      <c r="J1467"/>
      <c r="K1467" s="59"/>
      <c r="L1467" s="59"/>
      <c r="M1467" s="59"/>
      <c r="N1467" s="59"/>
      <c r="O1467" s="59"/>
    </row>
    <row r="1468" spans="10:15" x14ac:dyDescent="0.3">
      <c r="J1468"/>
      <c r="K1468" s="59"/>
      <c r="L1468" s="59"/>
      <c r="M1468" s="59"/>
      <c r="N1468" s="59"/>
      <c r="O1468" s="59"/>
    </row>
    <row r="1469" spans="10:15" x14ac:dyDescent="0.3">
      <c r="J1469"/>
      <c r="K1469" s="59"/>
      <c r="L1469" s="59"/>
      <c r="M1469" s="59"/>
      <c r="N1469" s="59"/>
      <c r="O1469" s="59"/>
    </row>
    <row r="1470" spans="10:15" x14ac:dyDescent="0.3">
      <c r="J1470"/>
      <c r="K1470" s="59"/>
      <c r="L1470" s="59"/>
      <c r="M1470" s="59"/>
      <c r="N1470" s="59"/>
      <c r="O1470" s="59"/>
    </row>
    <row r="1471" spans="10:15" x14ac:dyDescent="0.3">
      <c r="J1471"/>
      <c r="K1471" s="59"/>
      <c r="L1471" s="59"/>
      <c r="M1471" s="59"/>
      <c r="N1471" s="59"/>
      <c r="O1471" s="59"/>
    </row>
    <row r="1472" spans="10:15" x14ac:dyDescent="0.3">
      <c r="J1472"/>
      <c r="K1472" s="59"/>
      <c r="L1472" s="59"/>
      <c r="M1472" s="59"/>
      <c r="N1472" s="59"/>
      <c r="O1472" s="59"/>
    </row>
    <row r="1473" spans="10:15" x14ac:dyDescent="0.3">
      <c r="J1473"/>
      <c r="K1473" s="59"/>
      <c r="L1473" s="59"/>
      <c r="M1473" s="59"/>
      <c r="N1473" s="59"/>
      <c r="O1473" s="59"/>
    </row>
    <row r="1474" spans="10:15" x14ac:dyDescent="0.3">
      <c r="J1474"/>
      <c r="K1474" s="59"/>
      <c r="L1474" s="59"/>
      <c r="M1474" s="59"/>
      <c r="N1474" s="59"/>
      <c r="O1474" s="59"/>
    </row>
    <row r="1475" spans="10:15" x14ac:dyDescent="0.3">
      <c r="J1475"/>
      <c r="K1475" s="59"/>
      <c r="L1475" s="59"/>
      <c r="M1475" s="59"/>
      <c r="N1475" s="59"/>
      <c r="O1475" s="59"/>
    </row>
    <row r="1476" spans="10:15" x14ac:dyDescent="0.3">
      <c r="J1476"/>
      <c r="K1476" s="59"/>
      <c r="L1476" s="59"/>
      <c r="M1476" s="59"/>
      <c r="N1476" s="59"/>
      <c r="O1476" s="59"/>
    </row>
    <row r="1477" spans="10:15" x14ac:dyDescent="0.3">
      <c r="J1477"/>
      <c r="K1477" s="59"/>
      <c r="L1477" s="59"/>
      <c r="M1477" s="59"/>
      <c r="N1477" s="59"/>
      <c r="O1477" s="59"/>
    </row>
    <row r="1478" spans="10:15" x14ac:dyDescent="0.3">
      <c r="J1478"/>
      <c r="K1478" s="59"/>
      <c r="L1478" s="59"/>
      <c r="M1478" s="59"/>
      <c r="N1478" s="59"/>
      <c r="O1478" s="59"/>
    </row>
    <row r="1479" spans="10:15" x14ac:dyDescent="0.3">
      <c r="J1479"/>
      <c r="K1479" s="59"/>
      <c r="L1479" s="59"/>
      <c r="M1479" s="59"/>
      <c r="N1479" s="59"/>
      <c r="O1479" s="59"/>
    </row>
    <row r="1480" spans="10:15" x14ac:dyDescent="0.3">
      <c r="J1480"/>
      <c r="K1480" s="59"/>
      <c r="L1480" s="59"/>
      <c r="M1480" s="59"/>
      <c r="N1480" s="59"/>
      <c r="O1480" s="59"/>
    </row>
    <row r="1481" spans="10:15" x14ac:dyDescent="0.3">
      <c r="J1481"/>
      <c r="K1481" s="59"/>
      <c r="L1481" s="59"/>
      <c r="M1481" s="59"/>
      <c r="N1481" s="59"/>
      <c r="O1481" s="59"/>
    </row>
    <row r="1482" spans="10:15" x14ac:dyDescent="0.3">
      <c r="J1482"/>
      <c r="K1482" s="59"/>
      <c r="L1482" s="59"/>
      <c r="M1482" s="59"/>
      <c r="N1482" s="59"/>
      <c r="O1482" s="59"/>
    </row>
    <row r="1483" spans="10:15" x14ac:dyDescent="0.3">
      <c r="J1483"/>
      <c r="K1483" s="59"/>
      <c r="L1483" s="59"/>
      <c r="M1483" s="59"/>
      <c r="N1483" s="59"/>
      <c r="O1483" s="59"/>
    </row>
    <row r="1484" spans="10:15" x14ac:dyDescent="0.3">
      <c r="J1484"/>
      <c r="K1484" s="59"/>
      <c r="L1484" s="59"/>
      <c r="M1484" s="59"/>
      <c r="N1484" s="59"/>
      <c r="O1484" s="59"/>
    </row>
    <row r="1485" spans="10:15" x14ac:dyDescent="0.3">
      <c r="J1485"/>
      <c r="K1485" s="59"/>
      <c r="L1485" s="59"/>
      <c r="M1485" s="59"/>
      <c r="N1485" s="59"/>
      <c r="O1485" s="59"/>
    </row>
    <row r="1486" spans="10:15" x14ac:dyDescent="0.3">
      <c r="J1486"/>
      <c r="K1486" s="59"/>
      <c r="L1486" s="59"/>
      <c r="M1486" s="59"/>
      <c r="N1486" s="59"/>
      <c r="O1486" s="59"/>
    </row>
    <row r="1487" spans="10:15" x14ac:dyDescent="0.3">
      <c r="J1487"/>
      <c r="K1487" s="59"/>
      <c r="L1487" s="59"/>
      <c r="M1487" s="59"/>
      <c r="N1487" s="59"/>
      <c r="O1487" s="59"/>
    </row>
    <row r="1488" spans="10:15" x14ac:dyDescent="0.3">
      <c r="J1488"/>
      <c r="K1488" s="59"/>
      <c r="L1488" s="59"/>
      <c r="M1488" s="59"/>
      <c r="N1488" s="59"/>
      <c r="O1488" s="59"/>
    </row>
    <row r="1489" spans="10:15" x14ac:dyDescent="0.3">
      <c r="J1489"/>
      <c r="K1489" s="59"/>
      <c r="L1489" s="59"/>
      <c r="M1489" s="59"/>
      <c r="N1489" s="59"/>
      <c r="O1489" s="59"/>
    </row>
    <row r="1490" spans="10:15" x14ac:dyDescent="0.3">
      <c r="J1490"/>
      <c r="K1490" s="59"/>
      <c r="L1490" s="59"/>
      <c r="M1490" s="59"/>
      <c r="N1490" s="59"/>
      <c r="O1490" s="59"/>
    </row>
    <row r="1491" spans="10:15" x14ac:dyDescent="0.3">
      <c r="J1491"/>
      <c r="K1491" s="59"/>
      <c r="L1491" s="59"/>
      <c r="M1491" s="59"/>
      <c r="N1491" s="59"/>
      <c r="O1491" s="59"/>
    </row>
    <row r="1492" spans="10:15" x14ac:dyDescent="0.3">
      <c r="J1492"/>
      <c r="K1492" s="59"/>
      <c r="L1492" s="59"/>
      <c r="M1492" s="59"/>
      <c r="N1492" s="59"/>
      <c r="O1492" s="59"/>
    </row>
    <row r="1493" spans="10:15" x14ac:dyDescent="0.3">
      <c r="J1493"/>
      <c r="K1493" s="59"/>
      <c r="L1493" s="59"/>
      <c r="M1493" s="59"/>
      <c r="N1493" s="59"/>
      <c r="O1493" s="59"/>
    </row>
    <row r="1494" spans="10:15" x14ac:dyDescent="0.3">
      <c r="J1494"/>
      <c r="K1494" s="59"/>
      <c r="L1494" s="59"/>
      <c r="M1494" s="59"/>
      <c r="N1494" s="59"/>
      <c r="O1494" s="59"/>
    </row>
    <row r="1495" spans="10:15" x14ac:dyDescent="0.3">
      <c r="J1495"/>
      <c r="K1495" s="59"/>
      <c r="L1495" s="59"/>
      <c r="M1495" s="59"/>
      <c r="N1495" s="59"/>
      <c r="O1495" s="59"/>
    </row>
    <row r="1496" spans="10:15" x14ac:dyDescent="0.3">
      <c r="J1496"/>
      <c r="K1496" s="59"/>
      <c r="L1496" s="59"/>
      <c r="M1496" s="59"/>
      <c r="N1496" s="59"/>
      <c r="O1496" s="59"/>
    </row>
    <row r="1497" spans="10:15" x14ac:dyDescent="0.3">
      <c r="J1497"/>
      <c r="K1497" s="59"/>
      <c r="L1497" s="59"/>
      <c r="M1497" s="59"/>
      <c r="N1497" s="59"/>
      <c r="O1497" s="59"/>
    </row>
    <row r="1498" spans="10:15" x14ac:dyDescent="0.3">
      <c r="J1498"/>
      <c r="K1498" s="59"/>
      <c r="L1498" s="59"/>
      <c r="M1498" s="59"/>
      <c r="N1498" s="59"/>
      <c r="O1498" s="59"/>
    </row>
    <row r="1499" spans="10:15" x14ac:dyDescent="0.3">
      <c r="J1499"/>
      <c r="K1499" s="59"/>
      <c r="L1499" s="59"/>
      <c r="M1499" s="59"/>
      <c r="N1499" s="59"/>
      <c r="O1499" s="59"/>
    </row>
    <row r="1500" spans="10:15" x14ac:dyDescent="0.3">
      <c r="J1500"/>
      <c r="K1500" s="59"/>
      <c r="L1500" s="59"/>
      <c r="M1500" s="59"/>
      <c r="N1500" s="59"/>
      <c r="O1500" s="59"/>
    </row>
    <row r="1501" spans="10:15" x14ac:dyDescent="0.3">
      <c r="J1501"/>
      <c r="K1501" s="59"/>
      <c r="L1501" s="59"/>
      <c r="M1501" s="59"/>
      <c r="N1501" s="59"/>
      <c r="O1501" s="59"/>
    </row>
    <row r="1502" spans="10:15" x14ac:dyDescent="0.3">
      <c r="J1502"/>
      <c r="K1502" s="59"/>
      <c r="L1502" s="59"/>
      <c r="M1502" s="59"/>
      <c r="N1502" s="59"/>
      <c r="O1502" s="59"/>
    </row>
    <row r="1503" spans="10:15" x14ac:dyDescent="0.3">
      <c r="J1503"/>
      <c r="K1503" s="59"/>
      <c r="L1503" s="59"/>
      <c r="M1503" s="59"/>
      <c r="N1503" s="59"/>
      <c r="O1503" s="59"/>
    </row>
    <row r="1504" spans="10:15" x14ac:dyDescent="0.3">
      <c r="J1504"/>
      <c r="K1504" s="59"/>
      <c r="L1504" s="59"/>
      <c r="M1504" s="59"/>
      <c r="N1504" s="59"/>
      <c r="O1504" s="59"/>
    </row>
    <row r="1505" spans="10:15" x14ac:dyDescent="0.3">
      <c r="J1505"/>
      <c r="K1505" s="59"/>
      <c r="L1505" s="59"/>
      <c r="M1505" s="59"/>
      <c r="N1505" s="59"/>
      <c r="O1505" s="59"/>
    </row>
    <row r="1506" spans="10:15" x14ac:dyDescent="0.3">
      <c r="J1506"/>
      <c r="K1506" s="59"/>
      <c r="L1506" s="59"/>
      <c r="M1506" s="59"/>
      <c r="N1506" s="59"/>
      <c r="O1506" s="59"/>
    </row>
    <row r="1507" spans="10:15" x14ac:dyDescent="0.3">
      <c r="J1507"/>
      <c r="K1507" s="59"/>
      <c r="L1507" s="59"/>
      <c r="M1507" s="59"/>
      <c r="N1507" s="59"/>
      <c r="O1507" s="59"/>
    </row>
    <row r="1508" spans="10:15" x14ac:dyDescent="0.3">
      <c r="J1508"/>
      <c r="K1508" s="59"/>
      <c r="L1508" s="59"/>
      <c r="M1508" s="59"/>
      <c r="N1508" s="59"/>
      <c r="O1508" s="59"/>
    </row>
    <row r="1509" spans="10:15" x14ac:dyDescent="0.3">
      <c r="J1509"/>
      <c r="K1509" s="59"/>
      <c r="L1509" s="59"/>
      <c r="M1509" s="59"/>
      <c r="N1509" s="59"/>
      <c r="O1509" s="59"/>
    </row>
    <row r="1510" spans="10:15" x14ac:dyDescent="0.3">
      <c r="J1510"/>
      <c r="K1510" s="59"/>
      <c r="L1510" s="59"/>
      <c r="M1510" s="59"/>
      <c r="N1510" s="59"/>
      <c r="O1510" s="59"/>
    </row>
    <row r="1511" spans="10:15" x14ac:dyDescent="0.3">
      <c r="J1511"/>
      <c r="K1511" s="59"/>
      <c r="L1511" s="59"/>
      <c r="M1511" s="59"/>
      <c r="N1511" s="59"/>
      <c r="O1511" s="59"/>
    </row>
    <row r="1512" spans="10:15" x14ac:dyDescent="0.3">
      <c r="J1512"/>
      <c r="K1512" s="59"/>
      <c r="L1512" s="59"/>
      <c r="M1512" s="59"/>
      <c r="N1512" s="59"/>
      <c r="O1512" s="59"/>
    </row>
    <row r="1513" spans="10:15" x14ac:dyDescent="0.3">
      <c r="J1513"/>
      <c r="K1513" s="59"/>
      <c r="L1513" s="59"/>
      <c r="M1513" s="59"/>
      <c r="N1513" s="59"/>
      <c r="O1513" s="59"/>
    </row>
    <row r="1514" spans="10:15" x14ac:dyDescent="0.3">
      <c r="J1514"/>
      <c r="K1514" s="59"/>
      <c r="L1514" s="59"/>
      <c r="M1514" s="59"/>
      <c r="N1514" s="59"/>
      <c r="O1514" s="59"/>
    </row>
    <row r="1515" spans="10:15" x14ac:dyDescent="0.3">
      <c r="J1515"/>
      <c r="K1515" s="59"/>
      <c r="L1515" s="59"/>
      <c r="M1515" s="59"/>
      <c r="N1515" s="59"/>
      <c r="O1515" s="59"/>
    </row>
    <row r="1516" spans="10:15" x14ac:dyDescent="0.3">
      <c r="J1516"/>
      <c r="K1516" s="59"/>
      <c r="L1516" s="59"/>
      <c r="M1516" s="59"/>
      <c r="N1516" s="59"/>
      <c r="O1516" s="59"/>
    </row>
    <row r="1517" spans="10:15" x14ac:dyDescent="0.3">
      <c r="J1517"/>
      <c r="K1517" s="59"/>
      <c r="L1517" s="59"/>
      <c r="M1517" s="59"/>
      <c r="N1517" s="59"/>
      <c r="O1517" s="59"/>
    </row>
    <row r="1518" spans="10:15" x14ac:dyDescent="0.3">
      <c r="J1518"/>
      <c r="K1518" s="59"/>
      <c r="L1518" s="59"/>
      <c r="M1518" s="59"/>
      <c r="N1518" s="59"/>
      <c r="O1518" s="59"/>
    </row>
    <row r="1519" spans="10:15" x14ac:dyDescent="0.3">
      <c r="J1519"/>
      <c r="K1519" s="59"/>
      <c r="L1519" s="59"/>
      <c r="M1519" s="59"/>
      <c r="N1519" s="59"/>
      <c r="O1519" s="59"/>
    </row>
    <row r="1520" spans="10:15" x14ac:dyDescent="0.3">
      <c r="J1520"/>
      <c r="K1520" s="59"/>
      <c r="L1520" s="59"/>
      <c r="M1520" s="59"/>
      <c r="N1520" s="59"/>
      <c r="O1520" s="59"/>
    </row>
    <row r="1521" spans="10:15" x14ac:dyDescent="0.3">
      <c r="J1521"/>
      <c r="K1521" s="59"/>
      <c r="L1521" s="59"/>
      <c r="M1521" s="59"/>
      <c r="N1521" s="59"/>
      <c r="O1521" s="59"/>
    </row>
    <row r="1522" spans="10:15" x14ac:dyDescent="0.3">
      <c r="J1522"/>
      <c r="K1522" s="59"/>
      <c r="L1522" s="59"/>
      <c r="M1522" s="59"/>
      <c r="N1522" s="59"/>
      <c r="O1522" s="59"/>
    </row>
    <row r="1523" spans="10:15" x14ac:dyDescent="0.3">
      <c r="J1523"/>
      <c r="K1523" s="59"/>
      <c r="L1523" s="59"/>
      <c r="M1523" s="59"/>
      <c r="N1523" s="59"/>
      <c r="O1523" s="59"/>
    </row>
    <row r="1524" spans="10:15" x14ac:dyDescent="0.3">
      <c r="J1524"/>
      <c r="K1524" s="59"/>
      <c r="L1524" s="59"/>
      <c r="M1524" s="59"/>
      <c r="N1524" s="59"/>
      <c r="O1524" s="59"/>
    </row>
    <row r="1525" spans="10:15" x14ac:dyDescent="0.3">
      <c r="J1525"/>
      <c r="K1525" s="59"/>
      <c r="L1525" s="59"/>
      <c r="M1525" s="59"/>
      <c r="N1525" s="59"/>
      <c r="O1525" s="59"/>
    </row>
    <row r="1526" spans="10:15" x14ac:dyDescent="0.3">
      <c r="J1526"/>
      <c r="K1526" s="59"/>
      <c r="L1526" s="59"/>
      <c r="M1526" s="59"/>
      <c r="N1526" s="59"/>
      <c r="O1526" s="59"/>
    </row>
    <row r="1527" spans="10:15" x14ac:dyDescent="0.3">
      <c r="J1527"/>
      <c r="K1527" s="59"/>
      <c r="L1527" s="59"/>
      <c r="M1527" s="59"/>
      <c r="N1527" s="59"/>
      <c r="O1527" s="59"/>
    </row>
    <row r="1528" spans="10:15" x14ac:dyDescent="0.3">
      <c r="J1528"/>
      <c r="K1528" s="59"/>
      <c r="L1528" s="59"/>
      <c r="M1528" s="59"/>
      <c r="N1528" s="59"/>
      <c r="O1528" s="59"/>
    </row>
    <row r="1529" spans="10:15" x14ac:dyDescent="0.3">
      <c r="J1529"/>
      <c r="K1529" s="59"/>
      <c r="L1529" s="59"/>
      <c r="M1529" s="59"/>
      <c r="N1529" s="59"/>
      <c r="O1529" s="59"/>
    </row>
    <row r="1530" spans="10:15" x14ac:dyDescent="0.3">
      <c r="J1530"/>
      <c r="K1530" s="59"/>
      <c r="L1530" s="59"/>
      <c r="M1530" s="59"/>
      <c r="N1530" s="59"/>
      <c r="O1530" s="59"/>
    </row>
    <row r="1531" spans="10:15" x14ac:dyDescent="0.3">
      <c r="J1531"/>
      <c r="K1531" s="59"/>
      <c r="L1531" s="59"/>
      <c r="M1531" s="59"/>
      <c r="N1531" s="59"/>
      <c r="O1531" s="59"/>
    </row>
    <row r="1532" spans="10:15" x14ac:dyDescent="0.3">
      <c r="J1532"/>
      <c r="K1532" s="59"/>
      <c r="L1532" s="59"/>
      <c r="M1532" s="59"/>
      <c r="N1532" s="59"/>
      <c r="O1532" s="59"/>
    </row>
    <row r="1533" spans="10:15" x14ac:dyDescent="0.3">
      <c r="J1533"/>
      <c r="K1533" s="59"/>
      <c r="L1533" s="59"/>
      <c r="M1533" s="59"/>
      <c r="N1533" s="59"/>
      <c r="O1533" s="59"/>
    </row>
    <row r="1534" spans="10:15" x14ac:dyDescent="0.3">
      <c r="J1534"/>
      <c r="K1534" s="59"/>
      <c r="L1534" s="59"/>
      <c r="M1534" s="59"/>
      <c r="N1534" s="59"/>
      <c r="O1534" s="59"/>
    </row>
    <row r="1535" spans="10:15" x14ac:dyDescent="0.3">
      <c r="J1535"/>
      <c r="K1535" s="59"/>
      <c r="L1535" s="59"/>
      <c r="M1535" s="59"/>
      <c r="N1535" s="59"/>
      <c r="O1535" s="59"/>
    </row>
    <row r="1536" spans="10:15" x14ac:dyDescent="0.3">
      <c r="J1536"/>
      <c r="K1536" s="59"/>
      <c r="L1536" s="59"/>
      <c r="M1536" s="59"/>
      <c r="N1536" s="59"/>
      <c r="O1536" s="59"/>
    </row>
    <row r="1537" spans="10:15" x14ac:dyDescent="0.3">
      <c r="J1537"/>
      <c r="K1537" s="59"/>
      <c r="L1537" s="59"/>
      <c r="M1537" s="59"/>
      <c r="N1537" s="59"/>
      <c r="O1537" s="59"/>
    </row>
    <row r="1538" spans="10:15" x14ac:dyDescent="0.3">
      <c r="J1538"/>
      <c r="K1538" s="59"/>
      <c r="L1538" s="59"/>
      <c r="M1538" s="59"/>
      <c r="N1538" s="59"/>
      <c r="O1538" s="59"/>
    </row>
    <row r="1539" spans="10:15" x14ac:dyDescent="0.3">
      <c r="J1539"/>
      <c r="K1539" s="59"/>
      <c r="L1539" s="59"/>
      <c r="M1539" s="59"/>
      <c r="N1539" s="59"/>
      <c r="O1539" s="59"/>
    </row>
    <row r="1540" spans="10:15" x14ac:dyDescent="0.3">
      <c r="J1540"/>
      <c r="K1540" s="59"/>
      <c r="L1540" s="59"/>
      <c r="M1540" s="59"/>
      <c r="N1540" s="59"/>
      <c r="O1540" s="59"/>
    </row>
    <row r="1541" spans="10:15" x14ac:dyDescent="0.3">
      <c r="J1541"/>
      <c r="K1541" s="59"/>
      <c r="L1541" s="59"/>
      <c r="M1541" s="59"/>
      <c r="N1541" s="59"/>
      <c r="O1541" s="59"/>
    </row>
    <row r="1542" spans="10:15" x14ac:dyDescent="0.3">
      <c r="J1542"/>
      <c r="K1542" s="59"/>
      <c r="L1542" s="59"/>
      <c r="M1542" s="59"/>
      <c r="N1542" s="59"/>
      <c r="O1542" s="59"/>
    </row>
    <row r="1543" spans="10:15" x14ac:dyDescent="0.3">
      <c r="J1543"/>
      <c r="K1543" s="59"/>
      <c r="L1543" s="59"/>
      <c r="M1543" s="59"/>
      <c r="N1543" s="59"/>
      <c r="O1543" s="59"/>
    </row>
    <row r="1544" spans="10:15" x14ac:dyDescent="0.3">
      <c r="J1544"/>
      <c r="K1544" s="59"/>
      <c r="L1544" s="59"/>
      <c r="M1544" s="59"/>
      <c r="N1544" s="59"/>
      <c r="O1544" s="59"/>
    </row>
    <row r="1545" spans="10:15" x14ac:dyDescent="0.3">
      <c r="J1545"/>
      <c r="K1545" s="59"/>
      <c r="L1545" s="59"/>
      <c r="M1545" s="59"/>
      <c r="N1545" s="59"/>
      <c r="O1545" s="59"/>
    </row>
    <row r="1546" spans="10:15" x14ac:dyDescent="0.3">
      <c r="J1546"/>
      <c r="K1546" s="59"/>
      <c r="L1546" s="59"/>
      <c r="M1546" s="59"/>
      <c r="N1546" s="59"/>
      <c r="O1546" s="59"/>
    </row>
    <row r="1547" spans="10:15" x14ac:dyDescent="0.3">
      <c r="J1547"/>
      <c r="K1547" s="59"/>
      <c r="L1547" s="59"/>
      <c r="M1547" s="59"/>
      <c r="N1547" s="59"/>
      <c r="O1547" s="59"/>
    </row>
    <row r="1548" spans="10:15" x14ac:dyDescent="0.3">
      <c r="J1548"/>
      <c r="K1548" s="59"/>
      <c r="L1548" s="59"/>
      <c r="M1548" s="59"/>
      <c r="N1548" s="59"/>
      <c r="O1548" s="59"/>
    </row>
    <row r="1549" spans="10:15" x14ac:dyDescent="0.3">
      <c r="J1549"/>
      <c r="K1549" s="59"/>
      <c r="L1549" s="59"/>
      <c r="M1549" s="59"/>
      <c r="N1549" s="59"/>
      <c r="O1549" s="59"/>
    </row>
    <row r="1550" spans="10:15" x14ac:dyDescent="0.3">
      <c r="J1550"/>
      <c r="K1550" s="59"/>
      <c r="L1550" s="59"/>
      <c r="M1550" s="59"/>
      <c r="N1550" s="59"/>
      <c r="O1550" s="59"/>
    </row>
    <row r="1551" spans="10:15" x14ac:dyDescent="0.3">
      <c r="J1551"/>
      <c r="K1551" s="59"/>
      <c r="L1551" s="59"/>
      <c r="M1551" s="59"/>
      <c r="N1551" s="59"/>
      <c r="O1551" s="59"/>
    </row>
    <row r="1552" spans="10:15" x14ac:dyDescent="0.3">
      <c r="J1552"/>
      <c r="K1552" s="59"/>
      <c r="L1552" s="59"/>
      <c r="M1552" s="59"/>
      <c r="N1552" s="59"/>
      <c r="O1552" s="59"/>
    </row>
    <row r="1553" spans="10:15" x14ac:dyDescent="0.3">
      <c r="J1553"/>
      <c r="K1553" s="59"/>
      <c r="L1553" s="59"/>
      <c r="M1553" s="59"/>
      <c r="N1553" s="59"/>
      <c r="O1553" s="59"/>
    </row>
    <row r="1554" spans="10:15" x14ac:dyDescent="0.3">
      <c r="J1554"/>
      <c r="K1554" s="59"/>
      <c r="L1554" s="59"/>
      <c r="M1554" s="59"/>
      <c r="N1554" s="59"/>
      <c r="O1554" s="59"/>
    </row>
    <row r="1555" spans="10:15" x14ac:dyDescent="0.3">
      <c r="J1555"/>
      <c r="K1555" s="59"/>
      <c r="L1555" s="59"/>
      <c r="M1555" s="59"/>
      <c r="N1555" s="59"/>
      <c r="O1555" s="59"/>
    </row>
    <row r="1556" spans="10:15" x14ac:dyDescent="0.3">
      <c r="J1556"/>
      <c r="K1556" s="59"/>
      <c r="L1556" s="59"/>
      <c r="M1556" s="59"/>
      <c r="N1556" s="59"/>
      <c r="O1556" s="59"/>
    </row>
    <row r="1557" spans="10:15" x14ac:dyDescent="0.3">
      <c r="J1557"/>
      <c r="K1557" s="59"/>
      <c r="L1557" s="59"/>
      <c r="M1557" s="59"/>
      <c r="N1557" s="59"/>
      <c r="O1557" s="59"/>
    </row>
    <row r="1558" spans="10:15" x14ac:dyDescent="0.3">
      <c r="J1558"/>
      <c r="K1558" s="59"/>
      <c r="L1558" s="59"/>
      <c r="M1558" s="59"/>
      <c r="N1558" s="59"/>
      <c r="O1558" s="59"/>
    </row>
    <row r="1559" spans="10:15" x14ac:dyDescent="0.3">
      <c r="J1559"/>
      <c r="K1559" s="59"/>
      <c r="L1559" s="59"/>
      <c r="M1559" s="59"/>
      <c r="N1559" s="59"/>
      <c r="O1559" s="59"/>
    </row>
    <row r="1560" spans="10:15" x14ac:dyDescent="0.3">
      <c r="J1560"/>
      <c r="K1560" s="59"/>
      <c r="L1560" s="59"/>
      <c r="M1560" s="59"/>
      <c r="N1560" s="59"/>
      <c r="O1560" s="59"/>
    </row>
    <row r="1561" spans="10:15" x14ac:dyDescent="0.3">
      <c r="J1561"/>
      <c r="K1561" s="59"/>
      <c r="L1561" s="59"/>
      <c r="M1561" s="59"/>
      <c r="N1561" s="59"/>
      <c r="O1561" s="59"/>
    </row>
    <row r="1562" spans="10:15" x14ac:dyDescent="0.3">
      <c r="J1562"/>
      <c r="K1562" s="59"/>
      <c r="L1562" s="59"/>
      <c r="M1562" s="59"/>
      <c r="N1562" s="59"/>
      <c r="O1562" s="59"/>
    </row>
    <row r="1563" spans="10:15" x14ac:dyDescent="0.3">
      <c r="J1563"/>
      <c r="K1563" s="59"/>
      <c r="L1563" s="59"/>
      <c r="M1563" s="59"/>
      <c r="N1563" s="59"/>
      <c r="O1563" s="59"/>
    </row>
    <row r="1564" spans="10:15" x14ac:dyDescent="0.3">
      <c r="J1564"/>
      <c r="K1564" s="59"/>
      <c r="L1564" s="59"/>
      <c r="M1564" s="59"/>
      <c r="N1564" s="59"/>
      <c r="O1564" s="59"/>
    </row>
    <row r="1565" spans="10:15" x14ac:dyDescent="0.3">
      <c r="J1565"/>
      <c r="K1565" s="59"/>
      <c r="L1565" s="59"/>
      <c r="M1565" s="59"/>
      <c r="N1565" s="59"/>
      <c r="O1565" s="59"/>
    </row>
    <row r="1566" spans="10:15" x14ac:dyDescent="0.3">
      <c r="J1566"/>
      <c r="K1566" s="59"/>
      <c r="L1566" s="59"/>
      <c r="M1566" s="59"/>
      <c r="N1566" s="59"/>
      <c r="O1566" s="59"/>
    </row>
    <row r="1567" spans="10:15" x14ac:dyDescent="0.3">
      <c r="J1567"/>
      <c r="K1567" s="59"/>
      <c r="L1567" s="59"/>
      <c r="M1567" s="59"/>
      <c r="N1567" s="59"/>
      <c r="O1567" s="59"/>
    </row>
    <row r="1568" spans="10:15" x14ac:dyDescent="0.3">
      <c r="J1568"/>
      <c r="K1568" s="59"/>
      <c r="L1568" s="59"/>
      <c r="M1568" s="59"/>
      <c r="N1568" s="59"/>
      <c r="O1568" s="59"/>
    </row>
    <row r="1569" spans="10:15" x14ac:dyDescent="0.3">
      <c r="J1569"/>
      <c r="K1569" s="59"/>
      <c r="L1569" s="59"/>
      <c r="M1569" s="59"/>
      <c r="N1569" s="59"/>
      <c r="O1569" s="59"/>
    </row>
    <row r="1570" spans="10:15" x14ac:dyDescent="0.3">
      <c r="J1570"/>
      <c r="K1570" s="59"/>
      <c r="L1570" s="59"/>
      <c r="M1570" s="59"/>
      <c r="N1570" s="59"/>
      <c r="O1570" s="59"/>
    </row>
    <row r="1571" spans="10:15" x14ac:dyDescent="0.3">
      <c r="J1571"/>
      <c r="K1571" s="59"/>
      <c r="L1571" s="59"/>
      <c r="M1571" s="59"/>
      <c r="N1571" s="59"/>
      <c r="O1571" s="59"/>
    </row>
    <row r="1572" spans="10:15" x14ac:dyDescent="0.3">
      <c r="J1572"/>
      <c r="K1572" s="59"/>
      <c r="L1572" s="59"/>
      <c r="M1572" s="59"/>
      <c r="N1572" s="59"/>
      <c r="O1572" s="59"/>
    </row>
    <row r="1573" spans="10:15" x14ac:dyDescent="0.3">
      <c r="J1573"/>
      <c r="K1573" s="59"/>
      <c r="L1573" s="59"/>
      <c r="M1573" s="59"/>
      <c r="N1573" s="59"/>
      <c r="O1573" s="59"/>
    </row>
    <row r="1574" spans="10:15" x14ac:dyDescent="0.3">
      <c r="J1574"/>
      <c r="K1574" s="59"/>
      <c r="L1574" s="59"/>
      <c r="M1574" s="59"/>
      <c r="N1574" s="59"/>
      <c r="O1574" s="59"/>
    </row>
    <row r="1575" spans="10:15" x14ac:dyDescent="0.3">
      <c r="J1575"/>
      <c r="K1575" s="59"/>
      <c r="L1575" s="59"/>
      <c r="M1575" s="59"/>
      <c r="N1575" s="59"/>
      <c r="O1575" s="59"/>
    </row>
    <row r="1576" spans="10:15" x14ac:dyDescent="0.3">
      <c r="J1576"/>
      <c r="K1576" s="59"/>
      <c r="L1576" s="59"/>
      <c r="M1576" s="59"/>
      <c r="N1576" s="59"/>
      <c r="O1576" s="59"/>
    </row>
    <row r="1577" spans="10:15" x14ac:dyDescent="0.3">
      <c r="J1577"/>
      <c r="K1577" s="59"/>
      <c r="L1577" s="59"/>
      <c r="M1577" s="59"/>
      <c r="N1577" s="59"/>
      <c r="O1577" s="59"/>
    </row>
    <row r="1578" spans="10:15" x14ac:dyDescent="0.3">
      <c r="J1578"/>
      <c r="K1578" s="59"/>
      <c r="L1578" s="59"/>
      <c r="M1578" s="59"/>
      <c r="N1578" s="59"/>
      <c r="O1578" s="59"/>
    </row>
    <row r="1579" spans="10:15" x14ac:dyDescent="0.3">
      <c r="J1579"/>
      <c r="K1579" s="59"/>
      <c r="L1579" s="59"/>
      <c r="M1579" s="59"/>
      <c r="N1579" s="59"/>
      <c r="O1579" s="59"/>
    </row>
    <row r="1580" spans="10:15" x14ac:dyDescent="0.3">
      <c r="J1580"/>
    </row>
    <row r="1581" spans="10:15" x14ac:dyDescent="0.3">
      <c r="J1581"/>
    </row>
    <row r="1582" spans="10:15" x14ac:dyDescent="0.3">
      <c r="J1582"/>
    </row>
    <row r="1583" spans="10:15" x14ac:dyDescent="0.3">
      <c r="J1583"/>
    </row>
    <row r="1584" spans="10:15" x14ac:dyDescent="0.3">
      <c r="J1584"/>
    </row>
    <row r="1585" spans="10:10" x14ac:dyDescent="0.3">
      <c r="J1585"/>
    </row>
    <row r="1586" spans="10:10" x14ac:dyDescent="0.3">
      <c r="J1586"/>
    </row>
    <row r="1587" spans="10:10" x14ac:dyDescent="0.3">
      <c r="J1587"/>
    </row>
    <row r="1588" spans="10:10" x14ac:dyDescent="0.3">
      <c r="J1588"/>
    </row>
    <row r="1589" spans="10:10" x14ac:dyDescent="0.3">
      <c r="J1589"/>
    </row>
    <row r="1590" spans="10:10" x14ac:dyDescent="0.3">
      <c r="J1590"/>
    </row>
    <row r="1591" spans="10:10" x14ac:dyDescent="0.3">
      <c r="J1591"/>
    </row>
    <row r="1592" spans="10:10" x14ac:dyDescent="0.3">
      <c r="J1592"/>
    </row>
    <row r="1593" spans="10:10" x14ac:dyDescent="0.3">
      <c r="J1593"/>
    </row>
    <row r="1594" spans="10:10" x14ac:dyDescent="0.3">
      <c r="J1594"/>
    </row>
    <row r="1595" spans="10:10" x14ac:dyDescent="0.3">
      <c r="J1595"/>
    </row>
    <row r="1596" spans="10:10" x14ac:dyDescent="0.3">
      <c r="J1596"/>
    </row>
    <row r="1597" spans="10:10" x14ac:dyDescent="0.3">
      <c r="J1597"/>
    </row>
    <row r="1598" spans="10:10" x14ac:dyDescent="0.3">
      <c r="J1598"/>
    </row>
    <row r="1599" spans="10:10" x14ac:dyDescent="0.3">
      <c r="J1599"/>
    </row>
    <row r="1600" spans="10:10" x14ac:dyDescent="0.3">
      <c r="J1600"/>
    </row>
    <row r="1601" spans="10:10" x14ac:dyDescent="0.3">
      <c r="J1601"/>
    </row>
    <row r="1602" spans="10:10" x14ac:dyDescent="0.3">
      <c r="J1602"/>
    </row>
    <row r="1603" spans="10:10" x14ac:dyDescent="0.3">
      <c r="J1603"/>
    </row>
    <row r="1604" spans="10:10" x14ac:dyDescent="0.3">
      <c r="J1604"/>
    </row>
    <row r="1605" spans="10:10" x14ac:dyDescent="0.3">
      <c r="J1605"/>
    </row>
    <row r="1606" spans="10:10" x14ac:dyDescent="0.3">
      <c r="J1606"/>
    </row>
    <row r="1607" spans="10:10" x14ac:dyDescent="0.3">
      <c r="J1607"/>
    </row>
    <row r="1608" spans="10:10" x14ac:dyDescent="0.3">
      <c r="J1608"/>
    </row>
    <row r="1609" spans="10:10" x14ac:dyDescent="0.3">
      <c r="J1609"/>
    </row>
    <row r="1610" spans="10:10" x14ac:dyDescent="0.3">
      <c r="J1610"/>
    </row>
    <row r="1611" spans="10:10" x14ac:dyDescent="0.3">
      <c r="J1611"/>
    </row>
    <row r="1612" spans="10:10" x14ac:dyDescent="0.3">
      <c r="J1612"/>
    </row>
    <row r="1613" spans="10:10" x14ac:dyDescent="0.3">
      <c r="J1613"/>
    </row>
    <row r="1614" spans="10:10" x14ac:dyDescent="0.3">
      <c r="J1614"/>
    </row>
    <row r="1615" spans="10:10" x14ac:dyDescent="0.3">
      <c r="J1615"/>
    </row>
    <row r="1616" spans="10:10" x14ac:dyDescent="0.3">
      <c r="J1616"/>
    </row>
    <row r="1617" spans="10:10" x14ac:dyDescent="0.3">
      <c r="J1617"/>
    </row>
    <row r="1618" spans="10:10" x14ac:dyDescent="0.3">
      <c r="J1618"/>
    </row>
    <row r="1619" spans="10:10" x14ac:dyDescent="0.3">
      <c r="J1619"/>
    </row>
    <row r="1620" spans="10:10" x14ac:dyDescent="0.3">
      <c r="J1620"/>
    </row>
    <row r="1621" spans="10:10" x14ac:dyDescent="0.3">
      <c r="J1621"/>
    </row>
    <row r="1622" spans="10:10" x14ac:dyDescent="0.3">
      <c r="J1622"/>
    </row>
    <row r="1623" spans="10:10" x14ac:dyDescent="0.3">
      <c r="J1623"/>
    </row>
    <row r="1624" spans="10:10" x14ac:dyDescent="0.3">
      <c r="J1624"/>
    </row>
    <row r="1625" spans="10:10" x14ac:dyDescent="0.3">
      <c r="J1625"/>
    </row>
    <row r="1626" spans="10:10" x14ac:dyDescent="0.3">
      <c r="J1626"/>
    </row>
    <row r="1627" spans="10:10" x14ac:dyDescent="0.3">
      <c r="J1627"/>
    </row>
    <row r="1628" spans="10:10" x14ac:dyDescent="0.3">
      <c r="J1628"/>
    </row>
    <row r="1629" spans="10:10" x14ac:dyDescent="0.3">
      <c r="J1629"/>
    </row>
    <row r="1630" spans="10:10" x14ac:dyDescent="0.3">
      <c r="J1630"/>
    </row>
    <row r="1631" spans="10:10" x14ac:dyDescent="0.3">
      <c r="J1631"/>
    </row>
    <row r="1632" spans="10:10" x14ac:dyDescent="0.3">
      <c r="J1632"/>
    </row>
    <row r="1633" spans="10:10" x14ac:dyDescent="0.3">
      <c r="J1633"/>
    </row>
    <row r="1634" spans="10:10" x14ac:dyDescent="0.3">
      <c r="J1634"/>
    </row>
    <row r="1635" spans="10:10" x14ac:dyDescent="0.3">
      <c r="J1635"/>
    </row>
    <row r="1636" spans="10:10" x14ac:dyDescent="0.3">
      <c r="J1636"/>
    </row>
    <row r="1637" spans="10:10" x14ac:dyDescent="0.3">
      <c r="J1637"/>
    </row>
    <row r="1638" spans="10:10" x14ac:dyDescent="0.3">
      <c r="J1638"/>
    </row>
    <row r="1639" spans="10:10" x14ac:dyDescent="0.3">
      <c r="J1639"/>
    </row>
    <row r="1640" spans="10:10" x14ac:dyDescent="0.3">
      <c r="J1640"/>
    </row>
    <row r="1641" spans="10:10" x14ac:dyDescent="0.3">
      <c r="J1641"/>
    </row>
    <row r="1642" spans="10:10" x14ac:dyDescent="0.3">
      <c r="J1642"/>
    </row>
    <row r="1643" spans="10:10" x14ac:dyDescent="0.3">
      <c r="J1643"/>
    </row>
    <row r="1644" spans="10:10" x14ac:dyDescent="0.3">
      <c r="J1644"/>
    </row>
    <row r="1645" spans="10:10" x14ac:dyDescent="0.3">
      <c r="J1645"/>
    </row>
    <row r="1646" spans="10:10" x14ac:dyDescent="0.3">
      <c r="J1646"/>
    </row>
    <row r="1647" spans="10:10" x14ac:dyDescent="0.3">
      <c r="J1647"/>
    </row>
    <row r="1648" spans="10:10" x14ac:dyDescent="0.3">
      <c r="J1648"/>
    </row>
    <row r="1649" spans="10:10" x14ac:dyDescent="0.3">
      <c r="J1649"/>
    </row>
    <row r="1650" spans="10:10" x14ac:dyDescent="0.3">
      <c r="J1650"/>
    </row>
    <row r="1651" spans="10:10" x14ac:dyDescent="0.3">
      <c r="J1651"/>
    </row>
    <row r="1652" spans="10:10" x14ac:dyDescent="0.3">
      <c r="J1652"/>
    </row>
    <row r="1653" spans="10:10" x14ac:dyDescent="0.3">
      <c r="J1653"/>
    </row>
    <row r="1654" spans="10:10" x14ac:dyDescent="0.3">
      <c r="J1654"/>
    </row>
    <row r="1655" spans="10:10" x14ac:dyDescent="0.3">
      <c r="J1655"/>
    </row>
    <row r="1656" spans="10:10" x14ac:dyDescent="0.3">
      <c r="J1656"/>
    </row>
    <row r="1657" spans="10:10" x14ac:dyDescent="0.3">
      <c r="J1657"/>
    </row>
    <row r="1658" spans="10:10" x14ac:dyDescent="0.3">
      <c r="J1658"/>
    </row>
    <row r="1659" spans="10:10" x14ac:dyDescent="0.3">
      <c r="J1659"/>
    </row>
    <row r="1660" spans="10:10" x14ac:dyDescent="0.3">
      <c r="J1660"/>
    </row>
    <row r="1661" spans="10:10" x14ac:dyDescent="0.3">
      <c r="J1661"/>
    </row>
    <row r="1662" spans="10:10" x14ac:dyDescent="0.3">
      <c r="J1662"/>
    </row>
    <row r="1663" spans="10:10" x14ac:dyDescent="0.3">
      <c r="J1663"/>
    </row>
    <row r="1664" spans="10:10" x14ac:dyDescent="0.3">
      <c r="J1664"/>
    </row>
    <row r="1665" spans="10:10" x14ac:dyDescent="0.3">
      <c r="J1665"/>
    </row>
    <row r="1666" spans="10:10" x14ac:dyDescent="0.3">
      <c r="J1666"/>
    </row>
    <row r="1667" spans="10:10" x14ac:dyDescent="0.3">
      <c r="J1667"/>
    </row>
    <row r="1668" spans="10:10" x14ac:dyDescent="0.3">
      <c r="J1668"/>
    </row>
    <row r="1669" spans="10:10" x14ac:dyDescent="0.3">
      <c r="J1669"/>
    </row>
    <row r="1670" spans="10:10" x14ac:dyDescent="0.3">
      <c r="J1670"/>
    </row>
    <row r="1671" spans="10:10" x14ac:dyDescent="0.3">
      <c r="J1671"/>
    </row>
    <row r="1672" spans="10:10" x14ac:dyDescent="0.3">
      <c r="J1672"/>
    </row>
    <row r="1673" spans="10:10" x14ac:dyDescent="0.3">
      <c r="J1673"/>
    </row>
    <row r="1674" spans="10:10" x14ac:dyDescent="0.3">
      <c r="J1674"/>
    </row>
    <row r="1675" spans="10:10" x14ac:dyDescent="0.3">
      <c r="J1675"/>
    </row>
    <row r="1676" spans="10:10" x14ac:dyDescent="0.3">
      <c r="J1676"/>
    </row>
    <row r="1677" spans="10:10" x14ac:dyDescent="0.3">
      <c r="J1677"/>
    </row>
    <row r="1678" spans="10:10" x14ac:dyDescent="0.3">
      <c r="J1678"/>
    </row>
    <row r="1679" spans="10:10" x14ac:dyDescent="0.3">
      <c r="J1679"/>
    </row>
    <row r="1680" spans="10:10" x14ac:dyDescent="0.3">
      <c r="J1680"/>
    </row>
    <row r="1681" spans="10:10" x14ac:dyDescent="0.3">
      <c r="J1681"/>
    </row>
    <row r="1682" spans="10:10" x14ac:dyDescent="0.3">
      <c r="J1682"/>
    </row>
    <row r="1683" spans="10:10" x14ac:dyDescent="0.3">
      <c r="J1683"/>
    </row>
    <row r="1684" spans="10:10" x14ac:dyDescent="0.3">
      <c r="J1684"/>
    </row>
    <row r="1685" spans="10:10" x14ac:dyDescent="0.3">
      <c r="J1685"/>
    </row>
    <row r="1686" spans="10:10" x14ac:dyDescent="0.3">
      <c r="J1686"/>
    </row>
    <row r="1687" spans="10:10" x14ac:dyDescent="0.3">
      <c r="J1687"/>
    </row>
    <row r="1688" spans="10:10" x14ac:dyDescent="0.3">
      <c r="J1688"/>
    </row>
    <row r="1689" spans="10:10" x14ac:dyDescent="0.3">
      <c r="J1689"/>
    </row>
    <row r="1690" spans="10:10" x14ac:dyDescent="0.3">
      <c r="J1690"/>
    </row>
    <row r="1691" spans="10:10" x14ac:dyDescent="0.3">
      <c r="J1691"/>
    </row>
    <row r="1692" spans="10:10" x14ac:dyDescent="0.3">
      <c r="J1692"/>
    </row>
    <row r="1693" spans="10:10" x14ac:dyDescent="0.3">
      <c r="J1693"/>
    </row>
    <row r="1694" spans="10:10" x14ac:dyDescent="0.3">
      <c r="J1694"/>
    </row>
    <row r="1695" spans="10:10" x14ac:dyDescent="0.3">
      <c r="J1695"/>
    </row>
    <row r="1696" spans="10:10" x14ac:dyDescent="0.3">
      <c r="J1696"/>
    </row>
    <row r="1697" spans="10:10" x14ac:dyDescent="0.3">
      <c r="J1697"/>
    </row>
    <row r="1698" spans="10:10" x14ac:dyDescent="0.3">
      <c r="J1698"/>
    </row>
    <row r="1699" spans="10:10" x14ac:dyDescent="0.3">
      <c r="J1699"/>
    </row>
    <row r="1700" spans="10:10" x14ac:dyDescent="0.3">
      <c r="J1700"/>
    </row>
    <row r="1701" spans="10:10" x14ac:dyDescent="0.3">
      <c r="J1701"/>
    </row>
    <row r="1702" spans="10:10" x14ac:dyDescent="0.3">
      <c r="J1702"/>
    </row>
    <row r="1703" spans="10:10" x14ac:dyDescent="0.3">
      <c r="J1703"/>
    </row>
    <row r="1704" spans="10:10" x14ac:dyDescent="0.3">
      <c r="J1704"/>
    </row>
    <row r="1705" spans="10:10" x14ac:dyDescent="0.3">
      <c r="J1705"/>
    </row>
    <row r="1706" spans="10:10" x14ac:dyDescent="0.3">
      <c r="J1706"/>
    </row>
    <row r="1707" spans="10:10" x14ac:dyDescent="0.3">
      <c r="J1707"/>
    </row>
    <row r="1708" spans="10:10" x14ac:dyDescent="0.3">
      <c r="J1708"/>
    </row>
    <row r="1709" spans="10:10" x14ac:dyDescent="0.3">
      <c r="J1709"/>
    </row>
    <row r="1710" spans="10:10" x14ac:dyDescent="0.3">
      <c r="J1710"/>
    </row>
    <row r="1711" spans="10:10" x14ac:dyDescent="0.3">
      <c r="J1711"/>
    </row>
    <row r="1712" spans="10:10" x14ac:dyDescent="0.3">
      <c r="J1712"/>
    </row>
    <row r="1713" spans="10:10" x14ac:dyDescent="0.3">
      <c r="J1713"/>
    </row>
    <row r="1714" spans="10:10" x14ac:dyDescent="0.3">
      <c r="J1714"/>
    </row>
    <row r="1715" spans="10:10" x14ac:dyDescent="0.3">
      <c r="J1715"/>
    </row>
    <row r="1716" spans="10:10" x14ac:dyDescent="0.3">
      <c r="J1716"/>
    </row>
    <row r="1717" spans="10:10" x14ac:dyDescent="0.3">
      <c r="J1717"/>
    </row>
    <row r="1718" spans="10:10" x14ac:dyDescent="0.3">
      <c r="J1718"/>
    </row>
    <row r="1719" spans="10:10" x14ac:dyDescent="0.3">
      <c r="J1719"/>
    </row>
    <row r="1720" spans="10:10" x14ac:dyDescent="0.3">
      <c r="J1720"/>
    </row>
    <row r="1721" spans="10:10" x14ac:dyDescent="0.3">
      <c r="J1721"/>
    </row>
    <row r="1722" spans="10:10" x14ac:dyDescent="0.3">
      <c r="J1722"/>
    </row>
    <row r="1723" spans="10:10" x14ac:dyDescent="0.3">
      <c r="J1723"/>
    </row>
    <row r="1724" spans="10:10" x14ac:dyDescent="0.3">
      <c r="J1724"/>
    </row>
    <row r="1725" spans="10:10" x14ac:dyDescent="0.3">
      <c r="J1725"/>
    </row>
    <row r="1726" spans="10:10" x14ac:dyDescent="0.3">
      <c r="J1726"/>
    </row>
    <row r="1727" spans="10:10" x14ac:dyDescent="0.3">
      <c r="J1727"/>
    </row>
    <row r="1728" spans="10:10" x14ac:dyDescent="0.3">
      <c r="J1728"/>
    </row>
    <row r="1729" spans="10:10" x14ac:dyDescent="0.3">
      <c r="J1729"/>
    </row>
    <row r="1730" spans="10:10" x14ac:dyDescent="0.3">
      <c r="J1730"/>
    </row>
    <row r="1731" spans="10:10" x14ac:dyDescent="0.3">
      <c r="J1731"/>
    </row>
    <row r="1732" spans="10:10" x14ac:dyDescent="0.3">
      <c r="J1732"/>
    </row>
    <row r="1733" spans="10:10" x14ac:dyDescent="0.3">
      <c r="J1733"/>
    </row>
    <row r="1734" spans="10:10" x14ac:dyDescent="0.3">
      <c r="J1734"/>
    </row>
    <row r="1735" spans="10:10" x14ac:dyDescent="0.3">
      <c r="J1735"/>
    </row>
    <row r="1736" spans="10:10" x14ac:dyDescent="0.3">
      <c r="J1736"/>
    </row>
    <row r="1737" spans="10:10" x14ac:dyDescent="0.3">
      <c r="J1737"/>
    </row>
    <row r="1738" spans="10:10" x14ac:dyDescent="0.3">
      <c r="J1738"/>
    </row>
    <row r="1739" spans="10:10" x14ac:dyDescent="0.3">
      <c r="J1739"/>
    </row>
    <row r="1740" spans="10:10" x14ac:dyDescent="0.3">
      <c r="J1740"/>
    </row>
    <row r="1741" spans="10:10" x14ac:dyDescent="0.3">
      <c r="J1741"/>
    </row>
    <row r="1742" spans="10:10" x14ac:dyDescent="0.3">
      <c r="J1742"/>
    </row>
    <row r="1743" spans="10:10" x14ac:dyDescent="0.3">
      <c r="J1743"/>
    </row>
    <row r="1744" spans="10:10" x14ac:dyDescent="0.3">
      <c r="J1744"/>
    </row>
    <row r="1745" spans="10:10" x14ac:dyDescent="0.3">
      <c r="J1745"/>
    </row>
    <row r="1746" spans="10:10" x14ac:dyDescent="0.3">
      <c r="J1746"/>
    </row>
    <row r="1747" spans="10:10" x14ac:dyDescent="0.3">
      <c r="J1747"/>
    </row>
    <row r="1748" spans="10:10" x14ac:dyDescent="0.3">
      <c r="J1748"/>
    </row>
    <row r="1749" spans="10:10" x14ac:dyDescent="0.3">
      <c r="J1749"/>
    </row>
    <row r="1750" spans="10:10" x14ac:dyDescent="0.3">
      <c r="J1750"/>
    </row>
    <row r="1751" spans="10:10" x14ac:dyDescent="0.3">
      <c r="J1751"/>
    </row>
    <row r="1752" spans="10:10" x14ac:dyDescent="0.3">
      <c r="J1752"/>
    </row>
    <row r="1753" spans="10:10" x14ac:dyDescent="0.3">
      <c r="J1753"/>
    </row>
    <row r="1754" spans="10:10" x14ac:dyDescent="0.3">
      <c r="J1754"/>
    </row>
    <row r="1755" spans="10:10" x14ac:dyDescent="0.3">
      <c r="J1755"/>
    </row>
    <row r="1756" spans="10:10" x14ac:dyDescent="0.3">
      <c r="J1756"/>
    </row>
    <row r="1757" spans="10:10" x14ac:dyDescent="0.3">
      <c r="J1757"/>
    </row>
    <row r="1758" spans="10:10" x14ac:dyDescent="0.3">
      <c r="J1758"/>
    </row>
    <row r="1759" spans="10:10" x14ac:dyDescent="0.3">
      <c r="J1759"/>
    </row>
    <row r="1760" spans="10:10" x14ac:dyDescent="0.3">
      <c r="J1760"/>
    </row>
    <row r="1761" spans="10:10" x14ac:dyDescent="0.3">
      <c r="J1761"/>
    </row>
    <row r="1762" spans="10:10" x14ac:dyDescent="0.3">
      <c r="J1762"/>
    </row>
    <row r="1763" spans="10:10" x14ac:dyDescent="0.3">
      <c r="J1763"/>
    </row>
    <row r="1764" spans="10:10" x14ac:dyDescent="0.3">
      <c r="J1764"/>
    </row>
    <row r="1765" spans="10:10" x14ac:dyDescent="0.3">
      <c r="J1765"/>
    </row>
    <row r="1766" spans="10:10" x14ac:dyDescent="0.3">
      <c r="J1766"/>
    </row>
    <row r="1767" spans="10:10" x14ac:dyDescent="0.3">
      <c r="J1767"/>
    </row>
    <row r="1768" spans="10:10" x14ac:dyDescent="0.3">
      <c r="J1768"/>
    </row>
    <row r="1769" spans="10:10" x14ac:dyDescent="0.3">
      <c r="J1769"/>
    </row>
    <row r="1770" spans="10:10" x14ac:dyDescent="0.3">
      <c r="J1770"/>
    </row>
    <row r="1771" spans="10:10" x14ac:dyDescent="0.3">
      <c r="J1771"/>
    </row>
    <row r="1772" spans="10:10" x14ac:dyDescent="0.3">
      <c r="J1772"/>
    </row>
    <row r="1773" spans="10:10" x14ac:dyDescent="0.3">
      <c r="J1773"/>
    </row>
    <row r="1774" spans="10:10" x14ac:dyDescent="0.3">
      <c r="J1774"/>
    </row>
    <row r="1775" spans="10:10" x14ac:dyDescent="0.3">
      <c r="J1775"/>
    </row>
    <row r="1776" spans="10:10" x14ac:dyDescent="0.3">
      <c r="J1776"/>
    </row>
    <row r="1777" spans="10:10" x14ac:dyDescent="0.3">
      <c r="J1777"/>
    </row>
    <row r="1778" spans="10:10" x14ac:dyDescent="0.3">
      <c r="J1778"/>
    </row>
    <row r="1779" spans="10:10" x14ac:dyDescent="0.3">
      <c r="J1779"/>
    </row>
    <row r="1780" spans="10:10" x14ac:dyDescent="0.3">
      <c r="J1780"/>
    </row>
    <row r="1781" spans="10:10" x14ac:dyDescent="0.3">
      <c r="J1781"/>
    </row>
    <row r="1782" spans="10:10" x14ac:dyDescent="0.3">
      <c r="J1782"/>
    </row>
    <row r="1783" spans="10:10" x14ac:dyDescent="0.3">
      <c r="J1783"/>
    </row>
    <row r="1784" spans="10:10" x14ac:dyDescent="0.3">
      <c r="J1784"/>
    </row>
    <row r="1785" spans="10:10" x14ac:dyDescent="0.3">
      <c r="J1785"/>
    </row>
    <row r="1786" spans="10:10" x14ac:dyDescent="0.3">
      <c r="J1786"/>
    </row>
    <row r="1787" spans="10:10" x14ac:dyDescent="0.3">
      <c r="J1787"/>
    </row>
    <row r="1788" spans="10:10" x14ac:dyDescent="0.3">
      <c r="J1788"/>
    </row>
    <row r="1789" spans="10:10" x14ac:dyDescent="0.3">
      <c r="J1789"/>
    </row>
    <row r="1790" spans="10:10" x14ac:dyDescent="0.3">
      <c r="J1790"/>
    </row>
    <row r="1791" spans="10:10" x14ac:dyDescent="0.3">
      <c r="J1791"/>
    </row>
    <row r="1792" spans="10:10" x14ac:dyDescent="0.3">
      <c r="J1792"/>
    </row>
    <row r="1793" spans="10:10" x14ac:dyDescent="0.3">
      <c r="J1793"/>
    </row>
    <row r="1794" spans="10:10" x14ac:dyDescent="0.3">
      <c r="J1794"/>
    </row>
    <row r="1795" spans="10:10" x14ac:dyDescent="0.3">
      <c r="J1795"/>
    </row>
    <row r="1796" spans="10:10" x14ac:dyDescent="0.3">
      <c r="J1796"/>
    </row>
    <row r="1797" spans="10:10" x14ac:dyDescent="0.3">
      <c r="J1797"/>
    </row>
    <row r="1798" spans="10:10" x14ac:dyDescent="0.3">
      <c r="J1798"/>
    </row>
    <row r="1799" spans="10:10" x14ac:dyDescent="0.3">
      <c r="J1799"/>
    </row>
    <row r="1800" spans="10:10" x14ac:dyDescent="0.3">
      <c r="J1800"/>
    </row>
    <row r="1801" spans="10:10" x14ac:dyDescent="0.3">
      <c r="J1801"/>
    </row>
    <row r="1802" spans="10:10" x14ac:dyDescent="0.3">
      <c r="J1802"/>
    </row>
    <row r="1803" spans="10:10" x14ac:dyDescent="0.3">
      <c r="J1803"/>
    </row>
    <row r="1804" spans="10:10" x14ac:dyDescent="0.3">
      <c r="J1804"/>
    </row>
    <row r="1805" spans="10:10" x14ac:dyDescent="0.3">
      <c r="J1805"/>
    </row>
    <row r="1806" spans="10:10" x14ac:dyDescent="0.3">
      <c r="J1806"/>
    </row>
    <row r="1807" spans="10:10" x14ac:dyDescent="0.3">
      <c r="J1807"/>
    </row>
    <row r="1808" spans="10:10" x14ac:dyDescent="0.3">
      <c r="J1808"/>
    </row>
    <row r="1809" spans="10:10" x14ac:dyDescent="0.3">
      <c r="J1809"/>
    </row>
    <row r="1810" spans="10:10" x14ac:dyDescent="0.3">
      <c r="J1810"/>
    </row>
    <row r="1811" spans="10:10" x14ac:dyDescent="0.3">
      <c r="J1811"/>
    </row>
    <row r="1812" spans="10:10" x14ac:dyDescent="0.3">
      <c r="J1812"/>
    </row>
    <row r="1813" spans="10:10" x14ac:dyDescent="0.3">
      <c r="J1813"/>
    </row>
    <row r="1814" spans="10:10" x14ac:dyDescent="0.3">
      <c r="J1814"/>
    </row>
    <row r="1815" spans="10:10" x14ac:dyDescent="0.3">
      <c r="J1815"/>
    </row>
    <row r="1816" spans="10:10" x14ac:dyDescent="0.3">
      <c r="J1816"/>
    </row>
    <row r="1817" spans="10:10" x14ac:dyDescent="0.3">
      <c r="J1817"/>
    </row>
    <row r="1818" spans="10:10" x14ac:dyDescent="0.3">
      <c r="J1818"/>
    </row>
    <row r="1819" spans="10:10" x14ac:dyDescent="0.3">
      <c r="J1819"/>
    </row>
    <row r="1820" spans="10:10" x14ac:dyDescent="0.3">
      <c r="J1820"/>
    </row>
    <row r="1821" spans="10:10" x14ac:dyDescent="0.3">
      <c r="J1821"/>
    </row>
    <row r="1822" spans="10:10" x14ac:dyDescent="0.3">
      <c r="J1822"/>
    </row>
    <row r="1823" spans="10:10" x14ac:dyDescent="0.3">
      <c r="J1823"/>
    </row>
    <row r="1824" spans="10:10" x14ac:dyDescent="0.3">
      <c r="J1824"/>
    </row>
    <row r="1825" spans="10:10" x14ac:dyDescent="0.3">
      <c r="J1825"/>
    </row>
    <row r="1826" spans="10:10" x14ac:dyDescent="0.3">
      <c r="J1826"/>
    </row>
    <row r="1827" spans="10:10" x14ac:dyDescent="0.3">
      <c r="J1827"/>
    </row>
    <row r="1828" spans="10:10" x14ac:dyDescent="0.3">
      <c r="J1828"/>
    </row>
    <row r="1829" spans="10:10" x14ac:dyDescent="0.3">
      <c r="J1829"/>
    </row>
    <row r="1830" spans="10:10" x14ac:dyDescent="0.3">
      <c r="J1830"/>
    </row>
    <row r="1831" spans="10:10" x14ac:dyDescent="0.3">
      <c r="J1831"/>
    </row>
    <row r="1832" spans="10:10" x14ac:dyDescent="0.3">
      <c r="J1832"/>
    </row>
    <row r="1833" spans="10:10" x14ac:dyDescent="0.3">
      <c r="J1833"/>
    </row>
    <row r="1834" spans="10:10" x14ac:dyDescent="0.3">
      <c r="J1834"/>
    </row>
    <row r="1835" spans="10:10" x14ac:dyDescent="0.3">
      <c r="J1835"/>
    </row>
    <row r="1836" spans="10:10" x14ac:dyDescent="0.3">
      <c r="J1836"/>
    </row>
    <row r="1837" spans="10:10" x14ac:dyDescent="0.3">
      <c r="J1837"/>
    </row>
    <row r="1838" spans="10:10" x14ac:dyDescent="0.3">
      <c r="J1838"/>
    </row>
    <row r="1839" spans="10:10" x14ac:dyDescent="0.3">
      <c r="J1839"/>
    </row>
    <row r="1840" spans="10:10" x14ac:dyDescent="0.3">
      <c r="J1840"/>
    </row>
    <row r="1841" spans="10:10" x14ac:dyDescent="0.3">
      <c r="J1841"/>
    </row>
    <row r="1842" spans="10:10" x14ac:dyDescent="0.3">
      <c r="J1842"/>
    </row>
    <row r="1843" spans="10:10" x14ac:dyDescent="0.3">
      <c r="J1843"/>
    </row>
    <row r="1844" spans="10:10" x14ac:dyDescent="0.3">
      <c r="J1844"/>
    </row>
    <row r="1845" spans="10:10" x14ac:dyDescent="0.3">
      <c r="J1845"/>
    </row>
    <row r="1846" spans="10:10" x14ac:dyDescent="0.3">
      <c r="J1846"/>
    </row>
    <row r="1847" spans="10:10" x14ac:dyDescent="0.3">
      <c r="J1847"/>
    </row>
    <row r="1848" spans="10:10" x14ac:dyDescent="0.3">
      <c r="J1848"/>
    </row>
    <row r="1849" spans="10:10" x14ac:dyDescent="0.3">
      <c r="J1849"/>
    </row>
    <row r="1850" spans="10:10" x14ac:dyDescent="0.3">
      <c r="J1850"/>
    </row>
    <row r="1851" spans="10:10" x14ac:dyDescent="0.3">
      <c r="J1851"/>
    </row>
    <row r="1852" spans="10:10" x14ac:dyDescent="0.3">
      <c r="J1852"/>
    </row>
    <row r="1853" spans="10:10" x14ac:dyDescent="0.3">
      <c r="J1853"/>
    </row>
    <row r="1854" spans="10:10" x14ac:dyDescent="0.3">
      <c r="J1854"/>
    </row>
    <row r="1855" spans="10:10" x14ac:dyDescent="0.3">
      <c r="J1855"/>
    </row>
    <row r="1856" spans="10:10" x14ac:dyDescent="0.3">
      <c r="J1856"/>
    </row>
    <row r="1857" spans="10:10" x14ac:dyDescent="0.3">
      <c r="J1857"/>
    </row>
    <row r="1858" spans="10:10" x14ac:dyDescent="0.3">
      <c r="J1858"/>
    </row>
    <row r="1859" spans="10:10" x14ac:dyDescent="0.3">
      <c r="J1859"/>
    </row>
    <row r="1860" spans="10:10" x14ac:dyDescent="0.3">
      <c r="J1860"/>
    </row>
    <row r="1861" spans="10:10" x14ac:dyDescent="0.3">
      <c r="J1861"/>
    </row>
    <row r="1862" spans="10:10" x14ac:dyDescent="0.3">
      <c r="J1862"/>
    </row>
    <row r="1863" spans="10:10" x14ac:dyDescent="0.3">
      <c r="J1863"/>
    </row>
    <row r="1864" spans="10:10" x14ac:dyDescent="0.3">
      <c r="J1864"/>
    </row>
    <row r="1865" spans="10:10" x14ac:dyDescent="0.3">
      <c r="J1865"/>
    </row>
    <row r="1866" spans="10:10" x14ac:dyDescent="0.3">
      <c r="J1866"/>
    </row>
    <row r="1867" spans="10:10" x14ac:dyDescent="0.3">
      <c r="J1867"/>
    </row>
    <row r="1868" spans="10:10" x14ac:dyDescent="0.3">
      <c r="J1868"/>
    </row>
    <row r="1869" spans="10:10" x14ac:dyDescent="0.3">
      <c r="J1869"/>
    </row>
    <row r="1870" spans="10:10" x14ac:dyDescent="0.3">
      <c r="J1870"/>
    </row>
    <row r="1871" spans="10:10" x14ac:dyDescent="0.3">
      <c r="J1871"/>
    </row>
    <row r="1872" spans="10:10" x14ac:dyDescent="0.3">
      <c r="J1872"/>
    </row>
    <row r="1873" spans="10:10" x14ac:dyDescent="0.3">
      <c r="J1873"/>
    </row>
    <row r="1874" spans="10:10" x14ac:dyDescent="0.3">
      <c r="J1874"/>
    </row>
    <row r="1875" spans="10:10" x14ac:dyDescent="0.3">
      <c r="J1875"/>
    </row>
    <row r="1876" spans="10:10" x14ac:dyDescent="0.3">
      <c r="J1876"/>
    </row>
    <row r="1877" spans="10:10" x14ac:dyDescent="0.3">
      <c r="J1877"/>
    </row>
    <row r="1878" spans="10:10" x14ac:dyDescent="0.3">
      <c r="J1878"/>
    </row>
    <row r="1879" spans="10:10" x14ac:dyDescent="0.3">
      <c r="J1879"/>
    </row>
    <row r="1880" spans="10:10" x14ac:dyDescent="0.3">
      <c r="J1880"/>
    </row>
    <row r="1881" spans="10:10" x14ac:dyDescent="0.3">
      <c r="J1881"/>
    </row>
    <row r="1882" spans="10:10" x14ac:dyDescent="0.3">
      <c r="J1882"/>
    </row>
    <row r="1883" spans="10:10" x14ac:dyDescent="0.3">
      <c r="J1883"/>
    </row>
    <row r="1884" spans="10:10" x14ac:dyDescent="0.3">
      <c r="J1884"/>
    </row>
    <row r="1885" spans="10:10" x14ac:dyDescent="0.3">
      <c r="J1885"/>
    </row>
    <row r="1886" spans="10:10" x14ac:dyDescent="0.3">
      <c r="J1886"/>
    </row>
    <row r="1887" spans="10:10" x14ac:dyDescent="0.3">
      <c r="J1887"/>
    </row>
    <row r="1888" spans="10:10" x14ac:dyDescent="0.3">
      <c r="J1888"/>
    </row>
    <row r="1889" spans="10:10" x14ac:dyDescent="0.3">
      <c r="J1889"/>
    </row>
    <row r="1890" spans="10:10" x14ac:dyDescent="0.3">
      <c r="J1890"/>
    </row>
    <row r="1891" spans="10:10" x14ac:dyDescent="0.3">
      <c r="J1891"/>
    </row>
    <row r="1892" spans="10:10" x14ac:dyDescent="0.3">
      <c r="J1892"/>
    </row>
    <row r="1893" spans="10:10" x14ac:dyDescent="0.3">
      <c r="J1893"/>
    </row>
    <row r="1894" spans="10:10" x14ac:dyDescent="0.3">
      <c r="J1894"/>
    </row>
    <row r="1895" spans="10:10" x14ac:dyDescent="0.3">
      <c r="J1895"/>
    </row>
    <row r="1896" spans="10:10" x14ac:dyDescent="0.3">
      <c r="J1896"/>
    </row>
    <row r="1897" spans="10:10" x14ac:dyDescent="0.3">
      <c r="J1897"/>
    </row>
    <row r="1898" spans="10:10" x14ac:dyDescent="0.3">
      <c r="J1898"/>
    </row>
    <row r="1899" spans="10:10" x14ac:dyDescent="0.3">
      <c r="J1899"/>
    </row>
    <row r="1900" spans="10:10" x14ac:dyDescent="0.3">
      <c r="J1900"/>
    </row>
    <row r="1901" spans="10:10" x14ac:dyDescent="0.3">
      <c r="J1901"/>
    </row>
    <row r="1902" spans="10:10" x14ac:dyDescent="0.3">
      <c r="J1902"/>
    </row>
    <row r="1903" spans="10:10" x14ac:dyDescent="0.3">
      <c r="J1903"/>
    </row>
    <row r="1904" spans="10:10" x14ac:dyDescent="0.3">
      <c r="J1904"/>
    </row>
    <row r="1905" spans="10:10" x14ac:dyDescent="0.3">
      <c r="J1905"/>
    </row>
    <row r="1906" spans="10:10" x14ac:dyDescent="0.3">
      <c r="J1906"/>
    </row>
    <row r="1907" spans="10:10" x14ac:dyDescent="0.3">
      <c r="J1907"/>
    </row>
    <row r="1908" spans="10:10" x14ac:dyDescent="0.3">
      <c r="J1908"/>
    </row>
    <row r="1909" spans="10:10" x14ac:dyDescent="0.3">
      <c r="J1909"/>
    </row>
    <row r="1910" spans="10:10" x14ac:dyDescent="0.3">
      <c r="J1910"/>
    </row>
    <row r="1911" spans="10:10" x14ac:dyDescent="0.3">
      <c r="J1911"/>
    </row>
    <row r="1912" spans="10:10" x14ac:dyDescent="0.3">
      <c r="J1912"/>
    </row>
    <row r="1913" spans="10:10" x14ac:dyDescent="0.3">
      <c r="J1913"/>
    </row>
    <row r="1914" spans="10:10" x14ac:dyDescent="0.3">
      <c r="J1914"/>
    </row>
    <row r="1915" spans="10:10" x14ac:dyDescent="0.3">
      <c r="J1915"/>
    </row>
    <row r="1916" spans="10:10" x14ac:dyDescent="0.3">
      <c r="J1916"/>
    </row>
    <row r="1917" spans="10:10" x14ac:dyDescent="0.3">
      <c r="J1917"/>
    </row>
    <row r="1918" spans="10:10" x14ac:dyDescent="0.3">
      <c r="J1918"/>
    </row>
    <row r="1919" spans="10:10" x14ac:dyDescent="0.3">
      <c r="J1919"/>
    </row>
    <row r="1920" spans="10:10" x14ac:dyDescent="0.3">
      <c r="J1920"/>
    </row>
    <row r="1921" spans="10:10" x14ac:dyDescent="0.3">
      <c r="J1921"/>
    </row>
    <row r="1922" spans="10:10" x14ac:dyDescent="0.3">
      <c r="J1922"/>
    </row>
    <row r="1923" spans="10:10" x14ac:dyDescent="0.3">
      <c r="J1923"/>
    </row>
    <row r="1924" spans="10:10" x14ac:dyDescent="0.3">
      <c r="J1924"/>
    </row>
    <row r="1925" spans="10:10" x14ac:dyDescent="0.3">
      <c r="J1925"/>
    </row>
    <row r="1926" spans="10:10" x14ac:dyDescent="0.3">
      <c r="J1926"/>
    </row>
    <row r="1927" spans="10:10" x14ac:dyDescent="0.3">
      <c r="J1927"/>
    </row>
    <row r="1928" spans="10:10" x14ac:dyDescent="0.3">
      <c r="J1928"/>
    </row>
    <row r="1929" spans="10:10" x14ac:dyDescent="0.3">
      <c r="J1929"/>
    </row>
    <row r="1930" spans="10:10" x14ac:dyDescent="0.3">
      <c r="J1930"/>
    </row>
    <row r="1931" spans="10:10" x14ac:dyDescent="0.3">
      <c r="J1931"/>
    </row>
    <row r="1932" spans="10:10" x14ac:dyDescent="0.3">
      <c r="J1932"/>
    </row>
    <row r="1933" spans="10:10" x14ac:dyDescent="0.3">
      <c r="J1933"/>
    </row>
    <row r="1934" spans="10:10" x14ac:dyDescent="0.3">
      <c r="J1934"/>
    </row>
    <row r="1935" spans="10:10" x14ac:dyDescent="0.3">
      <c r="J1935"/>
    </row>
    <row r="1936" spans="10:10" x14ac:dyDescent="0.3">
      <c r="J1936"/>
    </row>
    <row r="1937" spans="10:10" x14ac:dyDescent="0.3">
      <c r="J1937"/>
    </row>
    <row r="1938" spans="10:10" x14ac:dyDescent="0.3">
      <c r="J1938"/>
    </row>
    <row r="1939" spans="10:10" x14ac:dyDescent="0.3">
      <c r="J1939"/>
    </row>
    <row r="1940" spans="10:10" x14ac:dyDescent="0.3">
      <c r="J1940"/>
    </row>
    <row r="1941" spans="10:10" x14ac:dyDescent="0.3">
      <c r="J1941"/>
    </row>
    <row r="1942" spans="10:10" x14ac:dyDescent="0.3">
      <c r="J1942"/>
    </row>
    <row r="1943" spans="10:10" x14ac:dyDescent="0.3">
      <c r="J1943"/>
    </row>
    <row r="1944" spans="10:10" x14ac:dyDescent="0.3">
      <c r="J1944"/>
    </row>
    <row r="1945" spans="10:10" x14ac:dyDescent="0.3">
      <c r="J1945"/>
    </row>
    <row r="1946" spans="10:10" x14ac:dyDescent="0.3">
      <c r="J1946"/>
    </row>
    <row r="1947" spans="10:10" x14ac:dyDescent="0.3">
      <c r="J1947"/>
    </row>
    <row r="1948" spans="10:10" x14ac:dyDescent="0.3">
      <c r="J1948"/>
    </row>
    <row r="1949" spans="10:10" x14ac:dyDescent="0.3">
      <c r="J1949"/>
    </row>
    <row r="1950" spans="10:10" x14ac:dyDescent="0.3">
      <c r="J1950"/>
    </row>
    <row r="1951" spans="10:10" x14ac:dyDescent="0.3">
      <c r="J1951"/>
    </row>
    <row r="1952" spans="10:10" x14ac:dyDescent="0.3">
      <c r="J1952"/>
    </row>
    <row r="1953" spans="10:10" x14ac:dyDescent="0.3">
      <c r="J1953"/>
    </row>
    <row r="1954" spans="10:10" x14ac:dyDescent="0.3">
      <c r="J1954"/>
    </row>
    <row r="1955" spans="10:10" x14ac:dyDescent="0.3">
      <c r="J1955"/>
    </row>
    <row r="1956" spans="10:10" x14ac:dyDescent="0.3">
      <c r="J1956"/>
    </row>
    <row r="1957" spans="10:10" x14ac:dyDescent="0.3">
      <c r="J1957"/>
    </row>
    <row r="1958" spans="10:10" x14ac:dyDescent="0.3">
      <c r="J1958"/>
    </row>
    <row r="1959" spans="10:10" x14ac:dyDescent="0.3">
      <c r="J1959"/>
    </row>
    <row r="1960" spans="10:10" x14ac:dyDescent="0.3">
      <c r="J1960"/>
    </row>
    <row r="1961" spans="10:10" x14ac:dyDescent="0.3">
      <c r="J1961"/>
    </row>
    <row r="1962" spans="10:10" x14ac:dyDescent="0.3">
      <c r="J1962"/>
    </row>
    <row r="1963" spans="10:10" x14ac:dyDescent="0.3">
      <c r="J1963"/>
    </row>
    <row r="1964" spans="10:10" x14ac:dyDescent="0.3">
      <c r="J1964"/>
    </row>
    <row r="1965" spans="10:10" x14ac:dyDescent="0.3">
      <c r="J1965"/>
    </row>
    <row r="1966" spans="10:10" x14ac:dyDescent="0.3">
      <c r="J1966"/>
    </row>
    <row r="1967" spans="10:10" x14ac:dyDescent="0.3">
      <c r="J1967"/>
    </row>
    <row r="1968" spans="10:10" x14ac:dyDescent="0.3">
      <c r="J1968"/>
    </row>
    <row r="1969" spans="10:10" x14ac:dyDescent="0.3">
      <c r="J1969"/>
    </row>
    <row r="1970" spans="10:10" x14ac:dyDescent="0.3">
      <c r="J1970"/>
    </row>
    <row r="1971" spans="10:10" x14ac:dyDescent="0.3">
      <c r="J1971"/>
    </row>
    <row r="1972" spans="10:10" x14ac:dyDescent="0.3">
      <c r="J1972"/>
    </row>
    <row r="1973" spans="10:10" x14ac:dyDescent="0.3">
      <c r="J1973"/>
    </row>
    <row r="1974" spans="10:10" x14ac:dyDescent="0.3">
      <c r="J1974"/>
    </row>
    <row r="1975" spans="10:10" x14ac:dyDescent="0.3">
      <c r="J1975"/>
    </row>
    <row r="1976" spans="10:10" x14ac:dyDescent="0.3">
      <c r="J1976"/>
    </row>
    <row r="1977" spans="10:10" x14ac:dyDescent="0.3">
      <c r="J1977"/>
    </row>
    <row r="1978" spans="10:10" x14ac:dyDescent="0.3">
      <c r="J1978"/>
    </row>
    <row r="1979" spans="10:10" x14ac:dyDescent="0.3">
      <c r="J1979"/>
    </row>
    <row r="1980" spans="10:10" x14ac:dyDescent="0.3">
      <c r="J1980"/>
    </row>
    <row r="1981" spans="10:10" x14ac:dyDescent="0.3">
      <c r="J1981"/>
    </row>
    <row r="1982" spans="10:10" x14ac:dyDescent="0.3">
      <c r="J1982"/>
    </row>
    <row r="1983" spans="10:10" x14ac:dyDescent="0.3">
      <c r="J1983"/>
    </row>
    <row r="1984" spans="10:10" x14ac:dyDescent="0.3">
      <c r="J1984"/>
    </row>
    <row r="1985" spans="10:10" x14ac:dyDescent="0.3">
      <c r="J1985"/>
    </row>
    <row r="1986" spans="10:10" x14ac:dyDescent="0.3">
      <c r="J1986"/>
    </row>
    <row r="1987" spans="10:10" x14ac:dyDescent="0.3">
      <c r="J1987"/>
    </row>
    <row r="1988" spans="10:10" x14ac:dyDescent="0.3">
      <c r="J1988"/>
    </row>
    <row r="1989" spans="10:10" x14ac:dyDescent="0.3">
      <c r="J1989"/>
    </row>
    <row r="1990" spans="10:10" x14ac:dyDescent="0.3">
      <c r="J1990"/>
    </row>
    <row r="1991" spans="10:10" x14ac:dyDescent="0.3">
      <c r="J1991"/>
    </row>
    <row r="1992" spans="10:10" x14ac:dyDescent="0.3">
      <c r="J1992"/>
    </row>
    <row r="1993" spans="10:10" x14ac:dyDescent="0.3">
      <c r="J1993"/>
    </row>
    <row r="1994" spans="10:10" x14ac:dyDescent="0.3">
      <c r="J1994"/>
    </row>
    <row r="1995" spans="10:10" x14ac:dyDescent="0.3">
      <c r="J1995"/>
    </row>
    <row r="1996" spans="10:10" x14ac:dyDescent="0.3">
      <c r="J1996"/>
    </row>
    <row r="1997" spans="10:10" x14ac:dyDescent="0.3">
      <c r="J1997"/>
    </row>
    <row r="1998" spans="10:10" x14ac:dyDescent="0.3">
      <c r="J1998"/>
    </row>
    <row r="1999" spans="10:10" x14ac:dyDescent="0.3">
      <c r="J1999"/>
    </row>
    <row r="2000" spans="10:10" x14ac:dyDescent="0.3">
      <c r="J2000"/>
    </row>
    <row r="2001" spans="10:10" x14ac:dyDescent="0.3">
      <c r="J2001"/>
    </row>
    <row r="2002" spans="10:10" x14ac:dyDescent="0.3">
      <c r="J2002"/>
    </row>
    <row r="2003" spans="10:10" x14ac:dyDescent="0.3">
      <c r="J2003"/>
    </row>
    <row r="2004" spans="10:10" x14ac:dyDescent="0.3">
      <c r="J2004"/>
    </row>
    <row r="2005" spans="10:10" x14ac:dyDescent="0.3">
      <c r="J2005"/>
    </row>
    <row r="2006" spans="10:10" x14ac:dyDescent="0.3">
      <c r="J2006"/>
    </row>
    <row r="2007" spans="10:10" x14ac:dyDescent="0.3">
      <c r="J2007"/>
    </row>
    <row r="2008" spans="10:10" x14ac:dyDescent="0.3">
      <c r="J2008"/>
    </row>
    <row r="2009" spans="10:10" x14ac:dyDescent="0.3">
      <c r="J2009"/>
    </row>
    <row r="2010" spans="10:10" x14ac:dyDescent="0.3">
      <c r="J2010"/>
    </row>
    <row r="2011" spans="10:10" x14ac:dyDescent="0.3">
      <c r="J2011"/>
    </row>
    <row r="2012" spans="10:10" x14ac:dyDescent="0.3">
      <c r="J2012"/>
    </row>
    <row r="2013" spans="10:10" x14ac:dyDescent="0.3">
      <c r="J2013"/>
    </row>
    <row r="2014" spans="10:10" x14ac:dyDescent="0.3">
      <c r="J2014"/>
    </row>
    <row r="2015" spans="10:10" x14ac:dyDescent="0.3">
      <c r="J2015"/>
    </row>
    <row r="2016" spans="10:10" x14ac:dyDescent="0.3">
      <c r="J2016"/>
    </row>
    <row r="2017" spans="10:10" x14ac:dyDescent="0.3">
      <c r="J2017"/>
    </row>
    <row r="2018" spans="10:10" x14ac:dyDescent="0.3">
      <c r="J2018"/>
    </row>
    <row r="2019" spans="10:10" x14ac:dyDescent="0.3">
      <c r="J2019"/>
    </row>
    <row r="2020" spans="10:10" x14ac:dyDescent="0.3">
      <c r="J2020"/>
    </row>
    <row r="2021" spans="10:10" x14ac:dyDescent="0.3">
      <c r="J2021"/>
    </row>
    <row r="2022" spans="10:10" x14ac:dyDescent="0.3">
      <c r="J2022"/>
    </row>
    <row r="2023" spans="10:10" x14ac:dyDescent="0.3">
      <c r="J2023"/>
    </row>
    <row r="2024" spans="10:10" x14ac:dyDescent="0.3">
      <c r="J2024"/>
    </row>
    <row r="2025" spans="10:10" x14ac:dyDescent="0.3">
      <c r="J2025"/>
    </row>
    <row r="2026" spans="10:10" x14ac:dyDescent="0.3">
      <c r="J2026"/>
    </row>
    <row r="2027" spans="10:10" x14ac:dyDescent="0.3">
      <c r="J2027"/>
    </row>
    <row r="2028" spans="10:10" x14ac:dyDescent="0.3">
      <c r="J2028"/>
    </row>
    <row r="2029" spans="10:10" x14ac:dyDescent="0.3">
      <c r="J2029"/>
    </row>
    <row r="2030" spans="10:10" x14ac:dyDescent="0.3">
      <c r="J2030"/>
    </row>
    <row r="2031" spans="10:10" x14ac:dyDescent="0.3">
      <c r="J2031"/>
    </row>
    <row r="2032" spans="10:10" x14ac:dyDescent="0.3">
      <c r="J2032"/>
    </row>
    <row r="2033" spans="10:10" x14ac:dyDescent="0.3">
      <c r="J2033"/>
    </row>
    <row r="2034" spans="10:10" x14ac:dyDescent="0.3">
      <c r="J2034"/>
    </row>
    <row r="2035" spans="10:10" x14ac:dyDescent="0.3">
      <c r="J2035"/>
    </row>
    <row r="2036" spans="10:10" x14ac:dyDescent="0.3">
      <c r="J2036"/>
    </row>
    <row r="2037" spans="10:10" x14ac:dyDescent="0.3">
      <c r="J2037"/>
    </row>
    <row r="2038" spans="10:10" x14ac:dyDescent="0.3">
      <c r="J2038"/>
    </row>
    <row r="2039" spans="10:10" x14ac:dyDescent="0.3">
      <c r="J2039"/>
    </row>
    <row r="2040" spans="10:10" x14ac:dyDescent="0.3">
      <c r="J2040"/>
    </row>
    <row r="2041" spans="10:10" x14ac:dyDescent="0.3">
      <c r="J2041"/>
    </row>
    <row r="2042" spans="10:10" x14ac:dyDescent="0.3">
      <c r="J2042"/>
    </row>
    <row r="2043" spans="10:10" x14ac:dyDescent="0.3">
      <c r="J2043"/>
    </row>
    <row r="2044" spans="10:10" x14ac:dyDescent="0.3">
      <c r="J2044"/>
    </row>
    <row r="2045" spans="10:10" x14ac:dyDescent="0.3">
      <c r="J2045"/>
    </row>
    <row r="2046" spans="10:10" x14ac:dyDescent="0.3">
      <c r="J2046"/>
    </row>
    <row r="2047" spans="10:10" x14ac:dyDescent="0.3">
      <c r="J2047"/>
    </row>
    <row r="2048" spans="10:10" x14ac:dyDescent="0.3">
      <c r="J2048"/>
    </row>
    <row r="2049" spans="10:10" x14ac:dyDescent="0.3">
      <c r="J2049"/>
    </row>
    <row r="2050" spans="10:10" x14ac:dyDescent="0.3">
      <c r="J2050"/>
    </row>
    <row r="2051" spans="10:10" x14ac:dyDescent="0.3">
      <c r="J2051"/>
    </row>
    <row r="2052" spans="10:10" x14ac:dyDescent="0.3">
      <c r="J2052"/>
    </row>
    <row r="2053" spans="10:10" x14ac:dyDescent="0.3">
      <c r="J2053"/>
    </row>
    <row r="2054" spans="10:10" x14ac:dyDescent="0.3">
      <c r="J2054"/>
    </row>
    <row r="2055" spans="10:10" x14ac:dyDescent="0.3">
      <c r="J2055"/>
    </row>
    <row r="2056" spans="10:10" x14ac:dyDescent="0.3">
      <c r="J2056"/>
    </row>
    <row r="2057" spans="10:10" x14ac:dyDescent="0.3">
      <c r="J2057"/>
    </row>
    <row r="2058" spans="10:10" x14ac:dyDescent="0.3">
      <c r="J2058"/>
    </row>
    <row r="2059" spans="10:10" x14ac:dyDescent="0.3">
      <c r="J2059"/>
    </row>
    <row r="2060" spans="10:10" x14ac:dyDescent="0.3">
      <c r="J2060"/>
    </row>
    <row r="2061" spans="10:10" x14ac:dyDescent="0.3">
      <c r="J2061"/>
    </row>
    <row r="2062" spans="10:10" x14ac:dyDescent="0.3">
      <c r="J2062"/>
    </row>
    <row r="2063" spans="10:10" x14ac:dyDescent="0.3">
      <c r="J2063"/>
    </row>
    <row r="2064" spans="10:10" x14ac:dyDescent="0.3">
      <c r="J2064"/>
    </row>
    <row r="2065" spans="10:10" x14ac:dyDescent="0.3">
      <c r="J2065"/>
    </row>
    <row r="2066" spans="10:10" x14ac:dyDescent="0.3">
      <c r="J2066"/>
    </row>
    <row r="2067" spans="10:10" x14ac:dyDescent="0.3">
      <c r="J2067"/>
    </row>
    <row r="2068" spans="10:10" x14ac:dyDescent="0.3">
      <c r="J2068"/>
    </row>
    <row r="2069" spans="10:10" x14ac:dyDescent="0.3">
      <c r="J2069"/>
    </row>
    <row r="2070" spans="10:10" x14ac:dyDescent="0.3">
      <c r="J2070"/>
    </row>
    <row r="2071" spans="10:10" x14ac:dyDescent="0.3">
      <c r="J2071"/>
    </row>
    <row r="2072" spans="10:10" x14ac:dyDescent="0.3">
      <c r="J2072"/>
    </row>
    <row r="2073" spans="10:10" x14ac:dyDescent="0.3">
      <c r="J2073"/>
    </row>
    <row r="2074" spans="10:10" x14ac:dyDescent="0.3">
      <c r="J2074"/>
    </row>
    <row r="2075" spans="10:10" x14ac:dyDescent="0.3">
      <c r="J2075"/>
    </row>
    <row r="2076" spans="10:10" x14ac:dyDescent="0.3">
      <c r="J2076"/>
    </row>
    <row r="2077" spans="10:10" x14ac:dyDescent="0.3">
      <c r="J2077"/>
    </row>
    <row r="2078" spans="10:10" x14ac:dyDescent="0.3">
      <c r="J2078"/>
    </row>
    <row r="2079" spans="10:10" x14ac:dyDescent="0.3">
      <c r="J2079"/>
    </row>
    <row r="2080" spans="10:10" x14ac:dyDescent="0.3">
      <c r="J2080"/>
    </row>
    <row r="2081" spans="10:10" x14ac:dyDescent="0.3">
      <c r="J2081"/>
    </row>
    <row r="2082" spans="10:10" x14ac:dyDescent="0.3">
      <c r="J2082"/>
    </row>
    <row r="2083" spans="10:10" x14ac:dyDescent="0.3">
      <c r="J2083"/>
    </row>
    <row r="2084" spans="10:10" x14ac:dyDescent="0.3">
      <c r="J2084"/>
    </row>
    <row r="2085" spans="10:10" x14ac:dyDescent="0.3">
      <c r="J2085"/>
    </row>
    <row r="2086" spans="10:10" x14ac:dyDescent="0.3">
      <c r="J2086"/>
    </row>
    <row r="2087" spans="10:10" x14ac:dyDescent="0.3">
      <c r="J2087"/>
    </row>
    <row r="2088" spans="10:10" x14ac:dyDescent="0.3">
      <c r="J2088"/>
    </row>
    <row r="2089" spans="10:10" x14ac:dyDescent="0.3">
      <c r="J2089"/>
    </row>
    <row r="2090" spans="10:10" x14ac:dyDescent="0.3">
      <c r="J2090"/>
    </row>
    <row r="2091" spans="10:10" x14ac:dyDescent="0.3">
      <c r="J2091"/>
    </row>
    <row r="2092" spans="10:10" x14ac:dyDescent="0.3">
      <c r="J2092"/>
    </row>
    <row r="2093" spans="10:10" x14ac:dyDescent="0.3">
      <c r="J2093"/>
    </row>
    <row r="2094" spans="10:10" x14ac:dyDescent="0.3">
      <c r="J2094"/>
    </row>
    <row r="2095" spans="10:10" x14ac:dyDescent="0.3">
      <c r="J2095"/>
    </row>
    <row r="2096" spans="10:10" x14ac:dyDescent="0.3">
      <c r="J2096"/>
    </row>
    <row r="2097" spans="10:10" x14ac:dyDescent="0.3">
      <c r="J2097"/>
    </row>
    <row r="2098" spans="10:10" x14ac:dyDescent="0.3">
      <c r="J2098"/>
    </row>
    <row r="2099" spans="10:10" x14ac:dyDescent="0.3">
      <c r="J2099"/>
    </row>
    <row r="2100" spans="10:10" x14ac:dyDescent="0.3">
      <c r="J2100"/>
    </row>
    <row r="2101" spans="10:10" x14ac:dyDescent="0.3">
      <c r="J2101"/>
    </row>
    <row r="2102" spans="10:10" x14ac:dyDescent="0.3">
      <c r="J2102"/>
    </row>
    <row r="2103" spans="10:10" x14ac:dyDescent="0.3">
      <c r="J2103"/>
    </row>
    <row r="2104" spans="10:10" x14ac:dyDescent="0.3">
      <c r="J2104"/>
    </row>
    <row r="2105" spans="10:10" x14ac:dyDescent="0.3">
      <c r="J2105"/>
    </row>
    <row r="2106" spans="10:10" x14ac:dyDescent="0.3">
      <c r="J2106"/>
    </row>
    <row r="2107" spans="10:10" x14ac:dyDescent="0.3">
      <c r="J2107"/>
    </row>
    <row r="2108" spans="10:10" x14ac:dyDescent="0.3">
      <c r="J2108"/>
    </row>
    <row r="2109" spans="10:10" x14ac:dyDescent="0.3">
      <c r="J2109"/>
    </row>
    <row r="2110" spans="10:10" x14ac:dyDescent="0.3">
      <c r="J2110"/>
    </row>
    <row r="2111" spans="10:10" x14ac:dyDescent="0.3">
      <c r="J2111"/>
    </row>
    <row r="2112" spans="10:10" x14ac:dyDescent="0.3">
      <c r="J2112"/>
    </row>
    <row r="2113" spans="10:10" x14ac:dyDescent="0.3">
      <c r="J2113"/>
    </row>
    <row r="2114" spans="10:10" x14ac:dyDescent="0.3">
      <c r="J2114"/>
    </row>
    <row r="2115" spans="10:10" x14ac:dyDescent="0.3">
      <c r="J2115"/>
    </row>
    <row r="2116" spans="10:10" x14ac:dyDescent="0.3">
      <c r="J2116"/>
    </row>
    <row r="2117" spans="10:10" x14ac:dyDescent="0.3">
      <c r="J2117"/>
    </row>
    <row r="2118" spans="10:10" x14ac:dyDescent="0.3">
      <c r="J2118"/>
    </row>
    <row r="2119" spans="10:10" x14ac:dyDescent="0.3">
      <c r="J2119"/>
    </row>
    <row r="2120" spans="10:10" x14ac:dyDescent="0.3">
      <c r="J2120"/>
    </row>
    <row r="2121" spans="10:10" x14ac:dyDescent="0.3">
      <c r="J2121"/>
    </row>
    <row r="2122" spans="10:10" x14ac:dyDescent="0.3">
      <c r="J2122"/>
    </row>
    <row r="2123" spans="10:10" x14ac:dyDescent="0.3">
      <c r="J2123"/>
    </row>
    <row r="2124" spans="10:10" x14ac:dyDescent="0.3">
      <c r="J2124"/>
    </row>
    <row r="2125" spans="10:10" x14ac:dyDescent="0.3">
      <c r="J2125"/>
    </row>
    <row r="2126" spans="10:10" x14ac:dyDescent="0.3">
      <c r="J2126"/>
    </row>
    <row r="2127" spans="10:10" x14ac:dyDescent="0.3">
      <c r="J2127"/>
    </row>
    <row r="2128" spans="10:10" x14ac:dyDescent="0.3">
      <c r="J2128"/>
    </row>
    <row r="2129" spans="10:10" x14ac:dyDescent="0.3">
      <c r="J2129"/>
    </row>
    <row r="2130" spans="10:10" x14ac:dyDescent="0.3">
      <c r="J2130"/>
    </row>
    <row r="2131" spans="10:10" x14ac:dyDescent="0.3">
      <c r="J2131"/>
    </row>
    <row r="2132" spans="10:10" x14ac:dyDescent="0.3">
      <c r="J2132"/>
    </row>
    <row r="2133" spans="10:10" x14ac:dyDescent="0.3">
      <c r="J2133"/>
    </row>
    <row r="2134" spans="10:10" x14ac:dyDescent="0.3">
      <c r="J2134"/>
    </row>
    <row r="2135" spans="10:10" x14ac:dyDescent="0.3">
      <c r="J2135"/>
    </row>
    <row r="2136" spans="10:10" x14ac:dyDescent="0.3">
      <c r="J2136"/>
    </row>
    <row r="2137" spans="10:10" x14ac:dyDescent="0.3">
      <c r="J2137"/>
    </row>
    <row r="2138" spans="10:10" x14ac:dyDescent="0.3">
      <c r="J2138"/>
    </row>
    <row r="2139" spans="10:10" x14ac:dyDescent="0.3">
      <c r="J2139"/>
    </row>
    <row r="2140" spans="10:10" x14ac:dyDescent="0.3">
      <c r="J2140"/>
    </row>
    <row r="2141" spans="10:10" x14ac:dyDescent="0.3">
      <c r="J2141"/>
    </row>
    <row r="2142" spans="10:10" x14ac:dyDescent="0.3">
      <c r="J2142"/>
    </row>
    <row r="2143" spans="10:10" x14ac:dyDescent="0.3">
      <c r="J2143"/>
    </row>
    <row r="2144" spans="10:10" x14ac:dyDescent="0.3">
      <c r="J2144"/>
    </row>
    <row r="2145" spans="10:10" x14ac:dyDescent="0.3">
      <c r="J2145"/>
    </row>
    <row r="2146" spans="10:10" x14ac:dyDescent="0.3">
      <c r="J2146"/>
    </row>
    <row r="2147" spans="10:10" x14ac:dyDescent="0.3">
      <c r="J2147"/>
    </row>
    <row r="2148" spans="10:10" x14ac:dyDescent="0.3">
      <c r="J2148"/>
    </row>
    <row r="2149" spans="10:10" x14ac:dyDescent="0.3">
      <c r="J2149"/>
    </row>
    <row r="2150" spans="10:10" x14ac:dyDescent="0.3">
      <c r="J2150"/>
    </row>
    <row r="2151" spans="10:10" x14ac:dyDescent="0.3">
      <c r="J2151"/>
    </row>
    <row r="2152" spans="10:10" x14ac:dyDescent="0.3">
      <c r="J2152"/>
    </row>
    <row r="2153" spans="10:10" x14ac:dyDescent="0.3">
      <c r="J2153"/>
    </row>
    <row r="2154" spans="10:10" x14ac:dyDescent="0.3">
      <c r="J2154"/>
    </row>
    <row r="2155" spans="10:10" x14ac:dyDescent="0.3">
      <c r="J2155"/>
    </row>
    <row r="2156" spans="10:10" x14ac:dyDescent="0.3">
      <c r="J2156"/>
    </row>
    <row r="2157" spans="10:10" x14ac:dyDescent="0.3">
      <c r="J2157"/>
    </row>
    <row r="2158" spans="10:10" x14ac:dyDescent="0.3">
      <c r="J2158"/>
    </row>
    <row r="2159" spans="10:10" x14ac:dyDescent="0.3">
      <c r="J2159"/>
    </row>
    <row r="2160" spans="10:10" x14ac:dyDescent="0.3">
      <c r="J2160"/>
    </row>
    <row r="2161" spans="10:10" x14ac:dyDescent="0.3">
      <c r="J2161"/>
    </row>
    <row r="2162" spans="10:10" x14ac:dyDescent="0.3">
      <c r="J2162"/>
    </row>
    <row r="2163" spans="10:10" x14ac:dyDescent="0.3">
      <c r="J2163"/>
    </row>
    <row r="2164" spans="10:10" x14ac:dyDescent="0.3">
      <c r="J2164"/>
    </row>
    <row r="2165" spans="10:10" x14ac:dyDescent="0.3">
      <c r="J2165"/>
    </row>
    <row r="2166" spans="10:10" x14ac:dyDescent="0.3">
      <c r="J2166"/>
    </row>
    <row r="2167" spans="10:10" x14ac:dyDescent="0.3">
      <c r="J2167"/>
    </row>
    <row r="2168" spans="10:10" x14ac:dyDescent="0.3">
      <c r="J2168"/>
    </row>
    <row r="2169" spans="10:10" x14ac:dyDescent="0.3">
      <c r="J2169"/>
    </row>
    <row r="2170" spans="10:10" x14ac:dyDescent="0.3">
      <c r="J2170"/>
    </row>
    <row r="2171" spans="10:10" x14ac:dyDescent="0.3">
      <c r="J2171"/>
    </row>
    <row r="2172" spans="10:10" x14ac:dyDescent="0.3">
      <c r="J2172"/>
    </row>
    <row r="2173" spans="10:10" x14ac:dyDescent="0.3">
      <c r="J2173"/>
    </row>
    <row r="2174" spans="10:10" x14ac:dyDescent="0.3">
      <c r="J2174"/>
    </row>
    <row r="2175" spans="10:10" x14ac:dyDescent="0.3">
      <c r="J2175"/>
    </row>
    <row r="2176" spans="10:10" x14ac:dyDescent="0.3">
      <c r="J2176"/>
    </row>
    <row r="2177" spans="10:10" x14ac:dyDescent="0.3">
      <c r="J2177"/>
    </row>
    <row r="2178" spans="10:10" x14ac:dyDescent="0.3">
      <c r="J2178"/>
    </row>
    <row r="2179" spans="10:10" x14ac:dyDescent="0.3">
      <c r="J2179"/>
    </row>
    <row r="2180" spans="10:10" x14ac:dyDescent="0.3">
      <c r="J2180"/>
    </row>
    <row r="2181" spans="10:10" x14ac:dyDescent="0.3">
      <c r="J2181"/>
    </row>
    <row r="2182" spans="10:10" x14ac:dyDescent="0.3">
      <c r="J2182"/>
    </row>
    <row r="2183" spans="10:10" x14ac:dyDescent="0.3">
      <c r="J2183"/>
    </row>
    <row r="2184" spans="10:10" x14ac:dyDescent="0.3">
      <c r="J2184"/>
    </row>
    <row r="2185" spans="10:10" x14ac:dyDescent="0.3">
      <c r="J2185"/>
    </row>
    <row r="2186" spans="10:10" x14ac:dyDescent="0.3">
      <c r="J2186"/>
    </row>
    <row r="2187" spans="10:10" x14ac:dyDescent="0.3">
      <c r="J2187"/>
    </row>
    <row r="2188" spans="10:10" x14ac:dyDescent="0.3">
      <c r="J2188"/>
    </row>
    <row r="2189" spans="10:10" x14ac:dyDescent="0.3">
      <c r="J2189"/>
    </row>
    <row r="2190" spans="10:10" x14ac:dyDescent="0.3">
      <c r="J2190"/>
    </row>
    <row r="2191" spans="10:10" x14ac:dyDescent="0.3">
      <c r="J2191"/>
    </row>
    <row r="2192" spans="10:10" x14ac:dyDescent="0.3">
      <c r="J2192"/>
    </row>
    <row r="2193" spans="10:10" x14ac:dyDescent="0.3">
      <c r="J2193"/>
    </row>
    <row r="2194" spans="10:10" x14ac:dyDescent="0.3">
      <c r="J2194"/>
    </row>
    <row r="2195" spans="10:10" x14ac:dyDescent="0.3">
      <c r="J2195"/>
    </row>
    <row r="2196" spans="10:10" x14ac:dyDescent="0.3">
      <c r="J2196"/>
    </row>
    <row r="2197" spans="10:10" x14ac:dyDescent="0.3">
      <c r="J2197"/>
    </row>
    <row r="2198" spans="10:10" x14ac:dyDescent="0.3">
      <c r="J2198"/>
    </row>
    <row r="2199" spans="10:10" x14ac:dyDescent="0.3">
      <c r="J2199"/>
    </row>
    <row r="2200" spans="10:10" x14ac:dyDescent="0.3">
      <c r="J2200"/>
    </row>
    <row r="2201" spans="10:10" x14ac:dyDescent="0.3">
      <c r="J2201"/>
    </row>
    <row r="2202" spans="10:10" x14ac:dyDescent="0.3">
      <c r="J2202"/>
    </row>
    <row r="2203" spans="10:10" x14ac:dyDescent="0.3">
      <c r="J2203"/>
    </row>
    <row r="2204" spans="10:10" x14ac:dyDescent="0.3">
      <c r="J2204"/>
    </row>
    <row r="2205" spans="10:10" x14ac:dyDescent="0.3">
      <c r="J2205"/>
    </row>
    <row r="2206" spans="10:10" x14ac:dyDescent="0.3">
      <c r="J2206"/>
    </row>
    <row r="2207" spans="10:10" x14ac:dyDescent="0.3">
      <c r="J2207"/>
    </row>
    <row r="2208" spans="10:10" x14ac:dyDescent="0.3">
      <c r="J2208"/>
    </row>
    <row r="2209" spans="10:10" x14ac:dyDescent="0.3">
      <c r="J2209"/>
    </row>
    <row r="2210" spans="10:10" x14ac:dyDescent="0.3">
      <c r="J2210"/>
    </row>
    <row r="2211" spans="10:10" x14ac:dyDescent="0.3">
      <c r="J2211"/>
    </row>
    <row r="2212" spans="10:10" x14ac:dyDescent="0.3">
      <c r="J2212"/>
    </row>
    <row r="2213" spans="10:10" x14ac:dyDescent="0.3">
      <c r="J2213"/>
    </row>
    <row r="2214" spans="10:10" x14ac:dyDescent="0.3">
      <c r="J2214"/>
    </row>
    <row r="2215" spans="10:10" x14ac:dyDescent="0.3">
      <c r="J2215"/>
    </row>
    <row r="2216" spans="10:10" x14ac:dyDescent="0.3">
      <c r="J2216"/>
    </row>
    <row r="2217" spans="10:10" x14ac:dyDescent="0.3">
      <c r="J2217"/>
    </row>
    <row r="2218" spans="10:10" x14ac:dyDescent="0.3">
      <c r="J2218"/>
    </row>
    <row r="2219" spans="10:10" x14ac:dyDescent="0.3">
      <c r="J2219"/>
    </row>
    <row r="2220" spans="10:10" x14ac:dyDescent="0.3">
      <c r="J2220"/>
    </row>
    <row r="2221" spans="10:10" x14ac:dyDescent="0.3">
      <c r="J2221"/>
    </row>
    <row r="2222" spans="10:10" x14ac:dyDescent="0.3">
      <c r="J2222"/>
    </row>
    <row r="2223" spans="10:10" x14ac:dyDescent="0.3">
      <c r="J2223"/>
    </row>
    <row r="2224" spans="10:10" x14ac:dyDescent="0.3">
      <c r="J2224"/>
    </row>
    <row r="2225" spans="10:10" x14ac:dyDescent="0.3">
      <c r="J2225"/>
    </row>
    <row r="2226" spans="10:10" x14ac:dyDescent="0.3">
      <c r="J2226"/>
    </row>
    <row r="2227" spans="10:10" x14ac:dyDescent="0.3">
      <c r="J2227"/>
    </row>
    <row r="2228" spans="10:10" x14ac:dyDescent="0.3">
      <c r="J2228"/>
    </row>
    <row r="2229" spans="10:10" x14ac:dyDescent="0.3">
      <c r="J2229"/>
    </row>
    <row r="2230" spans="10:10" x14ac:dyDescent="0.3">
      <c r="J2230"/>
    </row>
    <row r="2231" spans="10:10" x14ac:dyDescent="0.3">
      <c r="J2231"/>
    </row>
    <row r="2232" spans="10:10" x14ac:dyDescent="0.3">
      <c r="J2232"/>
    </row>
    <row r="2233" spans="10:10" x14ac:dyDescent="0.3">
      <c r="J2233"/>
    </row>
    <row r="2234" spans="10:10" x14ac:dyDescent="0.3">
      <c r="J2234"/>
    </row>
    <row r="2235" spans="10:10" x14ac:dyDescent="0.3">
      <c r="J2235"/>
    </row>
    <row r="2236" spans="10:10" x14ac:dyDescent="0.3">
      <c r="J2236"/>
    </row>
    <row r="2237" spans="10:10" x14ac:dyDescent="0.3">
      <c r="J2237"/>
    </row>
    <row r="2238" spans="10:10" x14ac:dyDescent="0.3">
      <c r="J2238"/>
    </row>
    <row r="2239" spans="10:10" x14ac:dyDescent="0.3">
      <c r="J2239"/>
    </row>
    <row r="2240" spans="10:10" x14ac:dyDescent="0.3">
      <c r="J2240"/>
    </row>
    <row r="2241" spans="10:10" x14ac:dyDescent="0.3">
      <c r="J2241"/>
    </row>
    <row r="2242" spans="10:10" x14ac:dyDescent="0.3">
      <c r="J2242"/>
    </row>
    <row r="2243" spans="10:10" x14ac:dyDescent="0.3">
      <c r="J2243"/>
    </row>
    <row r="2244" spans="10:10" x14ac:dyDescent="0.3">
      <c r="J2244"/>
    </row>
    <row r="2245" spans="10:10" x14ac:dyDescent="0.3">
      <c r="J2245"/>
    </row>
    <row r="2246" spans="10:10" x14ac:dyDescent="0.3">
      <c r="J2246"/>
    </row>
    <row r="2247" spans="10:10" x14ac:dyDescent="0.3">
      <c r="J2247"/>
    </row>
    <row r="2248" spans="10:10" x14ac:dyDescent="0.3">
      <c r="J2248"/>
    </row>
    <row r="2249" spans="10:10" x14ac:dyDescent="0.3">
      <c r="J2249"/>
    </row>
    <row r="2250" spans="10:10" x14ac:dyDescent="0.3">
      <c r="J2250"/>
    </row>
    <row r="2251" spans="10:10" x14ac:dyDescent="0.3">
      <c r="J2251"/>
    </row>
    <row r="2252" spans="10:10" x14ac:dyDescent="0.3">
      <c r="J2252"/>
    </row>
    <row r="2253" spans="10:10" x14ac:dyDescent="0.3">
      <c r="J2253"/>
    </row>
    <row r="2254" spans="10:10" x14ac:dyDescent="0.3">
      <c r="J2254"/>
    </row>
    <row r="2255" spans="10:10" x14ac:dyDescent="0.3">
      <c r="J2255"/>
    </row>
    <row r="2256" spans="10:10" x14ac:dyDescent="0.3">
      <c r="J2256"/>
    </row>
    <row r="2257" spans="10:10" x14ac:dyDescent="0.3">
      <c r="J2257"/>
    </row>
    <row r="2258" spans="10:10" x14ac:dyDescent="0.3">
      <c r="J2258"/>
    </row>
    <row r="2259" spans="10:10" x14ac:dyDescent="0.3">
      <c r="J2259"/>
    </row>
    <row r="2260" spans="10:10" x14ac:dyDescent="0.3">
      <c r="J2260"/>
    </row>
    <row r="2261" spans="10:10" x14ac:dyDescent="0.3">
      <c r="J2261"/>
    </row>
    <row r="2262" spans="10:10" x14ac:dyDescent="0.3">
      <c r="J2262"/>
    </row>
    <row r="2263" spans="10:10" x14ac:dyDescent="0.3">
      <c r="J2263"/>
    </row>
    <row r="2264" spans="10:10" x14ac:dyDescent="0.3">
      <c r="J2264"/>
    </row>
    <row r="2265" spans="10:10" x14ac:dyDescent="0.3">
      <c r="J2265"/>
    </row>
    <row r="2266" spans="10:10" x14ac:dyDescent="0.3">
      <c r="J2266"/>
    </row>
    <row r="2267" spans="10:10" x14ac:dyDescent="0.3">
      <c r="J2267"/>
    </row>
    <row r="2268" spans="10:10" x14ac:dyDescent="0.3">
      <c r="J2268"/>
    </row>
    <row r="2269" spans="10:10" x14ac:dyDescent="0.3">
      <c r="J2269"/>
    </row>
    <row r="2270" spans="10:10" x14ac:dyDescent="0.3">
      <c r="J2270"/>
    </row>
    <row r="2271" spans="10:10" x14ac:dyDescent="0.3">
      <c r="J2271"/>
    </row>
    <row r="2272" spans="10:10" x14ac:dyDescent="0.3">
      <c r="J2272"/>
    </row>
    <row r="2273" spans="10:10" x14ac:dyDescent="0.3">
      <c r="J2273"/>
    </row>
    <row r="2274" spans="10:10" x14ac:dyDescent="0.3">
      <c r="J2274"/>
    </row>
    <row r="2275" spans="10:10" x14ac:dyDescent="0.3">
      <c r="J2275"/>
    </row>
    <row r="2276" spans="10:10" x14ac:dyDescent="0.3">
      <c r="J2276"/>
    </row>
    <row r="2277" spans="10:10" x14ac:dyDescent="0.3">
      <c r="J2277"/>
    </row>
    <row r="2278" spans="10:10" x14ac:dyDescent="0.3">
      <c r="J2278"/>
    </row>
    <row r="2279" spans="10:10" x14ac:dyDescent="0.3">
      <c r="J2279"/>
    </row>
    <row r="2280" spans="10:10" x14ac:dyDescent="0.3">
      <c r="J2280"/>
    </row>
    <row r="2281" spans="10:10" x14ac:dyDescent="0.3">
      <c r="J2281"/>
    </row>
    <row r="2282" spans="10:10" x14ac:dyDescent="0.3">
      <c r="J2282"/>
    </row>
    <row r="2283" spans="10:10" x14ac:dyDescent="0.3">
      <c r="J2283"/>
    </row>
    <row r="2284" spans="10:10" x14ac:dyDescent="0.3">
      <c r="J2284"/>
    </row>
    <row r="2285" spans="10:10" x14ac:dyDescent="0.3">
      <c r="J2285"/>
    </row>
    <row r="2286" spans="10:10" x14ac:dyDescent="0.3">
      <c r="J2286"/>
    </row>
    <row r="2287" spans="10:10" x14ac:dyDescent="0.3">
      <c r="J2287"/>
    </row>
    <row r="2288" spans="10:10" x14ac:dyDescent="0.3">
      <c r="J2288"/>
    </row>
    <row r="2289" spans="10:10" x14ac:dyDescent="0.3">
      <c r="J2289"/>
    </row>
    <row r="2290" spans="10:10" x14ac:dyDescent="0.3">
      <c r="J2290"/>
    </row>
    <row r="2291" spans="10:10" x14ac:dyDescent="0.3">
      <c r="J2291"/>
    </row>
    <row r="2292" spans="10:10" x14ac:dyDescent="0.3">
      <c r="J2292"/>
    </row>
    <row r="2293" spans="10:10" x14ac:dyDescent="0.3">
      <c r="J2293"/>
    </row>
    <row r="2294" spans="10:10" x14ac:dyDescent="0.3">
      <c r="J2294"/>
    </row>
    <row r="2295" spans="10:10" x14ac:dyDescent="0.3">
      <c r="J2295"/>
    </row>
    <row r="2296" spans="10:10" x14ac:dyDescent="0.3">
      <c r="J2296"/>
    </row>
    <row r="2297" spans="10:10" x14ac:dyDescent="0.3">
      <c r="J2297"/>
    </row>
    <row r="2298" spans="10:10" x14ac:dyDescent="0.3">
      <c r="J2298"/>
    </row>
    <row r="2299" spans="10:10" x14ac:dyDescent="0.3">
      <c r="J2299"/>
    </row>
    <row r="2300" spans="10:10" x14ac:dyDescent="0.3">
      <c r="J2300"/>
    </row>
    <row r="2301" spans="10:10" x14ac:dyDescent="0.3">
      <c r="J2301"/>
    </row>
    <row r="2302" spans="10:10" x14ac:dyDescent="0.3">
      <c r="J2302"/>
    </row>
    <row r="2303" spans="10:10" x14ac:dyDescent="0.3">
      <c r="J2303"/>
    </row>
    <row r="2304" spans="10:10" x14ac:dyDescent="0.3">
      <c r="J2304"/>
    </row>
    <row r="2305" spans="10:10" x14ac:dyDescent="0.3">
      <c r="J2305"/>
    </row>
    <row r="2306" spans="10:10" x14ac:dyDescent="0.3">
      <c r="J2306"/>
    </row>
    <row r="2307" spans="10:10" x14ac:dyDescent="0.3">
      <c r="J2307"/>
    </row>
    <row r="2308" spans="10:10" x14ac:dyDescent="0.3">
      <c r="J2308"/>
    </row>
    <row r="2309" spans="10:10" x14ac:dyDescent="0.3">
      <c r="J2309"/>
    </row>
    <row r="2310" spans="10:10" x14ac:dyDescent="0.3">
      <c r="J2310"/>
    </row>
    <row r="2311" spans="10:10" x14ac:dyDescent="0.3">
      <c r="J2311"/>
    </row>
    <row r="2312" spans="10:10" x14ac:dyDescent="0.3">
      <c r="J2312"/>
    </row>
    <row r="2313" spans="10:10" x14ac:dyDescent="0.3">
      <c r="J2313"/>
    </row>
    <row r="2314" spans="10:10" x14ac:dyDescent="0.3">
      <c r="J2314"/>
    </row>
    <row r="2315" spans="10:10" x14ac:dyDescent="0.3">
      <c r="J2315"/>
    </row>
    <row r="2316" spans="10:10" x14ac:dyDescent="0.3">
      <c r="J2316"/>
    </row>
    <row r="2317" spans="10:10" x14ac:dyDescent="0.3">
      <c r="J2317"/>
    </row>
    <row r="2318" spans="10:10" x14ac:dyDescent="0.3">
      <c r="J2318"/>
    </row>
    <row r="2319" spans="10:10" x14ac:dyDescent="0.3">
      <c r="J2319"/>
    </row>
    <row r="2320" spans="10:10" x14ac:dyDescent="0.3">
      <c r="J2320"/>
    </row>
    <row r="2321" spans="10:10" x14ac:dyDescent="0.3">
      <c r="J2321"/>
    </row>
    <row r="2322" spans="10:10" x14ac:dyDescent="0.3">
      <c r="J2322"/>
    </row>
    <row r="2323" spans="10:10" x14ac:dyDescent="0.3">
      <c r="J2323"/>
    </row>
    <row r="2324" spans="10:10" x14ac:dyDescent="0.3">
      <c r="J2324"/>
    </row>
    <row r="2325" spans="10:10" x14ac:dyDescent="0.3">
      <c r="J2325"/>
    </row>
    <row r="2326" spans="10:10" x14ac:dyDescent="0.3">
      <c r="J2326"/>
    </row>
    <row r="2327" spans="10:10" x14ac:dyDescent="0.3">
      <c r="J2327"/>
    </row>
    <row r="2328" spans="10:10" x14ac:dyDescent="0.3">
      <c r="J2328"/>
    </row>
    <row r="2329" spans="10:10" x14ac:dyDescent="0.3">
      <c r="J2329"/>
    </row>
    <row r="2330" spans="10:10" x14ac:dyDescent="0.3">
      <c r="J2330"/>
    </row>
    <row r="2331" spans="10:10" x14ac:dyDescent="0.3">
      <c r="J2331"/>
    </row>
    <row r="2332" spans="10:10" x14ac:dyDescent="0.3">
      <c r="J2332"/>
    </row>
    <row r="2333" spans="10:10" x14ac:dyDescent="0.3">
      <c r="J2333"/>
    </row>
    <row r="2334" spans="10:10" x14ac:dyDescent="0.3">
      <c r="J2334"/>
    </row>
    <row r="2335" spans="10:10" x14ac:dyDescent="0.3">
      <c r="J2335"/>
    </row>
    <row r="2336" spans="10:10" x14ac:dyDescent="0.3">
      <c r="J2336"/>
    </row>
    <row r="2337" spans="10:10" x14ac:dyDescent="0.3">
      <c r="J2337"/>
    </row>
    <row r="2338" spans="10:10" x14ac:dyDescent="0.3">
      <c r="J2338"/>
    </row>
    <row r="2339" spans="10:10" x14ac:dyDescent="0.3">
      <c r="J2339"/>
    </row>
    <row r="2340" spans="10:10" x14ac:dyDescent="0.3">
      <c r="J2340"/>
    </row>
    <row r="2341" spans="10:10" x14ac:dyDescent="0.3">
      <c r="J2341"/>
    </row>
    <row r="2342" spans="10:10" x14ac:dyDescent="0.3">
      <c r="J2342"/>
    </row>
    <row r="2343" spans="10:10" x14ac:dyDescent="0.3">
      <c r="J2343"/>
    </row>
    <row r="2344" spans="10:10" x14ac:dyDescent="0.3">
      <c r="J2344"/>
    </row>
    <row r="2345" spans="10:10" x14ac:dyDescent="0.3">
      <c r="J2345"/>
    </row>
    <row r="2346" spans="10:10" x14ac:dyDescent="0.3">
      <c r="J2346"/>
    </row>
    <row r="2347" spans="10:10" x14ac:dyDescent="0.3">
      <c r="J2347"/>
    </row>
    <row r="2348" spans="10:10" x14ac:dyDescent="0.3">
      <c r="J2348"/>
    </row>
    <row r="2349" spans="10:10" x14ac:dyDescent="0.3">
      <c r="J2349"/>
    </row>
    <row r="2350" spans="10:10" x14ac:dyDescent="0.3">
      <c r="J2350"/>
    </row>
    <row r="2351" spans="10:10" x14ac:dyDescent="0.3">
      <c r="J2351"/>
    </row>
    <row r="2352" spans="10:10" x14ac:dyDescent="0.3">
      <c r="J2352"/>
    </row>
    <row r="2353" spans="10:10" x14ac:dyDescent="0.3">
      <c r="J2353"/>
    </row>
    <row r="2354" spans="10:10" x14ac:dyDescent="0.3">
      <c r="J2354"/>
    </row>
    <row r="2355" spans="10:10" x14ac:dyDescent="0.3">
      <c r="J2355"/>
    </row>
    <row r="2356" spans="10:10" x14ac:dyDescent="0.3">
      <c r="J2356"/>
    </row>
    <row r="2357" spans="10:10" x14ac:dyDescent="0.3">
      <c r="J2357"/>
    </row>
    <row r="2358" spans="10:10" x14ac:dyDescent="0.3">
      <c r="J2358"/>
    </row>
    <row r="2359" spans="10:10" x14ac:dyDescent="0.3">
      <c r="J2359"/>
    </row>
    <row r="2360" spans="10:10" x14ac:dyDescent="0.3">
      <c r="J2360"/>
    </row>
    <row r="2361" spans="10:10" x14ac:dyDescent="0.3">
      <c r="J2361"/>
    </row>
    <row r="2362" spans="10:10" x14ac:dyDescent="0.3">
      <c r="J2362"/>
    </row>
    <row r="2363" spans="10:10" x14ac:dyDescent="0.3">
      <c r="J2363"/>
    </row>
    <row r="2364" spans="10:10" x14ac:dyDescent="0.3">
      <c r="J2364"/>
    </row>
    <row r="2365" spans="10:10" x14ac:dyDescent="0.3">
      <c r="J2365"/>
    </row>
    <row r="2366" spans="10:10" x14ac:dyDescent="0.3">
      <c r="J2366"/>
    </row>
    <row r="2367" spans="10:10" x14ac:dyDescent="0.3">
      <c r="J2367"/>
    </row>
    <row r="2368" spans="10:10" x14ac:dyDescent="0.3">
      <c r="J2368"/>
    </row>
    <row r="2369" spans="10:10" x14ac:dyDescent="0.3">
      <c r="J2369"/>
    </row>
    <row r="2370" spans="10:10" x14ac:dyDescent="0.3">
      <c r="J2370"/>
    </row>
    <row r="2371" spans="10:10" x14ac:dyDescent="0.3">
      <c r="J2371"/>
    </row>
    <row r="2372" spans="10:10" x14ac:dyDescent="0.3">
      <c r="J2372"/>
    </row>
    <row r="2373" spans="10:10" x14ac:dyDescent="0.3">
      <c r="J2373"/>
    </row>
    <row r="2374" spans="10:10" x14ac:dyDescent="0.3">
      <c r="J2374"/>
    </row>
    <row r="2375" spans="10:10" x14ac:dyDescent="0.3">
      <c r="J2375"/>
    </row>
    <row r="2376" spans="10:10" x14ac:dyDescent="0.3">
      <c r="J2376"/>
    </row>
    <row r="2377" spans="10:10" x14ac:dyDescent="0.3">
      <c r="J2377"/>
    </row>
    <row r="2378" spans="10:10" x14ac:dyDescent="0.3">
      <c r="J2378"/>
    </row>
    <row r="2379" spans="10:10" x14ac:dyDescent="0.3">
      <c r="J2379"/>
    </row>
    <row r="2380" spans="10:10" x14ac:dyDescent="0.3">
      <c r="J2380"/>
    </row>
    <row r="2381" spans="10:10" x14ac:dyDescent="0.3">
      <c r="J2381"/>
    </row>
    <row r="2382" spans="10:10" x14ac:dyDescent="0.3">
      <c r="J2382"/>
    </row>
    <row r="2383" spans="10:10" x14ac:dyDescent="0.3">
      <c r="J2383"/>
    </row>
    <row r="2384" spans="10:10" x14ac:dyDescent="0.3">
      <c r="J2384"/>
    </row>
    <row r="2385" spans="10:10" x14ac:dyDescent="0.3">
      <c r="J2385"/>
    </row>
    <row r="2386" spans="10:10" x14ac:dyDescent="0.3">
      <c r="J2386"/>
    </row>
    <row r="2387" spans="10:10" x14ac:dyDescent="0.3">
      <c r="J2387"/>
    </row>
    <row r="2388" spans="10:10" x14ac:dyDescent="0.3">
      <c r="J2388"/>
    </row>
    <row r="2389" spans="10:10" x14ac:dyDescent="0.3">
      <c r="J2389"/>
    </row>
    <row r="2390" spans="10:10" x14ac:dyDescent="0.3">
      <c r="J2390"/>
    </row>
    <row r="2391" spans="10:10" x14ac:dyDescent="0.3">
      <c r="J2391"/>
    </row>
    <row r="2392" spans="10:10" x14ac:dyDescent="0.3">
      <c r="J2392"/>
    </row>
    <row r="2393" spans="10:10" x14ac:dyDescent="0.3">
      <c r="J2393"/>
    </row>
    <row r="2394" spans="10:10" x14ac:dyDescent="0.3">
      <c r="J2394"/>
    </row>
    <row r="2395" spans="10:10" x14ac:dyDescent="0.3">
      <c r="J2395"/>
    </row>
    <row r="2396" spans="10:10" x14ac:dyDescent="0.3">
      <c r="J2396"/>
    </row>
    <row r="2397" spans="10:10" x14ac:dyDescent="0.3">
      <c r="J2397"/>
    </row>
    <row r="2398" spans="10:10" x14ac:dyDescent="0.3">
      <c r="J2398"/>
    </row>
    <row r="2399" spans="10:10" x14ac:dyDescent="0.3">
      <c r="J2399"/>
    </row>
    <row r="2400" spans="10:10" x14ac:dyDescent="0.3">
      <c r="J2400"/>
    </row>
    <row r="2401" spans="10:10" x14ac:dyDescent="0.3">
      <c r="J2401"/>
    </row>
    <row r="2402" spans="10:10" x14ac:dyDescent="0.3">
      <c r="J2402"/>
    </row>
    <row r="2403" spans="10:10" x14ac:dyDescent="0.3">
      <c r="J2403"/>
    </row>
    <row r="2404" spans="10:10" x14ac:dyDescent="0.3">
      <c r="J2404"/>
    </row>
    <row r="2405" spans="10:10" x14ac:dyDescent="0.3">
      <c r="J2405"/>
    </row>
    <row r="2406" spans="10:10" x14ac:dyDescent="0.3">
      <c r="J2406"/>
    </row>
    <row r="2407" spans="10:10" x14ac:dyDescent="0.3">
      <c r="J2407"/>
    </row>
    <row r="2408" spans="10:10" x14ac:dyDescent="0.3">
      <c r="J2408"/>
    </row>
    <row r="2409" spans="10:10" x14ac:dyDescent="0.3">
      <c r="J2409"/>
    </row>
    <row r="2410" spans="10:10" x14ac:dyDescent="0.3">
      <c r="J2410"/>
    </row>
    <row r="2411" spans="10:10" x14ac:dyDescent="0.3">
      <c r="J2411"/>
    </row>
    <row r="2412" spans="10:10" x14ac:dyDescent="0.3">
      <c r="J2412"/>
    </row>
    <row r="2413" spans="10:10" x14ac:dyDescent="0.3">
      <c r="J2413"/>
    </row>
    <row r="2414" spans="10:10" x14ac:dyDescent="0.3">
      <c r="J2414"/>
    </row>
    <row r="2415" spans="10:10" x14ac:dyDescent="0.3">
      <c r="J2415"/>
    </row>
    <row r="2416" spans="10:10" x14ac:dyDescent="0.3">
      <c r="J2416"/>
    </row>
    <row r="2417" spans="10:10" x14ac:dyDescent="0.3">
      <c r="J2417"/>
    </row>
    <row r="2418" spans="10:10" x14ac:dyDescent="0.3">
      <c r="J2418"/>
    </row>
    <row r="2419" spans="10:10" x14ac:dyDescent="0.3">
      <c r="J2419"/>
    </row>
    <row r="2420" spans="10:10" x14ac:dyDescent="0.3">
      <c r="J2420"/>
    </row>
    <row r="2421" spans="10:10" x14ac:dyDescent="0.3">
      <c r="J2421"/>
    </row>
    <row r="2422" spans="10:10" x14ac:dyDescent="0.3">
      <c r="J2422"/>
    </row>
    <row r="2423" spans="10:10" x14ac:dyDescent="0.3">
      <c r="J2423"/>
    </row>
    <row r="2424" spans="10:10" x14ac:dyDescent="0.3">
      <c r="J2424"/>
    </row>
    <row r="2425" spans="10:10" x14ac:dyDescent="0.3">
      <c r="J2425"/>
    </row>
    <row r="2426" spans="10:10" x14ac:dyDescent="0.3">
      <c r="J2426"/>
    </row>
    <row r="2427" spans="10:10" x14ac:dyDescent="0.3">
      <c r="J2427"/>
    </row>
    <row r="2428" spans="10:10" x14ac:dyDescent="0.3">
      <c r="J2428"/>
    </row>
    <row r="2429" spans="10:10" x14ac:dyDescent="0.3">
      <c r="J2429"/>
    </row>
    <row r="2430" spans="10:10" x14ac:dyDescent="0.3">
      <c r="J2430"/>
    </row>
    <row r="2431" spans="10:10" x14ac:dyDescent="0.3">
      <c r="J2431"/>
    </row>
    <row r="2432" spans="10:10" x14ac:dyDescent="0.3">
      <c r="J2432"/>
    </row>
    <row r="2433" spans="10:10" x14ac:dyDescent="0.3">
      <c r="J2433"/>
    </row>
    <row r="2434" spans="10:10" x14ac:dyDescent="0.3">
      <c r="J2434"/>
    </row>
    <row r="2435" spans="10:10" x14ac:dyDescent="0.3">
      <c r="J2435"/>
    </row>
    <row r="2436" spans="10:10" x14ac:dyDescent="0.3">
      <c r="J2436"/>
    </row>
    <row r="2437" spans="10:10" x14ac:dyDescent="0.3">
      <c r="J2437"/>
    </row>
    <row r="2438" spans="10:10" x14ac:dyDescent="0.3">
      <c r="J2438"/>
    </row>
    <row r="2439" spans="10:10" x14ac:dyDescent="0.3">
      <c r="J2439"/>
    </row>
    <row r="2440" spans="10:10" x14ac:dyDescent="0.3">
      <c r="J2440"/>
    </row>
    <row r="2441" spans="10:10" x14ac:dyDescent="0.3">
      <c r="J2441"/>
    </row>
    <row r="2442" spans="10:10" x14ac:dyDescent="0.3">
      <c r="J2442"/>
    </row>
    <row r="2443" spans="10:10" x14ac:dyDescent="0.3">
      <c r="J2443"/>
    </row>
    <row r="2444" spans="10:10" x14ac:dyDescent="0.3">
      <c r="J2444"/>
    </row>
    <row r="2445" spans="10:10" x14ac:dyDescent="0.3">
      <c r="J2445"/>
    </row>
    <row r="2446" spans="10:10" x14ac:dyDescent="0.3">
      <c r="J2446"/>
    </row>
    <row r="2447" spans="10:10" x14ac:dyDescent="0.3">
      <c r="J2447"/>
    </row>
    <row r="2448" spans="10:10" x14ac:dyDescent="0.3">
      <c r="J2448"/>
    </row>
    <row r="2449" spans="10:10" x14ac:dyDescent="0.3">
      <c r="J2449"/>
    </row>
    <row r="2450" spans="10:10" x14ac:dyDescent="0.3">
      <c r="J2450"/>
    </row>
    <row r="2451" spans="10:10" x14ac:dyDescent="0.3">
      <c r="J2451"/>
    </row>
    <row r="2452" spans="10:10" x14ac:dyDescent="0.3">
      <c r="J2452"/>
    </row>
    <row r="2453" spans="10:10" x14ac:dyDescent="0.3">
      <c r="J2453"/>
    </row>
    <row r="2454" spans="10:10" x14ac:dyDescent="0.3">
      <c r="J2454"/>
    </row>
    <row r="2455" spans="10:10" x14ac:dyDescent="0.3">
      <c r="J2455"/>
    </row>
    <row r="2456" spans="10:10" x14ac:dyDescent="0.3">
      <c r="J2456"/>
    </row>
    <row r="2457" spans="10:10" x14ac:dyDescent="0.3">
      <c r="J2457"/>
    </row>
    <row r="2458" spans="10:10" x14ac:dyDescent="0.3">
      <c r="J2458"/>
    </row>
    <row r="2459" spans="10:10" x14ac:dyDescent="0.3">
      <c r="J2459"/>
    </row>
    <row r="2460" spans="10:10" x14ac:dyDescent="0.3">
      <c r="J2460"/>
    </row>
    <row r="2461" spans="10:10" x14ac:dyDescent="0.3">
      <c r="J2461"/>
    </row>
    <row r="2462" spans="10:10" x14ac:dyDescent="0.3">
      <c r="J2462"/>
    </row>
    <row r="2463" spans="10:10" x14ac:dyDescent="0.3">
      <c r="J2463"/>
    </row>
    <row r="2464" spans="10:10" x14ac:dyDescent="0.3">
      <c r="J2464"/>
    </row>
    <row r="2465" spans="10:10" x14ac:dyDescent="0.3">
      <c r="J2465"/>
    </row>
    <row r="2466" spans="10:10" x14ac:dyDescent="0.3">
      <c r="J2466"/>
    </row>
    <row r="2467" spans="10:10" x14ac:dyDescent="0.3">
      <c r="J2467"/>
    </row>
    <row r="2468" spans="10:10" x14ac:dyDescent="0.3">
      <c r="J2468"/>
    </row>
    <row r="2469" spans="10:10" x14ac:dyDescent="0.3">
      <c r="J2469"/>
    </row>
    <row r="2470" spans="10:10" x14ac:dyDescent="0.3">
      <c r="J2470"/>
    </row>
    <row r="2471" spans="10:10" x14ac:dyDescent="0.3">
      <c r="J2471"/>
    </row>
    <row r="2472" spans="10:10" x14ac:dyDescent="0.3">
      <c r="J2472"/>
    </row>
    <row r="2473" spans="10:10" x14ac:dyDescent="0.3">
      <c r="J2473"/>
    </row>
    <row r="2474" spans="10:10" x14ac:dyDescent="0.3">
      <c r="J2474"/>
    </row>
    <row r="2475" spans="10:10" x14ac:dyDescent="0.3">
      <c r="J2475"/>
    </row>
    <row r="2476" spans="10:10" x14ac:dyDescent="0.3">
      <c r="J2476"/>
    </row>
    <row r="2477" spans="10:10" x14ac:dyDescent="0.3">
      <c r="J2477"/>
    </row>
    <row r="2478" spans="10:10" x14ac:dyDescent="0.3">
      <c r="J2478"/>
    </row>
    <row r="2479" spans="10:10" x14ac:dyDescent="0.3">
      <c r="J2479"/>
    </row>
    <row r="2480" spans="10:10" x14ac:dyDescent="0.3">
      <c r="J2480"/>
    </row>
    <row r="2481" spans="10:10" x14ac:dyDescent="0.3">
      <c r="J2481"/>
    </row>
    <row r="2482" spans="10:10" x14ac:dyDescent="0.3">
      <c r="J2482"/>
    </row>
    <row r="2483" spans="10:10" x14ac:dyDescent="0.3">
      <c r="J2483"/>
    </row>
    <row r="2484" spans="10:10" x14ac:dyDescent="0.3">
      <c r="J2484"/>
    </row>
    <row r="2485" spans="10:10" x14ac:dyDescent="0.3">
      <c r="J2485"/>
    </row>
    <row r="2486" spans="10:10" x14ac:dyDescent="0.3">
      <c r="J2486"/>
    </row>
    <row r="2487" spans="10:10" x14ac:dyDescent="0.3">
      <c r="J2487"/>
    </row>
    <row r="2488" spans="10:10" x14ac:dyDescent="0.3">
      <c r="J2488"/>
    </row>
    <row r="2489" spans="10:10" x14ac:dyDescent="0.3">
      <c r="J2489"/>
    </row>
    <row r="2490" spans="10:10" x14ac:dyDescent="0.3">
      <c r="J2490"/>
    </row>
    <row r="2491" spans="10:10" x14ac:dyDescent="0.3">
      <c r="J2491"/>
    </row>
    <row r="2492" spans="10:10" x14ac:dyDescent="0.3">
      <c r="J2492"/>
    </row>
    <row r="2493" spans="10:10" x14ac:dyDescent="0.3">
      <c r="J2493"/>
    </row>
    <row r="2494" spans="10:10" x14ac:dyDescent="0.3">
      <c r="J2494"/>
    </row>
    <row r="2495" spans="10:10" x14ac:dyDescent="0.3">
      <c r="J2495"/>
    </row>
    <row r="2496" spans="10:10" x14ac:dyDescent="0.3">
      <c r="J2496"/>
    </row>
    <row r="2497" spans="10:10" x14ac:dyDescent="0.3">
      <c r="J2497"/>
    </row>
    <row r="2498" spans="10:10" x14ac:dyDescent="0.3">
      <c r="J2498"/>
    </row>
    <row r="2499" spans="10:10" x14ac:dyDescent="0.3">
      <c r="J2499"/>
    </row>
    <row r="2500" spans="10:10" x14ac:dyDescent="0.3">
      <c r="J2500"/>
    </row>
    <row r="2501" spans="10:10" x14ac:dyDescent="0.3">
      <c r="J2501"/>
    </row>
    <row r="2502" spans="10:10" x14ac:dyDescent="0.3">
      <c r="J2502"/>
    </row>
    <row r="2503" spans="10:10" x14ac:dyDescent="0.3">
      <c r="J2503"/>
    </row>
    <row r="2504" spans="10:10" x14ac:dyDescent="0.3">
      <c r="J2504"/>
    </row>
    <row r="2505" spans="10:10" x14ac:dyDescent="0.3">
      <c r="J2505"/>
    </row>
    <row r="2506" spans="10:10" x14ac:dyDescent="0.3">
      <c r="J2506"/>
    </row>
    <row r="2507" spans="10:10" x14ac:dyDescent="0.3">
      <c r="J2507"/>
    </row>
    <row r="2508" spans="10:10" x14ac:dyDescent="0.3">
      <c r="J2508"/>
    </row>
    <row r="2509" spans="10:10" x14ac:dyDescent="0.3">
      <c r="J2509"/>
    </row>
    <row r="2510" spans="10:10" x14ac:dyDescent="0.3">
      <c r="J2510"/>
    </row>
    <row r="2511" spans="10:10" x14ac:dyDescent="0.3">
      <c r="J2511"/>
    </row>
    <row r="2512" spans="10:10" x14ac:dyDescent="0.3">
      <c r="J2512"/>
    </row>
    <row r="2513" spans="10:10" x14ac:dyDescent="0.3">
      <c r="J2513"/>
    </row>
    <row r="2514" spans="10:10" x14ac:dyDescent="0.3">
      <c r="J2514"/>
    </row>
    <row r="2515" spans="10:10" x14ac:dyDescent="0.3">
      <c r="J2515"/>
    </row>
    <row r="2516" spans="10:10" x14ac:dyDescent="0.3">
      <c r="J2516"/>
    </row>
    <row r="2517" spans="10:10" x14ac:dyDescent="0.3">
      <c r="J2517"/>
    </row>
    <row r="2518" spans="10:10" x14ac:dyDescent="0.3">
      <c r="J2518"/>
    </row>
    <row r="2519" spans="10:10" x14ac:dyDescent="0.3">
      <c r="J2519"/>
    </row>
    <row r="2520" spans="10:10" x14ac:dyDescent="0.3">
      <c r="J2520"/>
    </row>
    <row r="2521" spans="10:10" x14ac:dyDescent="0.3">
      <c r="J2521"/>
    </row>
    <row r="2522" spans="10:10" x14ac:dyDescent="0.3">
      <c r="J2522"/>
    </row>
    <row r="2523" spans="10:10" x14ac:dyDescent="0.3">
      <c r="J2523"/>
    </row>
    <row r="2524" spans="10:10" x14ac:dyDescent="0.3">
      <c r="J2524"/>
    </row>
    <row r="2525" spans="10:10" x14ac:dyDescent="0.3">
      <c r="J2525"/>
    </row>
    <row r="2526" spans="10:10" x14ac:dyDescent="0.3">
      <c r="J2526"/>
    </row>
    <row r="2527" spans="10:10" x14ac:dyDescent="0.3">
      <c r="J2527"/>
    </row>
    <row r="2528" spans="10:10" x14ac:dyDescent="0.3">
      <c r="J2528"/>
    </row>
    <row r="2529" spans="10:10" x14ac:dyDescent="0.3">
      <c r="J2529"/>
    </row>
    <row r="2530" spans="10:10" x14ac:dyDescent="0.3">
      <c r="J2530"/>
    </row>
    <row r="2531" spans="10:10" x14ac:dyDescent="0.3">
      <c r="J2531"/>
    </row>
    <row r="2532" spans="10:10" x14ac:dyDescent="0.3">
      <c r="J2532"/>
    </row>
    <row r="2533" spans="10:10" x14ac:dyDescent="0.3">
      <c r="J2533"/>
    </row>
    <row r="2534" spans="10:10" x14ac:dyDescent="0.3">
      <c r="J2534"/>
    </row>
    <row r="2535" spans="10:10" x14ac:dyDescent="0.3">
      <c r="J2535"/>
    </row>
    <row r="2536" spans="10:10" x14ac:dyDescent="0.3">
      <c r="J2536"/>
    </row>
    <row r="2537" spans="10:10" x14ac:dyDescent="0.3">
      <c r="J2537"/>
    </row>
    <row r="2538" spans="10:10" x14ac:dyDescent="0.3">
      <c r="J2538"/>
    </row>
    <row r="2539" spans="10:10" x14ac:dyDescent="0.3">
      <c r="J2539"/>
    </row>
    <row r="2540" spans="10:10" x14ac:dyDescent="0.3">
      <c r="J2540"/>
    </row>
    <row r="2541" spans="10:10" x14ac:dyDescent="0.3">
      <c r="J2541"/>
    </row>
    <row r="2542" spans="10:10" x14ac:dyDescent="0.3">
      <c r="J2542"/>
    </row>
    <row r="2543" spans="10:10" x14ac:dyDescent="0.3">
      <c r="J2543"/>
    </row>
    <row r="2544" spans="10:10" x14ac:dyDescent="0.3">
      <c r="J2544"/>
    </row>
    <row r="2545" spans="10:10" x14ac:dyDescent="0.3">
      <c r="J2545"/>
    </row>
    <row r="2546" spans="10:10" x14ac:dyDescent="0.3">
      <c r="J2546"/>
    </row>
    <row r="2547" spans="10:10" x14ac:dyDescent="0.3">
      <c r="J2547"/>
    </row>
    <row r="2548" spans="10:10" x14ac:dyDescent="0.3">
      <c r="J2548"/>
    </row>
    <row r="2549" spans="10:10" x14ac:dyDescent="0.3">
      <c r="J2549"/>
    </row>
    <row r="2550" spans="10:10" x14ac:dyDescent="0.3">
      <c r="J2550"/>
    </row>
    <row r="2551" spans="10:10" x14ac:dyDescent="0.3">
      <c r="J2551"/>
    </row>
    <row r="2552" spans="10:10" x14ac:dyDescent="0.3">
      <c r="J2552"/>
    </row>
    <row r="2553" spans="10:10" x14ac:dyDescent="0.3">
      <c r="J2553"/>
    </row>
    <row r="2554" spans="10:10" x14ac:dyDescent="0.3">
      <c r="J2554"/>
    </row>
    <row r="2555" spans="10:10" x14ac:dyDescent="0.3">
      <c r="J2555"/>
    </row>
    <row r="2556" spans="10:10" x14ac:dyDescent="0.3">
      <c r="J2556"/>
    </row>
    <row r="2557" spans="10:10" x14ac:dyDescent="0.3">
      <c r="J2557"/>
    </row>
    <row r="2558" spans="10:10" x14ac:dyDescent="0.3">
      <c r="J2558"/>
    </row>
    <row r="2559" spans="10:10" x14ac:dyDescent="0.3">
      <c r="J2559"/>
    </row>
    <row r="2560" spans="10:10" x14ac:dyDescent="0.3">
      <c r="J2560"/>
    </row>
    <row r="2561" spans="10:10" x14ac:dyDescent="0.3">
      <c r="J2561"/>
    </row>
    <row r="2562" spans="10:10" x14ac:dyDescent="0.3">
      <c r="J2562"/>
    </row>
    <row r="2563" spans="10:10" x14ac:dyDescent="0.3">
      <c r="J2563"/>
    </row>
    <row r="2564" spans="10:10" x14ac:dyDescent="0.3">
      <c r="J2564"/>
    </row>
    <row r="2565" spans="10:10" x14ac:dyDescent="0.3">
      <c r="J2565"/>
    </row>
    <row r="2566" spans="10:10" x14ac:dyDescent="0.3">
      <c r="J2566"/>
    </row>
    <row r="2567" spans="10:10" x14ac:dyDescent="0.3">
      <c r="J2567"/>
    </row>
    <row r="2568" spans="10:10" x14ac:dyDescent="0.3">
      <c r="J2568"/>
    </row>
    <row r="2569" spans="10:10" x14ac:dyDescent="0.3">
      <c r="J2569"/>
    </row>
    <row r="2570" spans="10:10" x14ac:dyDescent="0.3">
      <c r="J2570"/>
    </row>
    <row r="2571" spans="10:10" x14ac:dyDescent="0.3">
      <c r="J2571"/>
    </row>
    <row r="2572" spans="10:10" x14ac:dyDescent="0.3">
      <c r="J2572"/>
    </row>
    <row r="2573" spans="10:10" x14ac:dyDescent="0.3">
      <c r="J2573"/>
    </row>
    <row r="2574" spans="10:10" x14ac:dyDescent="0.3">
      <c r="J2574"/>
    </row>
    <row r="2575" spans="10:10" x14ac:dyDescent="0.3">
      <c r="J2575"/>
    </row>
    <row r="2576" spans="10:10" x14ac:dyDescent="0.3">
      <c r="J2576"/>
    </row>
    <row r="2577" spans="10:10" x14ac:dyDescent="0.3">
      <c r="J2577"/>
    </row>
    <row r="2578" spans="10:10" x14ac:dyDescent="0.3">
      <c r="J2578"/>
    </row>
    <row r="2579" spans="10:10" x14ac:dyDescent="0.3">
      <c r="J2579"/>
    </row>
    <row r="2580" spans="10:10" x14ac:dyDescent="0.3">
      <c r="J2580"/>
    </row>
    <row r="2581" spans="10:10" x14ac:dyDescent="0.3">
      <c r="J2581"/>
    </row>
    <row r="2582" spans="10:10" x14ac:dyDescent="0.3">
      <c r="J2582"/>
    </row>
    <row r="2583" spans="10:10" x14ac:dyDescent="0.3">
      <c r="J2583"/>
    </row>
    <row r="2584" spans="10:10" x14ac:dyDescent="0.3">
      <c r="J2584"/>
    </row>
    <row r="2585" spans="10:10" x14ac:dyDescent="0.3">
      <c r="J2585"/>
    </row>
    <row r="2586" spans="10:10" x14ac:dyDescent="0.3">
      <c r="J2586"/>
    </row>
    <row r="2587" spans="10:10" x14ac:dyDescent="0.3">
      <c r="J2587"/>
    </row>
    <row r="2588" spans="10:10" x14ac:dyDescent="0.3">
      <c r="J2588"/>
    </row>
    <row r="2589" spans="10:10" x14ac:dyDescent="0.3">
      <c r="J2589"/>
    </row>
    <row r="2590" spans="10:10" x14ac:dyDescent="0.3">
      <c r="J2590"/>
    </row>
    <row r="2591" spans="10:10" x14ac:dyDescent="0.3">
      <c r="J2591"/>
    </row>
    <row r="2592" spans="10:10" x14ac:dyDescent="0.3">
      <c r="J2592"/>
    </row>
    <row r="2593" spans="10:10" x14ac:dyDescent="0.3">
      <c r="J2593"/>
    </row>
    <row r="2594" spans="10:10" x14ac:dyDescent="0.3">
      <c r="J2594"/>
    </row>
    <row r="2595" spans="10:10" x14ac:dyDescent="0.3">
      <c r="J2595"/>
    </row>
    <row r="2596" spans="10:10" x14ac:dyDescent="0.3">
      <c r="J2596"/>
    </row>
    <row r="2597" spans="10:10" x14ac:dyDescent="0.3">
      <c r="J2597"/>
    </row>
    <row r="2598" spans="10:10" x14ac:dyDescent="0.3">
      <c r="J2598"/>
    </row>
    <row r="2599" spans="10:10" x14ac:dyDescent="0.3">
      <c r="J2599"/>
    </row>
    <row r="2600" spans="10:10" x14ac:dyDescent="0.3">
      <c r="J2600"/>
    </row>
    <row r="2601" spans="10:10" x14ac:dyDescent="0.3">
      <c r="J2601"/>
    </row>
    <row r="2602" spans="10:10" x14ac:dyDescent="0.3">
      <c r="J2602"/>
    </row>
    <row r="2603" spans="10:10" x14ac:dyDescent="0.3">
      <c r="J2603"/>
    </row>
    <row r="2604" spans="10:10" x14ac:dyDescent="0.3">
      <c r="J2604"/>
    </row>
    <row r="2605" spans="10:10" x14ac:dyDescent="0.3">
      <c r="J2605"/>
    </row>
    <row r="2606" spans="10:10" x14ac:dyDescent="0.3">
      <c r="J2606"/>
    </row>
    <row r="2607" spans="10:10" x14ac:dyDescent="0.3">
      <c r="J2607"/>
    </row>
    <row r="2608" spans="10:10" x14ac:dyDescent="0.3">
      <c r="J2608"/>
    </row>
    <row r="2609" spans="10:10" x14ac:dyDescent="0.3">
      <c r="J2609"/>
    </row>
    <row r="2610" spans="10:10" x14ac:dyDescent="0.3">
      <c r="J2610"/>
    </row>
    <row r="2611" spans="10:10" x14ac:dyDescent="0.3">
      <c r="J2611"/>
    </row>
    <row r="2612" spans="10:10" x14ac:dyDescent="0.3">
      <c r="J2612"/>
    </row>
    <row r="2613" spans="10:10" x14ac:dyDescent="0.3">
      <c r="J2613"/>
    </row>
    <row r="2614" spans="10:10" x14ac:dyDescent="0.3">
      <c r="J2614"/>
    </row>
    <row r="2615" spans="10:10" x14ac:dyDescent="0.3">
      <c r="J2615"/>
    </row>
    <row r="2616" spans="10:10" x14ac:dyDescent="0.3">
      <c r="J2616"/>
    </row>
    <row r="2617" spans="10:10" x14ac:dyDescent="0.3">
      <c r="J2617"/>
    </row>
    <row r="2618" spans="10:10" x14ac:dyDescent="0.3">
      <c r="J2618"/>
    </row>
    <row r="2619" spans="10:10" x14ac:dyDescent="0.3">
      <c r="J2619"/>
    </row>
    <row r="2620" spans="10:10" x14ac:dyDescent="0.3">
      <c r="J2620"/>
    </row>
    <row r="2621" spans="10:10" x14ac:dyDescent="0.3">
      <c r="J2621"/>
    </row>
    <row r="2622" spans="10:10" x14ac:dyDescent="0.3">
      <c r="J2622"/>
    </row>
    <row r="2623" spans="10:10" x14ac:dyDescent="0.3">
      <c r="J2623"/>
    </row>
    <row r="2624" spans="10:10" x14ac:dyDescent="0.3">
      <c r="J2624"/>
    </row>
    <row r="2625" spans="10:10" x14ac:dyDescent="0.3">
      <c r="J2625"/>
    </row>
    <row r="2626" spans="10:10" x14ac:dyDescent="0.3">
      <c r="J2626"/>
    </row>
    <row r="2627" spans="10:10" x14ac:dyDescent="0.3">
      <c r="J2627"/>
    </row>
    <row r="2628" spans="10:10" x14ac:dyDescent="0.3">
      <c r="J2628"/>
    </row>
    <row r="2629" spans="10:10" x14ac:dyDescent="0.3">
      <c r="J2629"/>
    </row>
    <row r="2630" spans="10:10" x14ac:dyDescent="0.3">
      <c r="J2630"/>
    </row>
    <row r="2631" spans="10:10" x14ac:dyDescent="0.3">
      <c r="J2631"/>
    </row>
    <row r="2632" spans="10:10" x14ac:dyDescent="0.3">
      <c r="J2632"/>
    </row>
    <row r="2633" spans="10:10" x14ac:dyDescent="0.3">
      <c r="J2633"/>
    </row>
    <row r="2634" spans="10:10" x14ac:dyDescent="0.3">
      <c r="J2634"/>
    </row>
    <row r="2635" spans="10:10" x14ac:dyDescent="0.3">
      <c r="J2635"/>
    </row>
    <row r="2636" spans="10:10" x14ac:dyDescent="0.3">
      <c r="J2636"/>
    </row>
    <row r="2637" spans="10:10" x14ac:dyDescent="0.3">
      <c r="J2637"/>
    </row>
    <row r="2638" spans="10:10" x14ac:dyDescent="0.3">
      <c r="J2638"/>
    </row>
    <row r="2639" spans="10:10" x14ac:dyDescent="0.3">
      <c r="J2639"/>
    </row>
    <row r="2640" spans="10:10" x14ac:dyDescent="0.3">
      <c r="J2640"/>
    </row>
    <row r="2641" spans="10:10" x14ac:dyDescent="0.3">
      <c r="J2641"/>
    </row>
    <row r="2642" spans="10:10" x14ac:dyDescent="0.3">
      <c r="J2642"/>
    </row>
    <row r="2643" spans="10:10" x14ac:dyDescent="0.3">
      <c r="J2643"/>
    </row>
    <row r="2644" spans="10:10" x14ac:dyDescent="0.3">
      <c r="J2644"/>
    </row>
    <row r="2645" spans="10:10" x14ac:dyDescent="0.3">
      <c r="J2645"/>
    </row>
    <row r="2646" spans="10:10" x14ac:dyDescent="0.3">
      <c r="J2646"/>
    </row>
    <row r="2647" spans="10:10" x14ac:dyDescent="0.3">
      <c r="J2647"/>
    </row>
    <row r="2648" spans="10:10" x14ac:dyDescent="0.3">
      <c r="J2648"/>
    </row>
    <row r="2649" spans="10:10" x14ac:dyDescent="0.3">
      <c r="J2649"/>
    </row>
    <row r="2650" spans="10:10" x14ac:dyDescent="0.3">
      <c r="J2650"/>
    </row>
    <row r="2651" spans="10:10" x14ac:dyDescent="0.3">
      <c r="J2651"/>
    </row>
    <row r="2652" spans="10:10" x14ac:dyDescent="0.3">
      <c r="J2652"/>
    </row>
    <row r="2653" spans="10:10" x14ac:dyDescent="0.3">
      <c r="J2653"/>
    </row>
    <row r="2654" spans="10:10" x14ac:dyDescent="0.3">
      <c r="J2654"/>
    </row>
    <row r="2655" spans="10:10" x14ac:dyDescent="0.3">
      <c r="J2655"/>
    </row>
    <row r="2656" spans="10:10" x14ac:dyDescent="0.3">
      <c r="J2656"/>
    </row>
    <row r="2657" spans="10:10" x14ac:dyDescent="0.3">
      <c r="J2657"/>
    </row>
    <row r="2658" spans="10:10" x14ac:dyDescent="0.3">
      <c r="J2658"/>
    </row>
    <row r="2659" spans="10:10" x14ac:dyDescent="0.3">
      <c r="J2659"/>
    </row>
    <row r="2660" spans="10:10" x14ac:dyDescent="0.3">
      <c r="J2660"/>
    </row>
    <row r="2661" spans="10:10" x14ac:dyDescent="0.3">
      <c r="J2661"/>
    </row>
    <row r="2662" spans="10:10" x14ac:dyDescent="0.3">
      <c r="J2662"/>
    </row>
    <row r="2663" spans="10:10" x14ac:dyDescent="0.3">
      <c r="J2663"/>
    </row>
    <row r="2664" spans="10:10" x14ac:dyDescent="0.3">
      <c r="J2664"/>
    </row>
    <row r="2665" spans="10:10" x14ac:dyDescent="0.3">
      <c r="J2665"/>
    </row>
    <row r="2666" spans="10:10" x14ac:dyDescent="0.3">
      <c r="J2666"/>
    </row>
    <row r="2667" spans="10:10" x14ac:dyDescent="0.3">
      <c r="J2667"/>
    </row>
    <row r="2668" spans="10:10" x14ac:dyDescent="0.3">
      <c r="J2668"/>
    </row>
    <row r="2669" spans="10:10" x14ac:dyDescent="0.3">
      <c r="J2669"/>
    </row>
    <row r="2670" spans="10:10" x14ac:dyDescent="0.3">
      <c r="J2670"/>
    </row>
    <row r="2671" spans="10:10" x14ac:dyDescent="0.3">
      <c r="J2671"/>
    </row>
    <row r="2672" spans="10:10" x14ac:dyDescent="0.3">
      <c r="J2672"/>
    </row>
    <row r="2673" spans="10:10" x14ac:dyDescent="0.3">
      <c r="J2673"/>
    </row>
    <row r="2674" spans="10:10" x14ac:dyDescent="0.3">
      <c r="J2674"/>
    </row>
    <row r="2675" spans="10:10" x14ac:dyDescent="0.3">
      <c r="J2675"/>
    </row>
    <row r="2676" spans="10:10" x14ac:dyDescent="0.3">
      <c r="J2676"/>
    </row>
    <row r="2677" spans="10:10" x14ac:dyDescent="0.3">
      <c r="J2677"/>
    </row>
    <row r="2678" spans="10:10" x14ac:dyDescent="0.3">
      <c r="J2678"/>
    </row>
    <row r="2679" spans="10:10" x14ac:dyDescent="0.3">
      <c r="J2679"/>
    </row>
    <row r="2680" spans="10:10" x14ac:dyDescent="0.3">
      <c r="J2680"/>
    </row>
    <row r="2681" spans="10:10" x14ac:dyDescent="0.3">
      <c r="J2681"/>
    </row>
    <row r="2682" spans="10:10" x14ac:dyDescent="0.3">
      <c r="J2682"/>
    </row>
    <row r="2683" spans="10:10" x14ac:dyDescent="0.3">
      <c r="J2683"/>
    </row>
    <row r="2684" spans="10:10" x14ac:dyDescent="0.3">
      <c r="J2684"/>
    </row>
    <row r="2685" spans="10:10" x14ac:dyDescent="0.3">
      <c r="J2685"/>
    </row>
    <row r="2686" spans="10:10" x14ac:dyDescent="0.3">
      <c r="J2686"/>
    </row>
    <row r="2687" spans="10:10" x14ac:dyDescent="0.3">
      <c r="J2687"/>
    </row>
    <row r="2688" spans="10:10" x14ac:dyDescent="0.3">
      <c r="J2688"/>
    </row>
    <row r="2689" spans="10:10" x14ac:dyDescent="0.3">
      <c r="J2689"/>
    </row>
    <row r="2690" spans="10:10" x14ac:dyDescent="0.3">
      <c r="J2690"/>
    </row>
    <row r="2691" spans="10:10" x14ac:dyDescent="0.3">
      <c r="J2691"/>
    </row>
    <row r="2692" spans="10:10" x14ac:dyDescent="0.3">
      <c r="J2692"/>
    </row>
    <row r="2693" spans="10:10" x14ac:dyDescent="0.3">
      <c r="J2693"/>
    </row>
    <row r="2694" spans="10:10" x14ac:dyDescent="0.3">
      <c r="J2694"/>
    </row>
    <row r="2695" spans="10:10" x14ac:dyDescent="0.3">
      <c r="J2695"/>
    </row>
    <row r="2696" spans="10:10" x14ac:dyDescent="0.3">
      <c r="J2696"/>
    </row>
    <row r="2697" spans="10:10" x14ac:dyDescent="0.3">
      <c r="J2697"/>
    </row>
    <row r="2698" spans="10:10" x14ac:dyDescent="0.3">
      <c r="J2698"/>
    </row>
    <row r="2699" spans="10:10" x14ac:dyDescent="0.3">
      <c r="J2699"/>
    </row>
    <row r="2700" spans="10:10" x14ac:dyDescent="0.3">
      <c r="J2700"/>
    </row>
    <row r="2701" spans="10:10" x14ac:dyDescent="0.3">
      <c r="J2701"/>
    </row>
    <row r="2702" spans="10:10" x14ac:dyDescent="0.3">
      <c r="J2702"/>
    </row>
    <row r="2703" spans="10:10" x14ac:dyDescent="0.3">
      <c r="J2703"/>
    </row>
    <row r="2704" spans="10:10" x14ac:dyDescent="0.3">
      <c r="J2704"/>
    </row>
    <row r="2705" spans="10:10" x14ac:dyDescent="0.3">
      <c r="J2705"/>
    </row>
    <row r="2706" spans="10:10" x14ac:dyDescent="0.3">
      <c r="J2706"/>
    </row>
    <row r="2707" spans="10:10" x14ac:dyDescent="0.3">
      <c r="J2707"/>
    </row>
    <row r="2708" spans="10:10" x14ac:dyDescent="0.3">
      <c r="J2708"/>
    </row>
    <row r="2709" spans="10:10" x14ac:dyDescent="0.3">
      <c r="J2709"/>
    </row>
    <row r="2710" spans="10:10" x14ac:dyDescent="0.3">
      <c r="J2710"/>
    </row>
    <row r="2711" spans="10:10" x14ac:dyDescent="0.3">
      <c r="J2711"/>
    </row>
    <row r="2712" spans="10:10" x14ac:dyDescent="0.3">
      <c r="J2712"/>
    </row>
    <row r="2713" spans="10:10" x14ac:dyDescent="0.3">
      <c r="J2713"/>
    </row>
    <row r="2714" spans="10:10" x14ac:dyDescent="0.3">
      <c r="J2714"/>
    </row>
    <row r="2715" spans="10:10" x14ac:dyDescent="0.3">
      <c r="J2715"/>
    </row>
    <row r="2716" spans="10:10" x14ac:dyDescent="0.3">
      <c r="J2716"/>
    </row>
    <row r="2717" spans="10:10" x14ac:dyDescent="0.3">
      <c r="J2717"/>
    </row>
    <row r="2718" spans="10:10" x14ac:dyDescent="0.3">
      <c r="J2718"/>
    </row>
    <row r="2719" spans="10:10" x14ac:dyDescent="0.3">
      <c r="J2719"/>
    </row>
    <row r="2720" spans="10:10" x14ac:dyDescent="0.3">
      <c r="J2720"/>
    </row>
    <row r="2721" spans="10:10" x14ac:dyDescent="0.3">
      <c r="J2721"/>
    </row>
    <row r="2722" spans="10:10" x14ac:dyDescent="0.3">
      <c r="J2722"/>
    </row>
    <row r="2723" spans="10:10" x14ac:dyDescent="0.3">
      <c r="J2723"/>
    </row>
    <row r="2724" spans="10:10" x14ac:dyDescent="0.3">
      <c r="J2724"/>
    </row>
    <row r="2725" spans="10:10" x14ac:dyDescent="0.3">
      <c r="J2725"/>
    </row>
    <row r="2726" spans="10:10" x14ac:dyDescent="0.3">
      <c r="J2726"/>
    </row>
    <row r="2727" spans="10:10" x14ac:dyDescent="0.3">
      <c r="J2727"/>
    </row>
    <row r="2728" spans="10:10" x14ac:dyDescent="0.3">
      <c r="J2728"/>
    </row>
    <row r="2729" spans="10:10" x14ac:dyDescent="0.3">
      <c r="J2729"/>
    </row>
    <row r="2730" spans="10:10" x14ac:dyDescent="0.3">
      <c r="J2730"/>
    </row>
    <row r="2731" spans="10:10" x14ac:dyDescent="0.3">
      <c r="J2731"/>
    </row>
    <row r="2732" spans="10:10" x14ac:dyDescent="0.3">
      <c r="J2732"/>
    </row>
    <row r="2733" spans="10:10" x14ac:dyDescent="0.3">
      <c r="J2733"/>
    </row>
    <row r="2734" spans="10:10" x14ac:dyDescent="0.3">
      <c r="J2734"/>
    </row>
    <row r="2735" spans="10:10" x14ac:dyDescent="0.3">
      <c r="J2735"/>
    </row>
    <row r="2736" spans="10:10" x14ac:dyDescent="0.3">
      <c r="J2736"/>
    </row>
    <row r="2737" spans="10:10" x14ac:dyDescent="0.3">
      <c r="J2737"/>
    </row>
    <row r="2738" spans="10:10" x14ac:dyDescent="0.3">
      <c r="J2738"/>
    </row>
    <row r="2739" spans="10:10" x14ac:dyDescent="0.3">
      <c r="J2739"/>
    </row>
    <row r="2740" spans="10:10" x14ac:dyDescent="0.3">
      <c r="J2740"/>
    </row>
    <row r="2741" spans="10:10" x14ac:dyDescent="0.3">
      <c r="J2741"/>
    </row>
    <row r="2742" spans="10:10" x14ac:dyDescent="0.3">
      <c r="J2742"/>
    </row>
    <row r="2743" spans="10:10" x14ac:dyDescent="0.3">
      <c r="J2743"/>
    </row>
    <row r="2744" spans="10:10" x14ac:dyDescent="0.3">
      <c r="J2744"/>
    </row>
    <row r="2745" spans="10:10" x14ac:dyDescent="0.3">
      <c r="J2745"/>
    </row>
    <row r="2746" spans="10:10" x14ac:dyDescent="0.3">
      <c r="J2746"/>
    </row>
    <row r="2747" spans="10:10" x14ac:dyDescent="0.3">
      <c r="J2747"/>
    </row>
    <row r="2748" spans="10:10" x14ac:dyDescent="0.3">
      <c r="J2748"/>
    </row>
    <row r="2749" spans="10:10" x14ac:dyDescent="0.3">
      <c r="J2749"/>
    </row>
    <row r="2750" spans="10:10" x14ac:dyDescent="0.3">
      <c r="J2750"/>
    </row>
    <row r="2751" spans="10:10" x14ac:dyDescent="0.3">
      <c r="J2751"/>
    </row>
    <row r="2752" spans="10:10" x14ac:dyDescent="0.3">
      <c r="J2752"/>
    </row>
    <row r="2753" spans="10:10" x14ac:dyDescent="0.3">
      <c r="J2753"/>
    </row>
    <row r="2754" spans="10:10" x14ac:dyDescent="0.3">
      <c r="J2754"/>
    </row>
    <row r="2755" spans="10:10" x14ac:dyDescent="0.3">
      <c r="J2755"/>
    </row>
    <row r="2756" spans="10:10" x14ac:dyDescent="0.3">
      <c r="J2756"/>
    </row>
    <row r="2757" spans="10:10" x14ac:dyDescent="0.3">
      <c r="J2757"/>
    </row>
    <row r="2758" spans="10:10" x14ac:dyDescent="0.3">
      <c r="J2758"/>
    </row>
    <row r="2759" spans="10:10" x14ac:dyDescent="0.3">
      <c r="J2759"/>
    </row>
    <row r="2760" spans="10:10" x14ac:dyDescent="0.3">
      <c r="J2760"/>
    </row>
    <row r="2761" spans="10:10" x14ac:dyDescent="0.3">
      <c r="J2761"/>
    </row>
    <row r="2762" spans="10:10" x14ac:dyDescent="0.3">
      <c r="J2762"/>
    </row>
    <row r="2763" spans="10:10" x14ac:dyDescent="0.3">
      <c r="J2763"/>
    </row>
    <row r="2764" spans="10:10" x14ac:dyDescent="0.3">
      <c r="J2764"/>
    </row>
    <row r="2765" spans="10:10" x14ac:dyDescent="0.3">
      <c r="J2765"/>
    </row>
    <row r="2766" spans="10:10" x14ac:dyDescent="0.3">
      <c r="J2766"/>
    </row>
    <row r="2767" spans="10:10" x14ac:dyDescent="0.3">
      <c r="J2767"/>
    </row>
    <row r="2768" spans="10:10" x14ac:dyDescent="0.3">
      <c r="J2768"/>
    </row>
    <row r="2769" spans="10:10" x14ac:dyDescent="0.3">
      <c r="J2769"/>
    </row>
    <row r="2770" spans="10:10" x14ac:dyDescent="0.3">
      <c r="J2770"/>
    </row>
    <row r="2771" spans="10:10" x14ac:dyDescent="0.3">
      <c r="J2771"/>
    </row>
    <row r="2772" spans="10:10" x14ac:dyDescent="0.3">
      <c r="J2772"/>
    </row>
    <row r="2773" spans="10:10" x14ac:dyDescent="0.3">
      <c r="J2773"/>
    </row>
    <row r="2774" spans="10:10" x14ac:dyDescent="0.3">
      <c r="J2774"/>
    </row>
    <row r="2775" spans="10:10" x14ac:dyDescent="0.3">
      <c r="J2775"/>
    </row>
    <row r="2776" spans="10:10" x14ac:dyDescent="0.3">
      <c r="J2776"/>
    </row>
    <row r="2777" spans="10:10" x14ac:dyDescent="0.3">
      <c r="J2777"/>
    </row>
    <row r="2778" spans="10:10" x14ac:dyDescent="0.3">
      <c r="J2778"/>
    </row>
    <row r="2779" spans="10:10" x14ac:dyDescent="0.3">
      <c r="J2779"/>
    </row>
    <row r="2780" spans="10:10" x14ac:dyDescent="0.3">
      <c r="J2780"/>
    </row>
    <row r="2781" spans="10:10" x14ac:dyDescent="0.3">
      <c r="J2781"/>
    </row>
    <row r="2782" spans="10:10" x14ac:dyDescent="0.3">
      <c r="J2782"/>
    </row>
    <row r="2783" spans="10:10" x14ac:dyDescent="0.3">
      <c r="J2783"/>
    </row>
    <row r="2784" spans="10:10" x14ac:dyDescent="0.3">
      <c r="J2784"/>
    </row>
    <row r="2785" spans="10:10" x14ac:dyDescent="0.3">
      <c r="J2785"/>
    </row>
    <row r="2786" spans="10:10" x14ac:dyDescent="0.3">
      <c r="J2786"/>
    </row>
    <row r="2787" spans="10:10" x14ac:dyDescent="0.3">
      <c r="J2787"/>
    </row>
    <row r="2788" spans="10:10" x14ac:dyDescent="0.3">
      <c r="J2788"/>
    </row>
    <row r="2789" spans="10:10" x14ac:dyDescent="0.3">
      <c r="J2789"/>
    </row>
    <row r="2790" spans="10:10" x14ac:dyDescent="0.3">
      <c r="J2790"/>
    </row>
    <row r="2791" spans="10:10" x14ac:dyDescent="0.3">
      <c r="J2791"/>
    </row>
    <row r="2792" spans="10:10" x14ac:dyDescent="0.3">
      <c r="J2792"/>
    </row>
    <row r="2793" spans="10:10" x14ac:dyDescent="0.3">
      <c r="J2793"/>
    </row>
    <row r="2794" spans="10:10" x14ac:dyDescent="0.3">
      <c r="J2794"/>
    </row>
    <row r="2795" spans="10:10" x14ac:dyDescent="0.3">
      <c r="J2795"/>
    </row>
    <row r="2796" spans="10:10" x14ac:dyDescent="0.3">
      <c r="J2796"/>
    </row>
    <row r="2797" spans="10:10" x14ac:dyDescent="0.3">
      <c r="J2797"/>
    </row>
    <row r="2798" spans="10:10" x14ac:dyDescent="0.3">
      <c r="J2798"/>
    </row>
    <row r="2799" spans="10:10" x14ac:dyDescent="0.3">
      <c r="J2799"/>
    </row>
    <row r="2800" spans="10:10" x14ac:dyDescent="0.3">
      <c r="J2800"/>
    </row>
    <row r="2801" spans="10:10" x14ac:dyDescent="0.3">
      <c r="J2801"/>
    </row>
    <row r="2802" spans="10:10" x14ac:dyDescent="0.3">
      <c r="J2802"/>
    </row>
    <row r="2803" spans="10:10" x14ac:dyDescent="0.3">
      <c r="J2803"/>
    </row>
    <row r="2804" spans="10:10" x14ac:dyDescent="0.3">
      <c r="J2804"/>
    </row>
    <row r="2805" spans="10:10" x14ac:dyDescent="0.3">
      <c r="J2805"/>
    </row>
    <row r="2806" spans="10:10" x14ac:dyDescent="0.3">
      <c r="J2806"/>
    </row>
    <row r="2807" spans="10:10" x14ac:dyDescent="0.3">
      <c r="J2807"/>
    </row>
    <row r="2808" spans="10:10" x14ac:dyDescent="0.3">
      <c r="J2808"/>
    </row>
    <row r="2809" spans="10:10" x14ac:dyDescent="0.3">
      <c r="J2809"/>
    </row>
    <row r="2810" spans="10:10" x14ac:dyDescent="0.3">
      <c r="J2810"/>
    </row>
    <row r="2811" spans="10:10" x14ac:dyDescent="0.3">
      <c r="J2811"/>
    </row>
    <row r="2812" spans="10:10" x14ac:dyDescent="0.3">
      <c r="J2812"/>
    </row>
    <row r="2813" spans="10:10" x14ac:dyDescent="0.3">
      <c r="J2813"/>
    </row>
    <row r="2814" spans="10:10" x14ac:dyDescent="0.3">
      <c r="J2814"/>
    </row>
    <row r="2815" spans="10:10" x14ac:dyDescent="0.3">
      <c r="J2815"/>
    </row>
    <row r="2816" spans="10:10" x14ac:dyDescent="0.3">
      <c r="J2816"/>
    </row>
    <row r="2817" spans="10:10" x14ac:dyDescent="0.3">
      <c r="J2817"/>
    </row>
    <row r="2818" spans="10:10" x14ac:dyDescent="0.3">
      <c r="J2818"/>
    </row>
    <row r="2819" spans="10:10" x14ac:dyDescent="0.3">
      <c r="J2819"/>
    </row>
    <row r="2820" spans="10:10" x14ac:dyDescent="0.3">
      <c r="J2820"/>
    </row>
    <row r="2821" spans="10:10" x14ac:dyDescent="0.3">
      <c r="J2821"/>
    </row>
    <row r="2822" spans="10:10" x14ac:dyDescent="0.3">
      <c r="J2822"/>
    </row>
    <row r="2823" spans="10:10" x14ac:dyDescent="0.3">
      <c r="J2823"/>
    </row>
    <row r="2824" spans="10:10" x14ac:dyDescent="0.3">
      <c r="J2824"/>
    </row>
    <row r="2825" spans="10:10" x14ac:dyDescent="0.3">
      <c r="J2825"/>
    </row>
    <row r="2826" spans="10:10" x14ac:dyDescent="0.3">
      <c r="J2826"/>
    </row>
    <row r="2827" spans="10:10" x14ac:dyDescent="0.3">
      <c r="J2827"/>
    </row>
    <row r="2828" spans="10:10" x14ac:dyDescent="0.3">
      <c r="J2828"/>
    </row>
    <row r="2829" spans="10:10" x14ac:dyDescent="0.3">
      <c r="J2829"/>
    </row>
    <row r="2830" spans="10:10" x14ac:dyDescent="0.3">
      <c r="J2830"/>
    </row>
    <row r="2831" spans="10:10" x14ac:dyDescent="0.3">
      <c r="J2831"/>
    </row>
    <row r="2832" spans="10:10" x14ac:dyDescent="0.3">
      <c r="J2832"/>
    </row>
    <row r="2833" spans="10:10" x14ac:dyDescent="0.3">
      <c r="J2833"/>
    </row>
    <row r="2834" spans="10:10" x14ac:dyDescent="0.3">
      <c r="J2834"/>
    </row>
    <row r="2835" spans="10:10" x14ac:dyDescent="0.3">
      <c r="J2835"/>
    </row>
    <row r="2836" spans="10:10" x14ac:dyDescent="0.3">
      <c r="J2836"/>
    </row>
    <row r="2837" spans="10:10" x14ac:dyDescent="0.3">
      <c r="J2837"/>
    </row>
    <row r="2838" spans="10:10" x14ac:dyDescent="0.3">
      <c r="J2838"/>
    </row>
    <row r="2839" spans="10:10" x14ac:dyDescent="0.3">
      <c r="J2839"/>
    </row>
    <row r="2840" spans="10:10" x14ac:dyDescent="0.3">
      <c r="J2840"/>
    </row>
    <row r="2841" spans="10:10" x14ac:dyDescent="0.3">
      <c r="J2841"/>
    </row>
    <row r="2842" spans="10:10" x14ac:dyDescent="0.3">
      <c r="J2842"/>
    </row>
    <row r="2843" spans="10:10" x14ac:dyDescent="0.3">
      <c r="J2843"/>
    </row>
    <row r="2844" spans="10:10" x14ac:dyDescent="0.3">
      <c r="J2844"/>
    </row>
    <row r="2845" spans="10:10" x14ac:dyDescent="0.3">
      <c r="J2845"/>
    </row>
    <row r="2846" spans="10:10" x14ac:dyDescent="0.3">
      <c r="J2846"/>
    </row>
    <row r="2847" spans="10:10" x14ac:dyDescent="0.3">
      <c r="J2847"/>
    </row>
    <row r="2848" spans="10:10" x14ac:dyDescent="0.3">
      <c r="J2848"/>
    </row>
    <row r="2849" spans="10:10" x14ac:dyDescent="0.3">
      <c r="J2849"/>
    </row>
    <row r="2850" spans="10:10" x14ac:dyDescent="0.3">
      <c r="J2850"/>
    </row>
    <row r="2851" spans="10:10" x14ac:dyDescent="0.3">
      <c r="J2851"/>
    </row>
    <row r="2852" spans="10:10" x14ac:dyDescent="0.3">
      <c r="J2852"/>
    </row>
    <row r="2853" spans="10:10" x14ac:dyDescent="0.3">
      <c r="J2853"/>
    </row>
    <row r="2854" spans="10:10" x14ac:dyDescent="0.3">
      <c r="J2854"/>
    </row>
    <row r="2855" spans="10:10" x14ac:dyDescent="0.3">
      <c r="J2855"/>
    </row>
    <row r="2856" spans="10:10" x14ac:dyDescent="0.3">
      <c r="J2856"/>
    </row>
    <row r="2857" spans="10:10" x14ac:dyDescent="0.3">
      <c r="J2857"/>
    </row>
    <row r="2858" spans="10:10" x14ac:dyDescent="0.3">
      <c r="J2858"/>
    </row>
    <row r="2859" spans="10:10" x14ac:dyDescent="0.3">
      <c r="J2859"/>
    </row>
    <row r="2860" spans="10:10" x14ac:dyDescent="0.3">
      <c r="J2860"/>
    </row>
    <row r="2861" spans="10:10" x14ac:dyDescent="0.3">
      <c r="J2861"/>
    </row>
    <row r="2862" spans="10:10" x14ac:dyDescent="0.3">
      <c r="J2862"/>
    </row>
    <row r="2863" spans="10:10" x14ac:dyDescent="0.3">
      <c r="J2863"/>
    </row>
    <row r="2864" spans="10:10" x14ac:dyDescent="0.3">
      <c r="J2864"/>
    </row>
    <row r="2865" spans="10:10" x14ac:dyDescent="0.3">
      <c r="J2865"/>
    </row>
    <row r="2866" spans="10:10" x14ac:dyDescent="0.3">
      <c r="J2866"/>
    </row>
    <row r="2867" spans="10:10" x14ac:dyDescent="0.3">
      <c r="J2867"/>
    </row>
    <row r="2868" spans="10:10" x14ac:dyDescent="0.3">
      <c r="J2868"/>
    </row>
    <row r="2869" spans="10:10" x14ac:dyDescent="0.3">
      <c r="J2869"/>
    </row>
    <row r="2870" spans="10:10" x14ac:dyDescent="0.3">
      <c r="J2870"/>
    </row>
    <row r="2871" spans="10:10" x14ac:dyDescent="0.3">
      <c r="J2871"/>
    </row>
    <row r="2872" spans="10:10" x14ac:dyDescent="0.3">
      <c r="J2872"/>
    </row>
    <row r="2873" spans="10:10" x14ac:dyDescent="0.3">
      <c r="J2873"/>
    </row>
    <row r="2874" spans="10:10" x14ac:dyDescent="0.3">
      <c r="J2874"/>
    </row>
    <row r="2875" spans="10:10" x14ac:dyDescent="0.3">
      <c r="J2875"/>
    </row>
    <row r="2876" spans="10:10" x14ac:dyDescent="0.3">
      <c r="J2876"/>
    </row>
    <row r="2877" spans="10:10" x14ac:dyDescent="0.3">
      <c r="J2877"/>
    </row>
    <row r="2878" spans="10:10" x14ac:dyDescent="0.3">
      <c r="J2878"/>
    </row>
    <row r="2879" spans="10:10" x14ac:dyDescent="0.3">
      <c r="J2879"/>
    </row>
    <row r="2880" spans="10:10" x14ac:dyDescent="0.3">
      <c r="J2880"/>
    </row>
    <row r="2881" spans="10:10" x14ac:dyDescent="0.3">
      <c r="J2881"/>
    </row>
    <row r="2882" spans="10:10" x14ac:dyDescent="0.3">
      <c r="J2882"/>
    </row>
    <row r="2883" spans="10:10" x14ac:dyDescent="0.3">
      <c r="J2883"/>
    </row>
    <row r="2884" spans="10:10" x14ac:dyDescent="0.3">
      <c r="J2884"/>
    </row>
    <row r="2885" spans="10:10" x14ac:dyDescent="0.3">
      <c r="J2885"/>
    </row>
    <row r="2886" spans="10:10" x14ac:dyDescent="0.3">
      <c r="J2886"/>
    </row>
    <row r="2887" spans="10:10" x14ac:dyDescent="0.3">
      <c r="J2887"/>
    </row>
    <row r="2888" spans="10:10" x14ac:dyDescent="0.3">
      <c r="J2888"/>
    </row>
    <row r="2889" spans="10:10" x14ac:dyDescent="0.3">
      <c r="J2889"/>
    </row>
    <row r="2890" spans="10:10" x14ac:dyDescent="0.3">
      <c r="J2890"/>
    </row>
    <row r="2891" spans="10:10" x14ac:dyDescent="0.3">
      <c r="J2891"/>
    </row>
    <row r="2892" spans="10:10" x14ac:dyDescent="0.3">
      <c r="J2892"/>
    </row>
    <row r="2893" spans="10:10" x14ac:dyDescent="0.3">
      <c r="J2893"/>
    </row>
    <row r="2894" spans="10:10" x14ac:dyDescent="0.3">
      <c r="J2894"/>
    </row>
    <row r="2895" spans="10:10" x14ac:dyDescent="0.3">
      <c r="J2895"/>
    </row>
    <row r="2896" spans="10:10" x14ac:dyDescent="0.3">
      <c r="J2896"/>
    </row>
    <row r="2897" spans="10:10" x14ac:dyDescent="0.3">
      <c r="J2897"/>
    </row>
    <row r="2898" spans="10:10" x14ac:dyDescent="0.3">
      <c r="J2898"/>
    </row>
    <row r="2899" spans="10:10" x14ac:dyDescent="0.3">
      <c r="J2899"/>
    </row>
    <row r="2900" spans="10:10" x14ac:dyDescent="0.3">
      <c r="J2900"/>
    </row>
    <row r="2901" spans="10:10" x14ac:dyDescent="0.3">
      <c r="J2901"/>
    </row>
    <row r="2902" spans="10:10" x14ac:dyDescent="0.3">
      <c r="J2902"/>
    </row>
    <row r="2903" spans="10:10" x14ac:dyDescent="0.3">
      <c r="J2903"/>
    </row>
    <row r="2904" spans="10:10" x14ac:dyDescent="0.3">
      <c r="J2904"/>
    </row>
    <row r="2905" spans="10:10" x14ac:dyDescent="0.3">
      <c r="J2905"/>
    </row>
    <row r="2906" spans="10:10" x14ac:dyDescent="0.3">
      <c r="J2906"/>
    </row>
    <row r="2907" spans="10:10" x14ac:dyDescent="0.3">
      <c r="J2907"/>
    </row>
    <row r="2908" spans="10:10" x14ac:dyDescent="0.3">
      <c r="J2908"/>
    </row>
    <row r="2909" spans="10:10" x14ac:dyDescent="0.3">
      <c r="J2909"/>
    </row>
    <row r="2910" spans="10:10" x14ac:dyDescent="0.3">
      <c r="J2910"/>
    </row>
    <row r="2911" spans="10:10" x14ac:dyDescent="0.3">
      <c r="J2911"/>
    </row>
    <row r="2912" spans="10:10" x14ac:dyDescent="0.3">
      <c r="J2912"/>
    </row>
    <row r="2913" spans="10:10" x14ac:dyDescent="0.3">
      <c r="J2913"/>
    </row>
    <row r="2914" spans="10:10" x14ac:dyDescent="0.3">
      <c r="J2914"/>
    </row>
    <row r="2915" spans="10:10" x14ac:dyDescent="0.3">
      <c r="J2915"/>
    </row>
    <row r="2916" spans="10:10" x14ac:dyDescent="0.3">
      <c r="J2916"/>
    </row>
    <row r="2917" spans="10:10" x14ac:dyDescent="0.3">
      <c r="J2917"/>
    </row>
    <row r="2918" spans="10:10" x14ac:dyDescent="0.3">
      <c r="J2918"/>
    </row>
    <row r="2919" spans="10:10" x14ac:dyDescent="0.3">
      <c r="J2919"/>
    </row>
    <row r="2920" spans="10:10" x14ac:dyDescent="0.3">
      <c r="J2920"/>
    </row>
    <row r="2921" spans="10:10" x14ac:dyDescent="0.3">
      <c r="J2921"/>
    </row>
    <row r="2922" spans="10:10" x14ac:dyDescent="0.3">
      <c r="J2922"/>
    </row>
    <row r="2923" spans="10:10" x14ac:dyDescent="0.3">
      <c r="J2923"/>
    </row>
    <row r="2924" spans="10:10" x14ac:dyDescent="0.3">
      <c r="J2924"/>
    </row>
    <row r="2925" spans="10:10" x14ac:dyDescent="0.3">
      <c r="J2925"/>
    </row>
    <row r="2926" spans="10:10" x14ac:dyDescent="0.3">
      <c r="J2926"/>
    </row>
    <row r="2927" spans="10:10" x14ac:dyDescent="0.3">
      <c r="J2927"/>
    </row>
    <row r="2928" spans="10:10" x14ac:dyDescent="0.3">
      <c r="J2928"/>
    </row>
    <row r="2929" spans="10:10" x14ac:dyDescent="0.3">
      <c r="J2929"/>
    </row>
    <row r="2930" spans="10:10" x14ac:dyDescent="0.3">
      <c r="J2930"/>
    </row>
    <row r="2931" spans="10:10" x14ac:dyDescent="0.3">
      <c r="J2931"/>
    </row>
    <row r="2932" spans="10:10" x14ac:dyDescent="0.3">
      <c r="J2932"/>
    </row>
    <row r="2933" spans="10:10" x14ac:dyDescent="0.3">
      <c r="J2933"/>
    </row>
    <row r="2934" spans="10:10" x14ac:dyDescent="0.3">
      <c r="J2934"/>
    </row>
    <row r="2935" spans="10:10" x14ac:dyDescent="0.3">
      <c r="J2935"/>
    </row>
    <row r="2936" spans="10:10" x14ac:dyDescent="0.3">
      <c r="J2936"/>
    </row>
    <row r="2937" spans="10:10" x14ac:dyDescent="0.3">
      <c r="J2937"/>
    </row>
    <row r="2938" spans="10:10" x14ac:dyDescent="0.3">
      <c r="J2938"/>
    </row>
    <row r="2939" spans="10:10" x14ac:dyDescent="0.3">
      <c r="J2939"/>
    </row>
    <row r="2940" spans="10:10" x14ac:dyDescent="0.3">
      <c r="J2940"/>
    </row>
    <row r="2941" spans="10:10" x14ac:dyDescent="0.3">
      <c r="J2941"/>
    </row>
    <row r="2942" spans="10:10" x14ac:dyDescent="0.3">
      <c r="J2942"/>
    </row>
    <row r="2943" spans="10:10" x14ac:dyDescent="0.3">
      <c r="J2943"/>
    </row>
    <row r="2944" spans="10:10" x14ac:dyDescent="0.3">
      <c r="J2944"/>
    </row>
    <row r="2945" spans="10:10" x14ac:dyDescent="0.3">
      <c r="J2945"/>
    </row>
    <row r="2946" spans="10:10" x14ac:dyDescent="0.3">
      <c r="J2946"/>
    </row>
    <row r="2947" spans="10:10" x14ac:dyDescent="0.3">
      <c r="J2947"/>
    </row>
    <row r="2948" spans="10:10" x14ac:dyDescent="0.3">
      <c r="J2948"/>
    </row>
    <row r="2949" spans="10:10" x14ac:dyDescent="0.3">
      <c r="J2949"/>
    </row>
    <row r="2950" spans="10:10" x14ac:dyDescent="0.3">
      <c r="J2950"/>
    </row>
    <row r="2951" spans="10:10" x14ac:dyDescent="0.3">
      <c r="J2951"/>
    </row>
    <row r="2952" spans="10:10" x14ac:dyDescent="0.3">
      <c r="J2952"/>
    </row>
    <row r="2953" spans="10:10" x14ac:dyDescent="0.3">
      <c r="J2953"/>
    </row>
    <row r="2954" spans="10:10" x14ac:dyDescent="0.3">
      <c r="J2954"/>
    </row>
    <row r="2955" spans="10:10" x14ac:dyDescent="0.3">
      <c r="J2955"/>
    </row>
    <row r="2956" spans="10:10" x14ac:dyDescent="0.3">
      <c r="J2956"/>
    </row>
    <row r="2957" spans="10:10" x14ac:dyDescent="0.3">
      <c r="J2957"/>
    </row>
    <row r="2958" spans="10:10" x14ac:dyDescent="0.3">
      <c r="J2958"/>
    </row>
    <row r="2959" spans="10:10" x14ac:dyDescent="0.3">
      <c r="J2959"/>
    </row>
    <row r="2960" spans="10:10" x14ac:dyDescent="0.3">
      <c r="J2960"/>
    </row>
    <row r="2961" spans="10:10" x14ac:dyDescent="0.3">
      <c r="J2961"/>
    </row>
    <row r="2962" spans="10:10" x14ac:dyDescent="0.3">
      <c r="J2962"/>
    </row>
    <row r="2963" spans="10:10" x14ac:dyDescent="0.3">
      <c r="J2963"/>
    </row>
    <row r="2964" spans="10:10" x14ac:dyDescent="0.3">
      <c r="J2964"/>
    </row>
    <row r="2965" spans="10:10" x14ac:dyDescent="0.3">
      <c r="J2965"/>
    </row>
    <row r="2966" spans="10:10" x14ac:dyDescent="0.3">
      <c r="J2966"/>
    </row>
    <row r="2967" spans="10:10" x14ac:dyDescent="0.3">
      <c r="J2967"/>
    </row>
    <row r="2968" spans="10:10" x14ac:dyDescent="0.3">
      <c r="J2968"/>
    </row>
    <row r="2969" spans="10:10" x14ac:dyDescent="0.3">
      <c r="J2969"/>
    </row>
    <row r="2970" spans="10:10" x14ac:dyDescent="0.3">
      <c r="J2970"/>
    </row>
    <row r="2971" spans="10:10" x14ac:dyDescent="0.3">
      <c r="J2971"/>
    </row>
    <row r="2972" spans="10:10" x14ac:dyDescent="0.3">
      <c r="J2972"/>
    </row>
    <row r="2973" spans="10:10" x14ac:dyDescent="0.3">
      <c r="J2973"/>
    </row>
    <row r="2974" spans="10:10" x14ac:dyDescent="0.3">
      <c r="J2974"/>
    </row>
    <row r="2975" spans="10:10" x14ac:dyDescent="0.3">
      <c r="J2975"/>
    </row>
    <row r="2976" spans="10:10" x14ac:dyDescent="0.3">
      <c r="J2976"/>
    </row>
    <row r="2977" spans="10:10" x14ac:dyDescent="0.3">
      <c r="J2977"/>
    </row>
    <row r="2978" spans="10:10" x14ac:dyDescent="0.3">
      <c r="J2978"/>
    </row>
    <row r="2979" spans="10:10" x14ac:dyDescent="0.3">
      <c r="J2979"/>
    </row>
    <row r="2980" spans="10:10" x14ac:dyDescent="0.3">
      <c r="J2980"/>
    </row>
    <row r="2981" spans="10:10" x14ac:dyDescent="0.3">
      <c r="J2981"/>
    </row>
    <row r="2982" spans="10:10" x14ac:dyDescent="0.3">
      <c r="J2982"/>
    </row>
    <row r="2983" spans="10:10" x14ac:dyDescent="0.3">
      <c r="J2983"/>
    </row>
    <row r="2984" spans="10:10" x14ac:dyDescent="0.3">
      <c r="J2984"/>
    </row>
    <row r="2985" spans="10:10" x14ac:dyDescent="0.3">
      <c r="J2985"/>
    </row>
    <row r="2986" spans="10:10" x14ac:dyDescent="0.3">
      <c r="J2986"/>
    </row>
    <row r="2987" spans="10:10" x14ac:dyDescent="0.3">
      <c r="J2987"/>
    </row>
    <row r="2988" spans="10:10" x14ac:dyDescent="0.3">
      <c r="J2988"/>
    </row>
    <row r="2989" spans="10:10" x14ac:dyDescent="0.3">
      <c r="J2989"/>
    </row>
    <row r="2990" spans="10:10" x14ac:dyDescent="0.3">
      <c r="J2990"/>
    </row>
    <row r="2991" spans="10:10" x14ac:dyDescent="0.3">
      <c r="J2991"/>
    </row>
    <row r="2992" spans="10:10" x14ac:dyDescent="0.3">
      <c r="J2992"/>
    </row>
    <row r="2993" spans="10:10" x14ac:dyDescent="0.3">
      <c r="J2993"/>
    </row>
    <row r="2994" spans="10:10" x14ac:dyDescent="0.3">
      <c r="J2994"/>
    </row>
    <row r="2995" spans="10:10" x14ac:dyDescent="0.3">
      <c r="J2995"/>
    </row>
    <row r="2996" spans="10:10" x14ac:dyDescent="0.3">
      <c r="J2996"/>
    </row>
    <row r="2997" spans="10:10" x14ac:dyDescent="0.3">
      <c r="J2997"/>
    </row>
    <row r="2998" spans="10:10" x14ac:dyDescent="0.3">
      <c r="J2998"/>
    </row>
    <row r="2999" spans="10:10" x14ac:dyDescent="0.3">
      <c r="J2999"/>
    </row>
    <row r="3000" spans="10:10" x14ac:dyDescent="0.3">
      <c r="J3000"/>
    </row>
    <row r="3001" spans="10:10" x14ac:dyDescent="0.3">
      <c r="J3001"/>
    </row>
    <row r="3002" spans="10:10" x14ac:dyDescent="0.3">
      <c r="J3002"/>
    </row>
    <row r="3003" spans="10:10" x14ac:dyDescent="0.3">
      <c r="J3003"/>
    </row>
    <row r="3004" spans="10:10" x14ac:dyDescent="0.3">
      <c r="J3004"/>
    </row>
    <row r="3005" spans="10:10" x14ac:dyDescent="0.3">
      <c r="J3005"/>
    </row>
    <row r="3006" spans="10:10" x14ac:dyDescent="0.3">
      <c r="J3006"/>
    </row>
    <row r="3007" spans="10:10" x14ac:dyDescent="0.3">
      <c r="J3007"/>
    </row>
    <row r="3008" spans="10:10" x14ac:dyDescent="0.3">
      <c r="J3008"/>
    </row>
    <row r="3009" spans="10:10" x14ac:dyDescent="0.3">
      <c r="J3009"/>
    </row>
    <row r="3010" spans="10:10" x14ac:dyDescent="0.3">
      <c r="J3010"/>
    </row>
    <row r="3011" spans="10:10" x14ac:dyDescent="0.3">
      <c r="J3011"/>
    </row>
    <row r="3012" spans="10:10" x14ac:dyDescent="0.3">
      <c r="J3012"/>
    </row>
    <row r="3013" spans="10:10" x14ac:dyDescent="0.3">
      <c r="J3013"/>
    </row>
    <row r="3014" spans="10:10" x14ac:dyDescent="0.3">
      <c r="J3014"/>
    </row>
    <row r="3015" spans="10:10" x14ac:dyDescent="0.3">
      <c r="J3015"/>
    </row>
    <row r="3016" spans="10:10" x14ac:dyDescent="0.3">
      <c r="J3016"/>
    </row>
    <row r="3017" spans="10:10" x14ac:dyDescent="0.3">
      <c r="J3017"/>
    </row>
    <row r="3018" spans="10:10" x14ac:dyDescent="0.3">
      <c r="J3018"/>
    </row>
    <row r="3019" spans="10:10" x14ac:dyDescent="0.3">
      <c r="J3019"/>
    </row>
    <row r="3020" spans="10:10" x14ac:dyDescent="0.3">
      <c r="J3020"/>
    </row>
    <row r="3021" spans="10:10" x14ac:dyDescent="0.3">
      <c r="J3021"/>
    </row>
    <row r="3022" spans="10:10" x14ac:dyDescent="0.3">
      <c r="J3022"/>
    </row>
    <row r="3023" spans="10:10" x14ac:dyDescent="0.3">
      <c r="J3023"/>
    </row>
    <row r="3024" spans="10:10" x14ac:dyDescent="0.3">
      <c r="J3024"/>
    </row>
    <row r="3025" spans="10:10" x14ac:dyDescent="0.3">
      <c r="J3025"/>
    </row>
    <row r="3026" spans="10:10" x14ac:dyDescent="0.3">
      <c r="J3026"/>
    </row>
    <row r="3027" spans="10:10" x14ac:dyDescent="0.3">
      <c r="J3027"/>
    </row>
    <row r="3028" spans="10:10" x14ac:dyDescent="0.3">
      <c r="J3028"/>
    </row>
    <row r="3029" spans="10:10" x14ac:dyDescent="0.3">
      <c r="J3029"/>
    </row>
    <row r="3030" spans="10:10" x14ac:dyDescent="0.3">
      <c r="J3030"/>
    </row>
    <row r="3031" spans="10:10" x14ac:dyDescent="0.3">
      <c r="J3031"/>
    </row>
    <row r="3032" spans="10:10" x14ac:dyDescent="0.3">
      <c r="J3032"/>
    </row>
    <row r="3033" spans="10:10" x14ac:dyDescent="0.3">
      <c r="J3033"/>
    </row>
    <row r="3034" spans="10:10" x14ac:dyDescent="0.3">
      <c r="J3034"/>
    </row>
    <row r="3035" spans="10:10" x14ac:dyDescent="0.3">
      <c r="J3035"/>
    </row>
    <row r="3036" spans="10:10" x14ac:dyDescent="0.3">
      <c r="J3036"/>
    </row>
    <row r="3037" spans="10:10" x14ac:dyDescent="0.3">
      <c r="J3037"/>
    </row>
    <row r="3038" spans="10:10" x14ac:dyDescent="0.3">
      <c r="J3038"/>
    </row>
    <row r="3039" spans="10:10" x14ac:dyDescent="0.3">
      <c r="J3039"/>
    </row>
    <row r="3040" spans="10:10" x14ac:dyDescent="0.3">
      <c r="J3040"/>
    </row>
    <row r="3041" spans="10:10" x14ac:dyDescent="0.3">
      <c r="J3041"/>
    </row>
    <row r="3042" spans="10:10" x14ac:dyDescent="0.3">
      <c r="J3042"/>
    </row>
    <row r="3043" spans="10:10" x14ac:dyDescent="0.3">
      <c r="J3043"/>
    </row>
    <row r="3044" spans="10:10" x14ac:dyDescent="0.3">
      <c r="J3044"/>
    </row>
    <row r="3045" spans="10:10" x14ac:dyDescent="0.3">
      <c r="J3045"/>
    </row>
    <row r="3046" spans="10:10" x14ac:dyDescent="0.3">
      <c r="J3046"/>
    </row>
    <row r="3047" spans="10:10" x14ac:dyDescent="0.3">
      <c r="J3047"/>
    </row>
    <row r="3048" spans="10:10" x14ac:dyDescent="0.3">
      <c r="J3048"/>
    </row>
    <row r="3049" spans="10:10" x14ac:dyDescent="0.3">
      <c r="J3049"/>
    </row>
    <row r="3050" spans="10:10" x14ac:dyDescent="0.3">
      <c r="J3050"/>
    </row>
    <row r="3051" spans="10:10" x14ac:dyDescent="0.3">
      <c r="J3051"/>
    </row>
    <row r="3052" spans="10:10" x14ac:dyDescent="0.3">
      <c r="J3052"/>
    </row>
    <row r="3053" spans="10:10" x14ac:dyDescent="0.3">
      <c r="J3053"/>
    </row>
    <row r="3054" spans="10:10" x14ac:dyDescent="0.3">
      <c r="J3054"/>
    </row>
    <row r="3055" spans="10:10" x14ac:dyDescent="0.3">
      <c r="J3055"/>
    </row>
    <row r="3056" spans="10:10" x14ac:dyDescent="0.3">
      <c r="J3056"/>
    </row>
    <row r="3057" spans="10:10" x14ac:dyDescent="0.3">
      <c r="J3057"/>
    </row>
    <row r="3058" spans="10:10" x14ac:dyDescent="0.3">
      <c r="J3058"/>
    </row>
    <row r="3059" spans="10:10" x14ac:dyDescent="0.3">
      <c r="J3059"/>
    </row>
    <row r="3060" spans="10:10" x14ac:dyDescent="0.3">
      <c r="J3060"/>
    </row>
    <row r="3061" spans="10:10" x14ac:dyDescent="0.3">
      <c r="J3061"/>
    </row>
    <row r="3062" spans="10:10" x14ac:dyDescent="0.3">
      <c r="J3062"/>
    </row>
    <row r="3063" spans="10:10" x14ac:dyDescent="0.3">
      <c r="J3063"/>
    </row>
    <row r="3064" spans="10:10" x14ac:dyDescent="0.3">
      <c r="J3064"/>
    </row>
    <row r="3065" spans="10:10" x14ac:dyDescent="0.3">
      <c r="J3065"/>
    </row>
    <row r="3066" spans="10:10" x14ac:dyDescent="0.3">
      <c r="J3066"/>
    </row>
    <row r="3067" spans="10:10" x14ac:dyDescent="0.3">
      <c r="J3067"/>
    </row>
    <row r="3068" spans="10:10" x14ac:dyDescent="0.3">
      <c r="J3068"/>
    </row>
    <row r="3069" spans="10:10" x14ac:dyDescent="0.3">
      <c r="J3069"/>
    </row>
    <row r="3070" spans="10:10" x14ac:dyDescent="0.3">
      <c r="J3070"/>
    </row>
    <row r="3071" spans="10:10" x14ac:dyDescent="0.3">
      <c r="J3071"/>
    </row>
    <row r="3072" spans="10:10" x14ac:dyDescent="0.3">
      <c r="J3072"/>
    </row>
    <row r="3073" spans="10:10" x14ac:dyDescent="0.3">
      <c r="J3073"/>
    </row>
    <row r="3074" spans="10:10" x14ac:dyDescent="0.3">
      <c r="J3074"/>
    </row>
    <row r="3075" spans="10:10" x14ac:dyDescent="0.3">
      <c r="J3075"/>
    </row>
    <row r="3076" spans="10:10" x14ac:dyDescent="0.3">
      <c r="J3076"/>
    </row>
    <row r="3077" spans="10:10" x14ac:dyDescent="0.3">
      <c r="J3077"/>
    </row>
    <row r="3078" spans="10:10" x14ac:dyDescent="0.3">
      <c r="J3078"/>
    </row>
    <row r="3079" spans="10:10" x14ac:dyDescent="0.3">
      <c r="J3079"/>
    </row>
    <row r="3080" spans="10:10" x14ac:dyDescent="0.3">
      <c r="J3080"/>
    </row>
    <row r="3081" spans="10:10" x14ac:dyDescent="0.3">
      <c r="J3081"/>
    </row>
    <row r="3082" spans="10:10" x14ac:dyDescent="0.3">
      <c r="J3082"/>
    </row>
    <row r="3083" spans="10:10" x14ac:dyDescent="0.3">
      <c r="J3083"/>
    </row>
    <row r="3084" spans="10:10" x14ac:dyDescent="0.3">
      <c r="J3084"/>
    </row>
    <row r="3085" spans="10:10" x14ac:dyDescent="0.3">
      <c r="J3085"/>
    </row>
    <row r="3086" spans="10:10" x14ac:dyDescent="0.3">
      <c r="J3086"/>
    </row>
    <row r="3087" spans="10:10" x14ac:dyDescent="0.3">
      <c r="J3087"/>
    </row>
    <row r="3088" spans="10:10" x14ac:dyDescent="0.3">
      <c r="J3088"/>
    </row>
    <row r="3089" spans="10:10" x14ac:dyDescent="0.3">
      <c r="J3089"/>
    </row>
    <row r="3090" spans="10:10" x14ac:dyDescent="0.3">
      <c r="J3090"/>
    </row>
    <row r="3091" spans="10:10" x14ac:dyDescent="0.3">
      <c r="J3091"/>
    </row>
    <row r="3092" spans="10:10" x14ac:dyDescent="0.3">
      <c r="J3092"/>
    </row>
    <row r="3093" spans="10:10" x14ac:dyDescent="0.3">
      <c r="J3093"/>
    </row>
    <row r="3094" spans="10:10" x14ac:dyDescent="0.3">
      <c r="J3094"/>
    </row>
    <row r="3095" spans="10:10" x14ac:dyDescent="0.3">
      <c r="J3095"/>
    </row>
    <row r="3096" spans="10:10" x14ac:dyDescent="0.3">
      <c r="J3096"/>
    </row>
    <row r="3097" spans="10:10" x14ac:dyDescent="0.3">
      <c r="J3097"/>
    </row>
    <row r="3098" spans="10:10" x14ac:dyDescent="0.3">
      <c r="J3098"/>
    </row>
    <row r="3099" spans="10:10" x14ac:dyDescent="0.3">
      <c r="J3099"/>
    </row>
    <row r="3100" spans="10:10" x14ac:dyDescent="0.3">
      <c r="J3100"/>
    </row>
    <row r="3101" spans="10:10" x14ac:dyDescent="0.3">
      <c r="J3101"/>
    </row>
    <row r="3102" spans="10:10" x14ac:dyDescent="0.3">
      <c r="J3102"/>
    </row>
    <row r="3103" spans="10:10" x14ac:dyDescent="0.3">
      <c r="J3103"/>
    </row>
    <row r="3104" spans="10:10" x14ac:dyDescent="0.3">
      <c r="J3104"/>
    </row>
    <row r="3105" spans="10:10" x14ac:dyDescent="0.3">
      <c r="J3105"/>
    </row>
    <row r="3106" spans="10:10" x14ac:dyDescent="0.3">
      <c r="J3106"/>
    </row>
    <row r="3107" spans="10:10" x14ac:dyDescent="0.3">
      <c r="J3107"/>
    </row>
    <row r="3108" spans="10:10" x14ac:dyDescent="0.3">
      <c r="J3108"/>
    </row>
    <row r="3109" spans="10:10" x14ac:dyDescent="0.3">
      <c r="J3109"/>
    </row>
    <row r="3110" spans="10:10" x14ac:dyDescent="0.3">
      <c r="J3110"/>
    </row>
    <row r="3111" spans="10:10" x14ac:dyDescent="0.3">
      <c r="J3111"/>
    </row>
    <row r="3112" spans="10:10" x14ac:dyDescent="0.3">
      <c r="J3112"/>
    </row>
    <row r="3113" spans="10:10" x14ac:dyDescent="0.3">
      <c r="J3113"/>
    </row>
    <row r="3114" spans="10:10" x14ac:dyDescent="0.3">
      <c r="J3114"/>
    </row>
    <row r="3115" spans="10:10" x14ac:dyDescent="0.3">
      <c r="J3115"/>
    </row>
    <row r="3116" spans="10:10" x14ac:dyDescent="0.3">
      <c r="J3116"/>
    </row>
    <row r="3117" spans="10:10" x14ac:dyDescent="0.3">
      <c r="J3117"/>
    </row>
    <row r="3118" spans="10:10" x14ac:dyDescent="0.3">
      <c r="J3118"/>
    </row>
    <row r="3119" spans="10:10" x14ac:dyDescent="0.3">
      <c r="J3119"/>
    </row>
    <row r="3120" spans="10:10" x14ac:dyDescent="0.3">
      <c r="J3120"/>
    </row>
    <row r="3121" spans="10:10" x14ac:dyDescent="0.3">
      <c r="J3121"/>
    </row>
    <row r="3122" spans="10:10" x14ac:dyDescent="0.3">
      <c r="J3122"/>
    </row>
    <row r="3123" spans="10:10" x14ac:dyDescent="0.3">
      <c r="J3123"/>
    </row>
    <row r="3124" spans="10:10" x14ac:dyDescent="0.3">
      <c r="J3124"/>
    </row>
    <row r="3125" spans="10:10" x14ac:dyDescent="0.3">
      <c r="J3125"/>
    </row>
    <row r="3126" spans="10:10" x14ac:dyDescent="0.3">
      <c r="J3126"/>
    </row>
    <row r="3127" spans="10:10" x14ac:dyDescent="0.3">
      <c r="J3127"/>
    </row>
    <row r="3128" spans="10:10" x14ac:dyDescent="0.3">
      <c r="J3128"/>
    </row>
    <row r="3129" spans="10:10" x14ac:dyDescent="0.3">
      <c r="J3129"/>
    </row>
    <row r="3130" spans="10:10" x14ac:dyDescent="0.3">
      <c r="J3130"/>
    </row>
    <row r="3131" spans="10:10" x14ac:dyDescent="0.3">
      <c r="J3131"/>
    </row>
    <row r="3132" spans="10:10" x14ac:dyDescent="0.3">
      <c r="J3132"/>
    </row>
    <row r="3133" spans="10:10" x14ac:dyDescent="0.3">
      <c r="J3133"/>
    </row>
    <row r="3134" spans="10:10" x14ac:dyDescent="0.3">
      <c r="J3134"/>
    </row>
    <row r="3135" spans="10:10" x14ac:dyDescent="0.3">
      <c r="J3135"/>
    </row>
    <row r="3136" spans="10:10" x14ac:dyDescent="0.3">
      <c r="J3136"/>
    </row>
    <row r="3137" spans="10:10" x14ac:dyDescent="0.3">
      <c r="J3137"/>
    </row>
    <row r="3138" spans="10:10" x14ac:dyDescent="0.3">
      <c r="J3138"/>
    </row>
    <row r="3139" spans="10:10" x14ac:dyDescent="0.3">
      <c r="J3139"/>
    </row>
    <row r="3140" spans="10:10" x14ac:dyDescent="0.3">
      <c r="J3140"/>
    </row>
    <row r="3141" spans="10:10" x14ac:dyDescent="0.3">
      <c r="J3141"/>
    </row>
    <row r="3142" spans="10:10" x14ac:dyDescent="0.3">
      <c r="J3142"/>
    </row>
    <row r="3143" spans="10:10" x14ac:dyDescent="0.3">
      <c r="J3143"/>
    </row>
    <row r="3144" spans="10:10" x14ac:dyDescent="0.3">
      <c r="J3144"/>
    </row>
    <row r="3145" spans="10:10" x14ac:dyDescent="0.3">
      <c r="J3145"/>
    </row>
    <row r="3146" spans="10:10" x14ac:dyDescent="0.3">
      <c r="J3146"/>
    </row>
    <row r="3147" spans="10:10" x14ac:dyDescent="0.3">
      <c r="J3147"/>
    </row>
    <row r="3148" spans="10:10" x14ac:dyDescent="0.3">
      <c r="J3148"/>
    </row>
    <row r="3149" spans="10:10" x14ac:dyDescent="0.3">
      <c r="J3149"/>
    </row>
    <row r="3150" spans="10:10" x14ac:dyDescent="0.3">
      <c r="J3150"/>
    </row>
    <row r="3151" spans="10:10" x14ac:dyDescent="0.3">
      <c r="J3151"/>
    </row>
    <row r="3152" spans="10:10" x14ac:dyDescent="0.3">
      <c r="J3152"/>
    </row>
    <row r="3153" spans="10:10" x14ac:dyDescent="0.3">
      <c r="J3153"/>
    </row>
    <row r="3154" spans="10:10" x14ac:dyDescent="0.3">
      <c r="J3154"/>
    </row>
    <row r="3155" spans="10:10" x14ac:dyDescent="0.3">
      <c r="J3155"/>
    </row>
    <row r="3156" spans="10:10" x14ac:dyDescent="0.3">
      <c r="J3156"/>
    </row>
    <row r="3157" spans="10:10" x14ac:dyDescent="0.3">
      <c r="J3157"/>
    </row>
    <row r="3158" spans="10:10" x14ac:dyDescent="0.3">
      <c r="J3158"/>
    </row>
    <row r="3159" spans="10:10" x14ac:dyDescent="0.3">
      <c r="J3159"/>
    </row>
    <row r="3160" spans="10:10" x14ac:dyDescent="0.3">
      <c r="J3160"/>
    </row>
    <row r="3161" spans="10:10" x14ac:dyDescent="0.3">
      <c r="J3161"/>
    </row>
    <row r="3162" spans="10:10" x14ac:dyDescent="0.3">
      <c r="J3162"/>
    </row>
    <row r="3163" spans="10:10" x14ac:dyDescent="0.3">
      <c r="J3163"/>
    </row>
    <row r="3164" spans="10:10" x14ac:dyDescent="0.3">
      <c r="J3164"/>
    </row>
    <row r="3165" spans="10:10" x14ac:dyDescent="0.3">
      <c r="J3165"/>
    </row>
    <row r="3166" spans="10:10" x14ac:dyDescent="0.3">
      <c r="J3166"/>
    </row>
    <row r="3167" spans="10:10" x14ac:dyDescent="0.3">
      <c r="J3167"/>
    </row>
    <row r="3168" spans="10:10" x14ac:dyDescent="0.3">
      <c r="J3168"/>
    </row>
    <row r="3169" spans="10:10" x14ac:dyDescent="0.3">
      <c r="J3169"/>
    </row>
    <row r="3170" spans="10:10" x14ac:dyDescent="0.3">
      <c r="J3170"/>
    </row>
    <row r="3171" spans="10:10" x14ac:dyDescent="0.3">
      <c r="J3171"/>
    </row>
    <row r="3172" spans="10:10" x14ac:dyDescent="0.3">
      <c r="J3172"/>
    </row>
    <row r="3173" spans="10:10" x14ac:dyDescent="0.3">
      <c r="J3173"/>
    </row>
    <row r="3174" spans="10:10" x14ac:dyDescent="0.3">
      <c r="J3174"/>
    </row>
    <row r="3175" spans="10:10" x14ac:dyDescent="0.3">
      <c r="J3175"/>
    </row>
    <row r="3176" spans="10:10" x14ac:dyDescent="0.3">
      <c r="J3176"/>
    </row>
    <row r="3177" spans="10:10" x14ac:dyDescent="0.3">
      <c r="J3177"/>
    </row>
    <row r="3178" spans="10:10" x14ac:dyDescent="0.3">
      <c r="J3178"/>
    </row>
    <row r="3179" spans="10:10" x14ac:dyDescent="0.3">
      <c r="J3179"/>
    </row>
    <row r="3180" spans="10:10" x14ac:dyDescent="0.3">
      <c r="J3180"/>
    </row>
    <row r="3181" spans="10:10" x14ac:dyDescent="0.3">
      <c r="J3181"/>
    </row>
    <row r="3182" spans="10:10" x14ac:dyDescent="0.3">
      <c r="J3182"/>
    </row>
    <row r="3183" spans="10:10" x14ac:dyDescent="0.3">
      <c r="J3183"/>
    </row>
    <row r="3184" spans="10:10" x14ac:dyDescent="0.3">
      <c r="J3184"/>
    </row>
    <row r="3185" spans="10:10" x14ac:dyDescent="0.3">
      <c r="J3185"/>
    </row>
    <row r="3186" spans="10:10" x14ac:dyDescent="0.3">
      <c r="J3186"/>
    </row>
    <row r="3187" spans="10:10" x14ac:dyDescent="0.3">
      <c r="J3187"/>
    </row>
    <row r="3188" spans="10:10" x14ac:dyDescent="0.3">
      <c r="J3188"/>
    </row>
    <row r="3189" spans="10:10" x14ac:dyDescent="0.3">
      <c r="J3189"/>
    </row>
    <row r="3190" spans="10:10" x14ac:dyDescent="0.3">
      <c r="J3190"/>
    </row>
    <row r="3191" spans="10:10" x14ac:dyDescent="0.3">
      <c r="J3191"/>
    </row>
    <row r="3192" spans="10:10" x14ac:dyDescent="0.3">
      <c r="J3192"/>
    </row>
    <row r="3193" spans="10:10" x14ac:dyDescent="0.3">
      <c r="J3193"/>
    </row>
    <row r="3194" spans="10:10" x14ac:dyDescent="0.3">
      <c r="J3194"/>
    </row>
    <row r="3195" spans="10:10" x14ac:dyDescent="0.3">
      <c r="J3195"/>
    </row>
    <row r="3196" spans="10:10" x14ac:dyDescent="0.3">
      <c r="J3196"/>
    </row>
    <row r="3197" spans="10:10" x14ac:dyDescent="0.3">
      <c r="J3197"/>
    </row>
    <row r="3198" spans="10:10" x14ac:dyDescent="0.3">
      <c r="J3198"/>
    </row>
    <row r="3199" spans="10:10" x14ac:dyDescent="0.3">
      <c r="J3199"/>
    </row>
    <row r="3200" spans="10:10" x14ac:dyDescent="0.3">
      <c r="J3200"/>
    </row>
    <row r="3201" spans="10:10" x14ac:dyDescent="0.3">
      <c r="J3201"/>
    </row>
    <row r="3202" spans="10:10" x14ac:dyDescent="0.3">
      <c r="J3202"/>
    </row>
    <row r="3203" spans="10:10" x14ac:dyDescent="0.3">
      <c r="J3203"/>
    </row>
    <row r="3204" spans="10:10" x14ac:dyDescent="0.3">
      <c r="J3204"/>
    </row>
    <row r="3205" spans="10:10" x14ac:dyDescent="0.3">
      <c r="J3205"/>
    </row>
    <row r="3206" spans="10:10" x14ac:dyDescent="0.3">
      <c r="J3206"/>
    </row>
    <row r="3207" spans="10:10" x14ac:dyDescent="0.3">
      <c r="J3207"/>
    </row>
    <row r="3208" spans="10:10" x14ac:dyDescent="0.3">
      <c r="J3208"/>
    </row>
    <row r="3209" spans="10:10" x14ac:dyDescent="0.3">
      <c r="J3209"/>
    </row>
    <row r="3210" spans="10:10" x14ac:dyDescent="0.3">
      <c r="J3210"/>
    </row>
    <row r="3211" spans="10:10" x14ac:dyDescent="0.3">
      <c r="J3211"/>
    </row>
    <row r="3212" spans="10:10" x14ac:dyDescent="0.3">
      <c r="J3212"/>
    </row>
    <row r="3213" spans="10:10" x14ac:dyDescent="0.3">
      <c r="J3213"/>
    </row>
    <row r="3214" spans="10:10" x14ac:dyDescent="0.3">
      <c r="J3214"/>
    </row>
    <row r="3215" spans="10:10" x14ac:dyDescent="0.3">
      <c r="J3215"/>
    </row>
    <row r="3216" spans="10:10" x14ac:dyDescent="0.3">
      <c r="J3216"/>
    </row>
    <row r="3217" spans="10:10" x14ac:dyDescent="0.3">
      <c r="J3217"/>
    </row>
    <row r="3218" spans="10:10" x14ac:dyDescent="0.3">
      <c r="J3218"/>
    </row>
    <row r="3219" spans="10:10" x14ac:dyDescent="0.3">
      <c r="J3219"/>
    </row>
    <row r="3220" spans="10:10" x14ac:dyDescent="0.3">
      <c r="J3220"/>
    </row>
    <row r="3221" spans="10:10" x14ac:dyDescent="0.3">
      <c r="J3221"/>
    </row>
    <row r="3222" spans="10:10" x14ac:dyDescent="0.3">
      <c r="J3222"/>
    </row>
    <row r="3223" spans="10:10" x14ac:dyDescent="0.3">
      <c r="J3223"/>
    </row>
    <row r="3224" spans="10:10" x14ac:dyDescent="0.3">
      <c r="J3224"/>
    </row>
    <row r="3225" spans="10:10" x14ac:dyDescent="0.3">
      <c r="J3225"/>
    </row>
    <row r="3226" spans="10:10" x14ac:dyDescent="0.3">
      <c r="J3226"/>
    </row>
    <row r="3227" spans="10:10" x14ac:dyDescent="0.3">
      <c r="J3227"/>
    </row>
    <row r="3228" spans="10:10" x14ac:dyDescent="0.3">
      <c r="J3228"/>
    </row>
    <row r="3229" spans="10:10" x14ac:dyDescent="0.3">
      <c r="J3229"/>
    </row>
    <row r="3230" spans="10:10" x14ac:dyDescent="0.3">
      <c r="J3230"/>
    </row>
    <row r="3231" spans="10:10" x14ac:dyDescent="0.3">
      <c r="J3231"/>
    </row>
    <row r="3232" spans="10:10" x14ac:dyDescent="0.3">
      <c r="J3232"/>
    </row>
    <row r="3233" spans="10:10" x14ac:dyDescent="0.3">
      <c r="J3233"/>
    </row>
    <row r="3234" spans="10:10" x14ac:dyDescent="0.3">
      <c r="J3234"/>
    </row>
    <row r="3235" spans="10:10" x14ac:dyDescent="0.3">
      <c r="J3235"/>
    </row>
    <row r="3236" spans="10:10" x14ac:dyDescent="0.3">
      <c r="J3236"/>
    </row>
    <row r="3237" spans="10:10" x14ac:dyDescent="0.3">
      <c r="J3237"/>
    </row>
    <row r="3238" spans="10:10" x14ac:dyDescent="0.3">
      <c r="J3238"/>
    </row>
    <row r="3239" spans="10:10" x14ac:dyDescent="0.3">
      <c r="J3239"/>
    </row>
    <row r="3240" spans="10:10" x14ac:dyDescent="0.3">
      <c r="J3240"/>
    </row>
    <row r="3241" spans="10:10" x14ac:dyDescent="0.3">
      <c r="J3241"/>
    </row>
    <row r="3242" spans="10:10" x14ac:dyDescent="0.3">
      <c r="J3242"/>
    </row>
    <row r="3243" spans="10:10" x14ac:dyDescent="0.3">
      <c r="J3243"/>
    </row>
    <row r="3244" spans="10:10" x14ac:dyDescent="0.3">
      <c r="J3244"/>
    </row>
    <row r="3245" spans="10:10" x14ac:dyDescent="0.3">
      <c r="J3245"/>
    </row>
    <row r="3246" spans="10:10" x14ac:dyDescent="0.3">
      <c r="J3246"/>
    </row>
    <row r="3247" spans="10:10" x14ac:dyDescent="0.3">
      <c r="J3247"/>
    </row>
    <row r="3248" spans="10:10" x14ac:dyDescent="0.3">
      <c r="J3248"/>
    </row>
    <row r="3249" spans="10:10" x14ac:dyDescent="0.3">
      <c r="J3249"/>
    </row>
    <row r="3250" spans="10:10" x14ac:dyDescent="0.3">
      <c r="J3250"/>
    </row>
    <row r="3251" spans="10:10" x14ac:dyDescent="0.3">
      <c r="J3251"/>
    </row>
    <row r="3252" spans="10:10" x14ac:dyDescent="0.3">
      <c r="J3252"/>
    </row>
    <row r="3253" spans="10:10" x14ac:dyDescent="0.3">
      <c r="J3253"/>
    </row>
    <row r="3254" spans="10:10" x14ac:dyDescent="0.3">
      <c r="J3254"/>
    </row>
    <row r="3255" spans="10:10" x14ac:dyDescent="0.3">
      <c r="J3255"/>
    </row>
    <row r="3256" spans="10:10" x14ac:dyDescent="0.3">
      <c r="J3256"/>
    </row>
    <row r="3257" spans="10:10" x14ac:dyDescent="0.3">
      <c r="J3257"/>
    </row>
    <row r="3258" spans="10:10" x14ac:dyDescent="0.3">
      <c r="J3258"/>
    </row>
    <row r="3259" spans="10:10" x14ac:dyDescent="0.3">
      <c r="J3259"/>
    </row>
    <row r="3260" spans="10:10" x14ac:dyDescent="0.3">
      <c r="J3260"/>
    </row>
    <row r="3261" spans="10:10" x14ac:dyDescent="0.3">
      <c r="J3261"/>
    </row>
    <row r="3262" spans="10:10" x14ac:dyDescent="0.3">
      <c r="J3262"/>
    </row>
    <row r="3263" spans="10:10" x14ac:dyDescent="0.3">
      <c r="J3263"/>
    </row>
    <row r="3264" spans="10:10" x14ac:dyDescent="0.3">
      <c r="J3264"/>
    </row>
    <row r="3265" spans="10:10" x14ac:dyDescent="0.3">
      <c r="J3265"/>
    </row>
    <row r="3266" spans="10:10" x14ac:dyDescent="0.3">
      <c r="J3266"/>
    </row>
    <row r="3267" spans="10:10" x14ac:dyDescent="0.3">
      <c r="J3267"/>
    </row>
    <row r="3268" spans="10:10" x14ac:dyDescent="0.3">
      <c r="J3268"/>
    </row>
    <row r="3269" spans="10:10" x14ac:dyDescent="0.3">
      <c r="J3269"/>
    </row>
    <row r="3270" spans="10:10" x14ac:dyDescent="0.3">
      <c r="J3270"/>
    </row>
    <row r="3271" spans="10:10" x14ac:dyDescent="0.3">
      <c r="J3271"/>
    </row>
    <row r="3272" spans="10:10" x14ac:dyDescent="0.3">
      <c r="J3272"/>
    </row>
    <row r="3273" spans="10:10" x14ac:dyDescent="0.3">
      <c r="J3273"/>
    </row>
    <row r="3274" spans="10:10" x14ac:dyDescent="0.3">
      <c r="J3274"/>
    </row>
    <row r="3275" spans="10:10" x14ac:dyDescent="0.3">
      <c r="J3275"/>
    </row>
    <row r="3276" spans="10:10" x14ac:dyDescent="0.3">
      <c r="J3276"/>
    </row>
    <row r="3277" spans="10:10" x14ac:dyDescent="0.3">
      <c r="J3277"/>
    </row>
    <row r="3278" spans="10:10" x14ac:dyDescent="0.3">
      <c r="J3278"/>
    </row>
    <row r="3279" spans="10:10" x14ac:dyDescent="0.3">
      <c r="J3279"/>
    </row>
    <row r="3280" spans="10:10" x14ac:dyDescent="0.3">
      <c r="J3280"/>
    </row>
    <row r="3281" spans="10:10" x14ac:dyDescent="0.3">
      <c r="J3281"/>
    </row>
    <row r="3282" spans="10:10" x14ac:dyDescent="0.3">
      <c r="J3282"/>
    </row>
    <row r="3283" spans="10:10" x14ac:dyDescent="0.3">
      <c r="J3283"/>
    </row>
    <row r="3284" spans="10:10" x14ac:dyDescent="0.3">
      <c r="J3284"/>
    </row>
    <row r="3285" spans="10:10" x14ac:dyDescent="0.3">
      <c r="J3285"/>
    </row>
    <row r="3286" spans="10:10" x14ac:dyDescent="0.3">
      <c r="J3286"/>
    </row>
    <row r="3287" spans="10:10" x14ac:dyDescent="0.3">
      <c r="J3287"/>
    </row>
    <row r="3288" spans="10:10" x14ac:dyDescent="0.3">
      <c r="J3288"/>
    </row>
    <row r="3289" spans="10:10" x14ac:dyDescent="0.3">
      <c r="J3289"/>
    </row>
    <row r="3290" spans="10:10" x14ac:dyDescent="0.3">
      <c r="J3290"/>
    </row>
    <row r="3291" spans="10:10" x14ac:dyDescent="0.3">
      <c r="J3291"/>
    </row>
    <row r="3292" spans="10:10" x14ac:dyDescent="0.3">
      <c r="J3292"/>
    </row>
    <row r="3293" spans="10:10" x14ac:dyDescent="0.3">
      <c r="J3293"/>
    </row>
    <row r="3294" spans="10:10" x14ac:dyDescent="0.3">
      <c r="J3294"/>
    </row>
    <row r="3295" spans="10:10" x14ac:dyDescent="0.3">
      <c r="J3295"/>
    </row>
    <row r="3296" spans="10:10" x14ac:dyDescent="0.3">
      <c r="J3296"/>
    </row>
    <row r="3297" spans="10:10" x14ac:dyDescent="0.3">
      <c r="J3297"/>
    </row>
    <row r="3298" spans="10:10" x14ac:dyDescent="0.3">
      <c r="J3298"/>
    </row>
    <row r="3299" spans="10:10" x14ac:dyDescent="0.3">
      <c r="J3299"/>
    </row>
    <row r="3300" spans="10:10" x14ac:dyDescent="0.3">
      <c r="J3300"/>
    </row>
    <row r="3301" spans="10:10" x14ac:dyDescent="0.3">
      <c r="J3301"/>
    </row>
    <row r="3302" spans="10:10" x14ac:dyDescent="0.3">
      <c r="J3302"/>
    </row>
    <row r="3303" spans="10:10" x14ac:dyDescent="0.3">
      <c r="J3303"/>
    </row>
    <row r="3304" spans="10:10" x14ac:dyDescent="0.3">
      <c r="J3304"/>
    </row>
    <row r="3305" spans="10:10" x14ac:dyDescent="0.3">
      <c r="J3305"/>
    </row>
    <row r="3306" spans="10:10" x14ac:dyDescent="0.3">
      <c r="J3306"/>
    </row>
    <row r="3307" spans="10:10" x14ac:dyDescent="0.3">
      <c r="J3307"/>
    </row>
    <row r="3308" spans="10:10" x14ac:dyDescent="0.3">
      <c r="J3308"/>
    </row>
    <row r="3309" spans="10:10" x14ac:dyDescent="0.3">
      <c r="J3309"/>
    </row>
    <row r="3310" spans="10:10" x14ac:dyDescent="0.3">
      <c r="J3310"/>
    </row>
    <row r="3311" spans="10:10" x14ac:dyDescent="0.3">
      <c r="J3311"/>
    </row>
    <row r="3312" spans="10:10" x14ac:dyDescent="0.3">
      <c r="J3312"/>
    </row>
    <row r="3313" spans="10:10" x14ac:dyDescent="0.3">
      <c r="J3313"/>
    </row>
    <row r="3314" spans="10:10" x14ac:dyDescent="0.3">
      <c r="J3314"/>
    </row>
    <row r="3315" spans="10:10" x14ac:dyDescent="0.3">
      <c r="J3315"/>
    </row>
    <row r="3316" spans="10:10" x14ac:dyDescent="0.3">
      <c r="J3316"/>
    </row>
    <row r="3317" spans="10:10" x14ac:dyDescent="0.3">
      <c r="J3317"/>
    </row>
    <row r="3318" spans="10:10" x14ac:dyDescent="0.3">
      <c r="J3318"/>
    </row>
    <row r="3319" spans="10:10" x14ac:dyDescent="0.3">
      <c r="J3319"/>
    </row>
    <row r="3320" spans="10:10" x14ac:dyDescent="0.3">
      <c r="J3320"/>
    </row>
    <row r="3321" spans="10:10" x14ac:dyDescent="0.3">
      <c r="J3321"/>
    </row>
    <row r="3322" spans="10:10" x14ac:dyDescent="0.3">
      <c r="J3322"/>
    </row>
    <row r="3323" spans="10:10" x14ac:dyDescent="0.3">
      <c r="J3323"/>
    </row>
    <row r="3324" spans="10:10" x14ac:dyDescent="0.3">
      <c r="J3324"/>
    </row>
    <row r="3325" spans="10:10" x14ac:dyDescent="0.3">
      <c r="J3325"/>
    </row>
    <row r="3326" spans="10:10" x14ac:dyDescent="0.3">
      <c r="J3326"/>
    </row>
    <row r="3327" spans="10:10" x14ac:dyDescent="0.3">
      <c r="J3327"/>
    </row>
    <row r="3328" spans="10:10" x14ac:dyDescent="0.3">
      <c r="J3328"/>
    </row>
    <row r="3329" spans="10:10" x14ac:dyDescent="0.3">
      <c r="J3329"/>
    </row>
    <row r="3330" spans="10:10" x14ac:dyDescent="0.3">
      <c r="J3330"/>
    </row>
    <row r="3331" spans="10:10" x14ac:dyDescent="0.3">
      <c r="J3331"/>
    </row>
    <row r="3332" spans="10:10" x14ac:dyDescent="0.3">
      <c r="J3332"/>
    </row>
    <row r="3333" spans="10:10" x14ac:dyDescent="0.3">
      <c r="J3333"/>
    </row>
    <row r="3334" spans="10:10" x14ac:dyDescent="0.3">
      <c r="J3334"/>
    </row>
    <row r="3335" spans="10:10" x14ac:dyDescent="0.3">
      <c r="J3335"/>
    </row>
    <row r="3336" spans="10:10" x14ac:dyDescent="0.3">
      <c r="J3336"/>
    </row>
    <row r="3337" spans="10:10" x14ac:dyDescent="0.3">
      <c r="J3337"/>
    </row>
    <row r="3338" spans="10:10" x14ac:dyDescent="0.3">
      <c r="J3338"/>
    </row>
    <row r="3339" spans="10:10" x14ac:dyDescent="0.3">
      <c r="J3339"/>
    </row>
    <row r="3340" spans="10:10" x14ac:dyDescent="0.3">
      <c r="J3340"/>
    </row>
    <row r="3341" spans="10:10" x14ac:dyDescent="0.3">
      <c r="J3341"/>
    </row>
    <row r="3342" spans="10:10" x14ac:dyDescent="0.3">
      <c r="J3342"/>
    </row>
    <row r="3343" spans="10:10" x14ac:dyDescent="0.3">
      <c r="J3343"/>
    </row>
    <row r="3344" spans="10:10" x14ac:dyDescent="0.3">
      <c r="J3344"/>
    </row>
    <row r="3345" spans="10:10" x14ac:dyDescent="0.3">
      <c r="J3345"/>
    </row>
    <row r="3346" spans="10:10" x14ac:dyDescent="0.3">
      <c r="J3346"/>
    </row>
    <row r="3347" spans="10:10" x14ac:dyDescent="0.3">
      <c r="J3347"/>
    </row>
    <row r="3348" spans="10:10" x14ac:dyDescent="0.3">
      <c r="J3348"/>
    </row>
    <row r="3349" spans="10:10" x14ac:dyDescent="0.3">
      <c r="J3349"/>
    </row>
    <row r="3350" spans="10:10" x14ac:dyDescent="0.3">
      <c r="J3350"/>
    </row>
    <row r="3351" spans="10:10" x14ac:dyDescent="0.3">
      <c r="J3351"/>
    </row>
    <row r="3352" spans="10:10" x14ac:dyDescent="0.3">
      <c r="J3352"/>
    </row>
    <row r="3353" spans="10:10" x14ac:dyDescent="0.3">
      <c r="J3353"/>
    </row>
    <row r="3354" spans="10:10" x14ac:dyDescent="0.3">
      <c r="J3354"/>
    </row>
    <row r="3355" spans="10:10" x14ac:dyDescent="0.3">
      <c r="J3355"/>
    </row>
    <row r="3356" spans="10:10" x14ac:dyDescent="0.3">
      <c r="J3356"/>
    </row>
    <row r="3357" spans="10:10" x14ac:dyDescent="0.3">
      <c r="J3357"/>
    </row>
    <row r="3358" spans="10:10" x14ac:dyDescent="0.3">
      <c r="J3358"/>
    </row>
    <row r="3359" spans="10:10" x14ac:dyDescent="0.3">
      <c r="J3359"/>
    </row>
    <row r="3360" spans="10:10" x14ac:dyDescent="0.3">
      <c r="J3360"/>
    </row>
    <row r="3361" spans="10:10" x14ac:dyDescent="0.3">
      <c r="J3361"/>
    </row>
    <row r="3362" spans="10:10" x14ac:dyDescent="0.3">
      <c r="J3362"/>
    </row>
    <row r="3363" spans="10:10" x14ac:dyDescent="0.3">
      <c r="J3363"/>
    </row>
    <row r="3364" spans="10:10" x14ac:dyDescent="0.3">
      <c r="J3364"/>
    </row>
    <row r="3365" spans="10:10" x14ac:dyDescent="0.3">
      <c r="J3365"/>
    </row>
    <row r="3366" spans="10:10" x14ac:dyDescent="0.3">
      <c r="J3366"/>
    </row>
    <row r="3367" spans="10:10" x14ac:dyDescent="0.3">
      <c r="J3367"/>
    </row>
    <row r="3368" spans="10:10" x14ac:dyDescent="0.3">
      <c r="J3368"/>
    </row>
    <row r="3369" spans="10:10" x14ac:dyDescent="0.3">
      <c r="J3369"/>
    </row>
    <row r="3370" spans="10:10" x14ac:dyDescent="0.3">
      <c r="J3370"/>
    </row>
    <row r="3371" spans="10:10" x14ac:dyDescent="0.3">
      <c r="J3371"/>
    </row>
    <row r="3372" spans="10:10" x14ac:dyDescent="0.3">
      <c r="J3372"/>
    </row>
    <row r="3373" spans="10:10" x14ac:dyDescent="0.3">
      <c r="J3373"/>
    </row>
    <row r="3374" spans="10:10" x14ac:dyDescent="0.3">
      <c r="J3374"/>
    </row>
    <row r="3375" spans="10:10" x14ac:dyDescent="0.3">
      <c r="J3375"/>
    </row>
    <row r="3376" spans="10:10" x14ac:dyDescent="0.3">
      <c r="J3376"/>
    </row>
    <row r="3377" spans="10:10" x14ac:dyDescent="0.3">
      <c r="J3377"/>
    </row>
    <row r="3378" spans="10:10" x14ac:dyDescent="0.3">
      <c r="J3378"/>
    </row>
    <row r="3379" spans="10:10" x14ac:dyDescent="0.3">
      <c r="J3379"/>
    </row>
    <row r="3380" spans="10:10" x14ac:dyDescent="0.3">
      <c r="J3380"/>
    </row>
    <row r="3381" spans="10:10" x14ac:dyDescent="0.3">
      <c r="J3381"/>
    </row>
    <row r="3382" spans="10:10" x14ac:dyDescent="0.3">
      <c r="J3382"/>
    </row>
    <row r="3383" spans="10:10" x14ac:dyDescent="0.3">
      <c r="J3383"/>
    </row>
    <row r="3384" spans="10:10" x14ac:dyDescent="0.3">
      <c r="J3384"/>
    </row>
    <row r="3385" spans="10:10" x14ac:dyDescent="0.3">
      <c r="J3385"/>
    </row>
    <row r="3386" spans="10:10" x14ac:dyDescent="0.3">
      <c r="J3386"/>
    </row>
    <row r="3387" spans="10:10" x14ac:dyDescent="0.3">
      <c r="J3387"/>
    </row>
    <row r="3388" spans="10:10" x14ac:dyDescent="0.3">
      <c r="J3388"/>
    </row>
    <row r="3389" spans="10:10" x14ac:dyDescent="0.3">
      <c r="J3389"/>
    </row>
    <row r="3390" spans="10:10" x14ac:dyDescent="0.3">
      <c r="J3390"/>
    </row>
    <row r="3391" spans="10:10" x14ac:dyDescent="0.3">
      <c r="J3391"/>
    </row>
    <row r="3392" spans="10:10" x14ac:dyDescent="0.3">
      <c r="J3392"/>
    </row>
    <row r="3393" spans="10:10" x14ac:dyDescent="0.3">
      <c r="J3393"/>
    </row>
    <row r="3394" spans="10:10" x14ac:dyDescent="0.3">
      <c r="J3394"/>
    </row>
    <row r="3395" spans="10:10" x14ac:dyDescent="0.3">
      <c r="J3395"/>
    </row>
    <row r="3396" spans="10:10" x14ac:dyDescent="0.3">
      <c r="J3396"/>
    </row>
    <row r="3397" spans="10:10" x14ac:dyDescent="0.3">
      <c r="J3397"/>
    </row>
    <row r="3398" spans="10:10" x14ac:dyDescent="0.3">
      <c r="J3398"/>
    </row>
    <row r="3399" spans="10:10" x14ac:dyDescent="0.3">
      <c r="J3399"/>
    </row>
    <row r="3400" spans="10:10" x14ac:dyDescent="0.3">
      <c r="J3400"/>
    </row>
    <row r="3401" spans="10:10" x14ac:dyDescent="0.3">
      <c r="J3401"/>
    </row>
    <row r="3402" spans="10:10" x14ac:dyDescent="0.3">
      <c r="J3402"/>
    </row>
    <row r="3403" spans="10:10" x14ac:dyDescent="0.3">
      <c r="J3403"/>
    </row>
    <row r="3404" spans="10:10" x14ac:dyDescent="0.3">
      <c r="J3404"/>
    </row>
    <row r="3405" spans="10:10" x14ac:dyDescent="0.3">
      <c r="J3405"/>
    </row>
    <row r="3406" spans="10:10" x14ac:dyDescent="0.3">
      <c r="J3406"/>
    </row>
    <row r="3407" spans="10:10" x14ac:dyDescent="0.3">
      <c r="J3407"/>
    </row>
    <row r="3408" spans="10:10" x14ac:dyDescent="0.3">
      <c r="J3408"/>
    </row>
    <row r="3409" spans="10:10" x14ac:dyDescent="0.3">
      <c r="J3409"/>
    </row>
    <row r="3410" spans="10:10" x14ac:dyDescent="0.3">
      <c r="J3410"/>
    </row>
    <row r="3411" spans="10:10" x14ac:dyDescent="0.3">
      <c r="J3411"/>
    </row>
    <row r="3412" spans="10:10" x14ac:dyDescent="0.3">
      <c r="J3412"/>
    </row>
    <row r="3413" spans="10:10" x14ac:dyDescent="0.3">
      <c r="J3413"/>
    </row>
    <row r="3414" spans="10:10" x14ac:dyDescent="0.3">
      <c r="J3414"/>
    </row>
    <row r="3415" spans="10:10" x14ac:dyDescent="0.3">
      <c r="J3415"/>
    </row>
    <row r="3416" spans="10:10" x14ac:dyDescent="0.3">
      <c r="J3416"/>
    </row>
    <row r="3417" spans="10:10" x14ac:dyDescent="0.3">
      <c r="J3417"/>
    </row>
    <row r="3418" spans="10:10" x14ac:dyDescent="0.3">
      <c r="J3418"/>
    </row>
    <row r="3419" spans="10:10" x14ac:dyDescent="0.3">
      <c r="J3419"/>
    </row>
    <row r="3420" spans="10:10" x14ac:dyDescent="0.3">
      <c r="J3420"/>
    </row>
    <row r="3421" spans="10:10" x14ac:dyDescent="0.3">
      <c r="J3421"/>
    </row>
    <row r="3422" spans="10:10" x14ac:dyDescent="0.3">
      <c r="J3422"/>
    </row>
    <row r="3423" spans="10:10" x14ac:dyDescent="0.3">
      <c r="J3423"/>
    </row>
    <row r="3424" spans="10:10" x14ac:dyDescent="0.3">
      <c r="J3424"/>
    </row>
    <row r="3425" spans="10:10" x14ac:dyDescent="0.3">
      <c r="J3425"/>
    </row>
    <row r="3426" spans="10:10" x14ac:dyDescent="0.3">
      <c r="J3426"/>
    </row>
    <row r="3427" spans="10:10" x14ac:dyDescent="0.3">
      <c r="J3427"/>
    </row>
    <row r="3428" spans="10:10" x14ac:dyDescent="0.3">
      <c r="J3428"/>
    </row>
    <row r="3429" spans="10:10" x14ac:dyDescent="0.3">
      <c r="J3429"/>
    </row>
    <row r="3430" spans="10:10" x14ac:dyDescent="0.3">
      <c r="J3430"/>
    </row>
    <row r="3431" spans="10:10" x14ac:dyDescent="0.3">
      <c r="J3431"/>
    </row>
    <row r="3432" spans="10:10" x14ac:dyDescent="0.3">
      <c r="J3432"/>
    </row>
    <row r="3433" spans="10:10" x14ac:dyDescent="0.3">
      <c r="J3433"/>
    </row>
    <row r="3434" spans="10:10" x14ac:dyDescent="0.3">
      <c r="J3434"/>
    </row>
    <row r="3435" spans="10:10" x14ac:dyDescent="0.3">
      <c r="J3435"/>
    </row>
    <row r="3436" spans="10:10" x14ac:dyDescent="0.3">
      <c r="J3436"/>
    </row>
    <row r="3437" spans="10:10" x14ac:dyDescent="0.3">
      <c r="J3437"/>
    </row>
    <row r="3438" spans="10:10" x14ac:dyDescent="0.3">
      <c r="J3438"/>
    </row>
    <row r="3439" spans="10:10" x14ac:dyDescent="0.3">
      <c r="J3439"/>
    </row>
    <row r="3440" spans="10:10" x14ac:dyDescent="0.3">
      <c r="J3440"/>
    </row>
    <row r="3441" spans="10:10" x14ac:dyDescent="0.3">
      <c r="J3441"/>
    </row>
    <row r="3442" spans="10:10" x14ac:dyDescent="0.3">
      <c r="J3442"/>
    </row>
    <row r="3443" spans="10:10" x14ac:dyDescent="0.3">
      <c r="J3443"/>
    </row>
    <row r="3444" spans="10:10" x14ac:dyDescent="0.3">
      <c r="J3444"/>
    </row>
    <row r="3445" spans="10:10" x14ac:dyDescent="0.3">
      <c r="J3445"/>
    </row>
    <row r="3446" spans="10:10" x14ac:dyDescent="0.3">
      <c r="J3446"/>
    </row>
    <row r="3447" spans="10:10" x14ac:dyDescent="0.3">
      <c r="J3447"/>
    </row>
    <row r="3448" spans="10:10" x14ac:dyDescent="0.3">
      <c r="J3448"/>
    </row>
    <row r="3449" spans="10:10" x14ac:dyDescent="0.3">
      <c r="J3449"/>
    </row>
    <row r="3450" spans="10:10" x14ac:dyDescent="0.3">
      <c r="J3450"/>
    </row>
    <row r="3451" spans="10:10" x14ac:dyDescent="0.3">
      <c r="J3451"/>
    </row>
    <row r="3452" spans="10:10" x14ac:dyDescent="0.3">
      <c r="J3452"/>
    </row>
    <row r="3453" spans="10:10" x14ac:dyDescent="0.3">
      <c r="J3453"/>
    </row>
    <row r="3454" spans="10:10" x14ac:dyDescent="0.3">
      <c r="J3454"/>
    </row>
    <row r="3455" spans="10:10" x14ac:dyDescent="0.3">
      <c r="J3455"/>
    </row>
    <row r="3456" spans="10:10" x14ac:dyDescent="0.3">
      <c r="J3456"/>
    </row>
    <row r="3457" spans="10:10" x14ac:dyDescent="0.3">
      <c r="J3457"/>
    </row>
    <row r="3458" spans="10:10" x14ac:dyDescent="0.3">
      <c r="J3458"/>
    </row>
    <row r="3459" spans="10:10" x14ac:dyDescent="0.3">
      <c r="J3459"/>
    </row>
    <row r="3460" spans="10:10" x14ac:dyDescent="0.3">
      <c r="J3460"/>
    </row>
    <row r="3461" spans="10:10" x14ac:dyDescent="0.3">
      <c r="J3461"/>
    </row>
    <row r="3462" spans="10:10" x14ac:dyDescent="0.3">
      <c r="J3462"/>
    </row>
    <row r="3463" spans="10:10" x14ac:dyDescent="0.3">
      <c r="J3463"/>
    </row>
    <row r="3464" spans="10:10" x14ac:dyDescent="0.3">
      <c r="J3464"/>
    </row>
    <row r="3465" spans="10:10" x14ac:dyDescent="0.3">
      <c r="J3465"/>
    </row>
    <row r="3466" spans="10:10" x14ac:dyDescent="0.3">
      <c r="J3466"/>
    </row>
    <row r="3467" spans="10:10" x14ac:dyDescent="0.3">
      <c r="J3467"/>
    </row>
    <row r="3468" spans="10:10" x14ac:dyDescent="0.3">
      <c r="J3468"/>
    </row>
    <row r="3469" spans="10:10" x14ac:dyDescent="0.3">
      <c r="J3469"/>
    </row>
    <row r="3470" spans="10:10" x14ac:dyDescent="0.3">
      <c r="J3470"/>
    </row>
    <row r="3471" spans="10:10" x14ac:dyDescent="0.3">
      <c r="J3471"/>
    </row>
    <row r="3472" spans="10:10" x14ac:dyDescent="0.3">
      <c r="J3472"/>
    </row>
    <row r="3473" spans="10:10" x14ac:dyDescent="0.3">
      <c r="J3473"/>
    </row>
    <row r="3474" spans="10:10" x14ac:dyDescent="0.3">
      <c r="J3474"/>
    </row>
    <row r="3475" spans="10:10" x14ac:dyDescent="0.3">
      <c r="J3475"/>
    </row>
    <row r="3476" spans="10:10" x14ac:dyDescent="0.3">
      <c r="J3476"/>
    </row>
    <row r="3477" spans="10:10" x14ac:dyDescent="0.3">
      <c r="J3477"/>
    </row>
    <row r="3478" spans="10:10" x14ac:dyDescent="0.3">
      <c r="J3478"/>
    </row>
    <row r="3479" spans="10:10" x14ac:dyDescent="0.3">
      <c r="J3479"/>
    </row>
    <row r="3480" spans="10:10" x14ac:dyDescent="0.3">
      <c r="J3480"/>
    </row>
    <row r="3481" spans="10:10" x14ac:dyDescent="0.3">
      <c r="J3481"/>
    </row>
    <row r="3482" spans="10:10" x14ac:dyDescent="0.3">
      <c r="J3482"/>
    </row>
    <row r="3483" spans="10:10" x14ac:dyDescent="0.3">
      <c r="J3483"/>
    </row>
    <row r="3484" spans="10:10" x14ac:dyDescent="0.3">
      <c r="J3484"/>
    </row>
    <row r="3485" spans="10:10" x14ac:dyDescent="0.3">
      <c r="J3485"/>
    </row>
    <row r="3486" spans="10:10" x14ac:dyDescent="0.3">
      <c r="J3486"/>
    </row>
    <row r="3487" spans="10:10" x14ac:dyDescent="0.3">
      <c r="J3487"/>
    </row>
    <row r="3488" spans="10:10" x14ac:dyDescent="0.3">
      <c r="J3488"/>
    </row>
    <row r="3489" spans="10:10" x14ac:dyDescent="0.3">
      <c r="J3489"/>
    </row>
    <row r="3490" spans="10:10" x14ac:dyDescent="0.3">
      <c r="J3490"/>
    </row>
    <row r="3491" spans="10:10" x14ac:dyDescent="0.3">
      <c r="J3491"/>
    </row>
    <row r="3492" spans="10:10" x14ac:dyDescent="0.3">
      <c r="J3492"/>
    </row>
    <row r="3493" spans="10:10" x14ac:dyDescent="0.3">
      <c r="J3493"/>
    </row>
    <row r="3494" spans="10:10" x14ac:dyDescent="0.3">
      <c r="J3494"/>
    </row>
    <row r="3495" spans="10:10" x14ac:dyDescent="0.3">
      <c r="J3495"/>
    </row>
    <row r="3496" spans="10:10" x14ac:dyDescent="0.3">
      <c r="J3496"/>
    </row>
    <row r="3497" spans="10:10" x14ac:dyDescent="0.3">
      <c r="J3497"/>
    </row>
    <row r="3498" spans="10:10" x14ac:dyDescent="0.3">
      <c r="J3498"/>
    </row>
    <row r="3499" spans="10:10" x14ac:dyDescent="0.3">
      <c r="J3499"/>
    </row>
    <row r="3500" spans="10:10" x14ac:dyDescent="0.3">
      <c r="J3500"/>
    </row>
    <row r="3501" spans="10:10" x14ac:dyDescent="0.3">
      <c r="J3501"/>
    </row>
    <row r="3502" spans="10:10" x14ac:dyDescent="0.3">
      <c r="J3502"/>
    </row>
    <row r="3503" spans="10:10" x14ac:dyDescent="0.3">
      <c r="J3503"/>
    </row>
    <row r="3504" spans="10:10" x14ac:dyDescent="0.3">
      <c r="J3504"/>
    </row>
    <row r="3505" spans="10:10" x14ac:dyDescent="0.3">
      <c r="J3505"/>
    </row>
    <row r="3506" spans="10:10" x14ac:dyDescent="0.3">
      <c r="J3506"/>
    </row>
    <row r="3507" spans="10:10" x14ac:dyDescent="0.3">
      <c r="J3507"/>
    </row>
    <row r="3508" spans="10:10" x14ac:dyDescent="0.3">
      <c r="J3508"/>
    </row>
    <row r="3509" spans="10:10" x14ac:dyDescent="0.3">
      <c r="J3509"/>
    </row>
    <row r="3510" spans="10:10" x14ac:dyDescent="0.3">
      <c r="J3510"/>
    </row>
    <row r="3511" spans="10:10" x14ac:dyDescent="0.3">
      <c r="J3511"/>
    </row>
    <row r="3512" spans="10:10" x14ac:dyDescent="0.3">
      <c r="J3512"/>
    </row>
    <row r="3513" spans="10:10" x14ac:dyDescent="0.3">
      <c r="J3513"/>
    </row>
    <row r="3514" spans="10:10" x14ac:dyDescent="0.3">
      <c r="J3514"/>
    </row>
    <row r="3515" spans="10:10" x14ac:dyDescent="0.3">
      <c r="J3515"/>
    </row>
    <row r="3516" spans="10:10" x14ac:dyDescent="0.3">
      <c r="J3516"/>
    </row>
    <row r="3517" spans="10:10" x14ac:dyDescent="0.3">
      <c r="J3517"/>
    </row>
    <row r="3518" spans="10:10" x14ac:dyDescent="0.3">
      <c r="J3518"/>
    </row>
    <row r="3519" spans="10:10" x14ac:dyDescent="0.3">
      <c r="J3519"/>
    </row>
    <row r="3520" spans="10:10" x14ac:dyDescent="0.3">
      <c r="J3520"/>
    </row>
    <row r="3521" spans="10:10" x14ac:dyDescent="0.3">
      <c r="J3521"/>
    </row>
    <row r="3522" spans="10:10" x14ac:dyDescent="0.3">
      <c r="J3522"/>
    </row>
    <row r="3523" spans="10:10" x14ac:dyDescent="0.3">
      <c r="J3523"/>
    </row>
    <row r="3524" spans="10:10" x14ac:dyDescent="0.3">
      <c r="J3524"/>
    </row>
    <row r="3525" spans="10:10" x14ac:dyDescent="0.3">
      <c r="J3525"/>
    </row>
    <row r="3526" spans="10:10" x14ac:dyDescent="0.3">
      <c r="J3526"/>
    </row>
    <row r="3527" spans="10:10" x14ac:dyDescent="0.3">
      <c r="J3527"/>
    </row>
    <row r="3528" spans="10:10" x14ac:dyDescent="0.3">
      <c r="J3528"/>
    </row>
    <row r="3529" spans="10:10" x14ac:dyDescent="0.3">
      <c r="J3529"/>
    </row>
    <row r="3530" spans="10:10" x14ac:dyDescent="0.3">
      <c r="J3530"/>
    </row>
    <row r="3531" spans="10:10" x14ac:dyDescent="0.3">
      <c r="J3531"/>
    </row>
    <row r="3532" spans="10:10" x14ac:dyDescent="0.3">
      <c r="J3532"/>
    </row>
    <row r="3533" spans="10:10" x14ac:dyDescent="0.3">
      <c r="J3533"/>
    </row>
    <row r="3534" spans="10:10" x14ac:dyDescent="0.3">
      <c r="J3534"/>
    </row>
    <row r="3535" spans="10:10" x14ac:dyDescent="0.3">
      <c r="J3535"/>
    </row>
    <row r="3536" spans="10:10" x14ac:dyDescent="0.3">
      <c r="J3536"/>
    </row>
    <row r="3537" spans="10:10" x14ac:dyDescent="0.3">
      <c r="J3537"/>
    </row>
    <row r="3538" spans="10:10" x14ac:dyDescent="0.3">
      <c r="J3538"/>
    </row>
    <row r="3539" spans="10:10" x14ac:dyDescent="0.3">
      <c r="J3539"/>
    </row>
    <row r="3540" spans="10:10" x14ac:dyDescent="0.3">
      <c r="J3540"/>
    </row>
    <row r="3541" spans="10:10" x14ac:dyDescent="0.3">
      <c r="J3541"/>
    </row>
    <row r="3542" spans="10:10" x14ac:dyDescent="0.3">
      <c r="J3542"/>
    </row>
    <row r="3543" spans="10:10" x14ac:dyDescent="0.3">
      <c r="J3543"/>
    </row>
    <row r="3544" spans="10:10" x14ac:dyDescent="0.3">
      <c r="J3544"/>
    </row>
    <row r="3545" spans="10:10" x14ac:dyDescent="0.3">
      <c r="J3545"/>
    </row>
    <row r="3546" spans="10:10" x14ac:dyDescent="0.3">
      <c r="J3546"/>
    </row>
    <row r="3547" spans="10:10" x14ac:dyDescent="0.3">
      <c r="J3547"/>
    </row>
    <row r="3548" spans="10:10" x14ac:dyDescent="0.3">
      <c r="J3548"/>
    </row>
    <row r="3549" spans="10:10" x14ac:dyDescent="0.3">
      <c r="J3549"/>
    </row>
    <row r="3550" spans="10:10" x14ac:dyDescent="0.3">
      <c r="J3550"/>
    </row>
    <row r="3551" spans="10:10" x14ac:dyDescent="0.3">
      <c r="J3551"/>
    </row>
    <row r="3552" spans="10:10" x14ac:dyDescent="0.3">
      <c r="J3552"/>
    </row>
    <row r="3553" spans="10:10" x14ac:dyDescent="0.3">
      <c r="J3553"/>
    </row>
    <row r="3554" spans="10:10" x14ac:dyDescent="0.3">
      <c r="J3554"/>
    </row>
    <row r="3555" spans="10:10" x14ac:dyDescent="0.3">
      <c r="J3555"/>
    </row>
    <row r="3556" spans="10:10" x14ac:dyDescent="0.3">
      <c r="J3556"/>
    </row>
    <row r="3557" spans="10:10" x14ac:dyDescent="0.3">
      <c r="J3557"/>
    </row>
    <row r="3558" spans="10:10" x14ac:dyDescent="0.3">
      <c r="J3558"/>
    </row>
    <row r="3559" spans="10:10" x14ac:dyDescent="0.3">
      <c r="J3559"/>
    </row>
    <row r="3560" spans="10:10" x14ac:dyDescent="0.3">
      <c r="J3560"/>
    </row>
    <row r="3561" spans="10:10" x14ac:dyDescent="0.3">
      <c r="J3561"/>
    </row>
    <row r="3562" spans="10:10" x14ac:dyDescent="0.3">
      <c r="J3562"/>
    </row>
    <row r="3563" spans="10:10" x14ac:dyDescent="0.3">
      <c r="J3563"/>
    </row>
    <row r="3564" spans="10:10" x14ac:dyDescent="0.3">
      <c r="J3564"/>
    </row>
    <row r="3565" spans="10:10" x14ac:dyDescent="0.3">
      <c r="J3565"/>
    </row>
    <row r="3566" spans="10:10" x14ac:dyDescent="0.3">
      <c r="J3566"/>
    </row>
    <row r="3567" spans="10:10" x14ac:dyDescent="0.3">
      <c r="J3567"/>
    </row>
    <row r="3568" spans="10:10" x14ac:dyDescent="0.3">
      <c r="J3568"/>
    </row>
    <row r="3569" spans="10:10" x14ac:dyDescent="0.3">
      <c r="J3569"/>
    </row>
    <row r="3570" spans="10:10" x14ac:dyDescent="0.3">
      <c r="J3570"/>
    </row>
    <row r="3571" spans="10:10" x14ac:dyDescent="0.3">
      <c r="J3571"/>
    </row>
    <row r="3572" spans="10:10" x14ac:dyDescent="0.3">
      <c r="J3572"/>
    </row>
    <row r="3573" spans="10:10" x14ac:dyDescent="0.3">
      <c r="J3573"/>
    </row>
    <row r="3574" spans="10:10" x14ac:dyDescent="0.3">
      <c r="J3574"/>
    </row>
    <row r="3575" spans="10:10" x14ac:dyDescent="0.3">
      <c r="J3575"/>
    </row>
    <row r="3576" spans="10:10" x14ac:dyDescent="0.3">
      <c r="J3576"/>
    </row>
    <row r="3577" spans="10:10" x14ac:dyDescent="0.3">
      <c r="J3577"/>
    </row>
    <row r="3578" spans="10:10" x14ac:dyDescent="0.3">
      <c r="J3578"/>
    </row>
    <row r="3579" spans="10:10" x14ac:dyDescent="0.3">
      <c r="J3579"/>
    </row>
    <row r="3580" spans="10:10" x14ac:dyDescent="0.3">
      <c r="J3580"/>
    </row>
    <row r="3581" spans="10:10" x14ac:dyDescent="0.3">
      <c r="J3581"/>
    </row>
    <row r="3582" spans="10:10" x14ac:dyDescent="0.3">
      <c r="J3582"/>
    </row>
    <row r="3583" spans="10:10" x14ac:dyDescent="0.3">
      <c r="J3583"/>
    </row>
    <row r="3584" spans="10:10" x14ac:dyDescent="0.3">
      <c r="J3584"/>
    </row>
    <row r="3585" spans="10:10" x14ac:dyDescent="0.3">
      <c r="J3585"/>
    </row>
    <row r="3586" spans="10:10" x14ac:dyDescent="0.3">
      <c r="J3586"/>
    </row>
    <row r="3587" spans="10:10" x14ac:dyDescent="0.3">
      <c r="J3587"/>
    </row>
    <row r="3588" spans="10:10" x14ac:dyDescent="0.3">
      <c r="J3588"/>
    </row>
    <row r="3589" spans="10:10" x14ac:dyDescent="0.3">
      <c r="J3589"/>
    </row>
    <row r="3590" spans="10:10" x14ac:dyDescent="0.3">
      <c r="J3590"/>
    </row>
    <row r="3591" spans="10:10" x14ac:dyDescent="0.3">
      <c r="J3591"/>
    </row>
    <row r="3592" spans="10:10" x14ac:dyDescent="0.3">
      <c r="J3592"/>
    </row>
    <row r="3593" spans="10:10" x14ac:dyDescent="0.3">
      <c r="J3593"/>
    </row>
    <row r="3594" spans="10:10" x14ac:dyDescent="0.3">
      <c r="J3594"/>
    </row>
    <row r="3595" spans="10:10" x14ac:dyDescent="0.3">
      <c r="J3595"/>
    </row>
    <row r="3596" spans="10:10" x14ac:dyDescent="0.3">
      <c r="J3596"/>
    </row>
    <row r="3597" spans="10:10" x14ac:dyDescent="0.3">
      <c r="J3597"/>
    </row>
    <row r="3598" spans="10:10" x14ac:dyDescent="0.3">
      <c r="J3598"/>
    </row>
    <row r="3599" spans="10:10" x14ac:dyDescent="0.3">
      <c r="J3599"/>
    </row>
    <row r="3600" spans="10:10" x14ac:dyDescent="0.3">
      <c r="J3600"/>
    </row>
    <row r="3601" spans="10:10" x14ac:dyDescent="0.3">
      <c r="J3601"/>
    </row>
    <row r="3602" spans="10:10" x14ac:dyDescent="0.3">
      <c r="J3602"/>
    </row>
    <row r="3603" spans="10:10" x14ac:dyDescent="0.3">
      <c r="J3603"/>
    </row>
    <row r="3604" spans="10:10" x14ac:dyDescent="0.3">
      <c r="J3604"/>
    </row>
    <row r="3605" spans="10:10" x14ac:dyDescent="0.3">
      <c r="J3605"/>
    </row>
    <row r="3606" spans="10:10" x14ac:dyDescent="0.3">
      <c r="J3606"/>
    </row>
    <row r="3607" spans="10:10" x14ac:dyDescent="0.3">
      <c r="J3607"/>
    </row>
    <row r="3608" spans="10:10" x14ac:dyDescent="0.3">
      <c r="J3608"/>
    </row>
    <row r="3609" spans="10:10" x14ac:dyDescent="0.3">
      <c r="J3609"/>
    </row>
    <row r="3610" spans="10:10" x14ac:dyDescent="0.3">
      <c r="J3610"/>
    </row>
    <row r="3611" spans="10:10" x14ac:dyDescent="0.3">
      <c r="J3611"/>
    </row>
    <row r="3612" spans="10:10" x14ac:dyDescent="0.3">
      <c r="J3612"/>
    </row>
    <row r="3613" spans="10:10" x14ac:dyDescent="0.3">
      <c r="J3613"/>
    </row>
    <row r="3614" spans="10:10" x14ac:dyDescent="0.3">
      <c r="J3614"/>
    </row>
    <row r="3615" spans="10:10" x14ac:dyDescent="0.3">
      <c r="J3615"/>
    </row>
    <row r="3616" spans="10:10" x14ac:dyDescent="0.3">
      <c r="J3616"/>
    </row>
    <row r="3617" spans="10:10" x14ac:dyDescent="0.3">
      <c r="J3617"/>
    </row>
    <row r="3618" spans="10:10" x14ac:dyDescent="0.3">
      <c r="J3618"/>
    </row>
    <row r="3619" spans="10:10" x14ac:dyDescent="0.3">
      <c r="J3619"/>
    </row>
    <row r="3620" spans="10:10" x14ac:dyDescent="0.3">
      <c r="J3620"/>
    </row>
    <row r="3621" spans="10:10" x14ac:dyDescent="0.3">
      <c r="J3621"/>
    </row>
    <row r="3622" spans="10:10" x14ac:dyDescent="0.3">
      <c r="J3622"/>
    </row>
    <row r="3623" spans="10:10" x14ac:dyDescent="0.3">
      <c r="J3623"/>
    </row>
    <row r="3624" spans="10:10" x14ac:dyDescent="0.3">
      <c r="J3624"/>
    </row>
    <row r="3625" spans="10:10" x14ac:dyDescent="0.3">
      <c r="J3625"/>
    </row>
    <row r="3626" spans="10:10" x14ac:dyDescent="0.3">
      <c r="J3626"/>
    </row>
    <row r="3627" spans="10:10" x14ac:dyDescent="0.3">
      <c r="J3627"/>
    </row>
    <row r="3628" spans="10:10" x14ac:dyDescent="0.3">
      <c r="J3628"/>
    </row>
    <row r="3629" spans="10:10" x14ac:dyDescent="0.3">
      <c r="J3629"/>
    </row>
    <row r="3630" spans="10:10" x14ac:dyDescent="0.3">
      <c r="J3630"/>
    </row>
    <row r="3631" spans="10:10" x14ac:dyDescent="0.3">
      <c r="J3631"/>
    </row>
    <row r="3632" spans="10:10" x14ac:dyDescent="0.3">
      <c r="J3632"/>
    </row>
    <row r="3633" spans="10:10" x14ac:dyDescent="0.3">
      <c r="J3633"/>
    </row>
    <row r="3634" spans="10:10" x14ac:dyDescent="0.3">
      <c r="J3634"/>
    </row>
    <row r="3635" spans="10:10" x14ac:dyDescent="0.3">
      <c r="J3635"/>
    </row>
    <row r="3636" spans="10:10" x14ac:dyDescent="0.3">
      <c r="J3636"/>
    </row>
    <row r="3637" spans="10:10" x14ac:dyDescent="0.3">
      <c r="J3637"/>
    </row>
    <row r="3638" spans="10:10" x14ac:dyDescent="0.3">
      <c r="J3638"/>
    </row>
    <row r="3639" spans="10:10" x14ac:dyDescent="0.3">
      <c r="J3639"/>
    </row>
    <row r="3640" spans="10:10" x14ac:dyDescent="0.3">
      <c r="J3640"/>
    </row>
    <row r="3641" spans="10:10" x14ac:dyDescent="0.3">
      <c r="J3641"/>
    </row>
    <row r="3642" spans="10:10" x14ac:dyDescent="0.3">
      <c r="J3642"/>
    </row>
    <row r="3643" spans="10:10" x14ac:dyDescent="0.3">
      <c r="J3643"/>
    </row>
    <row r="3644" spans="10:10" x14ac:dyDescent="0.3">
      <c r="J3644"/>
    </row>
    <row r="3645" spans="10:10" x14ac:dyDescent="0.3">
      <c r="J3645"/>
    </row>
    <row r="3646" spans="10:10" x14ac:dyDescent="0.3">
      <c r="J3646"/>
    </row>
    <row r="3647" spans="10:10" x14ac:dyDescent="0.3">
      <c r="J3647"/>
    </row>
    <row r="3648" spans="10:10" x14ac:dyDescent="0.3">
      <c r="J3648"/>
    </row>
    <row r="3649" spans="10:10" x14ac:dyDescent="0.3">
      <c r="J3649"/>
    </row>
    <row r="3650" spans="10:10" x14ac:dyDescent="0.3">
      <c r="J3650"/>
    </row>
    <row r="3651" spans="10:10" x14ac:dyDescent="0.3">
      <c r="J3651"/>
    </row>
    <row r="3652" spans="10:10" x14ac:dyDescent="0.3">
      <c r="J3652"/>
    </row>
    <row r="3653" spans="10:10" x14ac:dyDescent="0.3">
      <c r="J3653"/>
    </row>
    <row r="3654" spans="10:10" x14ac:dyDescent="0.3">
      <c r="J3654"/>
    </row>
    <row r="3655" spans="10:10" x14ac:dyDescent="0.3">
      <c r="J3655"/>
    </row>
    <row r="3656" spans="10:10" x14ac:dyDescent="0.3">
      <c r="J3656"/>
    </row>
    <row r="3657" spans="10:10" x14ac:dyDescent="0.3">
      <c r="J3657"/>
    </row>
    <row r="3658" spans="10:10" x14ac:dyDescent="0.3">
      <c r="J3658"/>
    </row>
    <row r="3659" spans="10:10" x14ac:dyDescent="0.3">
      <c r="J3659"/>
    </row>
    <row r="3660" spans="10:10" x14ac:dyDescent="0.3">
      <c r="J3660"/>
    </row>
    <row r="3661" spans="10:10" x14ac:dyDescent="0.3">
      <c r="J3661"/>
    </row>
    <row r="3662" spans="10:10" x14ac:dyDescent="0.3">
      <c r="J3662"/>
    </row>
    <row r="3663" spans="10:10" x14ac:dyDescent="0.3">
      <c r="J3663"/>
    </row>
    <row r="3664" spans="10:10" x14ac:dyDescent="0.3">
      <c r="J3664"/>
    </row>
    <row r="3665" spans="10:10" x14ac:dyDescent="0.3">
      <c r="J3665"/>
    </row>
    <row r="3666" spans="10:10" x14ac:dyDescent="0.3">
      <c r="J3666"/>
    </row>
    <row r="3667" spans="10:10" x14ac:dyDescent="0.3">
      <c r="J3667"/>
    </row>
    <row r="3668" spans="10:10" x14ac:dyDescent="0.3">
      <c r="J3668"/>
    </row>
    <row r="3669" spans="10:10" x14ac:dyDescent="0.3">
      <c r="J3669"/>
    </row>
    <row r="3670" spans="10:10" x14ac:dyDescent="0.3">
      <c r="J3670"/>
    </row>
    <row r="3671" spans="10:10" x14ac:dyDescent="0.3">
      <c r="J3671"/>
    </row>
    <row r="3672" spans="10:10" x14ac:dyDescent="0.3">
      <c r="J3672"/>
    </row>
    <row r="3673" spans="10:10" x14ac:dyDescent="0.3">
      <c r="J3673"/>
    </row>
    <row r="3674" spans="10:10" x14ac:dyDescent="0.3">
      <c r="J3674"/>
    </row>
    <row r="3675" spans="10:10" x14ac:dyDescent="0.3">
      <c r="J3675"/>
    </row>
    <row r="3676" spans="10:10" x14ac:dyDescent="0.3">
      <c r="J3676"/>
    </row>
    <row r="3677" spans="10:10" x14ac:dyDescent="0.3">
      <c r="J3677"/>
    </row>
    <row r="3678" spans="10:10" x14ac:dyDescent="0.3">
      <c r="J3678"/>
    </row>
    <row r="3679" spans="10:10" x14ac:dyDescent="0.3">
      <c r="J3679"/>
    </row>
    <row r="3680" spans="10:10" x14ac:dyDescent="0.3">
      <c r="J3680"/>
    </row>
    <row r="3681" spans="10:10" x14ac:dyDescent="0.3">
      <c r="J3681"/>
    </row>
    <row r="3682" spans="10:10" x14ac:dyDescent="0.3">
      <c r="J3682"/>
    </row>
    <row r="3683" spans="10:10" x14ac:dyDescent="0.3">
      <c r="J3683"/>
    </row>
    <row r="3684" spans="10:10" x14ac:dyDescent="0.3">
      <c r="J3684"/>
    </row>
    <row r="3685" spans="10:10" x14ac:dyDescent="0.3">
      <c r="J3685"/>
    </row>
    <row r="3686" spans="10:10" x14ac:dyDescent="0.3">
      <c r="J3686"/>
    </row>
    <row r="3687" spans="10:10" x14ac:dyDescent="0.3">
      <c r="J3687"/>
    </row>
    <row r="3688" spans="10:10" x14ac:dyDescent="0.3">
      <c r="J3688"/>
    </row>
    <row r="3689" spans="10:10" x14ac:dyDescent="0.3">
      <c r="J3689"/>
    </row>
    <row r="3690" spans="10:10" x14ac:dyDescent="0.3">
      <c r="J3690"/>
    </row>
    <row r="3691" spans="10:10" x14ac:dyDescent="0.3">
      <c r="J3691"/>
    </row>
    <row r="3692" spans="10:10" x14ac:dyDescent="0.3">
      <c r="J3692"/>
    </row>
    <row r="3693" spans="10:10" x14ac:dyDescent="0.3">
      <c r="J3693"/>
    </row>
    <row r="3694" spans="10:10" x14ac:dyDescent="0.3">
      <c r="J3694"/>
    </row>
    <row r="3695" spans="10:10" x14ac:dyDescent="0.3">
      <c r="J3695"/>
    </row>
    <row r="3696" spans="10:10" x14ac:dyDescent="0.3">
      <c r="J3696"/>
    </row>
    <row r="3697" spans="10:10" x14ac:dyDescent="0.3">
      <c r="J3697"/>
    </row>
    <row r="3698" spans="10:10" x14ac:dyDescent="0.3">
      <c r="J3698"/>
    </row>
    <row r="3699" spans="10:10" x14ac:dyDescent="0.3">
      <c r="J3699"/>
    </row>
    <row r="3700" spans="10:10" x14ac:dyDescent="0.3">
      <c r="J3700"/>
    </row>
    <row r="3701" spans="10:10" x14ac:dyDescent="0.3">
      <c r="J3701"/>
    </row>
    <row r="3702" spans="10:10" x14ac:dyDescent="0.3">
      <c r="J3702"/>
    </row>
    <row r="3703" spans="10:10" x14ac:dyDescent="0.3">
      <c r="J3703"/>
    </row>
    <row r="3704" spans="10:10" x14ac:dyDescent="0.3">
      <c r="J3704"/>
    </row>
    <row r="3705" spans="10:10" x14ac:dyDescent="0.3">
      <c r="J3705"/>
    </row>
    <row r="3706" spans="10:10" x14ac:dyDescent="0.3">
      <c r="J3706"/>
    </row>
    <row r="3707" spans="10:10" x14ac:dyDescent="0.3">
      <c r="J3707"/>
    </row>
    <row r="3708" spans="10:10" x14ac:dyDescent="0.3">
      <c r="J3708"/>
    </row>
    <row r="3709" spans="10:10" x14ac:dyDescent="0.3">
      <c r="J3709"/>
    </row>
    <row r="3710" spans="10:10" x14ac:dyDescent="0.3">
      <c r="J3710"/>
    </row>
    <row r="3711" spans="10:10" x14ac:dyDescent="0.3">
      <c r="J3711"/>
    </row>
    <row r="3712" spans="10:10" x14ac:dyDescent="0.3">
      <c r="J3712"/>
    </row>
    <row r="3713" spans="10:10" x14ac:dyDescent="0.3">
      <c r="J3713"/>
    </row>
    <row r="3714" spans="10:10" x14ac:dyDescent="0.3">
      <c r="J3714"/>
    </row>
    <row r="3715" spans="10:10" x14ac:dyDescent="0.3">
      <c r="J3715"/>
    </row>
    <row r="3716" spans="10:10" x14ac:dyDescent="0.3">
      <c r="J3716"/>
    </row>
    <row r="3717" spans="10:10" x14ac:dyDescent="0.3">
      <c r="J3717"/>
    </row>
    <row r="3718" spans="10:10" x14ac:dyDescent="0.3">
      <c r="J3718"/>
    </row>
    <row r="3719" spans="10:10" x14ac:dyDescent="0.3">
      <c r="J3719"/>
    </row>
    <row r="3720" spans="10:10" x14ac:dyDescent="0.3">
      <c r="J3720"/>
    </row>
    <row r="3721" spans="10:10" x14ac:dyDescent="0.3">
      <c r="J3721"/>
    </row>
    <row r="3722" spans="10:10" x14ac:dyDescent="0.3">
      <c r="J3722"/>
    </row>
    <row r="3723" spans="10:10" x14ac:dyDescent="0.3">
      <c r="J3723"/>
    </row>
    <row r="3724" spans="10:10" x14ac:dyDescent="0.3">
      <c r="J3724"/>
    </row>
    <row r="3725" spans="10:10" x14ac:dyDescent="0.3">
      <c r="J3725"/>
    </row>
    <row r="3726" spans="10:10" x14ac:dyDescent="0.3">
      <c r="J3726"/>
    </row>
    <row r="3727" spans="10:10" x14ac:dyDescent="0.3">
      <c r="J3727"/>
    </row>
    <row r="3728" spans="10:10" x14ac:dyDescent="0.3">
      <c r="J3728"/>
    </row>
    <row r="3729" spans="10:10" x14ac:dyDescent="0.3">
      <c r="J3729"/>
    </row>
    <row r="3730" spans="10:10" x14ac:dyDescent="0.3">
      <c r="J3730"/>
    </row>
    <row r="3731" spans="10:10" x14ac:dyDescent="0.3">
      <c r="J3731"/>
    </row>
    <row r="3732" spans="10:10" x14ac:dyDescent="0.3">
      <c r="J3732"/>
    </row>
    <row r="3733" spans="10:10" x14ac:dyDescent="0.3">
      <c r="J3733"/>
    </row>
    <row r="3734" spans="10:10" x14ac:dyDescent="0.3">
      <c r="J3734"/>
    </row>
    <row r="3735" spans="10:10" x14ac:dyDescent="0.3">
      <c r="J3735"/>
    </row>
    <row r="3736" spans="10:10" x14ac:dyDescent="0.3">
      <c r="J3736"/>
    </row>
    <row r="3737" spans="10:10" x14ac:dyDescent="0.3">
      <c r="J3737"/>
    </row>
    <row r="3738" spans="10:10" x14ac:dyDescent="0.3">
      <c r="J3738"/>
    </row>
    <row r="3739" spans="10:10" x14ac:dyDescent="0.3">
      <c r="J3739"/>
    </row>
    <row r="3740" spans="10:10" x14ac:dyDescent="0.3">
      <c r="J3740"/>
    </row>
    <row r="3741" spans="10:10" x14ac:dyDescent="0.3">
      <c r="J3741"/>
    </row>
    <row r="3742" spans="10:10" x14ac:dyDescent="0.3">
      <c r="J3742"/>
    </row>
    <row r="3743" spans="10:10" x14ac:dyDescent="0.3">
      <c r="J3743"/>
    </row>
    <row r="3744" spans="10:10" x14ac:dyDescent="0.3">
      <c r="J3744"/>
    </row>
    <row r="3745" spans="10:10" x14ac:dyDescent="0.3">
      <c r="J3745"/>
    </row>
    <row r="3746" spans="10:10" x14ac:dyDescent="0.3">
      <c r="J3746"/>
    </row>
    <row r="3747" spans="10:10" x14ac:dyDescent="0.3">
      <c r="J3747"/>
    </row>
    <row r="3748" spans="10:10" x14ac:dyDescent="0.3">
      <c r="J3748"/>
    </row>
    <row r="3749" spans="10:10" x14ac:dyDescent="0.3">
      <c r="J3749"/>
    </row>
    <row r="3750" spans="10:10" x14ac:dyDescent="0.3">
      <c r="J3750"/>
    </row>
    <row r="3751" spans="10:10" x14ac:dyDescent="0.3">
      <c r="J3751"/>
    </row>
    <row r="3752" spans="10:10" x14ac:dyDescent="0.3">
      <c r="J3752"/>
    </row>
    <row r="3753" spans="10:10" x14ac:dyDescent="0.3">
      <c r="J3753"/>
    </row>
    <row r="3754" spans="10:10" x14ac:dyDescent="0.3">
      <c r="J3754"/>
    </row>
    <row r="3755" spans="10:10" x14ac:dyDescent="0.3">
      <c r="J3755"/>
    </row>
    <row r="3756" spans="10:10" x14ac:dyDescent="0.3">
      <c r="J3756"/>
    </row>
    <row r="3757" spans="10:10" x14ac:dyDescent="0.3">
      <c r="J3757"/>
    </row>
    <row r="3758" spans="10:10" x14ac:dyDescent="0.3">
      <c r="J3758"/>
    </row>
    <row r="3759" spans="10:10" x14ac:dyDescent="0.3">
      <c r="J3759"/>
    </row>
    <row r="3760" spans="10:10" x14ac:dyDescent="0.3">
      <c r="J3760"/>
    </row>
    <row r="3761" spans="10:10" x14ac:dyDescent="0.3">
      <c r="J3761"/>
    </row>
    <row r="3762" spans="10:10" x14ac:dyDescent="0.3">
      <c r="J3762"/>
    </row>
    <row r="3763" spans="10:10" x14ac:dyDescent="0.3">
      <c r="J3763"/>
    </row>
    <row r="3764" spans="10:10" x14ac:dyDescent="0.3">
      <c r="J3764"/>
    </row>
    <row r="3765" spans="10:10" x14ac:dyDescent="0.3">
      <c r="J3765"/>
    </row>
    <row r="3766" spans="10:10" x14ac:dyDescent="0.3">
      <c r="J3766"/>
    </row>
    <row r="3767" spans="10:10" x14ac:dyDescent="0.3">
      <c r="J3767"/>
    </row>
    <row r="3768" spans="10:10" x14ac:dyDescent="0.3">
      <c r="J3768"/>
    </row>
    <row r="3769" spans="10:10" x14ac:dyDescent="0.3">
      <c r="J3769"/>
    </row>
    <row r="3770" spans="10:10" x14ac:dyDescent="0.3">
      <c r="J3770"/>
    </row>
    <row r="3771" spans="10:10" x14ac:dyDescent="0.3">
      <c r="J3771"/>
    </row>
    <row r="3772" spans="10:10" x14ac:dyDescent="0.3">
      <c r="J3772"/>
    </row>
    <row r="3773" spans="10:10" x14ac:dyDescent="0.3">
      <c r="J3773"/>
    </row>
    <row r="3774" spans="10:10" x14ac:dyDescent="0.3">
      <c r="J3774"/>
    </row>
    <row r="3775" spans="10:10" x14ac:dyDescent="0.3">
      <c r="J3775"/>
    </row>
    <row r="3776" spans="10:10" x14ac:dyDescent="0.3">
      <c r="J3776"/>
    </row>
    <row r="3777" spans="10:10" x14ac:dyDescent="0.3">
      <c r="J3777"/>
    </row>
    <row r="3778" spans="10:10" x14ac:dyDescent="0.3">
      <c r="J3778"/>
    </row>
    <row r="3779" spans="10:10" x14ac:dyDescent="0.3">
      <c r="J3779"/>
    </row>
    <row r="3780" spans="10:10" x14ac:dyDescent="0.3">
      <c r="J3780"/>
    </row>
    <row r="3781" spans="10:10" x14ac:dyDescent="0.3">
      <c r="J3781"/>
    </row>
    <row r="3782" spans="10:10" x14ac:dyDescent="0.3">
      <c r="J3782"/>
    </row>
    <row r="3783" spans="10:10" x14ac:dyDescent="0.3">
      <c r="J3783"/>
    </row>
    <row r="3784" spans="10:10" x14ac:dyDescent="0.3">
      <c r="J3784"/>
    </row>
    <row r="3785" spans="10:10" x14ac:dyDescent="0.3">
      <c r="J3785"/>
    </row>
    <row r="3786" spans="10:10" x14ac:dyDescent="0.3">
      <c r="J3786"/>
    </row>
    <row r="3787" spans="10:10" x14ac:dyDescent="0.3">
      <c r="J3787"/>
    </row>
    <row r="3788" spans="10:10" x14ac:dyDescent="0.3">
      <c r="J3788"/>
    </row>
    <row r="3789" spans="10:10" x14ac:dyDescent="0.3">
      <c r="J3789"/>
    </row>
    <row r="3790" spans="10:10" x14ac:dyDescent="0.3">
      <c r="J3790"/>
    </row>
    <row r="3791" spans="10:10" x14ac:dyDescent="0.3">
      <c r="J3791"/>
    </row>
    <row r="3792" spans="10:10" x14ac:dyDescent="0.3">
      <c r="J3792"/>
    </row>
    <row r="3793" spans="10:10" x14ac:dyDescent="0.3">
      <c r="J3793"/>
    </row>
    <row r="3794" spans="10:10" x14ac:dyDescent="0.3">
      <c r="J3794"/>
    </row>
    <row r="3795" spans="10:10" x14ac:dyDescent="0.3">
      <c r="J3795"/>
    </row>
    <row r="3796" spans="10:10" x14ac:dyDescent="0.3">
      <c r="J3796"/>
    </row>
    <row r="3797" spans="10:10" x14ac:dyDescent="0.3">
      <c r="J3797"/>
    </row>
    <row r="3798" spans="10:10" x14ac:dyDescent="0.3">
      <c r="J3798"/>
    </row>
    <row r="3799" spans="10:10" x14ac:dyDescent="0.3">
      <c r="J3799"/>
    </row>
    <row r="3800" spans="10:10" x14ac:dyDescent="0.3">
      <c r="J3800"/>
    </row>
    <row r="3801" spans="10:10" x14ac:dyDescent="0.3">
      <c r="J3801"/>
    </row>
    <row r="3802" spans="10:10" x14ac:dyDescent="0.3">
      <c r="J3802"/>
    </row>
    <row r="3803" spans="10:10" x14ac:dyDescent="0.3">
      <c r="J3803"/>
    </row>
    <row r="3804" spans="10:10" x14ac:dyDescent="0.3">
      <c r="J3804"/>
    </row>
    <row r="3805" spans="10:10" x14ac:dyDescent="0.3">
      <c r="J3805"/>
    </row>
    <row r="3806" spans="10:10" x14ac:dyDescent="0.3">
      <c r="J3806"/>
    </row>
    <row r="3807" spans="10:10" x14ac:dyDescent="0.3">
      <c r="J3807"/>
    </row>
    <row r="3808" spans="10:10" x14ac:dyDescent="0.3">
      <c r="J3808"/>
    </row>
    <row r="3809" spans="10:10" x14ac:dyDescent="0.3">
      <c r="J3809"/>
    </row>
    <row r="3810" spans="10:10" x14ac:dyDescent="0.3">
      <c r="J3810"/>
    </row>
    <row r="3811" spans="10:10" x14ac:dyDescent="0.3">
      <c r="J3811"/>
    </row>
    <row r="3812" spans="10:10" x14ac:dyDescent="0.3">
      <c r="J3812"/>
    </row>
    <row r="3813" spans="10:10" x14ac:dyDescent="0.3">
      <c r="J3813"/>
    </row>
    <row r="3814" spans="10:10" x14ac:dyDescent="0.3">
      <c r="J3814"/>
    </row>
    <row r="3815" spans="10:10" x14ac:dyDescent="0.3">
      <c r="J3815"/>
    </row>
    <row r="3816" spans="10:10" x14ac:dyDescent="0.3">
      <c r="J3816"/>
    </row>
    <row r="3817" spans="10:10" x14ac:dyDescent="0.3">
      <c r="J3817"/>
    </row>
    <row r="3818" spans="10:10" x14ac:dyDescent="0.3">
      <c r="J3818"/>
    </row>
    <row r="3819" spans="10:10" x14ac:dyDescent="0.3">
      <c r="J3819"/>
    </row>
    <row r="3820" spans="10:10" x14ac:dyDescent="0.3">
      <c r="J3820"/>
    </row>
    <row r="3821" spans="10:10" x14ac:dyDescent="0.3">
      <c r="J3821"/>
    </row>
    <row r="3822" spans="10:10" x14ac:dyDescent="0.3">
      <c r="J3822"/>
    </row>
    <row r="3823" spans="10:10" x14ac:dyDescent="0.3">
      <c r="J3823"/>
    </row>
    <row r="3824" spans="10:10" x14ac:dyDescent="0.3">
      <c r="J3824"/>
    </row>
    <row r="3825" spans="10:10" x14ac:dyDescent="0.3">
      <c r="J3825"/>
    </row>
    <row r="3826" spans="10:10" x14ac:dyDescent="0.3">
      <c r="J3826"/>
    </row>
    <row r="3827" spans="10:10" x14ac:dyDescent="0.3">
      <c r="J3827"/>
    </row>
    <row r="3828" spans="10:10" x14ac:dyDescent="0.3">
      <c r="J3828"/>
    </row>
    <row r="3829" spans="10:10" x14ac:dyDescent="0.3">
      <c r="J3829"/>
    </row>
    <row r="3830" spans="10:10" x14ac:dyDescent="0.3">
      <c r="J3830"/>
    </row>
    <row r="3831" spans="10:10" x14ac:dyDescent="0.3">
      <c r="J3831"/>
    </row>
    <row r="3832" spans="10:10" x14ac:dyDescent="0.3">
      <c r="J3832"/>
    </row>
    <row r="3833" spans="10:10" x14ac:dyDescent="0.3">
      <c r="J3833"/>
    </row>
    <row r="3834" spans="10:10" x14ac:dyDescent="0.3">
      <c r="J3834"/>
    </row>
    <row r="3835" spans="10:10" x14ac:dyDescent="0.3">
      <c r="J3835"/>
    </row>
    <row r="3836" spans="10:10" x14ac:dyDescent="0.3">
      <c r="J3836"/>
    </row>
    <row r="3837" spans="10:10" x14ac:dyDescent="0.3">
      <c r="J3837"/>
    </row>
    <row r="3838" spans="10:10" x14ac:dyDescent="0.3">
      <c r="J3838"/>
    </row>
    <row r="3839" spans="10:10" x14ac:dyDescent="0.3">
      <c r="J3839"/>
    </row>
    <row r="3840" spans="10:10" x14ac:dyDescent="0.3">
      <c r="J3840"/>
    </row>
    <row r="3841" spans="10:10" x14ac:dyDescent="0.3">
      <c r="J3841"/>
    </row>
    <row r="3842" spans="10:10" x14ac:dyDescent="0.3">
      <c r="J3842"/>
    </row>
    <row r="3843" spans="10:10" x14ac:dyDescent="0.3">
      <c r="J3843"/>
    </row>
    <row r="3844" spans="10:10" x14ac:dyDescent="0.3">
      <c r="J3844"/>
    </row>
    <row r="3845" spans="10:10" x14ac:dyDescent="0.3">
      <c r="J3845"/>
    </row>
    <row r="3846" spans="10:10" x14ac:dyDescent="0.3">
      <c r="J3846"/>
    </row>
    <row r="3847" spans="10:10" x14ac:dyDescent="0.3">
      <c r="J3847"/>
    </row>
    <row r="3848" spans="10:10" x14ac:dyDescent="0.3">
      <c r="J3848"/>
    </row>
    <row r="3849" spans="10:10" x14ac:dyDescent="0.3">
      <c r="J3849"/>
    </row>
    <row r="3850" spans="10:10" x14ac:dyDescent="0.3">
      <c r="J3850"/>
    </row>
    <row r="3851" spans="10:10" x14ac:dyDescent="0.3">
      <c r="J3851"/>
    </row>
    <row r="3852" spans="10:10" x14ac:dyDescent="0.3">
      <c r="J3852"/>
    </row>
    <row r="3853" spans="10:10" x14ac:dyDescent="0.3">
      <c r="J3853"/>
    </row>
    <row r="3854" spans="10:10" x14ac:dyDescent="0.3">
      <c r="J3854"/>
    </row>
    <row r="3855" spans="10:10" x14ac:dyDescent="0.3">
      <c r="J3855"/>
    </row>
    <row r="3856" spans="10:10" x14ac:dyDescent="0.3">
      <c r="J3856"/>
    </row>
    <row r="3857" spans="10:10" x14ac:dyDescent="0.3">
      <c r="J3857"/>
    </row>
    <row r="3858" spans="10:10" x14ac:dyDescent="0.3">
      <c r="J3858"/>
    </row>
    <row r="3859" spans="10:10" x14ac:dyDescent="0.3">
      <c r="J3859"/>
    </row>
    <row r="3860" spans="10:10" x14ac:dyDescent="0.3">
      <c r="J3860"/>
    </row>
    <row r="3861" spans="10:10" x14ac:dyDescent="0.3">
      <c r="J3861"/>
    </row>
    <row r="3862" spans="10:10" x14ac:dyDescent="0.3">
      <c r="J3862"/>
    </row>
    <row r="3863" spans="10:10" x14ac:dyDescent="0.3">
      <c r="J3863"/>
    </row>
    <row r="3864" spans="10:10" x14ac:dyDescent="0.3">
      <c r="J3864"/>
    </row>
    <row r="3865" spans="10:10" x14ac:dyDescent="0.3">
      <c r="J3865"/>
    </row>
    <row r="3866" spans="10:10" x14ac:dyDescent="0.3">
      <c r="J3866"/>
    </row>
    <row r="3867" spans="10:10" x14ac:dyDescent="0.3">
      <c r="J3867"/>
    </row>
    <row r="3868" spans="10:10" x14ac:dyDescent="0.3">
      <c r="J3868"/>
    </row>
    <row r="3869" spans="10:10" x14ac:dyDescent="0.3">
      <c r="J3869"/>
    </row>
    <row r="3870" spans="10:10" x14ac:dyDescent="0.3">
      <c r="J3870"/>
    </row>
    <row r="3871" spans="10:10" x14ac:dyDescent="0.3">
      <c r="J3871"/>
    </row>
    <row r="3872" spans="10:10" x14ac:dyDescent="0.3">
      <c r="J3872"/>
    </row>
    <row r="3873" spans="10:10" x14ac:dyDescent="0.3">
      <c r="J3873"/>
    </row>
    <row r="3874" spans="10:10" x14ac:dyDescent="0.3">
      <c r="J3874"/>
    </row>
    <row r="3875" spans="10:10" x14ac:dyDescent="0.3">
      <c r="J3875"/>
    </row>
    <row r="3876" spans="10:10" x14ac:dyDescent="0.3">
      <c r="J3876"/>
    </row>
    <row r="3877" spans="10:10" x14ac:dyDescent="0.3">
      <c r="J3877"/>
    </row>
    <row r="3878" spans="10:10" x14ac:dyDescent="0.3">
      <c r="J3878"/>
    </row>
    <row r="3879" spans="10:10" x14ac:dyDescent="0.3">
      <c r="J3879"/>
    </row>
    <row r="3880" spans="10:10" x14ac:dyDescent="0.3">
      <c r="J3880"/>
    </row>
    <row r="3881" spans="10:10" x14ac:dyDescent="0.3">
      <c r="J3881"/>
    </row>
    <row r="3882" spans="10:10" x14ac:dyDescent="0.3">
      <c r="J3882"/>
    </row>
    <row r="3883" spans="10:10" x14ac:dyDescent="0.3">
      <c r="J3883"/>
    </row>
    <row r="3884" spans="10:10" x14ac:dyDescent="0.3">
      <c r="J3884"/>
    </row>
    <row r="3885" spans="10:10" x14ac:dyDescent="0.3">
      <c r="J3885"/>
    </row>
    <row r="3886" spans="10:10" x14ac:dyDescent="0.3">
      <c r="J3886"/>
    </row>
    <row r="3887" spans="10:10" x14ac:dyDescent="0.3">
      <c r="J3887"/>
    </row>
    <row r="3888" spans="10:10" x14ac:dyDescent="0.3">
      <c r="J3888"/>
    </row>
    <row r="3889" spans="10:10" x14ac:dyDescent="0.3">
      <c r="J3889"/>
    </row>
    <row r="3890" spans="10:10" x14ac:dyDescent="0.3">
      <c r="J3890"/>
    </row>
    <row r="3891" spans="10:10" x14ac:dyDescent="0.3">
      <c r="J3891"/>
    </row>
    <row r="3892" spans="10:10" x14ac:dyDescent="0.3">
      <c r="J3892"/>
    </row>
    <row r="3893" spans="10:10" x14ac:dyDescent="0.3">
      <c r="J3893"/>
    </row>
    <row r="3894" spans="10:10" x14ac:dyDescent="0.3">
      <c r="J3894"/>
    </row>
    <row r="3895" spans="10:10" x14ac:dyDescent="0.3">
      <c r="J3895"/>
    </row>
    <row r="3896" spans="10:10" x14ac:dyDescent="0.3">
      <c r="J3896"/>
    </row>
    <row r="3897" spans="10:10" x14ac:dyDescent="0.3">
      <c r="J3897"/>
    </row>
    <row r="3898" spans="10:10" x14ac:dyDescent="0.3">
      <c r="J3898"/>
    </row>
    <row r="3899" spans="10:10" x14ac:dyDescent="0.3">
      <c r="J3899"/>
    </row>
    <row r="3900" spans="10:10" x14ac:dyDescent="0.3">
      <c r="J3900"/>
    </row>
    <row r="3901" spans="10:10" x14ac:dyDescent="0.3">
      <c r="J3901"/>
    </row>
    <row r="3902" spans="10:10" x14ac:dyDescent="0.3">
      <c r="J3902"/>
    </row>
    <row r="3903" spans="10:10" x14ac:dyDescent="0.3">
      <c r="J3903"/>
    </row>
    <row r="3904" spans="10:10" x14ac:dyDescent="0.3">
      <c r="J3904"/>
    </row>
    <row r="3905" spans="10:10" x14ac:dyDescent="0.3">
      <c r="J3905"/>
    </row>
    <row r="3906" spans="10:10" x14ac:dyDescent="0.3">
      <c r="J3906"/>
    </row>
    <row r="3907" spans="10:10" x14ac:dyDescent="0.3">
      <c r="J3907"/>
    </row>
    <row r="3908" spans="10:10" x14ac:dyDescent="0.3">
      <c r="J3908"/>
    </row>
    <row r="3909" spans="10:10" x14ac:dyDescent="0.3">
      <c r="J3909"/>
    </row>
    <row r="3910" spans="10:10" x14ac:dyDescent="0.3">
      <c r="J3910"/>
    </row>
    <row r="3911" spans="10:10" x14ac:dyDescent="0.3">
      <c r="J3911"/>
    </row>
    <row r="3912" spans="10:10" x14ac:dyDescent="0.3">
      <c r="J3912"/>
    </row>
    <row r="3913" spans="10:10" x14ac:dyDescent="0.3">
      <c r="J3913"/>
    </row>
    <row r="3914" spans="10:10" x14ac:dyDescent="0.3">
      <c r="J3914"/>
    </row>
    <row r="3915" spans="10:10" x14ac:dyDescent="0.3">
      <c r="J3915"/>
    </row>
    <row r="3916" spans="10:10" x14ac:dyDescent="0.3">
      <c r="J3916"/>
    </row>
    <row r="3917" spans="10:10" x14ac:dyDescent="0.3">
      <c r="J3917"/>
    </row>
    <row r="3918" spans="10:10" x14ac:dyDescent="0.3">
      <c r="J3918"/>
    </row>
    <row r="3919" spans="10:10" x14ac:dyDescent="0.3">
      <c r="J3919"/>
    </row>
    <row r="3920" spans="10:10" x14ac:dyDescent="0.3">
      <c r="J3920"/>
    </row>
    <row r="3921" spans="10:10" x14ac:dyDescent="0.3">
      <c r="J3921"/>
    </row>
    <row r="3922" spans="10:10" x14ac:dyDescent="0.3">
      <c r="J3922"/>
    </row>
    <row r="3923" spans="10:10" x14ac:dyDescent="0.3">
      <c r="J3923"/>
    </row>
    <row r="3924" spans="10:10" x14ac:dyDescent="0.3">
      <c r="J3924"/>
    </row>
    <row r="3925" spans="10:10" x14ac:dyDescent="0.3">
      <c r="J3925"/>
    </row>
    <row r="3926" spans="10:10" x14ac:dyDescent="0.3">
      <c r="J3926"/>
    </row>
    <row r="3927" spans="10:10" x14ac:dyDescent="0.3">
      <c r="J3927"/>
    </row>
    <row r="3928" spans="10:10" x14ac:dyDescent="0.3">
      <c r="J3928"/>
    </row>
    <row r="3929" spans="10:10" x14ac:dyDescent="0.3">
      <c r="J3929"/>
    </row>
    <row r="3930" spans="10:10" x14ac:dyDescent="0.3">
      <c r="J3930"/>
    </row>
    <row r="3931" spans="10:10" x14ac:dyDescent="0.3">
      <c r="J3931"/>
    </row>
    <row r="3932" spans="10:10" x14ac:dyDescent="0.3">
      <c r="J3932"/>
    </row>
    <row r="3933" spans="10:10" x14ac:dyDescent="0.3">
      <c r="J3933"/>
    </row>
    <row r="3934" spans="10:10" x14ac:dyDescent="0.3">
      <c r="J3934"/>
    </row>
    <row r="3935" spans="10:10" x14ac:dyDescent="0.3">
      <c r="J3935"/>
    </row>
    <row r="3936" spans="10:10" x14ac:dyDescent="0.3">
      <c r="J3936"/>
    </row>
    <row r="3937" spans="10:10" x14ac:dyDescent="0.3">
      <c r="J3937"/>
    </row>
    <row r="3938" spans="10:10" x14ac:dyDescent="0.3">
      <c r="J3938"/>
    </row>
    <row r="3939" spans="10:10" x14ac:dyDescent="0.3">
      <c r="J3939"/>
    </row>
    <row r="3940" spans="10:10" x14ac:dyDescent="0.3">
      <c r="J3940"/>
    </row>
    <row r="3941" spans="10:10" x14ac:dyDescent="0.3">
      <c r="J3941"/>
    </row>
    <row r="3942" spans="10:10" x14ac:dyDescent="0.3">
      <c r="J3942"/>
    </row>
    <row r="3943" spans="10:10" x14ac:dyDescent="0.3">
      <c r="J3943"/>
    </row>
    <row r="3944" spans="10:10" x14ac:dyDescent="0.3">
      <c r="J3944"/>
    </row>
    <row r="3945" spans="10:10" x14ac:dyDescent="0.3">
      <c r="J3945"/>
    </row>
    <row r="3946" spans="10:10" x14ac:dyDescent="0.3">
      <c r="J3946"/>
    </row>
    <row r="3947" spans="10:10" x14ac:dyDescent="0.3">
      <c r="J3947"/>
    </row>
    <row r="3948" spans="10:10" x14ac:dyDescent="0.3">
      <c r="J3948"/>
    </row>
    <row r="3949" spans="10:10" x14ac:dyDescent="0.3">
      <c r="J3949"/>
    </row>
    <row r="3950" spans="10:10" x14ac:dyDescent="0.3">
      <c r="J3950"/>
    </row>
    <row r="3951" spans="10:10" x14ac:dyDescent="0.3">
      <c r="J3951"/>
    </row>
    <row r="3952" spans="10:10" x14ac:dyDescent="0.3">
      <c r="J3952"/>
    </row>
    <row r="3953" spans="10:10" x14ac:dyDescent="0.3">
      <c r="J3953"/>
    </row>
    <row r="3954" spans="10:10" x14ac:dyDescent="0.3">
      <c r="J3954"/>
    </row>
    <row r="3955" spans="10:10" x14ac:dyDescent="0.3">
      <c r="J3955"/>
    </row>
    <row r="3956" spans="10:10" x14ac:dyDescent="0.3">
      <c r="J3956"/>
    </row>
    <row r="3957" spans="10:10" x14ac:dyDescent="0.3">
      <c r="J3957"/>
    </row>
    <row r="3958" spans="10:10" x14ac:dyDescent="0.3">
      <c r="J3958"/>
    </row>
    <row r="3959" spans="10:10" x14ac:dyDescent="0.3">
      <c r="J3959"/>
    </row>
    <row r="3960" spans="10:10" x14ac:dyDescent="0.3">
      <c r="J3960"/>
    </row>
    <row r="3961" spans="10:10" x14ac:dyDescent="0.3">
      <c r="J3961"/>
    </row>
    <row r="3962" spans="10:10" x14ac:dyDescent="0.3">
      <c r="J3962"/>
    </row>
    <row r="3963" spans="10:10" x14ac:dyDescent="0.3">
      <c r="J3963"/>
    </row>
    <row r="3964" spans="10:10" x14ac:dyDescent="0.3">
      <c r="J3964"/>
    </row>
    <row r="3965" spans="10:10" x14ac:dyDescent="0.3">
      <c r="J3965"/>
    </row>
    <row r="3966" spans="10:10" x14ac:dyDescent="0.3">
      <c r="J3966"/>
    </row>
    <row r="3967" spans="10:10" x14ac:dyDescent="0.3">
      <c r="J3967"/>
    </row>
    <row r="3968" spans="10:10" x14ac:dyDescent="0.3">
      <c r="J3968"/>
    </row>
    <row r="3969" spans="10:10" x14ac:dyDescent="0.3">
      <c r="J3969"/>
    </row>
    <row r="3970" spans="10:10" x14ac:dyDescent="0.3">
      <c r="J3970"/>
    </row>
    <row r="3971" spans="10:10" x14ac:dyDescent="0.3">
      <c r="J3971"/>
    </row>
    <row r="3972" spans="10:10" x14ac:dyDescent="0.3">
      <c r="J3972"/>
    </row>
    <row r="3973" spans="10:10" x14ac:dyDescent="0.3">
      <c r="J3973"/>
    </row>
    <row r="3974" spans="10:10" x14ac:dyDescent="0.3">
      <c r="J3974"/>
    </row>
    <row r="3975" spans="10:10" x14ac:dyDescent="0.3">
      <c r="J3975"/>
    </row>
    <row r="3976" spans="10:10" x14ac:dyDescent="0.3">
      <c r="J3976"/>
    </row>
    <row r="3977" spans="10:10" x14ac:dyDescent="0.3">
      <c r="J3977"/>
    </row>
    <row r="3978" spans="10:10" x14ac:dyDescent="0.3">
      <c r="J3978"/>
    </row>
    <row r="3979" spans="10:10" x14ac:dyDescent="0.3">
      <c r="J3979"/>
    </row>
    <row r="3980" spans="10:10" x14ac:dyDescent="0.3">
      <c r="J3980"/>
    </row>
    <row r="3981" spans="10:10" x14ac:dyDescent="0.3">
      <c r="J3981"/>
    </row>
    <row r="3982" spans="10:10" x14ac:dyDescent="0.3">
      <c r="J3982"/>
    </row>
    <row r="3983" spans="10:10" x14ac:dyDescent="0.3">
      <c r="J3983"/>
    </row>
    <row r="3984" spans="10:10" x14ac:dyDescent="0.3">
      <c r="J3984"/>
    </row>
    <row r="3985" spans="10:10" x14ac:dyDescent="0.3">
      <c r="J3985"/>
    </row>
    <row r="3986" spans="10:10" x14ac:dyDescent="0.3">
      <c r="J3986"/>
    </row>
    <row r="3987" spans="10:10" x14ac:dyDescent="0.3">
      <c r="J3987"/>
    </row>
    <row r="3988" spans="10:10" x14ac:dyDescent="0.3">
      <c r="J3988"/>
    </row>
    <row r="3989" spans="10:10" x14ac:dyDescent="0.3">
      <c r="J3989"/>
    </row>
    <row r="3990" spans="10:10" x14ac:dyDescent="0.3">
      <c r="J3990"/>
    </row>
    <row r="3991" spans="10:10" x14ac:dyDescent="0.3">
      <c r="J3991"/>
    </row>
    <row r="3992" spans="10:10" x14ac:dyDescent="0.3">
      <c r="J3992"/>
    </row>
    <row r="3993" spans="10:10" x14ac:dyDescent="0.3">
      <c r="J3993"/>
    </row>
    <row r="3994" spans="10:10" x14ac:dyDescent="0.3">
      <c r="J3994"/>
    </row>
    <row r="3995" spans="10:10" x14ac:dyDescent="0.3">
      <c r="J3995"/>
    </row>
    <row r="3996" spans="10:10" x14ac:dyDescent="0.3">
      <c r="J3996"/>
    </row>
    <row r="3997" spans="10:10" x14ac:dyDescent="0.3">
      <c r="J3997"/>
    </row>
    <row r="3998" spans="10:10" x14ac:dyDescent="0.3">
      <c r="J3998"/>
    </row>
    <row r="3999" spans="10:10" x14ac:dyDescent="0.3">
      <c r="J3999"/>
    </row>
    <row r="4000" spans="10:10" x14ac:dyDescent="0.3">
      <c r="J4000"/>
    </row>
    <row r="4001" spans="10:10" x14ac:dyDescent="0.3">
      <c r="J4001"/>
    </row>
    <row r="4002" spans="10:10" x14ac:dyDescent="0.3">
      <c r="J4002"/>
    </row>
    <row r="4003" spans="10:10" x14ac:dyDescent="0.3">
      <c r="J4003"/>
    </row>
    <row r="4004" spans="10:10" x14ac:dyDescent="0.3">
      <c r="J4004"/>
    </row>
    <row r="4005" spans="10:10" x14ac:dyDescent="0.3">
      <c r="J4005"/>
    </row>
    <row r="4006" spans="10:10" x14ac:dyDescent="0.3">
      <c r="J4006"/>
    </row>
    <row r="4007" spans="10:10" x14ac:dyDescent="0.3">
      <c r="J4007"/>
    </row>
    <row r="4008" spans="10:10" x14ac:dyDescent="0.3">
      <c r="J4008"/>
    </row>
    <row r="4009" spans="10:10" x14ac:dyDescent="0.3">
      <c r="J4009"/>
    </row>
    <row r="4010" spans="10:10" x14ac:dyDescent="0.3">
      <c r="J4010"/>
    </row>
    <row r="4011" spans="10:10" x14ac:dyDescent="0.3">
      <c r="J4011"/>
    </row>
    <row r="4012" spans="10:10" x14ac:dyDescent="0.3">
      <c r="J4012"/>
    </row>
    <row r="4013" spans="10:10" x14ac:dyDescent="0.3">
      <c r="J4013"/>
    </row>
    <row r="4014" spans="10:10" x14ac:dyDescent="0.3">
      <c r="J4014"/>
    </row>
    <row r="4015" spans="10:10" x14ac:dyDescent="0.3">
      <c r="J4015"/>
    </row>
    <row r="4016" spans="10:10" x14ac:dyDescent="0.3">
      <c r="J4016"/>
    </row>
    <row r="4017" spans="10:10" x14ac:dyDescent="0.3">
      <c r="J4017"/>
    </row>
    <row r="4018" spans="10:10" x14ac:dyDescent="0.3">
      <c r="J4018"/>
    </row>
    <row r="4019" spans="10:10" x14ac:dyDescent="0.3">
      <c r="J4019"/>
    </row>
    <row r="4020" spans="10:10" x14ac:dyDescent="0.3">
      <c r="J4020"/>
    </row>
    <row r="4021" spans="10:10" x14ac:dyDescent="0.3">
      <c r="J4021"/>
    </row>
    <row r="4022" spans="10:10" x14ac:dyDescent="0.3">
      <c r="J4022"/>
    </row>
    <row r="4023" spans="10:10" x14ac:dyDescent="0.3">
      <c r="J4023"/>
    </row>
    <row r="4024" spans="10:10" x14ac:dyDescent="0.3">
      <c r="J4024"/>
    </row>
    <row r="4025" spans="10:10" x14ac:dyDescent="0.3">
      <c r="J4025"/>
    </row>
    <row r="4026" spans="10:10" x14ac:dyDescent="0.3">
      <c r="J4026"/>
    </row>
    <row r="4027" spans="10:10" x14ac:dyDescent="0.3">
      <c r="J4027"/>
    </row>
    <row r="4028" spans="10:10" x14ac:dyDescent="0.3">
      <c r="J4028"/>
    </row>
    <row r="4029" spans="10:10" x14ac:dyDescent="0.3">
      <c r="J4029"/>
    </row>
    <row r="4030" spans="10:10" x14ac:dyDescent="0.3">
      <c r="J4030"/>
    </row>
    <row r="4031" spans="10:10" x14ac:dyDescent="0.3">
      <c r="J4031"/>
    </row>
    <row r="4032" spans="10:10" x14ac:dyDescent="0.3">
      <c r="J4032"/>
    </row>
    <row r="4033" spans="10:10" x14ac:dyDescent="0.3">
      <c r="J4033"/>
    </row>
    <row r="4034" spans="10:10" x14ac:dyDescent="0.3">
      <c r="J4034"/>
    </row>
    <row r="4035" spans="10:10" x14ac:dyDescent="0.3">
      <c r="J4035"/>
    </row>
    <row r="4036" spans="10:10" x14ac:dyDescent="0.3">
      <c r="J4036"/>
    </row>
    <row r="4037" spans="10:10" x14ac:dyDescent="0.3">
      <c r="J4037"/>
    </row>
    <row r="4038" spans="10:10" x14ac:dyDescent="0.3">
      <c r="J4038"/>
    </row>
    <row r="4039" spans="10:10" x14ac:dyDescent="0.3">
      <c r="J4039"/>
    </row>
    <row r="4040" spans="10:10" x14ac:dyDescent="0.3">
      <c r="J4040"/>
    </row>
    <row r="4041" spans="10:10" x14ac:dyDescent="0.3">
      <c r="J4041"/>
    </row>
    <row r="4042" spans="10:10" x14ac:dyDescent="0.3">
      <c r="J4042"/>
    </row>
    <row r="4043" spans="10:10" x14ac:dyDescent="0.3">
      <c r="J4043"/>
    </row>
    <row r="4044" spans="10:10" x14ac:dyDescent="0.3">
      <c r="J4044"/>
    </row>
    <row r="4045" spans="10:10" x14ac:dyDescent="0.3">
      <c r="J4045"/>
    </row>
    <row r="4046" spans="10:10" x14ac:dyDescent="0.3">
      <c r="J4046"/>
    </row>
    <row r="4047" spans="10:10" x14ac:dyDescent="0.3">
      <c r="J4047"/>
    </row>
    <row r="4048" spans="10:10" x14ac:dyDescent="0.3">
      <c r="J4048"/>
    </row>
    <row r="4049" spans="10:10" x14ac:dyDescent="0.3">
      <c r="J4049"/>
    </row>
    <row r="4050" spans="10:10" x14ac:dyDescent="0.3">
      <c r="J4050"/>
    </row>
    <row r="4051" spans="10:10" x14ac:dyDescent="0.3">
      <c r="J4051"/>
    </row>
    <row r="4052" spans="10:10" x14ac:dyDescent="0.3">
      <c r="J4052"/>
    </row>
    <row r="4053" spans="10:10" x14ac:dyDescent="0.3">
      <c r="J4053"/>
    </row>
    <row r="4054" spans="10:10" x14ac:dyDescent="0.3">
      <c r="J4054"/>
    </row>
    <row r="4055" spans="10:10" x14ac:dyDescent="0.3">
      <c r="J4055"/>
    </row>
    <row r="4056" spans="10:10" x14ac:dyDescent="0.3">
      <c r="J4056"/>
    </row>
    <row r="4057" spans="10:10" x14ac:dyDescent="0.3">
      <c r="J4057"/>
    </row>
    <row r="4058" spans="10:10" x14ac:dyDescent="0.3">
      <c r="J4058"/>
    </row>
    <row r="4059" spans="10:10" x14ac:dyDescent="0.3">
      <c r="J4059"/>
    </row>
    <row r="4060" spans="10:10" x14ac:dyDescent="0.3">
      <c r="J4060"/>
    </row>
    <row r="4061" spans="10:10" x14ac:dyDescent="0.3">
      <c r="J4061"/>
    </row>
    <row r="4062" spans="10:10" x14ac:dyDescent="0.3">
      <c r="J4062"/>
    </row>
    <row r="4063" spans="10:10" x14ac:dyDescent="0.3">
      <c r="J4063"/>
    </row>
    <row r="4064" spans="10:10" x14ac:dyDescent="0.3">
      <c r="J4064"/>
    </row>
    <row r="4065" spans="10:10" x14ac:dyDescent="0.3">
      <c r="J4065"/>
    </row>
    <row r="4066" spans="10:10" x14ac:dyDescent="0.3">
      <c r="J4066"/>
    </row>
    <row r="4067" spans="10:10" x14ac:dyDescent="0.3">
      <c r="J4067"/>
    </row>
    <row r="4068" spans="10:10" x14ac:dyDescent="0.3">
      <c r="J4068"/>
    </row>
    <row r="4069" spans="10:10" x14ac:dyDescent="0.3">
      <c r="J4069"/>
    </row>
    <row r="4070" spans="10:10" x14ac:dyDescent="0.3">
      <c r="J4070"/>
    </row>
    <row r="4071" spans="10:10" x14ac:dyDescent="0.3">
      <c r="J4071"/>
    </row>
    <row r="4072" spans="10:10" x14ac:dyDescent="0.3">
      <c r="J4072"/>
    </row>
    <row r="4073" spans="10:10" x14ac:dyDescent="0.3">
      <c r="J4073"/>
    </row>
    <row r="4074" spans="10:10" x14ac:dyDescent="0.3">
      <c r="J4074"/>
    </row>
    <row r="4075" spans="10:10" x14ac:dyDescent="0.3">
      <c r="J4075"/>
    </row>
    <row r="4076" spans="10:10" x14ac:dyDescent="0.3">
      <c r="J4076"/>
    </row>
    <row r="4077" spans="10:10" x14ac:dyDescent="0.3">
      <c r="J4077"/>
    </row>
    <row r="4078" spans="10:10" x14ac:dyDescent="0.3">
      <c r="J4078"/>
    </row>
    <row r="4079" spans="10:10" x14ac:dyDescent="0.3">
      <c r="J4079"/>
    </row>
    <row r="4080" spans="10:10" x14ac:dyDescent="0.3">
      <c r="J4080"/>
    </row>
    <row r="4081" spans="10:10" x14ac:dyDescent="0.3">
      <c r="J4081"/>
    </row>
    <row r="4082" spans="10:10" x14ac:dyDescent="0.3">
      <c r="J4082"/>
    </row>
    <row r="4083" spans="10:10" x14ac:dyDescent="0.3">
      <c r="J4083"/>
    </row>
    <row r="4084" spans="10:10" x14ac:dyDescent="0.3">
      <c r="J4084"/>
    </row>
    <row r="4085" spans="10:10" x14ac:dyDescent="0.3">
      <c r="J4085"/>
    </row>
    <row r="4086" spans="10:10" x14ac:dyDescent="0.3">
      <c r="J4086"/>
    </row>
    <row r="4087" spans="10:10" x14ac:dyDescent="0.3">
      <c r="J4087"/>
    </row>
    <row r="4088" spans="10:10" x14ac:dyDescent="0.3">
      <c r="J4088"/>
    </row>
    <row r="4089" spans="10:10" x14ac:dyDescent="0.3">
      <c r="J4089"/>
    </row>
    <row r="4090" spans="10:10" x14ac:dyDescent="0.3">
      <c r="J4090"/>
    </row>
    <row r="4091" spans="10:10" x14ac:dyDescent="0.3">
      <c r="J4091"/>
    </row>
    <row r="4092" spans="10:10" x14ac:dyDescent="0.3">
      <c r="J4092"/>
    </row>
    <row r="4093" spans="10:10" x14ac:dyDescent="0.3">
      <c r="J4093"/>
    </row>
    <row r="4094" spans="10:10" x14ac:dyDescent="0.3">
      <c r="J4094"/>
    </row>
    <row r="4095" spans="10:10" x14ac:dyDescent="0.3">
      <c r="J4095"/>
    </row>
    <row r="4096" spans="10:10" x14ac:dyDescent="0.3">
      <c r="J4096"/>
    </row>
    <row r="4097" spans="10:10" x14ac:dyDescent="0.3">
      <c r="J4097"/>
    </row>
    <row r="4098" spans="10:10" x14ac:dyDescent="0.3">
      <c r="J4098"/>
    </row>
    <row r="4099" spans="10:10" x14ac:dyDescent="0.3">
      <c r="J4099"/>
    </row>
    <row r="4100" spans="10:10" x14ac:dyDescent="0.3">
      <c r="J4100"/>
    </row>
    <row r="4101" spans="10:10" x14ac:dyDescent="0.3">
      <c r="J4101"/>
    </row>
    <row r="4102" spans="10:10" x14ac:dyDescent="0.3">
      <c r="J4102"/>
    </row>
    <row r="4103" spans="10:10" x14ac:dyDescent="0.3">
      <c r="J4103"/>
    </row>
    <row r="4104" spans="10:10" x14ac:dyDescent="0.3">
      <c r="J4104"/>
    </row>
    <row r="4105" spans="10:10" x14ac:dyDescent="0.3">
      <c r="J4105"/>
    </row>
    <row r="4106" spans="10:10" x14ac:dyDescent="0.3">
      <c r="J4106"/>
    </row>
    <row r="4107" spans="10:10" x14ac:dyDescent="0.3">
      <c r="J4107"/>
    </row>
    <row r="4108" spans="10:10" x14ac:dyDescent="0.3">
      <c r="J4108"/>
    </row>
    <row r="4109" spans="10:10" x14ac:dyDescent="0.3">
      <c r="J4109"/>
    </row>
    <row r="4110" spans="10:10" x14ac:dyDescent="0.3">
      <c r="J4110"/>
    </row>
    <row r="4111" spans="10:10" x14ac:dyDescent="0.3">
      <c r="J4111"/>
    </row>
    <row r="4112" spans="10:10" x14ac:dyDescent="0.3">
      <c r="J4112"/>
    </row>
    <row r="4113" spans="10:10" x14ac:dyDescent="0.3">
      <c r="J4113"/>
    </row>
    <row r="4114" spans="10:10" x14ac:dyDescent="0.3">
      <c r="J4114"/>
    </row>
    <row r="4115" spans="10:10" x14ac:dyDescent="0.3">
      <c r="J4115"/>
    </row>
    <row r="4116" spans="10:10" x14ac:dyDescent="0.3">
      <c r="J4116"/>
    </row>
    <row r="4117" spans="10:10" x14ac:dyDescent="0.3">
      <c r="J4117"/>
    </row>
    <row r="4118" spans="10:10" x14ac:dyDescent="0.3">
      <c r="J4118"/>
    </row>
    <row r="4119" spans="10:10" x14ac:dyDescent="0.3">
      <c r="J4119"/>
    </row>
    <row r="4120" spans="10:10" x14ac:dyDescent="0.3">
      <c r="J4120"/>
    </row>
    <row r="4121" spans="10:10" x14ac:dyDescent="0.3">
      <c r="J4121"/>
    </row>
    <row r="4122" spans="10:10" x14ac:dyDescent="0.3">
      <c r="J4122"/>
    </row>
    <row r="4123" spans="10:10" x14ac:dyDescent="0.3">
      <c r="J4123"/>
    </row>
    <row r="4124" spans="10:10" x14ac:dyDescent="0.3">
      <c r="J4124"/>
    </row>
    <row r="4125" spans="10:10" x14ac:dyDescent="0.3">
      <c r="J4125"/>
    </row>
    <row r="4126" spans="10:10" x14ac:dyDescent="0.3">
      <c r="J4126"/>
    </row>
    <row r="4127" spans="10:10" x14ac:dyDescent="0.3">
      <c r="J4127"/>
    </row>
    <row r="4128" spans="10:10" x14ac:dyDescent="0.3">
      <c r="J4128"/>
    </row>
    <row r="4129" spans="10:10" x14ac:dyDescent="0.3">
      <c r="J4129"/>
    </row>
    <row r="4130" spans="10:10" x14ac:dyDescent="0.3">
      <c r="J4130"/>
    </row>
    <row r="4131" spans="10:10" x14ac:dyDescent="0.3">
      <c r="J4131"/>
    </row>
    <row r="4132" spans="10:10" x14ac:dyDescent="0.3">
      <c r="J4132"/>
    </row>
    <row r="4133" spans="10:10" x14ac:dyDescent="0.3">
      <c r="J4133"/>
    </row>
    <row r="4134" spans="10:10" x14ac:dyDescent="0.3">
      <c r="J4134"/>
    </row>
    <row r="4135" spans="10:10" x14ac:dyDescent="0.3">
      <c r="J4135"/>
    </row>
    <row r="4136" spans="10:10" x14ac:dyDescent="0.3">
      <c r="J4136"/>
    </row>
    <row r="4137" spans="10:10" x14ac:dyDescent="0.3">
      <c r="J4137"/>
    </row>
    <row r="4138" spans="10:10" x14ac:dyDescent="0.3">
      <c r="J4138"/>
    </row>
    <row r="4139" spans="10:10" x14ac:dyDescent="0.3">
      <c r="J4139"/>
    </row>
    <row r="4140" spans="10:10" x14ac:dyDescent="0.3">
      <c r="J4140"/>
    </row>
    <row r="4141" spans="10:10" x14ac:dyDescent="0.3">
      <c r="J4141"/>
    </row>
    <row r="4142" spans="10:10" x14ac:dyDescent="0.3">
      <c r="J4142"/>
    </row>
    <row r="4143" spans="10:10" x14ac:dyDescent="0.3">
      <c r="J4143"/>
    </row>
    <row r="4144" spans="10:10" x14ac:dyDescent="0.3">
      <c r="J4144"/>
    </row>
    <row r="4145" spans="10:10" x14ac:dyDescent="0.3">
      <c r="J4145"/>
    </row>
    <row r="4146" spans="10:10" x14ac:dyDescent="0.3">
      <c r="J4146"/>
    </row>
    <row r="4147" spans="10:10" x14ac:dyDescent="0.3">
      <c r="J4147"/>
    </row>
    <row r="4148" spans="10:10" x14ac:dyDescent="0.3">
      <c r="J4148"/>
    </row>
    <row r="4149" spans="10:10" x14ac:dyDescent="0.3">
      <c r="J4149"/>
    </row>
    <row r="4150" spans="10:10" x14ac:dyDescent="0.3">
      <c r="J4150"/>
    </row>
    <row r="4151" spans="10:10" x14ac:dyDescent="0.3">
      <c r="J4151"/>
    </row>
    <row r="4152" spans="10:10" x14ac:dyDescent="0.3">
      <c r="J4152"/>
    </row>
    <row r="4153" spans="10:10" x14ac:dyDescent="0.3">
      <c r="J4153"/>
    </row>
    <row r="4154" spans="10:10" x14ac:dyDescent="0.3">
      <c r="J4154"/>
    </row>
    <row r="4155" spans="10:10" x14ac:dyDescent="0.3">
      <c r="J4155"/>
    </row>
    <row r="4156" spans="10:10" x14ac:dyDescent="0.3">
      <c r="J4156"/>
    </row>
    <row r="4157" spans="10:10" x14ac:dyDescent="0.3">
      <c r="J4157"/>
    </row>
    <row r="4158" spans="10:10" x14ac:dyDescent="0.3">
      <c r="J4158"/>
    </row>
    <row r="4159" spans="10:10" x14ac:dyDescent="0.3">
      <c r="J4159"/>
    </row>
    <row r="4160" spans="10:10" x14ac:dyDescent="0.3">
      <c r="J4160"/>
    </row>
    <row r="4161" spans="10:10" x14ac:dyDescent="0.3">
      <c r="J4161"/>
    </row>
    <row r="4162" spans="10:10" x14ac:dyDescent="0.3">
      <c r="J4162"/>
    </row>
    <row r="4163" spans="10:10" x14ac:dyDescent="0.3">
      <c r="J4163"/>
    </row>
    <row r="4164" spans="10:10" x14ac:dyDescent="0.3">
      <c r="J4164"/>
    </row>
    <row r="4165" spans="10:10" x14ac:dyDescent="0.3">
      <c r="J4165"/>
    </row>
    <row r="4166" spans="10:10" x14ac:dyDescent="0.3">
      <c r="J4166"/>
    </row>
    <row r="4167" spans="10:10" x14ac:dyDescent="0.3">
      <c r="J4167"/>
    </row>
    <row r="4168" spans="10:10" x14ac:dyDescent="0.3">
      <c r="J4168"/>
    </row>
    <row r="4169" spans="10:10" x14ac:dyDescent="0.3">
      <c r="J4169"/>
    </row>
    <row r="4170" spans="10:10" x14ac:dyDescent="0.3">
      <c r="J4170"/>
    </row>
    <row r="4171" spans="10:10" x14ac:dyDescent="0.3">
      <c r="J4171"/>
    </row>
    <row r="4172" spans="10:10" x14ac:dyDescent="0.3">
      <c r="J4172"/>
    </row>
    <row r="4173" spans="10:10" x14ac:dyDescent="0.3">
      <c r="J4173"/>
    </row>
    <row r="4174" spans="10:10" x14ac:dyDescent="0.3">
      <c r="J4174"/>
    </row>
    <row r="4175" spans="10:10" x14ac:dyDescent="0.3">
      <c r="J4175"/>
    </row>
    <row r="4176" spans="10:10" x14ac:dyDescent="0.3">
      <c r="J4176"/>
    </row>
    <row r="4177" spans="10:10" x14ac:dyDescent="0.3">
      <c r="J4177"/>
    </row>
    <row r="4178" spans="10:10" x14ac:dyDescent="0.3">
      <c r="J4178"/>
    </row>
    <row r="4179" spans="10:10" x14ac:dyDescent="0.3">
      <c r="J4179"/>
    </row>
    <row r="4180" spans="10:10" x14ac:dyDescent="0.3">
      <c r="J4180"/>
    </row>
    <row r="4181" spans="10:10" x14ac:dyDescent="0.3">
      <c r="J4181"/>
    </row>
    <row r="4182" spans="10:10" x14ac:dyDescent="0.3">
      <c r="J4182"/>
    </row>
    <row r="4183" spans="10:10" x14ac:dyDescent="0.3">
      <c r="J4183"/>
    </row>
    <row r="4184" spans="10:10" x14ac:dyDescent="0.3">
      <c r="J4184"/>
    </row>
    <row r="4185" spans="10:10" x14ac:dyDescent="0.3">
      <c r="J4185"/>
    </row>
    <row r="4186" spans="10:10" x14ac:dyDescent="0.3">
      <c r="J4186"/>
    </row>
    <row r="4187" spans="10:10" x14ac:dyDescent="0.3">
      <c r="J4187"/>
    </row>
    <row r="4188" spans="10:10" x14ac:dyDescent="0.3">
      <c r="J4188"/>
    </row>
    <row r="4189" spans="10:10" x14ac:dyDescent="0.3">
      <c r="J4189"/>
    </row>
    <row r="4190" spans="10:10" x14ac:dyDescent="0.3">
      <c r="J4190"/>
    </row>
    <row r="4191" spans="10:10" x14ac:dyDescent="0.3">
      <c r="J4191"/>
    </row>
    <row r="4192" spans="10:10" x14ac:dyDescent="0.3">
      <c r="J4192"/>
    </row>
    <row r="4193" spans="10:10" x14ac:dyDescent="0.3">
      <c r="J4193"/>
    </row>
    <row r="4194" spans="10:10" x14ac:dyDescent="0.3">
      <c r="J4194"/>
    </row>
    <row r="4195" spans="10:10" x14ac:dyDescent="0.3">
      <c r="J4195"/>
    </row>
    <row r="4196" spans="10:10" x14ac:dyDescent="0.3">
      <c r="J4196"/>
    </row>
    <row r="4197" spans="10:10" x14ac:dyDescent="0.3">
      <c r="J4197"/>
    </row>
    <row r="4198" spans="10:10" x14ac:dyDescent="0.3">
      <c r="J4198"/>
    </row>
    <row r="4199" spans="10:10" x14ac:dyDescent="0.3">
      <c r="J4199"/>
    </row>
    <row r="4200" spans="10:10" x14ac:dyDescent="0.3">
      <c r="J4200"/>
    </row>
    <row r="4201" spans="10:10" x14ac:dyDescent="0.3">
      <c r="J4201"/>
    </row>
    <row r="4202" spans="10:10" x14ac:dyDescent="0.3">
      <c r="J4202"/>
    </row>
    <row r="4203" spans="10:10" x14ac:dyDescent="0.3">
      <c r="J4203"/>
    </row>
    <row r="4204" spans="10:10" x14ac:dyDescent="0.3">
      <c r="J4204"/>
    </row>
    <row r="4205" spans="10:10" x14ac:dyDescent="0.3">
      <c r="J4205"/>
    </row>
    <row r="4206" spans="10:10" x14ac:dyDescent="0.3">
      <c r="J4206"/>
    </row>
    <row r="4207" spans="10:10" x14ac:dyDescent="0.3">
      <c r="J4207"/>
    </row>
    <row r="4208" spans="10:10" x14ac:dyDescent="0.3">
      <c r="J4208"/>
    </row>
    <row r="4209" spans="10:10" x14ac:dyDescent="0.3">
      <c r="J4209"/>
    </row>
    <row r="4210" spans="10:10" x14ac:dyDescent="0.3">
      <c r="J4210"/>
    </row>
    <row r="4211" spans="10:10" x14ac:dyDescent="0.3">
      <c r="J4211"/>
    </row>
    <row r="4212" spans="10:10" x14ac:dyDescent="0.3">
      <c r="J4212"/>
    </row>
    <row r="4213" spans="10:10" x14ac:dyDescent="0.3">
      <c r="J4213"/>
    </row>
    <row r="4214" spans="10:10" x14ac:dyDescent="0.3">
      <c r="J4214"/>
    </row>
    <row r="4215" spans="10:10" x14ac:dyDescent="0.3">
      <c r="J4215"/>
    </row>
    <row r="4216" spans="10:10" x14ac:dyDescent="0.3">
      <c r="J4216"/>
    </row>
    <row r="4217" spans="10:10" x14ac:dyDescent="0.3">
      <c r="J4217"/>
    </row>
    <row r="4218" spans="10:10" x14ac:dyDescent="0.3">
      <c r="J4218"/>
    </row>
    <row r="4219" spans="10:10" x14ac:dyDescent="0.3">
      <c r="J4219"/>
    </row>
    <row r="4220" spans="10:10" x14ac:dyDescent="0.3">
      <c r="J4220"/>
    </row>
    <row r="4221" spans="10:10" x14ac:dyDescent="0.3">
      <c r="J4221"/>
    </row>
    <row r="4222" spans="10:10" x14ac:dyDescent="0.3">
      <c r="J4222"/>
    </row>
    <row r="4223" spans="10:10" x14ac:dyDescent="0.3">
      <c r="J4223"/>
    </row>
    <row r="4224" spans="10:10" x14ac:dyDescent="0.3">
      <c r="J4224"/>
    </row>
    <row r="4225" spans="10:10" x14ac:dyDescent="0.3">
      <c r="J4225"/>
    </row>
    <row r="4226" spans="10:10" x14ac:dyDescent="0.3">
      <c r="J4226"/>
    </row>
    <row r="4227" spans="10:10" x14ac:dyDescent="0.3">
      <c r="J4227"/>
    </row>
    <row r="4228" spans="10:10" x14ac:dyDescent="0.3">
      <c r="J4228"/>
    </row>
    <row r="4229" spans="10:10" x14ac:dyDescent="0.3">
      <c r="J4229"/>
    </row>
    <row r="4230" spans="10:10" x14ac:dyDescent="0.3">
      <c r="J4230"/>
    </row>
    <row r="4231" spans="10:10" x14ac:dyDescent="0.3">
      <c r="J4231"/>
    </row>
    <row r="4232" spans="10:10" x14ac:dyDescent="0.3">
      <c r="J4232"/>
    </row>
    <row r="4233" spans="10:10" x14ac:dyDescent="0.3">
      <c r="J4233"/>
    </row>
    <row r="4234" spans="10:10" x14ac:dyDescent="0.3">
      <c r="J4234"/>
    </row>
    <row r="4235" spans="10:10" x14ac:dyDescent="0.3">
      <c r="J4235"/>
    </row>
    <row r="4236" spans="10:10" x14ac:dyDescent="0.3">
      <c r="J4236"/>
    </row>
    <row r="4237" spans="10:10" x14ac:dyDescent="0.3">
      <c r="J4237"/>
    </row>
    <row r="4238" spans="10:10" x14ac:dyDescent="0.3">
      <c r="J4238"/>
    </row>
    <row r="4239" spans="10:10" x14ac:dyDescent="0.3">
      <c r="J4239"/>
    </row>
    <row r="4240" spans="10:10" x14ac:dyDescent="0.3">
      <c r="J4240"/>
    </row>
    <row r="4241" spans="10:10" x14ac:dyDescent="0.3">
      <c r="J4241"/>
    </row>
    <row r="4242" spans="10:10" x14ac:dyDescent="0.3">
      <c r="J4242"/>
    </row>
    <row r="4243" spans="10:10" x14ac:dyDescent="0.3">
      <c r="J4243"/>
    </row>
    <row r="4244" spans="10:10" x14ac:dyDescent="0.3">
      <c r="J4244"/>
    </row>
    <row r="4245" spans="10:10" x14ac:dyDescent="0.3">
      <c r="J4245"/>
    </row>
    <row r="4246" spans="10:10" x14ac:dyDescent="0.3">
      <c r="J4246"/>
    </row>
    <row r="4247" spans="10:10" x14ac:dyDescent="0.3">
      <c r="J4247"/>
    </row>
    <row r="4248" spans="10:10" x14ac:dyDescent="0.3">
      <c r="J4248"/>
    </row>
    <row r="4249" spans="10:10" x14ac:dyDescent="0.3">
      <c r="J4249"/>
    </row>
    <row r="4250" spans="10:10" x14ac:dyDescent="0.3">
      <c r="J4250"/>
    </row>
    <row r="4251" spans="10:10" x14ac:dyDescent="0.3">
      <c r="J4251"/>
    </row>
    <row r="4252" spans="10:10" x14ac:dyDescent="0.3">
      <c r="J4252"/>
    </row>
    <row r="4253" spans="10:10" x14ac:dyDescent="0.3">
      <c r="J4253"/>
    </row>
    <row r="4254" spans="10:10" x14ac:dyDescent="0.3">
      <c r="J4254"/>
    </row>
    <row r="4255" spans="10:10" x14ac:dyDescent="0.3">
      <c r="J4255"/>
    </row>
    <row r="4256" spans="10:10" x14ac:dyDescent="0.3">
      <c r="J4256"/>
    </row>
    <row r="4257" spans="10:10" x14ac:dyDescent="0.3">
      <c r="J4257"/>
    </row>
    <row r="4258" spans="10:10" x14ac:dyDescent="0.3">
      <c r="J4258"/>
    </row>
    <row r="4259" spans="10:10" x14ac:dyDescent="0.3">
      <c r="J4259"/>
    </row>
    <row r="4260" spans="10:10" x14ac:dyDescent="0.3">
      <c r="J4260"/>
    </row>
    <row r="4261" spans="10:10" x14ac:dyDescent="0.3">
      <c r="J4261"/>
    </row>
    <row r="4262" spans="10:10" x14ac:dyDescent="0.3">
      <c r="J4262"/>
    </row>
    <row r="4263" spans="10:10" x14ac:dyDescent="0.3">
      <c r="J4263"/>
    </row>
    <row r="4264" spans="10:10" x14ac:dyDescent="0.3">
      <c r="J4264"/>
    </row>
    <row r="4265" spans="10:10" x14ac:dyDescent="0.3">
      <c r="J4265"/>
    </row>
    <row r="4266" spans="10:10" x14ac:dyDescent="0.3">
      <c r="J4266"/>
    </row>
    <row r="4267" spans="10:10" x14ac:dyDescent="0.3">
      <c r="J4267"/>
    </row>
    <row r="4268" spans="10:10" x14ac:dyDescent="0.3">
      <c r="J4268"/>
    </row>
    <row r="4269" spans="10:10" x14ac:dyDescent="0.3">
      <c r="J4269"/>
    </row>
    <row r="4270" spans="10:10" x14ac:dyDescent="0.3">
      <c r="J4270"/>
    </row>
    <row r="4271" spans="10:10" x14ac:dyDescent="0.3">
      <c r="J4271"/>
    </row>
    <row r="4272" spans="10:10" x14ac:dyDescent="0.3">
      <c r="J4272"/>
    </row>
    <row r="4273" spans="10:10" x14ac:dyDescent="0.3">
      <c r="J4273"/>
    </row>
    <row r="4274" spans="10:10" x14ac:dyDescent="0.3">
      <c r="J4274"/>
    </row>
    <row r="4275" spans="10:10" x14ac:dyDescent="0.3">
      <c r="J4275"/>
    </row>
    <row r="4276" spans="10:10" x14ac:dyDescent="0.3">
      <c r="J4276"/>
    </row>
    <row r="4277" spans="10:10" x14ac:dyDescent="0.3">
      <c r="J4277"/>
    </row>
    <row r="4278" spans="10:10" x14ac:dyDescent="0.3">
      <c r="J4278"/>
    </row>
    <row r="4279" spans="10:10" x14ac:dyDescent="0.3">
      <c r="J4279"/>
    </row>
    <row r="4280" spans="10:10" x14ac:dyDescent="0.3">
      <c r="J4280"/>
    </row>
    <row r="4281" spans="10:10" x14ac:dyDescent="0.3">
      <c r="J4281"/>
    </row>
    <row r="4282" spans="10:10" x14ac:dyDescent="0.3">
      <c r="J4282"/>
    </row>
    <row r="4283" spans="10:10" x14ac:dyDescent="0.3">
      <c r="J4283"/>
    </row>
    <row r="4284" spans="10:10" x14ac:dyDescent="0.3">
      <c r="J4284"/>
    </row>
    <row r="4285" spans="10:10" x14ac:dyDescent="0.3">
      <c r="J4285"/>
    </row>
    <row r="4286" spans="10:10" x14ac:dyDescent="0.3">
      <c r="J4286"/>
    </row>
    <row r="4287" spans="10:10" x14ac:dyDescent="0.3">
      <c r="J4287"/>
    </row>
    <row r="4288" spans="10:10" x14ac:dyDescent="0.3">
      <c r="J4288"/>
    </row>
    <row r="4289" spans="10:10" x14ac:dyDescent="0.3">
      <c r="J4289"/>
    </row>
    <row r="4290" spans="10:10" x14ac:dyDescent="0.3">
      <c r="J4290"/>
    </row>
    <row r="4291" spans="10:10" x14ac:dyDescent="0.3">
      <c r="J4291"/>
    </row>
    <row r="4292" spans="10:10" x14ac:dyDescent="0.3">
      <c r="J4292"/>
    </row>
    <row r="4293" spans="10:10" x14ac:dyDescent="0.3">
      <c r="J4293"/>
    </row>
    <row r="4294" spans="10:10" x14ac:dyDescent="0.3">
      <c r="J4294"/>
    </row>
    <row r="4295" spans="10:10" x14ac:dyDescent="0.3">
      <c r="J4295"/>
    </row>
    <row r="4296" spans="10:10" x14ac:dyDescent="0.3">
      <c r="J4296"/>
    </row>
    <row r="4297" spans="10:10" x14ac:dyDescent="0.3">
      <c r="J4297"/>
    </row>
    <row r="4298" spans="10:10" x14ac:dyDescent="0.3">
      <c r="J4298"/>
    </row>
    <row r="4299" spans="10:10" x14ac:dyDescent="0.3">
      <c r="J4299"/>
    </row>
    <row r="4300" spans="10:10" x14ac:dyDescent="0.3">
      <c r="J4300"/>
    </row>
    <row r="4301" spans="10:10" x14ac:dyDescent="0.3">
      <c r="J4301"/>
    </row>
    <row r="4302" spans="10:10" x14ac:dyDescent="0.3">
      <c r="J4302"/>
    </row>
    <row r="4303" spans="10:10" x14ac:dyDescent="0.3">
      <c r="J4303"/>
    </row>
    <row r="4304" spans="10:10" x14ac:dyDescent="0.3">
      <c r="J4304"/>
    </row>
    <row r="4305" spans="10:10" x14ac:dyDescent="0.3">
      <c r="J4305"/>
    </row>
    <row r="4306" spans="10:10" x14ac:dyDescent="0.3">
      <c r="J4306"/>
    </row>
    <row r="4307" spans="10:10" x14ac:dyDescent="0.3">
      <c r="J4307"/>
    </row>
    <row r="4308" spans="10:10" x14ac:dyDescent="0.3">
      <c r="J4308"/>
    </row>
    <row r="4309" spans="10:10" x14ac:dyDescent="0.3">
      <c r="J4309"/>
    </row>
    <row r="4310" spans="10:10" x14ac:dyDescent="0.3">
      <c r="J4310"/>
    </row>
    <row r="4311" spans="10:10" x14ac:dyDescent="0.3">
      <c r="J4311"/>
    </row>
    <row r="4312" spans="10:10" x14ac:dyDescent="0.3">
      <c r="J4312"/>
    </row>
    <row r="4313" spans="10:10" x14ac:dyDescent="0.3">
      <c r="J4313"/>
    </row>
    <row r="4314" spans="10:10" x14ac:dyDescent="0.3">
      <c r="J4314"/>
    </row>
    <row r="4315" spans="10:10" x14ac:dyDescent="0.3">
      <c r="J4315"/>
    </row>
    <row r="4316" spans="10:10" x14ac:dyDescent="0.3">
      <c r="J4316"/>
    </row>
    <row r="4317" spans="10:10" x14ac:dyDescent="0.3">
      <c r="J4317"/>
    </row>
    <row r="4318" spans="10:10" x14ac:dyDescent="0.3">
      <c r="J4318"/>
    </row>
    <row r="4319" spans="10:10" x14ac:dyDescent="0.3">
      <c r="J4319"/>
    </row>
    <row r="4320" spans="10:10" x14ac:dyDescent="0.3">
      <c r="J4320"/>
    </row>
    <row r="4321" spans="10:10" x14ac:dyDescent="0.3">
      <c r="J4321"/>
    </row>
    <row r="4322" spans="10:10" x14ac:dyDescent="0.3">
      <c r="J4322"/>
    </row>
    <row r="4323" spans="10:10" x14ac:dyDescent="0.3">
      <c r="J4323"/>
    </row>
    <row r="4324" spans="10:10" x14ac:dyDescent="0.3">
      <c r="J4324"/>
    </row>
    <row r="4325" spans="10:10" x14ac:dyDescent="0.3">
      <c r="J4325"/>
    </row>
    <row r="4326" spans="10:10" x14ac:dyDescent="0.3">
      <c r="J4326"/>
    </row>
    <row r="4327" spans="10:10" x14ac:dyDescent="0.3">
      <c r="J4327"/>
    </row>
    <row r="4328" spans="10:10" x14ac:dyDescent="0.3">
      <c r="J4328"/>
    </row>
    <row r="4329" spans="10:10" x14ac:dyDescent="0.3">
      <c r="J4329"/>
    </row>
    <row r="4330" spans="10:10" x14ac:dyDescent="0.3">
      <c r="J4330"/>
    </row>
    <row r="4331" spans="10:10" x14ac:dyDescent="0.3">
      <c r="J4331"/>
    </row>
    <row r="4332" spans="10:10" x14ac:dyDescent="0.3">
      <c r="J4332"/>
    </row>
    <row r="4333" spans="10:10" x14ac:dyDescent="0.3">
      <c r="J4333"/>
    </row>
    <row r="4334" spans="10:10" x14ac:dyDescent="0.3">
      <c r="J4334"/>
    </row>
    <row r="4335" spans="10:10" x14ac:dyDescent="0.3">
      <c r="J4335"/>
    </row>
    <row r="4336" spans="10:10" x14ac:dyDescent="0.3">
      <c r="J4336"/>
    </row>
    <row r="4337" spans="10:10" x14ac:dyDescent="0.3">
      <c r="J4337"/>
    </row>
    <row r="4338" spans="10:10" x14ac:dyDescent="0.3">
      <c r="J4338"/>
    </row>
    <row r="4339" spans="10:10" x14ac:dyDescent="0.3">
      <c r="J4339"/>
    </row>
    <row r="4340" spans="10:10" x14ac:dyDescent="0.3">
      <c r="J4340"/>
    </row>
    <row r="4341" spans="10:10" x14ac:dyDescent="0.3">
      <c r="J4341"/>
    </row>
    <row r="4342" spans="10:10" x14ac:dyDescent="0.3">
      <c r="J4342"/>
    </row>
    <row r="4343" spans="10:10" x14ac:dyDescent="0.3">
      <c r="J4343"/>
    </row>
    <row r="4344" spans="10:10" x14ac:dyDescent="0.3">
      <c r="J4344"/>
    </row>
    <row r="4345" spans="10:10" x14ac:dyDescent="0.3">
      <c r="J4345"/>
    </row>
    <row r="4346" spans="10:10" x14ac:dyDescent="0.3">
      <c r="J4346"/>
    </row>
    <row r="4347" spans="10:10" x14ac:dyDescent="0.3">
      <c r="J4347"/>
    </row>
    <row r="4348" spans="10:10" x14ac:dyDescent="0.3">
      <c r="J4348"/>
    </row>
    <row r="4349" spans="10:10" x14ac:dyDescent="0.3">
      <c r="J4349"/>
    </row>
    <row r="4350" spans="10:10" x14ac:dyDescent="0.3">
      <c r="J4350"/>
    </row>
    <row r="4351" spans="10:10" x14ac:dyDescent="0.3">
      <c r="J4351"/>
    </row>
    <row r="4352" spans="10:10" x14ac:dyDescent="0.3">
      <c r="J4352"/>
    </row>
    <row r="4353" spans="10:10" x14ac:dyDescent="0.3">
      <c r="J4353"/>
    </row>
    <row r="4354" spans="10:10" x14ac:dyDescent="0.3">
      <c r="J4354"/>
    </row>
    <row r="4355" spans="10:10" x14ac:dyDescent="0.3">
      <c r="J4355"/>
    </row>
    <row r="4356" spans="10:10" x14ac:dyDescent="0.3">
      <c r="J4356"/>
    </row>
    <row r="4357" spans="10:10" x14ac:dyDescent="0.3">
      <c r="J4357"/>
    </row>
    <row r="4358" spans="10:10" x14ac:dyDescent="0.3">
      <c r="J4358"/>
    </row>
    <row r="4359" spans="10:10" x14ac:dyDescent="0.3">
      <c r="J4359"/>
    </row>
    <row r="4360" spans="10:10" x14ac:dyDescent="0.3">
      <c r="J4360"/>
    </row>
    <row r="4361" spans="10:10" x14ac:dyDescent="0.3">
      <c r="J4361"/>
    </row>
    <row r="4362" spans="10:10" x14ac:dyDescent="0.3">
      <c r="J4362"/>
    </row>
    <row r="4363" spans="10:10" x14ac:dyDescent="0.3">
      <c r="J4363"/>
    </row>
    <row r="4364" spans="10:10" x14ac:dyDescent="0.3">
      <c r="J4364"/>
    </row>
    <row r="4365" spans="10:10" x14ac:dyDescent="0.3">
      <c r="J4365"/>
    </row>
    <row r="4366" spans="10:10" x14ac:dyDescent="0.3">
      <c r="J4366"/>
    </row>
    <row r="4367" spans="10:10" x14ac:dyDescent="0.3">
      <c r="J4367"/>
    </row>
    <row r="4368" spans="10:10" x14ac:dyDescent="0.3">
      <c r="J4368"/>
    </row>
    <row r="4369" spans="10:10" x14ac:dyDescent="0.3">
      <c r="J4369"/>
    </row>
    <row r="4370" spans="10:10" x14ac:dyDescent="0.3">
      <c r="J4370"/>
    </row>
    <row r="4371" spans="10:10" x14ac:dyDescent="0.3">
      <c r="J4371"/>
    </row>
    <row r="4372" spans="10:10" x14ac:dyDescent="0.3">
      <c r="J4372"/>
    </row>
    <row r="4373" spans="10:10" x14ac:dyDescent="0.3">
      <c r="J4373"/>
    </row>
    <row r="4374" spans="10:10" x14ac:dyDescent="0.3">
      <c r="J4374"/>
    </row>
    <row r="4375" spans="10:10" x14ac:dyDescent="0.3">
      <c r="J4375"/>
    </row>
    <row r="4376" spans="10:10" x14ac:dyDescent="0.3">
      <c r="J4376"/>
    </row>
    <row r="4377" spans="10:10" x14ac:dyDescent="0.3">
      <c r="J4377"/>
    </row>
    <row r="4378" spans="10:10" x14ac:dyDescent="0.3">
      <c r="J4378"/>
    </row>
    <row r="4379" spans="10:10" x14ac:dyDescent="0.3">
      <c r="J4379"/>
    </row>
    <row r="4380" spans="10:10" x14ac:dyDescent="0.3">
      <c r="J4380"/>
    </row>
    <row r="4381" spans="10:10" x14ac:dyDescent="0.3">
      <c r="J4381"/>
    </row>
    <row r="4382" spans="10:10" x14ac:dyDescent="0.3">
      <c r="J4382"/>
    </row>
    <row r="4383" spans="10:10" x14ac:dyDescent="0.3">
      <c r="J4383"/>
    </row>
    <row r="4384" spans="10:10" x14ac:dyDescent="0.3">
      <c r="J4384"/>
    </row>
    <row r="4385" spans="10:10" x14ac:dyDescent="0.3">
      <c r="J4385"/>
    </row>
    <row r="4386" spans="10:10" x14ac:dyDescent="0.3">
      <c r="J4386"/>
    </row>
    <row r="4387" spans="10:10" x14ac:dyDescent="0.3">
      <c r="J4387"/>
    </row>
    <row r="4388" spans="10:10" x14ac:dyDescent="0.3">
      <c r="J4388"/>
    </row>
    <row r="4389" spans="10:10" x14ac:dyDescent="0.3">
      <c r="J4389"/>
    </row>
    <row r="4390" spans="10:10" x14ac:dyDescent="0.3">
      <c r="J4390"/>
    </row>
    <row r="4391" spans="10:10" x14ac:dyDescent="0.3">
      <c r="J4391"/>
    </row>
    <row r="4392" spans="10:10" x14ac:dyDescent="0.3">
      <c r="J4392"/>
    </row>
    <row r="4393" spans="10:10" x14ac:dyDescent="0.3">
      <c r="J4393"/>
    </row>
    <row r="4394" spans="10:10" x14ac:dyDescent="0.3">
      <c r="J4394"/>
    </row>
    <row r="4395" spans="10:10" x14ac:dyDescent="0.3">
      <c r="J4395"/>
    </row>
    <row r="4396" spans="10:10" x14ac:dyDescent="0.3">
      <c r="J4396"/>
    </row>
    <row r="4397" spans="10:10" x14ac:dyDescent="0.3">
      <c r="J4397"/>
    </row>
    <row r="4398" spans="10:10" x14ac:dyDescent="0.3">
      <c r="J4398"/>
    </row>
    <row r="4399" spans="10:10" x14ac:dyDescent="0.3">
      <c r="J4399"/>
    </row>
    <row r="4400" spans="10:10" x14ac:dyDescent="0.3">
      <c r="J4400"/>
    </row>
    <row r="4401" spans="10:10" x14ac:dyDescent="0.3">
      <c r="J4401"/>
    </row>
    <row r="4402" spans="10:10" x14ac:dyDescent="0.3">
      <c r="J4402"/>
    </row>
    <row r="4403" spans="10:10" x14ac:dyDescent="0.3">
      <c r="J4403"/>
    </row>
    <row r="4404" spans="10:10" x14ac:dyDescent="0.3">
      <c r="J4404"/>
    </row>
    <row r="4405" spans="10:10" x14ac:dyDescent="0.3">
      <c r="J4405"/>
    </row>
    <row r="4406" spans="10:10" x14ac:dyDescent="0.3">
      <c r="J4406"/>
    </row>
    <row r="4407" spans="10:10" x14ac:dyDescent="0.3">
      <c r="J4407"/>
    </row>
    <row r="4408" spans="10:10" x14ac:dyDescent="0.3">
      <c r="J4408"/>
    </row>
    <row r="4409" spans="10:10" x14ac:dyDescent="0.3">
      <c r="J4409"/>
    </row>
    <row r="4410" spans="10:10" x14ac:dyDescent="0.3">
      <c r="J4410"/>
    </row>
    <row r="4411" spans="10:10" x14ac:dyDescent="0.3">
      <c r="J4411"/>
    </row>
    <row r="4412" spans="10:10" x14ac:dyDescent="0.3">
      <c r="J4412"/>
    </row>
    <row r="4413" spans="10:10" x14ac:dyDescent="0.3">
      <c r="J4413"/>
    </row>
    <row r="4414" spans="10:10" x14ac:dyDescent="0.3">
      <c r="J4414"/>
    </row>
    <row r="4415" spans="10:10" x14ac:dyDescent="0.3">
      <c r="J4415"/>
    </row>
    <row r="4416" spans="10:10" x14ac:dyDescent="0.3">
      <c r="J4416"/>
    </row>
    <row r="4417" spans="10:10" x14ac:dyDescent="0.3">
      <c r="J4417"/>
    </row>
    <row r="4418" spans="10:10" x14ac:dyDescent="0.3">
      <c r="J4418"/>
    </row>
    <row r="4419" spans="10:10" x14ac:dyDescent="0.3">
      <c r="J4419"/>
    </row>
    <row r="4420" spans="10:10" x14ac:dyDescent="0.3">
      <c r="J4420"/>
    </row>
    <row r="4421" spans="10:10" x14ac:dyDescent="0.3">
      <c r="J4421"/>
    </row>
    <row r="4422" spans="10:10" x14ac:dyDescent="0.3">
      <c r="J4422"/>
    </row>
    <row r="4423" spans="10:10" x14ac:dyDescent="0.3">
      <c r="J4423"/>
    </row>
    <row r="4424" spans="10:10" x14ac:dyDescent="0.3">
      <c r="J4424"/>
    </row>
    <row r="4425" spans="10:10" x14ac:dyDescent="0.3">
      <c r="J4425"/>
    </row>
    <row r="4426" spans="10:10" x14ac:dyDescent="0.3">
      <c r="J4426"/>
    </row>
    <row r="4427" spans="10:10" x14ac:dyDescent="0.3">
      <c r="J4427"/>
    </row>
    <row r="4428" spans="10:10" x14ac:dyDescent="0.3">
      <c r="J4428"/>
    </row>
    <row r="4429" spans="10:10" x14ac:dyDescent="0.3">
      <c r="J4429"/>
    </row>
    <row r="4430" spans="10:10" x14ac:dyDescent="0.3">
      <c r="J4430"/>
    </row>
    <row r="4431" spans="10:10" x14ac:dyDescent="0.3">
      <c r="J4431"/>
    </row>
    <row r="4432" spans="10:10" x14ac:dyDescent="0.3">
      <c r="J4432"/>
    </row>
    <row r="4433" spans="10:10" x14ac:dyDescent="0.3">
      <c r="J4433"/>
    </row>
    <row r="4434" spans="10:10" x14ac:dyDescent="0.3">
      <c r="J4434"/>
    </row>
    <row r="4435" spans="10:10" x14ac:dyDescent="0.3">
      <c r="J4435"/>
    </row>
    <row r="4436" spans="10:10" x14ac:dyDescent="0.3">
      <c r="J4436"/>
    </row>
    <row r="4437" spans="10:10" x14ac:dyDescent="0.3">
      <c r="J4437"/>
    </row>
    <row r="4438" spans="10:10" x14ac:dyDescent="0.3">
      <c r="J4438"/>
    </row>
    <row r="4439" spans="10:10" x14ac:dyDescent="0.3">
      <c r="J4439"/>
    </row>
    <row r="4440" spans="10:10" x14ac:dyDescent="0.3">
      <c r="J4440"/>
    </row>
    <row r="4441" spans="10:10" x14ac:dyDescent="0.3">
      <c r="J4441"/>
    </row>
    <row r="4442" spans="10:10" x14ac:dyDescent="0.3">
      <c r="J4442"/>
    </row>
    <row r="4443" spans="10:10" x14ac:dyDescent="0.3">
      <c r="J4443"/>
    </row>
    <row r="4444" spans="10:10" x14ac:dyDescent="0.3">
      <c r="J4444"/>
    </row>
    <row r="4445" spans="10:10" x14ac:dyDescent="0.3">
      <c r="J4445"/>
    </row>
    <row r="4446" spans="10:10" x14ac:dyDescent="0.3">
      <c r="J4446"/>
    </row>
    <row r="4447" spans="10:10" x14ac:dyDescent="0.3">
      <c r="J4447"/>
    </row>
    <row r="4448" spans="10:10" x14ac:dyDescent="0.3">
      <c r="J4448"/>
    </row>
    <row r="4449" spans="10:10" x14ac:dyDescent="0.3">
      <c r="J4449"/>
    </row>
    <row r="4450" spans="10:10" x14ac:dyDescent="0.3">
      <c r="J4450"/>
    </row>
    <row r="4451" spans="10:10" x14ac:dyDescent="0.3">
      <c r="J4451"/>
    </row>
    <row r="4452" spans="10:10" x14ac:dyDescent="0.3">
      <c r="J4452"/>
    </row>
    <row r="4453" spans="10:10" x14ac:dyDescent="0.3">
      <c r="J4453"/>
    </row>
    <row r="4454" spans="10:10" x14ac:dyDescent="0.3">
      <c r="J4454"/>
    </row>
    <row r="4455" spans="10:10" x14ac:dyDescent="0.3">
      <c r="J4455"/>
    </row>
    <row r="4456" spans="10:10" x14ac:dyDescent="0.3">
      <c r="J4456"/>
    </row>
    <row r="4457" spans="10:10" x14ac:dyDescent="0.3">
      <c r="J4457"/>
    </row>
    <row r="4458" spans="10:10" x14ac:dyDescent="0.3">
      <c r="J4458"/>
    </row>
    <row r="4459" spans="10:10" x14ac:dyDescent="0.3">
      <c r="J4459"/>
    </row>
    <row r="4460" spans="10:10" x14ac:dyDescent="0.3">
      <c r="J4460"/>
    </row>
    <row r="4461" spans="10:10" x14ac:dyDescent="0.3">
      <c r="J4461"/>
    </row>
    <row r="4462" spans="10:10" x14ac:dyDescent="0.3">
      <c r="J4462"/>
    </row>
    <row r="4463" spans="10:10" x14ac:dyDescent="0.3">
      <c r="J4463"/>
    </row>
    <row r="4464" spans="10:10" x14ac:dyDescent="0.3">
      <c r="J4464"/>
    </row>
    <row r="4465" spans="10:10" x14ac:dyDescent="0.3">
      <c r="J4465"/>
    </row>
    <row r="4466" spans="10:10" x14ac:dyDescent="0.3">
      <c r="J4466"/>
    </row>
    <row r="4467" spans="10:10" x14ac:dyDescent="0.3">
      <c r="J4467"/>
    </row>
    <row r="4468" spans="10:10" x14ac:dyDescent="0.3">
      <c r="J4468"/>
    </row>
    <row r="4469" spans="10:10" x14ac:dyDescent="0.3">
      <c r="J4469"/>
    </row>
    <row r="4470" spans="10:10" x14ac:dyDescent="0.3">
      <c r="J4470"/>
    </row>
    <row r="4471" spans="10:10" x14ac:dyDescent="0.3">
      <c r="J4471"/>
    </row>
    <row r="4472" spans="10:10" x14ac:dyDescent="0.3">
      <c r="J4472"/>
    </row>
    <row r="4473" spans="10:10" x14ac:dyDescent="0.3">
      <c r="J4473"/>
    </row>
    <row r="4474" spans="10:10" x14ac:dyDescent="0.3">
      <c r="J4474"/>
    </row>
    <row r="4475" spans="10:10" x14ac:dyDescent="0.3">
      <c r="J4475"/>
    </row>
    <row r="4476" spans="10:10" x14ac:dyDescent="0.3">
      <c r="J4476"/>
    </row>
    <row r="4477" spans="10:10" x14ac:dyDescent="0.3">
      <c r="J4477"/>
    </row>
    <row r="4478" spans="10:10" x14ac:dyDescent="0.3">
      <c r="J4478"/>
    </row>
    <row r="4479" spans="10:10" x14ac:dyDescent="0.3">
      <c r="J4479"/>
    </row>
    <row r="4480" spans="10:10" x14ac:dyDescent="0.3">
      <c r="J4480"/>
    </row>
    <row r="4481" spans="10:10" x14ac:dyDescent="0.3">
      <c r="J4481"/>
    </row>
    <row r="4482" spans="10:10" x14ac:dyDescent="0.3">
      <c r="J4482"/>
    </row>
    <row r="4483" spans="10:10" x14ac:dyDescent="0.3">
      <c r="J4483"/>
    </row>
    <row r="4484" spans="10:10" x14ac:dyDescent="0.3">
      <c r="J4484"/>
    </row>
    <row r="4485" spans="10:10" x14ac:dyDescent="0.3">
      <c r="J4485"/>
    </row>
    <row r="4486" spans="10:10" x14ac:dyDescent="0.3">
      <c r="J4486"/>
    </row>
    <row r="4487" spans="10:10" x14ac:dyDescent="0.3">
      <c r="J4487"/>
    </row>
    <row r="4488" spans="10:10" x14ac:dyDescent="0.3">
      <c r="J4488"/>
    </row>
    <row r="4489" spans="10:10" x14ac:dyDescent="0.3">
      <c r="J4489"/>
    </row>
    <row r="4490" spans="10:10" x14ac:dyDescent="0.3">
      <c r="J4490"/>
    </row>
    <row r="4491" spans="10:10" x14ac:dyDescent="0.3">
      <c r="J4491"/>
    </row>
    <row r="4492" spans="10:10" x14ac:dyDescent="0.3">
      <c r="J4492"/>
    </row>
    <row r="4493" spans="10:10" x14ac:dyDescent="0.3">
      <c r="J4493"/>
    </row>
    <row r="4494" spans="10:10" x14ac:dyDescent="0.3">
      <c r="J4494"/>
    </row>
    <row r="4495" spans="10:10" x14ac:dyDescent="0.3">
      <c r="J4495"/>
    </row>
    <row r="4496" spans="10:10" x14ac:dyDescent="0.3">
      <c r="J4496"/>
    </row>
    <row r="4497" spans="10:10" x14ac:dyDescent="0.3">
      <c r="J4497"/>
    </row>
    <row r="4498" spans="10:10" x14ac:dyDescent="0.3">
      <c r="J4498"/>
    </row>
    <row r="4499" spans="10:10" x14ac:dyDescent="0.3">
      <c r="J4499"/>
    </row>
    <row r="4500" spans="10:10" x14ac:dyDescent="0.3">
      <c r="J4500"/>
    </row>
    <row r="4501" spans="10:10" x14ac:dyDescent="0.3">
      <c r="J4501"/>
    </row>
    <row r="4502" spans="10:10" x14ac:dyDescent="0.3">
      <c r="J4502"/>
    </row>
    <row r="4503" spans="10:10" x14ac:dyDescent="0.3">
      <c r="J4503"/>
    </row>
    <row r="4504" spans="10:10" x14ac:dyDescent="0.3">
      <c r="J4504"/>
    </row>
    <row r="4505" spans="10:10" x14ac:dyDescent="0.3">
      <c r="J4505"/>
    </row>
    <row r="4506" spans="10:10" x14ac:dyDescent="0.3">
      <c r="J4506"/>
    </row>
    <row r="4507" spans="10:10" x14ac:dyDescent="0.3">
      <c r="J4507"/>
    </row>
    <row r="4508" spans="10:10" x14ac:dyDescent="0.3">
      <c r="J4508"/>
    </row>
    <row r="4509" spans="10:10" x14ac:dyDescent="0.3">
      <c r="J4509"/>
    </row>
    <row r="4510" spans="10:10" x14ac:dyDescent="0.3">
      <c r="J4510"/>
    </row>
    <row r="4511" spans="10:10" x14ac:dyDescent="0.3">
      <c r="J4511"/>
    </row>
    <row r="4512" spans="10:10" x14ac:dyDescent="0.3">
      <c r="J4512"/>
    </row>
    <row r="4513" spans="10:10" x14ac:dyDescent="0.3">
      <c r="J4513"/>
    </row>
    <row r="4514" spans="10:10" x14ac:dyDescent="0.3">
      <c r="J4514"/>
    </row>
    <row r="4515" spans="10:10" x14ac:dyDescent="0.3">
      <c r="J4515"/>
    </row>
    <row r="4516" spans="10:10" x14ac:dyDescent="0.3">
      <c r="J4516"/>
    </row>
    <row r="4517" spans="10:10" x14ac:dyDescent="0.3">
      <c r="J4517"/>
    </row>
    <row r="4518" spans="10:10" x14ac:dyDescent="0.3">
      <c r="J4518"/>
    </row>
    <row r="4519" spans="10:10" x14ac:dyDescent="0.3">
      <c r="J4519"/>
    </row>
    <row r="4520" spans="10:10" x14ac:dyDescent="0.3">
      <c r="J4520"/>
    </row>
    <row r="4521" spans="10:10" x14ac:dyDescent="0.3">
      <c r="J4521"/>
    </row>
    <row r="4522" spans="10:10" x14ac:dyDescent="0.3">
      <c r="J4522"/>
    </row>
    <row r="4523" spans="10:10" x14ac:dyDescent="0.3">
      <c r="J4523"/>
    </row>
    <row r="4524" spans="10:10" x14ac:dyDescent="0.3">
      <c r="J4524"/>
    </row>
    <row r="4525" spans="10:10" x14ac:dyDescent="0.3">
      <c r="J4525"/>
    </row>
    <row r="4526" spans="10:10" x14ac:dyDescent="0.3">
      <c r="J4526"/>
    </row>
    <row r="4527" spans="10:10" x14ac:dyDescent="0.3">
      <c r="J4527"/>
    </row>
    <row r="4528" spans="10:10" x14ac:dyDescent="0.3">
      <c r="J4528"/>
    </row>
    <row r="4529" spans="10:10" x14ac:dyDescent="0.3">
      <c r="J4529"/>
    </row>
    <row r="4530" spans="10:10" x14ac:dyDescent="0.3">
      <c r="J4530"/>
    </row>
    <row r="4531" spans="10:10" x14ac:dyDescent="0.3">
      <c r="J4531"/>
    </row>
    <row r="4532" spans="10:10" x14ac:dyDescent="0.3">
      <c r="J4532"/>
    </row>
    <row r="4533" spans="10:10" x14ac:dyDescent="0.3">
      <c r="J4533"/>
    </row>
    <row r="4534" spans="10:10" x14ac:dyDescent="0.3">
      <c r="J4534"/>
    </row>
    <row r="4535" spans="10:10" x14ac:dyDescent="0.3">
      <c r="J4535"/>
    </row>
    <row r="4536" spans="10:10" x14ac:dyDescent="0.3">
      <c r="J4536"/>
    </row>
    <row r="4537" spans="10:10" x14ac:dyDescent="0.3">
      <c r="J4537"/>
    </row>
    <row r="4538" spans="10:10" x14ac:dyDescent="0.3">
      <c r="J4538"/>
    </row>
    <row r="4539" spans="10:10" x14ac:dyDescent="0.3">
      <c r="J4539"/>
    </row>
    <row r="4540" spans="10:10" x14ac:dyDescent="0.3">
      <c r="J4540"/>
    </row>
    <row r="4541" spans="10:10" x14ac:dyDescent="0.3">
      <c r="J4541"/>
    </row>
    <row r="4542" spans="10:10" x14ac:dyDescent="0.3">
      <c r="J4542"/>
    </row>
    <row r="4543" spans="10:10" x14ac:dyDescent="0.3">
      <c r="J4543"/>
    </row>
    <row r="4544" spans="10:10" x14ac:dyDescent="0.3">
      <c r="J4544"/>
    </row>
    <row r="4545" spans="10:10" x14ac:dyDescent="0.3">
      <c r="J4545"/>
    </row>
    <row r="4546" spans="10:10" x14ac:dyDescent="0.3">
      <c r="J4546"/>
    </row>
    <row r="4547" spans="10:10" x14ac:dyDescent="0.3">
      <c r="J4547"/>
    </row>
    <row r="4548" spans="10:10" x14ac:dyDescent="0.3">
      <c r="J4548"/>
    </row>
    <row r="4549" spans="10:10" x14ac:dyDescent="0.3">
      <c r="J4549"/>
    </row>
    <row r="4550" spans="10:10" x14ac:dyDescent="0.3">
      <c r="J4550"/>
    </row>
    <row r="4551" spans="10:10" x14ac:dyDescent="0.3">
      <c r="J4551"/>
    </row>
    <row r="4552" spans="10:10" x14ac:dyDescent="0.3">
      <c r="J4552"/>
    </row>
    <row r="4553" spans="10:10" x14ac:dyDescent="0.3">
      <c r="J4553"/>
    </row>
    <row r="4554" spans="10:10" x14ac:dyDescent="0.3">
      <c r="J4554"/>
    </row>
    <row r="4555" spans="10:10" x14ac:dyDescent="0.3">
      <c r="J4555"/>
    </row>
    <row r="4556" spans="10:10" x14ac:dyDescent="0.3">
      <c r="J4556"/>
    </row>
    <row r="4557" spans="10:10" x14ac:dyDescent="0.3">
      <c r="J4557"/>
    </row>
    <row r="4558" spans="10:10" x14ac:dyDescent="0.3">
      <c r="J4558"/>
    </row>
    <row r="4559" spans="10:10" x14ac:dyDescent="0.3">
      <c r="J4559"/>
    </row>
    <row r="4560" spans="10:10" x14ac:dyDescent="0.3">
      <c r="J4560"/>
    </row>
    <row r="4561" spans="10:10" x14ac:dyDescent="0.3">
      <c r="J4561"/>
    </row>
    <row r="4562" spans="10:10" x14ac:dyDescent="0.3">
      <c r="J4562"/>
    </row>
    <row r="4563" spans="10:10" x14ac:dyDescent="0.3">
      <c r="J4563"/>
    </row>
    <row r="4564" spans="10:10" x14ac:dyDescent="0.3">
      <c r="J4564"/>
    </row>
    <row r="4565" spans="10:10" x14ac:dyDescent="0.3">
      <c r="J4565"/>
    </row>
    <row r="4566" spans="10:10" x14ac:dyDescent="0.3">
      <c r="J4566"/>
    </row>
    <row r="4567" spans="10:10" x14ac:dyDescent="0.3">
      <c r="J4567"/>
    </row>
    <row r="4568" spans="10:10" x14ac:dyDescent="0.3">
      <c r="J4568"/>
    </row>
    <row r="4569" spans="10:10" x14ac:dyDescent="0.3">
      <c r="J4569"/>
    </row>
    <row r="4570" spans="10:10" x14ac:dyDescent="0.3">
      <c r="J4570"/>
    </row>
    <row r="4571" spans="10:10" x14ac:dyDescent="0.3">
      <c r="J4571"/>
    </row>
    <row r="4572" spans="10:10" x14ac:dyDescent="0.3">
      <c r="J4572"/>
    </row>
    <row r="4573" spans="10:10" x14ac:dyDescent="0.3">
      <c r="J4573"/>
    </row>
    <row r="4574" spans="10:10" x14ac:dyDescent="0.3">
      <c r="J4574"/>
    </row>
    <row r="4575" spans="10:10" x14ac:dyDescent="0.3">
      <c r="J4575"/>
    </row>
    <row r="4576" spans="10:10" x14ac:dyDescent="0.3">
      <c r="J4576"/>
    </row>
    <row r="4577" spans="10:10" x14ac:dyDescent="0.3">
      <c r="J4577"/>
    </row>
    <row r="4578" spans="10:10" x14ac:dyDescent="0.3">
      <c r="J4578"/>
    </row>
    <row r="4579" spans="10:10" x14ac:dyDescent="0.3">
      <c r="J4579"/>
    </row>
    <row r="4580" spans="10:10" x14ac:dyDescent="0.3">
      <c r="J4580"/>
    </row>
    <row r="4581" spans="10:10" x14ac:dyDescent="0.3">
      <c r="J4581"/>
    </row>
    <row r="4582" spans="10:10" x14ac:dyDescent="0.3">
      <c r="J4582"/>
    </row>
    <row r="4583" spans="10:10" x14ac:dyDescent="0.3">
      <c r="J4583"/>
    </row>
    <row r="4584" spans="10:10" x14ac:dyDescent="0.3">
      <c r="J4584"/>
    </row>
    <row r="4585" spans="10:10" x14ac:dyDescent="0.3">
      <c r="J4585"/>
    </row>
    <row r="4586" spans="10:10" x14ac:dyDescent="0.3">
      <c r="J4586"/>
    </row>
    <row r="4587" spans="10:10" x14ac:dyDescent="0.3">
      <c r="J4587"/>
    </row>
    <row r="4588" spans="10:10" x14ac:dyDescent="0.3">
      <c r="J4588"/>
    </row>
    <row r="4589" spans="10:10" x14ac:dyDescent="0.3">
      <c r="J4589"/>
    </row>
    <row r="4590" spans="10:10" x14ac:dyDescent="0.3">
      <c r="J4590"/>
    </row>
    <row r="4591" spans="10:10" x14ac:dyDescent="0.3">
      <c r="J4591"/>
    </row>
    <row r="4592" spans="10:10" x14ac:dyDescent="0.3">
      <c r="J4592"/>
    </row>
    <row r="4593" spans="10:10" x14ac:dyDescent="0.3">
      <c r="J4593"/>
    </row>
    <row r="4594" spans="10:10" x14ac:dyDescent="0.3">
      <c r="J4594"/>
    </row>
    <row r="4595" spans="10:10" x14ac:dyDescent="0.3">
      <c r="J4595"/>
    </row>
    <row r="4596" spans="10:10" x14ac:dyDescent="0.3">
      <c r="J4596"/>
    </row>
    <row r="4597" spans="10:10" x14ac:dyDescent="0.3">
      <c r="J4597"/>
    </row>
    <row r="4598" spans="10:10" x14ac:dyDescent="0.3">
      <c r="J4598"/>
    </row>
    <row r="4599" spans="10:10" x14ac:dyDescent="0.3">
      <c r="J4599"/>
    </row>
    <row r="4600" spans="10:10" x14ac:dyDescent="0.3">
      <c r="J4600"/>
    </row>
    <row r="4601" spans="10:10" x14ac:dyDescent="0.3">
      <c r="J4601"/>
    </row>
    <row r="4602" spans="10:10" x14ac:dyDescent="0.3">
      <c r="J4602"/>
    </row>
    <row r="4603" spans="10:10" x14ac:dyDescent="0.3">
      <c r="J4603"/>
    </row>
    <row r="4604" spans="10:10" x14ac:dyDescent="0.3">
      <c r="J4604"/>
    </row>
    <row r="4605" spans="10:10" x14ac:dyDescent="0.3">
      <c r="J4605"/>
    </row>
    <row r="4606" spans="10:10" x14ac:dyDescent="0.3">
      <c r="J4606"/>
    </row>
    <row r="4607" spans="10:10" x14ac:dyDescent="0.3">
      <c r="J4607"/>
    </row>
    <row r="4608" spans="10:10" x14ac:dyDescent="0.3">
      <c r="J4608"/>
    </row>
    <row r="4609" spans="10:10" x14ac:dyDescent="0.3">
      <c r="J4609"/>
    </row>
    <row r="4610" spans="10:10" x14ac:dyDescent="0.3">
      <c r="J4610"/>
    </row>
    <row r="4611" spans="10:10" x14ac:dyDescent="0.3">
      <c r="J4611"/>
    </row>
    <row r="4612" spans="10:10" x14ac:dyDescent="0.3">
      <c r="J4612"/>
    </row>
    <row r="4613" spans="10:10" x14ac:dyDescent="0.3">
      <c r="J4613"/>
    </row>
    <row r="4614" spans="10:10" x14ac:dyDescent="0.3">
      <c r="J4614"/>
    </row>
    <row r="4615" spans="10:10" x14ac:dyDescent="0.3">
      <c r="J4615"/>
    </row>
    <row r="4616" spans="10:10" x14ac:dyDescent="0.3">
      <c r="J4616"/>
    </row>
    <row r="4617" spans="10:10" x14ac:dyDescent="0.3">
      <c r="J4617"/>
    </row>
    <row r="4618" spans="10:10" x14ac:dyDescent="0.3">
      <c r="J4618"/>
    </row>
    <row r="4619" spans="10:10" x14ac:dyDescent="0.3">
      <c r="J4619"/>
    </row>
    <row r="4620" spans="10:10" x14ac:dyDescent="0.3">
      <c r="J4620"/>
    </row>
    <row r="4621" spans="10:10" x14ac:dyDescent="0.3">
      <c r="J4621"/>
    </row>
    <row r="4622" spans="10:10" x14ac:dyDescent="0.3">
      <c r="J4622"/>
    </row>
    <row r="4623" spans="10:10" x14ac:dyDescent="0.3">
      <c r="J4623"/>
    </row>
    <row r="4624" spans="10:10" x14ac:dyDescent="0.3">
      <c r="J4624"/>
    </row>
    <row r="4625" spans="10:10" x14ac:dyDescent="0.3">
      <c r="J4625"/>
    </row>
    <row r="4626" spans="10:10" x14ac:dyDescent="0.3">
      <c r="J4626"/>
    </row>
    <row r="4627" spans="10:10" x14ac:dyDescent="0.3">
      <c r="J4627"/>
    </row>
    <row r="4628" spans="10:10" x14ac:dyDescent="0.3">
      <c r="J4628"/>
    </row>
    <row r="4629" spans="10:10" x14ac:dyDescent="0.3">
      <c r="J4629"/>
    </row>
    <row r="4630" spans="10:10" x14ac:dyDescent="0.3">
      <c r="J4630"/>
    </row>
    <row r="4631" spans="10:10" x14ac:dyDescent="0.3">
      <c r="J4631"/>
    </row>
    <row r="4632" spans="10:10" x14ac:dyDescent="0.3">
      <c r="J4632"/>
    </row>
    <row r="4633" spans="10:10" x14ac:dyDescent="0.3">
      <c r="J4633"/>
    </row>
    <row r="4634" spans="10:10" x14ac:dyDescent="0.3">
      <c r="J4634"/>
    </row>
    <row r="4635" spans="10:10" x14ac:dyDescent="0.3">
      <c r="J4635"/>
    </row>
    <row r="4636" spans="10:10" x14ac:dyDescent="0.3">
      <c r="J4636"/>
    </row>
    <row r="4637" spans="10:10" x14ac:dyDescent="0.3">
      <c r="J4637"/>
    </row>
    <row r="4638" spans="10:10" x14ac:dyDescent="0.3">
      <c r="J4638"/>
    </row>
    <row r="4639" spans="10:10" x14ac:dyDescent="0.3">
      <c r="J4639"/>
    </row>
    <row r="4640" spans="10:10" x14ac:dyDescent="0.3">
      <c r="J4640"/>
    </row>
    <row r="4641" spans="10:10" x14ac:dyDescent="0.3">
      <c r="J4641"/>
    </row>
    <row r="4642" spans="10:10" x14ac:dyDescent="0.3">
      <c r="J4642"/>
    </row>
    <row r="4643" spans="10:10" x14ac:dyDescent="0.3">
      <c r="J4643"/>
    </row>
    <row r="4644" spans="10:10" x14ac:dyDescent="0.3">
      <c r="J4644"/>
    </row>
    <row r="4645" spans="10:10" x14ac:dyDescent="0.3">
      <c r="J4645"/>
    </row>
    <row r="4646" spans="10:10" x14ac:dyDescent="0.3">
      <c r="J4646"/>
    </row>
    <row r="4647" spans="10:10" x14ac:dyDescent="0.3">
      <c r="J4647"/>
    </row>
    <row r="4648" spans="10:10" x14ac:dyDescent="0.3">
      <c r="J4648"/>
    </row>
    <row r="4649" spans="10:10" x14ac:dyDescent="0.3">
      <c r="J4649"/>
    </row>
    <row r="4650" spans="10:10" x14ac:dyDescent="0.3">
      <c r="J4650"/>
    </row>
    <row r="4651" spans="10:10" x14ac:dyDescent="0.3">
      <c r="J4651"/>
    </row>
    <row r="4652" spans="10:10" x14ac:dyDescent="0.3">
      <c r="J4652"/>
    </row>
    <row r="4653" spans="10:10" x14ac:dyDescent="0.3">
      <c r="J4653"/>
    </row>
    <row r="4654" spans="10:10" x14ac:dyDescent="0.3">
      <c r="J4654"/>
    </row>
    <row r="4655" spans="10:10" x14ac:dyDescent="0.3">
      <c r="J4655"/>
    </row>
    <row r="4656" spans="10:10" x14ac:dyDescent="0.3">
      <c r="J4656"/>
    </row>
    <row r="4657" spans="10:10" x14ac:dyDescent="0.3">
      <c r="J4657"/>
    </row>
    <row r="4658" spans="10:10" x14ac:dyDescent="0.3">
      <c r="J4658"/>
    </row>
    <row r="4659" spans="10:10" x14ac:dyDescent="0.3">
      <c r="J4659"/>
    </row>
    <row r="4660" spans="10:10" x14ac:dyDescent="0.3">
      <c r="J4660"/>
    </row>
    <row r="4661" spans="10:10" x14ac:dyDescent="0.3">
      <c r="J4661"/>
    </row>
    <row r="4662" spans="10:10" x14ac:dyDescent="0.3">
      <c r="J4662"/>
    </row>
    <row r="4663" spans="10:10" x14ac:dyDescent="0.3">
      <c r="J4663"/>
    </row>
    <row r="4664" spans="10:10" x14ac:dyDescent="0.3">
      <c r="J4664"/>
    </row>
    <row r="4665" spans="10:10" x14ac:dyDescent="0.3">
      <c r="J4665"/>
    </row>
    <row r="4666" spans="10:10" x14ac:dyDescent="0.3">
      <c r="J4666"/>
    </row>
    <row r="4667" spans="10:10" x14ac:dyDescent="0.3">
      <c r="J4667"/>
    </row>
    <row r="4668" spans="10:10" x14ac:dyDescent="0.3">
      <c r="J4668"/>
    </row>
    <row r="4669" spans="10:10" x14ac:dyDescent="0.3">
      <c r="J4669"/>
    </row>
    <row r="4670" spans="10:10" x14ac:dyDescent="0.3">
      <c r="J4670"/>
    </row>
    <row r="4671" spans="10:10" x14ac:dyDescent="0.3">
      <c r="J4671"/>
    </row>
    <row r="4672" spans="10:10" x14ac:dyDescent="0.3">
      <c r="J4672"/>
    </row>
    <row r="4673" spans="10:10" x14ac:dyDescent="0.3">
      <c r="J4673"/>
    </row>
    <row r="4674" spans="10:10" x14ac:dyDescent="0.3">
      <c r="J4674"/>
    </row>
    <row r="4675" spans="10:10" x14ac:dyDescent="0.3">
      <c r="J4675"/>
    </row>
    <row r="4676" spans="10:10" x14ac:dyDescent="0.3">
      <c r="J4676"/>
    </row>
    <row r="4677" spans="10:10" x14ac:dyDescent="0.3">
      <c r="J4677"/>
    </row>
    <row r="4678" spans="10:10" x14ac:dyDescent="0.3">
      <c r="J4678"/>
    </row>
    <row r="4679" spans="10:10" x14ac:dyDescent="0.3">
      <c r="J4679"/>
    </row>
    <row r="4680" spans="10:10" x14ac:dyDescent="0.3">
      <c r="J4680"/>
    </row>
    <row r="4681" spans="10:10" x14ac:dyDescent="0.3">
      <c r="J4681"/>
    </row>
    <row r="4682" spans="10:10" x14ac:dyDescent="0.3">
      <c r="J4682"/>
    </row>
    <row r="4683" spans="10:10" x14ac:dyDescent="0.3">
      <c r="J4683"/>
    </row>
    <row r="4684" spans="10:10" x14ac:dyDescent="0.3">
      <c r="J4684"/>
    </row>
    <row r="4685" spans="10:10" x14ac:dyDescent="0.3">
      <c r="J4685"/>
    </row>
    <row r="4686" spans="10:10" x14ac:dyDescent="0.3">
      <c r="J4686"/>
    </row>
    <row r="4687" spans="10:10" x14ac:dyDescent="0.3">
      <c r="J4687"/>
    </row>
    <row r="4688" spans="10:10" x14ac:dyDescent="0.3">
      <c r="J4688"/>
    </row>
    <row r="4689" spans="10:10" x14ac:dyDescent="0.3">
      <c r="J4689"/>
    </row>
    <row r="4690" spans="10:10" x14ac:dyDescent="0.3">
      <c r="J4690"/>
    </row>
    <row r="4691" spans="10:10" x14ac:dyDescent="0.3">
      <c r="J4691"/>
    </row>
    <row r="4692" spans="10:10" x14ac:dyDescent="0.3">
      <c r="J4692"/>
    </row>
    <row r="4693" spans="10:10" x14ac:dyDescent="0.3">
      <c r="J4693"/>
    </row>
    <row r="4694" spans="10:10" x14ac:dyDescent="0.3">
      <c r="J4694"/>
    </row>
    <row r="4695" spans="10:10" x14ac:dyDescent="0.3">
      <c r="J4695"/>
    </row>
    <row r="4696" spans="10:10" x14ac:dyDescent="0.3">
      <c r="J4696"/>
    </row>
    <row r="4697" spans="10:10" x14ac:dyDescent="0.3">
      <c r="J4697"/>
    </row>
    <row r="4698" spans="10:10" x14ac:dyDescent="0.3">
      <c r="J4698"/>
    </row>
    <row r="4699" spans="10:10" x14ac:dyDescent="0.3">
      <c r="J4699"/>
    </row>
    <row r="4700" spans="10:10" x14ac:dyDescent="0.3">
      <c r="J4700"/>
    </row>
    <row r="4701" spans="10:10" x14ac:dyDescent="0.3">
      <c r="J4701"/>
    </row>
    <row r="4702" spans="10:10" x14ac:dyDescent="0.3">
      <c r="J4702"/>
    </row>
    <row r="4703" spans="10:10" x14ac:dyDescent="0.3">
      <c r="J4703"/>
    </row>
    <row r="4704" spans="10:10" x14ac:dyDescent="0.3">
      <c r="J4704"/>
    </row>
    <row r="4705" spans="10:10" x14ac:dyDescent="0.3">
      <c r="J4705"/>
    </row>
    <row r="4706" spans="10:10" x14ac:dyDescent="0.3">
      <c r="J4706"/>
    </row>
    <row r="4707" spans="10:10" x14ac:dyDescent="0.3">
      <c r="J4707"/>
    </row>
    <row r="4708" spans="10:10" x14ac:dyDescent="0.3">
      <c r="J4708"/>
    </row>
    <row r="4709" spans="10:10" x14ac:dyDescent="0.3">
      <c r="J4709"/>
    </row>
    <row r="4710" spans="10:10" x14ac:dyDescent="0.3">
      <c r="J4710"/>
    </row>
    <row r="4711" spans="10:10" x14ac:dyDescent="0.3">
      <c r="J4711"/>
    </row>
    <row r="4712" spans="10:10" x14ac:dyDescent="0.3">
      <c r="J4712"/>
    </row>
    <row r="4713" spans="10:10" x14ac:dyDescent="0.3">
      <c r="J4713"/>
    </row>
    <row r="4714" spans="10:10" x14ac:dyDescent="0.3">
      <c r="J4714"/>
    </row>
    <row r="4715" spans="10:10" x14ac:dyDescent="0.3">
      <c r="J4715"/>
    </row>
    <row r="4716" spans="10:10" x14ac:dyDescent="0.3">
      <c r="J4716"/>
    </row>
    <row r="4717" spans="10:10" x14ac:dyDescent="0.3">
      <c r="J4717"/>
    </row>
    <row r="4718" spans="10:10" x14ac:dyDescent="0.3">
      <c r="J4718"/>
    </row>
    <row r="4719" spans="10:10" x14ac:dyDescent="0.3">
      <c r="J4719"/>
    </row>
    <row r="4720" spans="10:10" x14ac:dyDescent="0.3">
      <c r="J4720"/>
    </row>
    <row r="4721" spans="10:10" x14ac:dyDescent="0.3">
      <c r="J4721"/>
    </row>
    <row r="4722" spans="10:10" x14ac:dyDescent="0.3">
      <c r="J4722"/>
    </row>
    <row r="4723" spans="10:10" x14ac:dyDescent="0.3">
      <c r="J4723"/>
    </row>
    <row r="4724" spans="10:10" x14ac:dyDescent="0.3">
      <c r="J4724"/>
    </row>
    <row r="4725" spans="10:10" x14ac:dyDescent="0.3">
      <c r="J4725"/>
    </row>
    <row r="4726" spans="10:10" x14ac:dyDescent="0.3">
      <c r="J4726"/>
    </row>
    <row r="4727" spans="10:10" x14ac:dyDescent="0.3">
      <c r="J4727"/>
    </row>
    <row r="4728" spans="10:10" x14ac:dyDescent="0.3">
      <c r="J4728"/>
    </row>
    <row r="4729" spans="10:10" x14ac:dyDescent="0.3">
      <c r="J4729"/>
    </row>
    <row r="4730" spans="10:10" x14ac:dyDescent="0.3">
      <c r="J4730"/>
    </row>
    <row r="4731" spans="10:10" x14ac:dyDescent="0.3">
      <c r="J4731"/>
    </row>
    <row r="4732" spans="10:10" x14ac:dyDescent="0.3">
      <c r="J4732"/>
    </row>
    <row r="4733" spans="10:10" x14ac:dyDescent="0.3">
      <c r="J4733"/>
    </row>
    <row r="4734" spans="10:10" x14ac:dyDescent="0.3">
      <c r="J4734"/>
    </row>
    <row r="4735" spans="10:10" x14ac:dyDescent="0.3">
      <c r="J4735"/>
    </row>
    <row r="4736" spans="10:10" x14ac:dyDescent="0.3">
      <c r="J4736"/>
    </row>
    <row r="4737" spans="10:10" x14ac:dyDescent="0.3">
      <c r="J4737"/>
    </row>
    <row r="4738" spans="10:10" x14ac:dyDescent="0.3">
      <c r="J4738"/>
    </row>
    <row r="4739" spans="10:10" x14ac:dyDescent="0.3">
      <c r="J4739"/>
    </row>
    <row r="4740" spans="10:10" x14ac:dyDescent="0.3">
      <c r="J4740"/>
    </row>
    <row r="4741" spans="10:10" x14ac:dyDescent="0.3">
      <c r="J4741"/>
    </row>
    <row r="4742" spans="10:10" x14ac:dyDescent="0.3">
      <c r="J4742"/>
    </row>
    <row r="4743" spans="10:10" x14ac:dyDescent="0.3">
      <c r="J4743"/>
    </row>
    <row r="4744" spans="10:10" x14ac:dyDescent="0.3">
      <c r="J4744"/>
    </row>
    <row r="4745" spans="10:10" x14ac:dyDescent="0.3">
      <c r="J4745"/>
    </row>
    <row r="4746" spans="10:10" x14ac:dyDescent="0.3">
      <c r="J4746"/>
    </row>
    <row r="4747" spans="10:10" x14ac:dyDescent="0.3">
      <c r="J4747"/>
    </row>
    <row r="4748" spans="10:10" x14ac:dyDescent="0.3">
      <c r="J4748"/>
    </row>
    <row r="4749" spans="10:10" x14ac:dyDescent="0.3">
      <c r="J4749"/>
    </row>
    <row r="4750" spans="10:10" x14ac:dyDescent="0.3">
      <c r="J4750"/>
    </row>
    <row r="4751" spans="10:10" x14ac:dyDescent="0.3">
      <c r="J4751"/>
    </row>
    <row r="4752" spans="10:10" x14ac:dyDescent="0.3">
      <c r="J4752"/>
    </row>
    <row r="4753" spans="10:10" x14ac:dyDescent="0.3">
      <c r="J4753"/>
    </row>
    <row r="4754" spans="10:10" x14ac:dyDescent="0.3">
      <c r="J4754"/>
    </row>
    <row r="4755" spans="10:10" x14ac:dyDescent="0.3">
      <c r="J4755"/>
    </row>
    <row r="4756" spans="10:10" x14ac:dyDescent="0.3">
      <c r="J4756"/>
    </row>
    <row r="4757" spans="10:10" x14ac:dyDescent="0.3">
      <c r="J4757"/>
    </row>
    <row r="4758" spans="10:10" x14ac:dyDescent="0.3">
      <c r="J4758"/>
    </row>
    <row r="4759" spans="10:10" x14ac:dyDescent="0.3">
      <c r="J4759"/>
    </row>
    <row r="4760" spans="10:10" x14ac:dyDescent="0.3">
      <c r="J4760"/>
    </row>
    <row r="4761" spans="10:10" x14ac:dyDescent="0.3">
      <c r="J4761"/>
    </row>
    <row r="4762" spans="10:10" x14ac:dyDescent="0.3">
      <c r="J4762"/>
    </row>
    <row r="4763" spans="10:10" x14ac:dyDescent="0.3">
      <c r="J4763"/>
    </row>
    <row r="4764" spans="10:10" x14ac:dyDescent="0.3">
      <c r="J4764"/>
    </row>
    <row r="4765" spans="10:10" x14ac:dyDescent="0.3">
      <c r="J4765"/>
    </row>
    <row r="4766" spans="10:10" x14ac:dyDescent="0.3">
      <c r="J4766"/>
    </row>
    <row r="4767" spans="10:10" x14ac:dyDescent="0.3">
      <c r="J4767"/>
    </row>
    <row r="4768" spans="10:10" x14ac:dyDescent="0.3">
      <c r="J4768"/>
    </row>
    <row r="4769" spans="10:10" x14ac:dyDescent="0.3">
      <c r="J4769"/>
    </row>
    <row r="4770" spans="10:10" x14ac:dyDescent="0.3">
      <c r="J4770"/>
    </row>
    <row r="4771" spans="10:10" x14ac:dyDescent="0.3">
      <c r="J4771"/>
    </row>
    <row r="4772" spans="10:10" x14ac:dyDescent="0.3">
      <c r="J4772"/>
    </row>
    <row r="4773" spans="10:10" x14ac:dyDescent="0.3">
      <c r="J4773"/>
    </row>
    <row r="4774" spans="10:10" x14ac:dyDescent="0.3">
      <c r="J4774"/>
    </row>
    <row r="4775" spans="10:10" x14ac:dyDescent="0.3">
      <c r="J4775"/>
    </row>
    <row r="4776" spans="10:10" x14ac:dyDescent="0.3">
      <c r="J4776"/>
    </row>
    <row r="4777" spans="10:10" x14ac:dyDescent="0.3">
      <c r="J4777"/>
    </row>
    <row r="4778" spans="10:10" x14ac:dyDescent="0.3">
      <c r="J4778"/>
    </row>
    <row r="4779" spans="10:10" x14ac:dyDescent="0.3">
      <c r="J4779"/>
    </row>
    <row r="4780" spans="10:10" x14ac:dyDescent="0.3">
      <c r="J4780"/>
    </row>
    <row r="4781" spans="10:10" x14ac:dyDescent="0.3">
      <c r="J4781"/>
    </row>
    <row r="4782" spans="10:10" x14ac:dyDescent="0.3">
      <c r="J4782"/>
    </row>
    <row r="4783" spans="10:10" x14ac:dyDescent="0.3">
      <c r="J4783"/>
    </row>
    <row r="4784" spans="10:10" x14ac:dyDescent="0.3">
      <c r="J4784"/>
    </row>
    <row r="4785" spans="10:10" x14ac:dyDescent="0.3">
      <c r="J4785"/>
    </row>
    <row r="4786" spans="10:10" x14ac:dyDescent="0.3">
      <c r="J4786"/>
    </row>
    <row r="4787" spans="10:10" x14ac:dyDescent="0.3">
      <c r="J4787"/>
    </row>
    <row r="4788" spans="10:10" x14ac:dyDescent="0.3">
      <c r="J4788"/>
    </row>
    <row r="4789" spans="10:10" x14ac:dyDescent="0.3">
      <c r="J4789"/>
    </row>
    <row r="4790" spans="10:10" x14ac:dyDescent="0.3">
      <c r="J4790"/>
    </row>
    <row r="4791" spans="10:10" x14ac:dyDescent="0.3">
      <c r="J4791"/>
    </row>
    <row r="4792" spans="10:10" x14ac:dyDescent="0.3">
      <c r="J4792"/>
    </row>
    <row r="4793" spans="10:10" x14ac:dyDescent="0.3">
      <c r="J4793"/>
    </row>
    <row r="4794" spans="10:10" x14ac:dyDescent="0.3">
      <c r="J4794"/>
    </row>
    <row r="4795" spans="10:10" x14ac:dyDescent="0.3">
      <c r="J4795"/>
    </row>
    <row r="4796" spans="10:10" x14ac:dyDescent="0.3">
      <c r="J4796"/>
    </row>
    <row r="4797" spans="10:10" x14ac:dyDescent="0.3">
      <c r="J4797"/>
    </row>
    <row r="4798" spans="10:10" x14ac:dyDescent="0.3">
      <c r="J4798"/>
    </row>
    <row r="4799" spans="10:10" x14ac:dyDescent="0.3">
      <c r="J4799"/>
    </row>
    <row r="4800" spans="10:10" x14ac:dyDescent="0.3">
      <c r="J4800"/>
    </row>
    <row r="4801" spans="10:10" x14ac:dyDescent="0.3">
      <c r="J4801"/>
    </row>
    <row r="4802" spans="10:10" x14ac:dyDescent="0.3">
      <c r="J4802"/>
    </row>
    <row r="4803" spans="10:10" x14ac:dyDescent="0.3">
      <c r="J4803"/>
    </row>
    <row r="4804" spans="10:10" x14ac:dyDescent="0.3">
      <c r="J4804"/>
    </row>
    <row r="4805" spans="10:10" x14ac:dyDescent="0.3">
      <c r="J4805"/>
    </row>
    <row r="4806" spans="10:10" x14ac:dyDescent="0.3">
      <c r="J4806"/>
    </row>
    <row r="4807" spans="10:10" x14ac:dyDescent="0.3">
      <c r="J4807"/>
    </row>
    <row r="4808" spans="10:10" x14ac:dyDescent="0.3">
      <c r="J4808"/>
    </row>
    <row r="4809" spans="10:10" x14ac:dyDescent="0.3">
      <c r="J4809"/>
    </row>
    <row r="4810" spans="10:10" x14ac:dyDescent="0.3">
      <c r="J4810"/>
    </row>
    <row r="4811" spans="10:10" x14ac:dyDescent="0.3">
      <c r="J4811"/>
    </row>
    <row r="4812" spans="10:10" x14ac:dyDescent="0.3">
      <c r="J4812"/>
    </row>
    <row r="4813" spans="10:10" x14ac:dyDescent="0.3">
      <c r="J4813"/>
    </row>
    <row r="4814" spans="10:10" x14ac:dyDescent="0.3">
      <c r="J4814"/>
    </row>
    <row r="4815" spans="10:10" x14ac:dyDescent="0.3">
      <c r="J4815"/>
    </row>
    <row r="4816" spans="10:10" x14ac:dyDescent="0.3">
      <c r="J4816"/>
    </row>
    <row r="4817" spans="10:10" x14ac:dyDescent="0.3">
      <c r="J4817"/>
    </row>
    <row r="4818" spans="10:10" x14ac:dyDescent="0.3">
      <c r="J4818"/>
    </row>
    <row r="4819" spans="10:10" x14ac:dyDescent="0.3">
      <c r="J4819"/>
    </row>
    <row r="4820" spans="10:10" x14ac:dyDescent="0.3">
      <c r="J4820"/>
    </row>
    <row r="4821" spans="10:10" x14ac:dyDescent="0.3">
      <c r="J4821"/>
    </row>
    <row r="4822" spans="10:10" x14ac:dyDescent="0.3">
      <c r="J4822"/>
    </row>
    <row r="4823" spans="10:10" x14ac:dyDescent="0.3">
      <c r="J4823"/>
    </row>
    <row r="4824" spans="10:10" x14ac:dyDescent="0.3">
      <c r="J4824"/>
    </row>
    <row r="4825" spans="10:10" x14ac:dyDescent="0.3">
      <c r="J4825"/>
    </row>
    <row r="4826" spans="10:10" x14ac:dyDescent="0.3">
      <c r="J4826"/>
    </row>
    <row r="4827" spans="10:10" x14ac:dyDescent="0.3">
      <c r="J4827"/>
    </row>
    <row r="4828" spans="10:10" x14ac:dyDescent="0.3">
      <c r="J4828"/>
    </row>
    <row r="4829" spans="10:10" x14ac:dyDescent="0.3">
      <c r="J4829"/>
    </row>
    <row r="4830" spans="10:10" x14ac:dyDescent="0.3">
      <c r="J4830"/>
    </row>
    <row r="4831" spans="10:10" x14ac:dyDescent="0.3">
      <c r="J4831"/>
    </row>
    <row r="4832" spans="10:10" x14ac:dyDescent="0.3">
      <c r="J4832"/>
    </row>
    <row r="4833" spans="10:10" x14ac:dyDescent="0.3">
      <c r="J4833"/>
    </row>
    <row r="4834" spans="10:10" x14ac:dyDescent="0.3">
      <c r="J4834"/>
    </row>
    <row r="4835" spans="10:10" x14ac:dyDescent="0.3">
      <c r="J4835"/>
    </row>
    <row r="4836" spans="10:10" x14ac:dyDescent="0.3">
      <c r="J4836"/>
    </row>
    <row r="4837" spans="10:10" x14ac:dyDescent="0.3">
      <c r="J4837"/>
    </row>
    <row r="4838" spans="10:10" x14ac:dyDescent="0.3">
      <c r="J4838"/>
    </row>
    <row r="4839" spans="10:10" x14ac:dyDescent="0.3">
      <c r="J4839"/>
    </row>
    <row r="4840" spans="10:10" x14ac:dyDescent="0.3">
      <c r="J4840"/>
    </row>
    <row r="4841" spans="10:10" x14ac:dyDescent="0.3">
      <c r="J4841"/>
    </row>
    <row r="4842" spans="10:10" x14ac:dyDescent="0.3">
      <c r="J4842"/>
    </row>
    <row r="4843" spans="10:10" x14ac:dyDescent="0.3">
      <c r="J4843"/>
    </row>
    <row r="4844" spans="10:10" x14ac:dyDescent="0.3">
      <c r="J4844"/>
    </row>
    <row r="4845" spans="10:10" x14ac:dyDescent="0.3">
      <c r="J4845"/>
    </row>
    <row r="4846" spans="10:10" x14ac:dyDescent="0.3">
      <c r="J4846"/>
    </row>
    <row r="4847" spans="10:10" x14ac:dyDescent="0.3">
      <c r="J4847"/>
    </row>
    <row r="4848" spans="10:10" x14ac:dyDescent="0.3">
      <c r="J4848"/>
    </row>
    <row r="4849" spans="10:10" x14ac:dyDescent="0.3">
      <c r="J4849"/>
    </row>
    <row r="4850" spans="10:10" x14ac:dyDescent="0.3">
      <c r="J4850"/>
    </row>
    <row r="4851" spans="10:10" x14ac:dyDescent="0.3">
      <c r="J4851"/>
    </row>
    <row r="4852" spans="10:10" x14ac:dyDescent="0.3">
      <c r="J4852"/>
    </row>
    <row r="4853" spans="10:10" x14ac:dyDescent="0.3">
      <c r="J4853"/>
    </row>
    <row r="4854" spans="10:10" x14ac:dyDescent="0.3">
      <c r="J4854"/>
    </row>
    <row r="4855" spans="10:10" x14ac:dyDescent="0.3">
      <c r="J4855"/>
    </row>
    <row r="4856" spans="10:10" x14ac:dyDescent="0.3">
      <c r="J4856"/>
    </row>
    <row r="4857" spans="10:10" x14ac:dyDescent="0.3">
      <c r="J4857"/>
    </row>
    <row r="4858" spans="10:10" x14ac:dyDescent="0.3">
      <c r="J4858"/>
    </row>
    <row r="4859" spans="10:10" x14ac:dyDescent="0.3">
      <c r="J4859"/>
    </row>
    <row r="4860" spans="10:10" x14ac:dyDescent="0.3">
      <c r="J4860"/>
    </row>
    <row r="4861" spans="10:10" x14ac:dyDescent="0.3">
      <c r="J4861"/>
    </row>
    <row r="4862" spans="10:10" x14ac:dyDescent="0.3">
      <c r="J4862"/>
    </row>
    <row r="4863" spans="10:10" x14ac:dyDescent="0.3">
      <c r="J4863"/>
    </row>
    <row r="4864" spans="10:10" x14ac:dyDescent="0.3">
      <c r="J4864"/>
    </row>
    <row r="4865" spans="10:10" x14ac:dyDescent="0.3">
      <c r="J4865"/>
    </row>
    <row r="4866" spans="10:10" x14ac:dyDescent="0.3">
      <c r="J4866"/>
    </row>
    <row r="4867" spans="10:10" x14ac:dyDescent="0.3">
      <c r="J4867"/>
    </row>
    <row r="4868" spans="10:10" x14ac:dyDescent="0.3">
      <c r="J4868"/>
    </row>
    <row r="4869" spans="10:10" x14ac:dyDescent="0.3">
      <c r="J4869"/>
    </row>
    <row r="4870" spans="10:10" x14ac:dyDescent="0.3">
      <c r="J4870"/>
    </row>
    <row r="4871" spans="10:10" x14ac:dyDescent="0.3">
      <c r="J4871"/>
    </row>
    <row r="4872" spans="10:10" x14ac:dyDescent="0.3">
      <c r="J4872"/>
    </row>
    <row r="4873" spans="10:10" x14ac:dyDescent="0.3">
      <c r="J4873"/>
    </row>
    <row r="4874" spans="10:10" x14ac:dyDescent="0.3">
      <c r="J4874"/>
    </row>
    <row r="4875" spans="10:10" x14ac:dyDescent="0.3">
      <c r="J4875"/>
    </row>
    <row r="4876" spans="10:10" x14ac:dyDescent="0.3">
      <c r="J4876"/>
    </row>
    <row r="4877" spans="10:10" x14ac:dyDescent="0.3">
      <c r="J4877"/>
    </row>
    <row r="4878" spans="10:10" x14ac:dyDescent="0.3">
      <c r="J4878"/>
    </row>
    <row r="4879" spans="10:10" x14ac:dyDescent="0.3">
      <c r="J4879"/>
    </row>
    <row r="4880" spans="10:10" x14ac:dyDescent="0.3">
      <c r="J4880"/>
    </row>
    <row r="4881" spans="10:10" x14ac:dyDescent="0.3">
      <c r="J4881"/>
    </row>
    <row r="4882" spans="10:10" x14ac:dyDescent="0.3">
      <c r="J4882"/>
    </row>
    <row r="4883" spans="10:10" x14ac:dyDescent="0.3">
      <c r="J4883"/>
    </row>
    <row r="4884" spans="10:10" x14ac:dyDescent="0.3">
      <c r="J4884"/>
    </row>
    <row r="4885" spans="10:10" x14ac:dyDescent="0.3">
      <c r="J4885"/>
    </row>
    <row r="4886" spans="10:10" x14ac:dyDescent="0.3">
      <c r="J4886"/>
    </row>
    <row r="4887" spans="10:10" x14ac:dyDescent="0.3">
      <c r="J4887"/>
    </row>
    <row r="4888" spans="10:10" x14ac:dyDescent="0.3">
      <c r="J4888"/>
    </row>
    <row r="4889" spans="10:10" x14ac:dyDescent="0.3">
      <c r="J4889"/>
    </row>
    <row r="4890" spans="10:10" x14ac:dyDescent="0.3">
      <c r="J4890"/>
    </row>
    <row r="4891" spans="10:10" x14ac:dyDescent="0.3">
      <c r="J4891"/>
    </row>
    <row r="4892" spans="10:10" x14ac:dyDescent="0.3">
      <c r="J4892"/>
    </row>
    <row r="4893" spans="10:10" x14ac:dyDescent="0.3">
      <c r="J4893"/>
    </row>
    <row r="4894" spans="10:10" x14ac:dyDescent="0.3">
      <c r="J4894"/>
    </row>
    <row r="4895" spans="10:10" x14ac:dyDescent="0.3">
      <c r="J4895"/>
    </row>
    <row r="4896" spans="10:10" x14ac:dyDescent="0.3">
      <c r="J4896"/>
    </row>
    <row r="4897" spans="10:10" x14ac:dyDescent="0.3">
      <c r="J4897"/>
    </row>
    <row r="4898" spans="10:10" x14ac:dyDescent="0.3">
      <c r="J4898"/>
    </row>
    <row r="4899" spans="10:10" x14ac:dyDescent="0.3">
      <c r="J4899"/>
    </row>
    <row r="4900" spans="10:10" x14ac:dyDescent="0.3">
      <c r="J4900"/>
    </row>
    <row r="4901" spans="10:10" x14ac:dyDescent="0.3">
      <c r="J4901"/>
    </row>
    <row r="4902" spans="10:10" x14ac:dyDescent="0.3">
      <c r="J4902"/>
    </row>
    <row r="4903" spans="10:10" x14ac:dyDescent="0.3">
      <c r="J4903"/>
    </row>
    <row r="4904" spans="10:10" x14ac:dyDescent="0.3">
      <c r="J4904"/>
    </row>
    <row r="4905" spans="10:10" x14ac:dyDescent="0.3">
      <c r="J4905"/>
    </row>
    <row r="4906" spans="10:10" x14ac:dyDescent="0.3">
      <c r="J4906"/>
    </row>
    <row r="4907" spans="10:10" x14ac:dyDescent="0.3">
      <c r="J4907"/>
    </row>
    <row r="4908" spans="10:10" x14ac:dyDescent="0.3">
      <c r="J4908"/>
    </row>
    <row r="4909" spans="10:10" x14ac:dyDescent="0.3">
      <c r="J4909"/>
    </row>
    <row r="4910" spans="10:10" x14ac:dyDescent="0.3">
      <c r="J4910"/>
    </row>
    <row r="4911" spans="10:10" x14ac:dyDescent="0.3">
      <c r="J4911"/>
    </row>
    <row r="4912" spans="10:10" x14ac:dyDescent="0.3">
      <c r="J4912"/>
    </row>
    <row r="4913" spans="10:10" x14ac:dyDescent="0.3">
      <c r="J4913"/>
    </row>
    <row r="4914" spans="10:10" x14ac:dyDescent="0.3">
      <c r="J4914"/>
    </row>
    <row r="4915" spans="10:10" x14ac:dyDescent="0.3">
      <c r="J4915"/>
    </row>
    <row r="4916" spans="10:10" x14ac:dyDescent="0.3">
      <c r="J4916"/>
    </row>
    <row r="4917" spans="10:10" x14ac:dyDescent="0.3">
      <c r="J4917"/>
    </row>
    <row r="4918" spans="10:10" x14ac:dyDescent="0.3">
      <c r="J4918"/>
    </row>
    <row r="4919" spans="10:10" x14ac:dyDescent="0.3">
      <c r="J4919"/>
    </row>
    <row r="4920" spans="10:10" x14ac:dyDescent="0.3">
      <c r="J4920"/>
    </row>
    <row r="4921" spans="10:10" x14ac:dyDescent="0.3">
      <c r="J4921"/>
    </row>
    <row r="4922" spans="10:10" x14ac:dyDescent="0.3">
      <c r="J4922"/>
    </row>
    <row r="4923" spans="10:10" x14ac:dyDescent="0.3">
      <c r="J4923"/>
    </row>
    <row r="4924" spans="10:10" x14ac:dyDescent="0.3">
      <c r="J4924"/>
    </row>
    <row r="4925" spans="10:10" x14ac:dyDescent="0.3">
      <c r="J4925"/>
    </row>
    <row r="4926" spans="10:10" x14ac:dyDescent="0.3">
      <c r="J4926"/>
    </row>
    <row r="4927" spans="10:10" x14ac:dyDescent="0.3">
      <c r="J4927"/>
    </row>
    <row r="4928" spans="10:10" x14ac:dyDescent="0.3">
      <c r="J4928"/>
    </row>
    <row r="4929" spans="10:10" x14ac:dyDescent="0.3">
      <c r="J4929"/>
    </row>
    <row r="4930" spans="10:10" x14ac:dyDescent="0.3">
      <c r="J4930"/>
    </row>
    <row r="4931" spans="10:10" x14ac:dyDescent="0.3">
      <c r="J4931"/>
    </row>
    <row r="4932" spans="10:10" x14ac:dyDescent="0.3">
      <c r="J4932"/>
    </row>
    <row r="4933" spans="10:10" x14ac:dyDescent="0.3">
      <c r="J4933"/>
    </row>
    <row r="4934" spans="10:10" x14ac:dyDescent="0.3">
      <c r="J4934"/>
    </row>
    <row r="4935" spans="10:10" x14ac:dyDescent="0.3">
      <c r="J4935"/>
    </row>
    <row r="4936" spans="10:10" x14ac:dyDescent="0.3">
      <c r="J4936"/>
    </row>
    <row r="4937" spans="10:10" x14ac:dyDescent="0.3">
      <c r="J4937"/>
    </row>
    <row r="4938" spans="10:10" x14ac:dyDescent="0.3">
      <c r="J4938"/>
    </row>
    <row r="4939" spans="10:10" x14ac:dyDescent="0.3">
      <c r="J4939"/>
    </row>
    <row r="4940" spans="10:10" x14ac:dyDescent="0.3">
      <c r="J4940"/>
    </row>
    <row r="4941" spans="10:10" x14ac:dyDescent="0.3">
      <c r="J4941"/>
    </row>
    <row r="4942" spans="10:10" x14ac:dyDescent="0.3">
      <c r="J4942"/>
    </row>
    <row r="4943" spans="10:10" x14ac:dyDescent="0.3">
      <c r="J4943"/>
    </row>
    <row r="4944" spans="10:10" x14ac:dyDescent="0.3">
      <c r="J4944"/>
    </row>
    <row r="4945" spans="10:10" x14ac:dyDescent="0.3">
      <c r="J4945"/>
    </row>
    <row r="4946" spans="10:10" x14ac:dyDescent="0.3">
      <c r="J4946"/>
    </row>
    <row r="4947" spans="10:10" x14ac:dyDescent="0.3">
      <c r="J4947"/>
    </row>
    <row r="4948" spans="10:10" x14ac:dyDescent="0.3">
      <c r="J4948"/>
    </row>
    <row r="4949" spans="10:10" x14ac:dyDescent="0.3">
      <c r="J4949"/>
    </row>
    <row r="4950" spans="10:10" x14ac:dyDescent="0.3">
      <c r="J4950"/>
    </row>
    <row r="4951" spans="10:10" x14ac:dyDescent="0.3">
      <c r="J4951"/>
    </row>
    <row r="4952" spans="10:10" x14ac:dyDescent="0.3">
      <c r="J4952"/>
    </row>
    <row r="4953" spans="10:10" x14ac:dyDescent="0.3">
      <c r="J4953"/>
    </row>
    <row r="4954" spans="10:10" x14ac:dyDescent="0.3">
      <c r="J4954"/>
    </row>
    <row r="4955" spans="10:10" x14ac:dyDescent="0.3">
      <c r="J4955"/>
    </row>
    <row r="4956" spans="10:10" x14ac:dyDescent="0.3">
      <c r="J4956"/>
    </row>
    <row r="4957" spans="10:10" x14ac:dyDescent="0.3">
      <c r="J4957"/>
    </row>
    <row r="4958" spans="10:10" x14ac:dyDescent="0.3">
      <c r="J4958"/>
    </row>
    <row r="4959" spans="10:10" x14ac:dyDescent="0.3">
      <c r="J4959"/>
    </row>
    <row r="4960" spans="10:10" x14ac:dyDescent="0.3">
      <c r="J4960"/>
    </row>
    <row r="4961" spans="10:10" x14ac:dyDescent="0.3">
      <c r="J4961"/>
    </row>
    <row r="4962" spans="10:10" x14ac:dyDescent="0.3">
      <c r="J4962"/>
    </row>
    <row r="4963" spans="10:10" x14ac:dyDescent="0.3">
      <c r="J4963"/>
    </row>
    <row r="4964" spans="10:10" x14ac:dyDescent="0.3">
      <c r="J4964"/>
    </row>
    <row r="4965" spans="10:10" x14ac:dyDescent="0.3">
      <c r="J4965"/>
    </row>
    <row r="4966" spans="10:10" x14ac:dyDescent="0.3">
      <c r="J4966"/>
    </row>
    <row r="4967" spans="10:10" x14ac:dyDescent="0.3">
      <c r="J4967"/>
    </row>
    <row r="4968" spans="10:10" x14ac:dyDescent="0.3">
      <c r="J4968"/>
    </row>
    <row r="4969" spans="10:10" x14ac:dyDescent="0.3">
      <c r="J4969"/>
    </row>
    <row r="4970" spans="10:10" x14ac:dyDescent="0.3">
      <c r="J4970"/>
    </row>
    <row r="4971" spans="10:10" x14ac:dyDescent="0.3">
      <c r="J4971"/>
    </row>
    <row r="4972" spans="10:10" x14ac:dyDescent="0.3">
      <c r="J4972"/>
    </row>
    <row r="4973" spans="10:10" x14ac:dyDescent="0.3">
      <c r="J4973"/>
    </row>
    <row r="4974" spans="10:10" x14ac:dyDescent="0.3">
      <c r="J4974"/>
    </row>
    <row r="4975" spans="10:10" x14ac:dyDescent="0.3">
      <c r="J4975"/>
    </row>
    <row r="4976" spans="10:10" x14ac:dyDescent="0.3">
      <c r="J4976"/>
    </row>
    <row r="4977" spans="10:10" x14ac:dyDescent="0.3">
      <c r="J4977"/>
    </row>
    <row r="4978" spans="10:10" x14ac:dyDescent="0.3">
      <c r="J4978"/>
    </row>
    <row r="4979" spans="10:10" x14ac:dyDescent="0.3">
      <c r="J4979"/>
    </row>
    <row r="4980" spans="10:10" x14ac:dyDescent="0.3">
      <c r="J4980"/>
    </row>
    <row r="4981" spans="10:10" x14ac:dyDescent="0.3">
      <c r="J4981"/>
    </row>
    <row r="4982" spans="10:10" x14ac:dyDescent="0.3">
      <c r="J4982"/>
    </row>
    <row r="4983" spans="10:10" x14ac:dyDescent="0.3">
      <c r="J4983"/>
    </row>
    <row r="4984" spans="10:10" x14ac:dyDescent="0.3">
      <c r="J4984"/>
    </row>
    <row r="4985" spans="10:10" x14ac:dyDescent="0.3">
      <c r="J4985"/>
    </row>
    <row r="4986" spans="10:10" x14ac:dyDescent="0.3">
      <c r="J4986"/>
    </row>
    <row r="4987" spans="10:10" x14ac:dyDescent="0.3">
      <c r="J4987"/>
    </row>
    <row r="4988" spans="10:10" x14ac:dyDescent="0.3">
      <c r="J4988"/>
    </row>
    <row r="4989" spans="10:10" x14ac:dyDescent="0.3">
      <c r="J4989"/>
    </row>
    <row r="4990" spans="10:10" x14ac:dyDescent="0.3">
      <c r="J4990"/>
    </row>
    <row r="4991" spans="10:10" x14ac:dyDescent="0.3">
      <c r="J4991"/>
    </row>
    <row r="4992" spans="10:10" x14ac:dyDescent="0.3">
      <c r="J4992"/>
    </row>
    <row r="4993" spans="10:10" x14ac:dyDescent="0.3">
      <c r="J4993"/>
    </row>
    <row r="4994" spans="10:10" x14ac:dyDescent="0.3">
      <c r="J4994"/>
    </row>
    <row r="4995" spans="10:10" x14ac:dyDescent="0.3">
      <c r="J4995"/>
    </row>
    <row r="4996" spans="10:10" x14ac:dyDescent="0.3">
      <c r="J4996"/>
    </row>
    <row r="4997" spans="10:10" x14ac:dyDescent="0.3">
      <c r="J4997"/>
    </row>
    <row r="4998" spans="10:10" x14ac:dyDescent="0.3">
      <c r="J4998"/>
    </row>
    <row r="4999" spans="10:10" x14ac:dyDescent="0.3">
      <c r="J4999"/>
    </row>
    <row r="5000" spans="10:10" x14ac:dyDescent="0.3">
      <c r="J5000"/>
    </row>
    <row r="5001" spans="10:10" x14ac:dyDescent="0.3">
      <c r="J5001"/>
    </row>
    <row r="5002" spans="10:10" x14ac:dyDescent="0.3">
      <c r="J5002"/>
    </row>
    <row r="5003" spans="10:10" x14ac:dyDescent="0.3">
      <c r="J5003"/>
    </row>
    <row r="5004" spans="10:10" x14ac:dyDescent="0.3">
      <c r="J5004"/>
    </row>
    <row r="5005" spans="10:10" x14ac:dyDescent="0.3">
      <c r="J5005"/>
    </row>
    <row r="5006" spans="10:10" x14ac:dyDescent="0.3">
      <c r="J5006"/>
    </row>
    <row r="5007" spans="10:10" x14ac:dyDescent="0.3">
      <c r="J5007"/>
    </row>
    <row r="5008" spans="10:10" x14ac:dyDescent="0.3">
      <c r="J5008"/>
    </row>
    <row r="5009" spans="10:10" x14ac:dyDescent="0.3">
      <c r="J5009"/>
    </row>
    <row r="5010" spans="10:10" x14ac:dyDescent="0.3">
      <c r="J5010"/>
    </row>
    <row r="5011" spans="10:10" x14ac:dyDescent="0.3">
      <c r="J5011"/>
    </row>
    <row r="5012" spans="10:10" x14ac:dyDescent="0.3">
      <c r="J5012"/>
    </row>
    <row r="5013" spans="10:10" x14ac:dyDescent="0.3">
      <c r="J5013"/>
    </row>
    <row r="5014" spans="10:10" x14ac:dyDescent="0.3">
      <c r="J5014"/>
    </row>
    <row r="5015" spans="10:10" x14ac:dyDescent="0.3">
      <c r="J5015"/>
    </row>
    <row r="5016" spans="10:10" x14ac:dyDescent="0.3">
      <c r="J5016"/>
    </row>
    <row r="5017" spans="10:10" x14ac:dyDescent="0.3">
      <c r="J5017"/>
    </row>
    <row r="5018" spans="10:10" x14ac:dyDescent="0.3">
      <c r="J5018"/>
    </row>
    <row r="5019" spans="10:10" x14ac:dyDescent="0.3">
      <c r="J5019"/>
    </row>
    <row r="5020" spans="10:10" x14ac:dyDescent="0.3">
      <c r="J5020"/>
    </row>
    <row r="5021" spans="10:10" x14ac:dyDescent="0.3">
      <c r="J5021"/>
    </row>
    <row r="5022" spans="10:10" x14ac:dyDescent="0.3">
      <c r="J5022"/>
    </row>
    <row r="5023" spans="10:10" x14ac:dyDescent="0.3">
      <c r="J5023"/>
    </row>
    <row r="5024" spans="10:10" x14ac:dyDescent="0.3">
      <c r="J5024"/>
    </row>
    <row r="5025" spans="10:10" x14ac:dyDescent="0.3">
      <c r="J5025"/>
    </row>
    <row r="5026" spans="10:10" x14ac:dyDescent="0.3">
      <c r="J5026"/>
    </row>
    <row r="5027" spans="10:10" x14ac:dyDescent="0.3">
      <c r="J5027"/>
    </row>
    <row r="5028" spans="10:10" x14ac:dyDescent="0.3">
      <c r="J5028"/>
    </row>
    <row r="5029" spans="10:10" x14ac:dyDescent="0.3">
      <c r="J5029"/>
    </row>
    <row r="5030" spans="10:10" x14ac:dyDescent="0.3">
      <c r="J5030"/>
    </row>
    <row r="5031" spans="10:10" x14ac:dyDescent="0.3">
      <c r="J5031"/>
    </row>
    <row r="5032" spans="10:10" x14ac:dyDescent="0.3">
      <c r="J5032"/>
    </row>
    <row r="5033" spans="10:10" x14ac:dyDescent="0.3">
      <c r="J5033"/>
    </row>
    <row r="5034" spans="10:10" x14ac:dyDescent="0.3">
      <c r="J5034"/>
    </row>
    <row r="5035" spans="10:10" x14ac:dyDescent="0.3">
      <c r="J5035"/>
    </row>
    <row r="5036" spans="10:10" x14ac:dyDescent="0.3">
      <c r="J5036"/>
    </row>
    <row r="5037" spans="10:10" x14ac:dyDescent="0.3">
      <c r="J5037"/>
    </row>
    <row r="5038" spans="10:10" x14ac:dyDescent="0.3">
      <c r="J5038"/>
    </row>
    <row r="5039" spans="10:10" x14ac:dyDescent="0.3">
      <c r="J5039"/>
    </row>
    <row r="5040" spans="10:10" x14ac:dyDescent="0.3">
      <c r="J5040"/>
    </row>
    <row r="5041" spans="10:10" x14ac:dyDescent="0.3">
      <c r="J5041"/>
    </row>
    <row r="5042" spans="10:10" x14ac:dyDescent="0.3">
      <c r="J5042"/>
    </row>
    <row r="5043" spans="10:10" x14ac:dyDescent="0.3">
      <c r="J5043"/>
    </row>
    <row r="5044" spans="10:10" x14ac:dyDescent="0.3">
      <c r="J5044"/>
    </row>
    <row r="5045" spans="10:10" x14ac:dyDescent="0.3">
      <c r="J5045"/>
    </row>
    <row r="5046" spans="10:10" x14ac:dyDescent="0.3">
      <c r="J5046"/>
    </row>
    <row r="5047" spans="10:10" x14ac:dyDescent="0.3">
      <c r="J5047"/>
    </row>
    <row r="5048" spans="10:10" x14ac:dyDescent="0.3">
      <c r="J5048"/>
    </row>
    <row r="5049" spans="10:10" x14ac:dyDescent="0.3">
      <c r="J5049"/>
    </row>
    <row r="5050" spans="10:10" x14ac:dyDescent="0.3">
      <c r="J5050"/>
    </row>
    <row r="5051" spans="10:10" x14ac:dyDescent="0.3">
      <c r="J5051"/>
    </row>
    <row r="5052" spans="10:10" x14ac:dyDescent="0.3">
      <c r="J5052"/>
    </row>
    <row r="5053" spans="10:10" x14ac:dyDescent="0.3">
      <c r="J5053"/>
    </row>
    <row r="5054" spans="10:10" x14ac:dyDescent="0.3">
      <c r="J5054"/>
    </row>
    <row r="5055" spans="10:10" x14ac:dyDescent="0.3">
      <c r="J5055"/>
    </row>
    <row r="5056" spans="10:10" x14ac:dyDescent="0.3">
      <c r="J5056"/>
    </row>
    <row r="5057" spans="10:10" x14ac:dyDescent="0.3">
      <c r="J5057"/>
    </row>
    <row r="5058" spans="10:10" x14ac:dyDescent="0.3">
      <c r="J5058"/>
    </row>
    <row r="5059" spans="10:10" x14ac:dyDescent="0.3">
      <c r="J5059"/>
    </row>
    <row r="5060" spans="10:10" x14ac:dyDescent="0.3">
      <c r="J5060"/>
    </row>
    <row r="5061" spans="10:10" x14ac:dyDescent="0.3">
      <c r="J5061"/>
    </row>
    <row r="5062" spans="10:10" x14ac:dyDescent="0.3">
      <c r="J5062"/>
    </row>
    <row r="5063" spans="10:10" x14ac:dyDescent="0.3">
      <c r="J5063"/>
    </row>
    <row r="5064" spans="10:10" x14ac:dyDescent="0.3">
      <c r="J5064"/>
    </row>
    <row r="5065" spans="10:10" x14ac:dyDescent="0.3">
      <c r="J5065"/>
    </row>
    <row r="5066" spans="10:10" x14ac:dyDescent="0.3">
      <c r="J5066"/>
    </row>
    <row r="5067" spans="10:10" x14ac:dyDescent="0.3">
      <c r="J5067"/>
    </row>
    <row r="5068" spans="10:10" x14ac:dyDescent="0.3">
      <c r="J5068"/>
    </row>
    <row r="5069" spans="10:10" x14ac:dyDescent="0.3">
      <c r="J5069"/>
    </row>
    <row r="5070" spans="10:10" x14ac:dyDescent="0.3">
      <c r="J5070"/>
    </row>
    <row r="5071" spans="10:10" x14ac:dyDescent="0.3">
      <c r="J5071"/>
    </row>
    <row r="5072" spans="10:10" x14ac:dyDescent="0.3">
      <c r="J5072"/>
    </row>
    <row r="5073" spans="10:10" x14ac:dyDescent="0.3">
      <c r="J5073"/>
    </row>
    <row r="5074" spans="10:10" x14ac:dyDescent="0.3">
      <c r="J5074"/>
    </row>
    <row r="5075" spans="10:10" x14ac:dyDescent="0.3">
      <c r="J5075"/>
    </row>
    <row r="5076" spans="10:10" x14ac:dyDescent="0.3">
      <c r="J5076"/>
    </row>
    <row r="5077" spans="10:10" x14ac:dyDescent="0.3">
      <c r="J5077"/>
    </row>
    <row r="5078" spans="10:10" x14ac:dyDescent="0.3">
      <c r="J5078"/>
    </row>
    <row r="5079" spans="10:10" x14ac:dyDescent="0.3">
      <c r="J5079"/>
    </row>
    <row r="5080" spans="10:10" x14ac:dyDescent="0.3">
      <c r="J5080"/>
    </row>
    <row r="5081" spans="10:10" x14ac:dyDescent="0.3">
      <c r="J5081"/>
    </row>
    <row r="5082" spans="10:10" x14ac:dyDescent="0.3">
      <c r="J5082"/>
    </row>
    <row r="5083" spans="10:10" x14ac:dyDescent="0.3">
      <c r="J5083"/>
    </row>
    <row r="5084" spans="10:10" x14ac:dyDescent="0.3">
      <c r="J5084"/>
    </row>
    <row r="5085" spans="10:10" x14ac:dyDescent="0.3">
      <c r="J5085"/>
    </row>
    <row r="5086" spans="10:10" x14ac:dyDescent="0.3">
      <c r="J5086"/>
    </row>
    <row r="5087" spans="10:10" x14ac:dyDescent="0.3">
      <c r="J5087"/>
    </row>
    <row r="5088" spans="10:10" x14ac:dyDescent="0.3">
      <c r="J5088"/>
    </row>
    <row r="5089" spans="10:10" x14ac:dyDescent="0.3">
      <c r="J5089"/>
    </row>
    <row r="5090" spans="10:10" x14ac:dyDescent="0.3">
      <c r="J5090"/>
    </row>
    <row r="5091" spans="10:10" x14ac:dyDescent="0.3">
      <c r="J5091"/>
    </row>
    <row r="5092" spans="10:10" x14ac:dyDescent="0.3">
      <c r="J5092"/>
    </row>
    <row r="5093" spans="10:10" x14ac:dyDescent="0.3">
      <c r="J5093"/>
    </row>
    <row r="5094" spans="10:10" x14ac:dyDescent="0.3">
      <c r="J5094"/>
    </row>
    <row r="5095" spans="10:10" x14ac:dyDescent="0.3">
      <c r="J5095"/>
    </row>
    <row r="5096" spans="10:10" x14ac:dyDescent="0.3">
      <c r="J5096"/>
    </row>
    <row r="5097" spans="10:10" x14ac:dyDescent="0.3">
      <c r="J5097"/>
    </row>
    <row r="5098" spans="10:10" x14ac:dyDescent="0.3">
      <c r="J5098"/>
    </row>
    <row r="5099" spans="10:10" x14ac:dyDescent="0.3">
      <c r="J5099"/>
    </row>
    <row r="5100" spans="10:10" x14ac:dyDescent="0.3">
      <c r="J5100"/>
    </row>
    <row r="5101" spans="10:10" x14ac:dyDescent="0.3">
      <c r="J5101"/>
    </row>
    <row r="5102" spans="10:10" x14ac:dyDescent="0.3">
      <c r="J5102"/>
    </row>
    <row r="5103" spans="10:10" x14ac:dyDescent="0.3">
      <c r="J5103"/>
    </row>
    <row r="5104" spans="10:10" x14ac:dyDescent="0.3">
      <c r="J5104"/>
    </row>
    <row r="5105" spans="10:10" x14ac:dyDescent="0.3">
      <c r="J5105"/>
    </row>
    <row r="5106" spans="10:10" x14ac:dyDescent="0.3">
      <c r="J5106"/>
    </row>
    <row r="5107" spans="10:10" x14ac:dyDescent="0.3">
      <c r="J5107"/>
    </row>
    <row r="5108" spans="10:10" x14ac:dyDescent="0.3">
      <c r="J5108"/>
    </row>
    <row r="5109" spans="10:10" x14ac:dyDescent="0.3">
      <c r="J5109"/>
    </row>
    <row r="5110" spans="10:10" x14ac:dyDescent="0.3">
      <c r="J5110"/>
    </row>
    <row r="5111" spans="10:10" x14ac:dyDescent="0.3">
      <c r="J5111"/>
    </row>
    <row r="5112" spans="10:10" x14ac:dyDescent="0.3">
      <c r="J5112"/>
    </row>
    <row r="5113" spans="10:10" x14ac:dyDescent="0.3">
      <c r="J5113"/>
    </row>
    <row r="5114" spans="10:10" x14ac:dyDescent="0.3">
      <c r="J5114"/>
    </row>
    <row r="5115" spans="10:10" x14ac:dyDescent="0.3">
      <c r="J5115"/>
    </row>
    <row r="5116" spans="10:10" x14ac:dyDescent="0.3">
      <c r="J5116"/>
    </row>
    <row r="5117" spans="10:10" x14ac:dyDescent="0.3">
      <c r="J5117"/>
    </row>
    <row r="5118" spans="10:10" x14ac:dyDescent="0.3">
      <c r="J5118"/>
    </row>
    <row r="5119" spans="10:10" x14ac:dyDescent="0.3">
      <c r="J5119"/>
    </row>
    <row r="5120" spans="10:10" x14ac:dyDescent="0.3">
      <c r="J5120"/>
    </row>
    <row r="5121" spans="10:10" x14ac:dyDescent="0.3">
      <c r="J5121"/>
    </row>
    <row r="5122" spans="10:10" x14ac:dyDescent="0.3">
      <c r="J5122"/>
    </row>
    <row r="5123" spans="10:10" x14ac:dyDescent="0.3">
      <c r="J5123"/>
    </row>
    <row r="5124" spans="10:10" x14ac:dyDescent="0.3">
      <c r="J5124"/>
    </row>
    <row r="5125" spans="10:10" x14ac:dyDescent="0.3">
      <c r="J5125"/>
    </row>
    <row r="5126" spans="10:10" x14ac:dyDescent="0.3">
      <c r="J5126"/>
    </row>
    <row r="5127" spans="10:10" x14ac:dyDescent="0.3">
      <c r="J5127"/>
    </row>
    <row r="5128" spans="10:10" x14ac:dyDescent="0.3">
      <c r="J5128"/>
    </row>
    <row r="5129" spans="10:10" x14ac:dyDescent="0.3">
      <c r="J5129"/>
    </row>
    <row r="5130" spans="10:10" x14ac:dyDescent="0.3">
      <c r="J5130"/>
    </row>
    <row r="5131" spans="10:10" x14ac:dyDescent="0.3">
      <c r="J5131"/>
    </row>
    <row r="5132" spans="10:10" x14ac:dyDescent="0.3">
      <c r="J5132"/>
    </row>
    <row r="5133" spans="10:10" x14ac:dyDescent="0.3">
      <c r="J5133"/>
    </row>
    <row r="5134" spans="10:10" x14ac:dyDescent="0.3">
      <c r="J5134"/>
    </row>
    <row r="5135" spans="10:10" x14ac:dyDescent="0.3">
      <c r="J5135"/>
    </row>
    <row r="5136" spans="10:10" x14ac:dyDescent="0.3">
      <c r="J5136"/>
    </row>
    <row r="5137" spans="10:10" x14ac:dyDescent="0.3">
      <c r="J5137"/>
    </row>
    <row r="5138" spans="10:10" x14ac:dyDescent="0.3">
      <c r="J5138"/>
    </row>
    <row r="5139" spans="10:10" x14ac:dyDescent="0.3">
      <c r="J5139"/>
    </row>
    <row r="5140" spans="10:10" x14ac:dyDescent="0.3">
      <c r="J5140"/>
    </row>
    <row r="5141" spans="10:10" x14ac:dyDescent="0.3">
      <c r="J5141"/>
    </row>
    <row r="5142" spans="10:10" x14ac:dyDescent="0.3">
      <c r="J5142"/>
    </row>
    <row r="5143" spans="10:10" x14ac:dyDescent="0.3">
      <c r="J5143"/>
    </row>
    <row r="5144" spans="10:10" x14ac:dyDescent="0.3">
      <c r="J5144"/>
    </row>
    <row r="5145" spans="10:10" x14ac:dyDescent="0.3">
      <c r="J5145"/>
    </row>
    <row r="5146" spans="10:10" x14ac:dyDescent="0.3">
      <c r="J5146"/>
    </row>
    <row r="5147" spans="10:10" x14ac:dyDescent="0.3">
      <c r="J5147"/>
    </row>
    <row r="5148" spans="10:10" x14ac:dyDescent="0.3">
      <c r="J5148"/>
    </row>
    <row r="5149" spans="10:10" x14ac:dyDescent="0.3">
      <c r="J5149"/>
    </row>
    <row r="5150" spans="10:10" x14ac:dyDescent="0.3">
      <c r="J5150"/>
    </row>
    <row r="5151" spans="10:10" x14ac:dyDescent="0.3">
      <c r="J5151"/>
    </row>
    <row r="5152" spans="10:10" x14ac:dyDescent="0.3">
      <c r="J5152"/>
    </row>
    <row r="5153" spans="10:10" x14ac:dyDescent="0.3">
      <c r="J5153"/>
    </row>
    <row r="5154" spans="10:10" x14ac:dyDescent="0.3">
      <c r="J5154"/>
    </row>
    <row r="5155" spans="10:10" x14ac:dyDescent="0.3">
      <c r="J5155"/>
    </row>
    <row r="5156" spans="10:10" x14ac:dyDescent="0.3">
      <c r="J5156"/>
    </row>
    <row r="5157" spans="10:10" x14ac:dyDescent="0.3">
      <c r="J5157"/>
    </row>
    <row r="5158" spans="10:10" x14ac:dyDescent="0.3">
      <c r="J5158"/>
    </row>
    <row r="5159" spans="10:10" x14ac:dyDescent="0.3">
      <c r="J5159"/>
    </row>
    <row r="5160" spans="10:10" x14ac:dyDescent="0.3">
      <c r="J5160"/>
    </row>
    <row r="5161" spans="10:10" x14ac:dyDescent="0.3">
      <c r="J5161"/>
    </row>
    <row r="5162" spans="10:10" x14ac:dyDescent="0.3">
      <c r="J5162"/>
    </row>
    <row r="5163" spans="10:10" x14ac:dyDescent="0.3">
      <c r="J5163"/>
    </row>
    <row r="5164" spans="10:10" x14ac:dyDescent="0.3">
      <c r="J5164"/>
    </row>
    <row r="5165" spans="10:10" x14ac:dyDescent="0.3">
      <c r="J5165"/>
    </row>
    <row r="5166" spans="10:10" x14ac:dyDescent="0.3">
      <c r="J5166"/>
    </row>
    <row r="5167" spans="10:10" x14ac:dyDescent="0.3">
      <c r="J5167"/>
    </row>
    <row r="5168" spans="10:10" x14ac:dyDescent="0.3">
      <c r="J5168"/>
    </row>
    <row r="5169" spans="10:10" x14ac:dyDescent="0.3">
      <c r="J5169"/>
    </row>
    <row r="5170" spans="10:10" x14ac:dyDescent="0.3">
      <c r="J5170"/>
    </row>
    <row r="5171" spans="10:10" x14ac:dyDescent="0.3">
      <c r="J5171"/>
    </row>
    <row r="5172" spans="10:10" x14ac:dyDescent="0.3">
      <c r="J5172"/>
    </row>
    <row r="5173" spans="10:10" x14ac:dyDescent="0.3">
      <c r="J5173"/>
    </row>
    <row r="5174" spans="10:10" x14ac:dyDescent="0.3">
      <c r="J5174"/>
    </row>
    <row r="5175" spans="10:10" x14ac:dyDescent="0.3">
      <c r="J5175"/>
    </row>
    <row r="5176" spans="10:10" x14ac:dyDescent="0.3">
      <c r="J5176"/>
    </row>
    <row r="5177" spans="10:10" x14ac:dyDescent="0.3">
      <c r="J5177"/>
    </row>
    <row r="5178" spans="10:10" x14ac:dyDescent="0.3">
      <c r="J5178"/>
    </row>
    <row r="5179" spans="10:10" x14ac:dyDescent="0.3">
      <c r="J5179"/>
    </row>
    <row r="5180" spans="10:10" x14ac:dyDescent="0.3">
      <c r="J5180"/>
    </row>
    <row r="5181" spans="10:10" x14ac:dyDescent="0.3">
      <c r="J5181"/>
    </row>
    <row r="5182" spans="10:10" x14ac:dyDescent="0.3">
      <c r="J5182"/>
    </row>
    <row r="5183" spans="10:10" x14ac:dyDescent="0.3">
      <c r="J5183"/>
    </row>
    <row r="5184" spans="10:10" x14ac:dyDescent="0.3">
      <c r="J5184"/>
    </row>
    <row r="5185" spans="10:10" x14ac:dyDescent="0.3">
      <c r="J5185"/>
    </row>
    <row r="5186" spans="10:10" x14ac:dyDescent="0.3">
      <c r="J5186"/>
    </row>
    <row r="5187" spans="10:10" x14ac:dyDescent="0.3">
      <c r="J5187"/>
    </row>
    <row r="5188" spans="10:10" x14ac:dyDescent="0.3">
      <c r="J5188"/>
    </row>
    <row r="5189" spans="10:10" x14ac:dyDescent="0.3">
      <c r="J5189"/>
    </row>
    <row r="5190" spans="10:10" x14ac:dyDescent="0.3">
      <c r="J5190"/>
    </row>
    <row r="5191" spans="10:10" x14ac:dyDescent="0.3">
      <c r="J5191"/>
    </row>
    <row r="5192" spans="10:10" x14ac:dyDescent="0.3">
      <c r="J5192"/>
    </row>
    <row r="5193" spans="10:10" x14ac:dyDescent="0.3">
      <c r="J5193"/>
    </row>
    <row r="5194" spans="10:10" x14ac:dyDescent="0.3">
      <c r="J5194"/>
    </row>
    <row r="5195" spans="10:10" x14ac:dyDescent="0.3">
      <c r="J5195"/>
    </row>
    <row r="5196" spans="10:10" x14ac:dyDescent="0.3">
      <c r="J5196"/>
    </row>
    <row r="5197" spans="10:10" x14ac:dyDescent="0.3">
      <c r="J5197"/>
    </row>
    <row r="5198" spans="10:10" x14ac:dyDescent="0.3">
      <c r="J5198"/>
    </row>
    <row r="5199" spans="10:10" x14ac:dyDescent="0.3">
      <c r="J5199"/>
    </row>
    <row r="5200" spans="10:10" x14ac:dyDescent="0.3">
      <c r="J5200"/>
    </row>
    <row r="5201" spans="10:10" x14ac:dyDescent="0.3">
      <c r="J5201"/>
    </row>
    <row r="5202" spans="10:10" x14ac:dyDescent="0.3">
      <c r="J5202"/>
    </row>
    <row r="5203" spans="10:10" x14ac:dyDescent="0.3">
      <c r="J5203"/>
    </row>
    <row r="5204" spans="10:10" x14ac:dyDescent="0.3">
      <c r="J5204"/>
    </row>
    <row r="5205" spans="10:10" x14ac:dyDescent="0.3">
      <c r="J5205"/>
    </row>
    <row r="5206" spans="10:10" x14ac:dyDescent="0.3">
      <c r="J5206"/>
    </row>
    <row r="5207" spans="10:10" x14ac:dyDescent="0.3">
      <c r="J5207"/>
    </row>
    <row r="5208" spans="10:10" x14ac:dyDescent="0.3">
      <c r="J5208"/>
    </row>
    <row r="5209" spans="10:10" x14ac:dyDescent="0.3">
      <c r="J5209"/>
    </row>
    <row r="5210" spans="10:10" x14ac:dyDescent="0.3">
      <c r="J5210"/>
    </row>
    <row r="5211" spans="10:10" x14ac:dyDescent="0.3">
      <c r="J5211"/>
    </row>
    <row r="5212" spans="10:10" x14ac:dyDescent="0.3">
      <c r="J5212"/>
    </row>
    <row r="5213" spans="10:10" x14ac:dyDescent="0.3">
      <c r="J5213"/>
    </row>
    <row r="5214" spans="10:10" x14ac:dyDescent="0.3">
      <c r="J5214"/>
    </row>
    <row r="5215" spans="10:10" x14ac:dyDescent="0.3">
      <c r="J5215"/>
    </row>
    <row r="5216" spans="10:10" x14ac:dyDescent="0.3">
      <c r="J5216"/>
    </row>
    <row r="5217" spans="10:10" x14ac:dyDescent="0.3">
      <c r="J5217"/>
    </row>
    <row r="5218" spans="10:10" x14ac:dyDescent="0.3">
      <c r="J5218"/>
    </row>
    <row r="5219" spans="10:10" x14ac:dyDescent="0.3">
      <c r="J5219"/>
    </row>
    <row r="5220" spans="10:10" x14ac:dyDescent="0.3">
      <c r="J5220"/>
    </row>
    <row r="5221" spans="10:10" x14ac:dyDescent="0.3">
      <c r="J5221"/>
    </row>
    <row r="5222" spans="10:10" x14ac:dyDescent="0.3">
      <c r="J5222"/>
    </row>
    <row r="5223" spans="10:10" x14ac:dyDescent="0.3">
      <c r="J5223"/>
    </row>
    <row r="5224" spans="10:10" x14ac:dyDescent="0.3">
      <c r="J5224"/>
    </row>
    <row r="5225" spans="10:10" x14ac:dyDescent="0.3">
      <c r="J5225"/>
    </row>
    <row r="5226" spans="10:10" x14ac:dyDescent="0.3">
      <c r="J5226"/>
    </row>
    <row r="5227" spans="10:10" x14ac:dyDescent="0.3">
      <c r="J5227"/>
    </row>
    <row r="5228" spans="10:10" x14ac:dyDescent="0.3">
      <c r="J5228"/>
    </row>
    <row r="5229" spans="10:10" x14ac:dyDescent="0.3">
      <c r="J5229"/>
    </row>
    <row r="5230" spans="10:10" x14ac:dyDescent="0.3">
      <c r="J5230"/>
    </row>
    <row r="5231" spans="10:10" x14ac:dyDescent="0.3">
      <c r="J5231"/>
    </row>
    <row r="5232" spans="10:10" x14ac:dyDescent="0.3">
      <c r="J5232"/>
    </row>
    <row r="5233" spans="10:10" x14ac:dyDescent="0.3">
      <c r="J5233"/>
    </row>
    <row r="5234" spans="10:10" x14ac:dyDescent="0.3">
      <c r="J5234"/>
    </row>
    <row r="5235" spans="10:10" x14ac:dyDescent="0.3">
      <c r="J5235"/>
    </row>
    <row r="5236" spans="10:10" x14ac:dyDescent="0.3">
      <c r="J5236"/>
    </row>
    <row r="5237" spans="10:10" x14ac:dyDescent="0.3">
      <c r="J5237"/>
    </row>
    <row r="5238" spans="10:10" x14ac:dyDescent="0.3">
      <c r="J5238"/>
    </row>
    <row r="5239" spans="10:10" x14ac:dyDescent="0.3">
      <c r="J5239"/>
    </row>
    <row r="5240" spans="10:10" x14ac:dyDescent="0.3">
      <c r="J5240"/>
    </row>
    <row r="5241" spans="10:10" x14ac:dyDescent="0.3">
      <c r="J5241"/>
    </row>
    <row r="5242" spans="10:10" x14ac:dyDescent="0.3">
      <c r="J5242"/>
    </row>
    <row r="5243" spans="10:10" x14ac:dyDescent="0.3">
      <c r="J5243"/>
    </row>
    <row r="5244" spans="10:10" x14ac:dyDescent="0.3">
      <c r="J5244"/>
    </row>
    <row r="5245" spans="10:10" x14ac:dyDescent="0.3">
      <c r="J5245"/>
    </row>
    <row r="5246" spans="10:10" x14ac:dyDescent="0.3">
      <c r="J5246"/>
    </row>
    <row r="5247" spans="10:10" x14ac:dyDescent="0.3">
      <c r="J5247"/>
    </row>
    <row r="5248" spans="10:10" x14ac:dyDescent="0.3">
      <c r="J5248"/>
    </row>
    <row r="5249" spans="10:10" x14ac:dyDescent="0.3">
      <c r="J5249"/>
    </row>
    <row r="5250" spans="10:10" x14ac:dyDescent="0.3">
      <c r="J5250"/>
    </row>
    <row r="5251" spans="10:10" x14ac:dyDescent="0.3">
      <c r="J5251"/>
    </row>
    <row r="5252" spans="10:10" x14ac:dyDescent="0.3">
      <c r="J5252"/>
    </row>
    <row r="5253" spans="10:10" x14ac:dyDescent="0.3">
      <c r="J5253"/>
    </row>
    <row r="5254" spans="10:10" x14ac:dyDescent="0.3">
      <c r="J5254"/>
    </row>
    <row r="5255" spans="10:10" x14ac:dyDescent="0.3">
      <c r="J5255"/>
    </row>
    <row r="5256" spans="10:10" x14ac:dyDescent="0.3">
      <c r="J5256"/>
    </row>
    <row r="5257" spans="10:10" x14ac:dyDescent="0.3">
      <c r="J5257"/>
    </row>
    <row r="5258" spans="10:10" x14ac:dyDescent="0.3">
      <c r="J5258"/>
    </row>
    <row r="5259" spans="10:10" x14ac:dyDescent="0.3">
      <c r="J5259"/>
    </row>
    <row r="5260" spans="10:10" x14ac:dyDescent="0.3">
      <c r="J5260"/>
    </row>
    <row r="5261" spans="10:10" x14ac:dyDescent="0.3">
      <c r="J5261"/>
    </row>
    <row r="5262" spans="10:10" x14ac:dyDescent="0.3">
      <c r="J5262"/>
    </row>
    <row r="5263" spans="10:10" x14ac:dyDescent="0.3">
      <c r="J5263"/>
    </row>
    <row r="5264" spans="10:10" x14ac:dyDescent="0.3">
      <c r="J5264"/>
    </row>
    <row r="5265" spans="10:10" x14ac:dyDescent="0.3">
      <c r="J5265"/>
    </row>
    <row r="5266" spans="10:10" x14ac:dyDescent="0.3">
      <c r="J5266"/>
    </row>
    <row r="5267" spans="10:10" x14ac:dyDescent="0.3">
      <c r="J5267"/>
    </row>
    <row r="5268" spans="10:10" x14ac:dyDescent="0.3">
      <c r="J5268"/>
    </row>
    <row r="5269" spans="10:10" x14ac:dyDescent="0.3">
      <c r="J5269"/>
    </row>
    <row r="5270" spans="10:10" x14ac:dyDescent="0.3">
      <c r="J5270"/>
    </row>
    <row r="5271" spans="10:10" x14ac:dyDescent="0.3">
      <c r="J5271"/>
    </row>
    <row r="5272" spans="10:10" x14ac:dyDescent="0.3">
      <c r="J5272"/>
    </row>
    <row r="5273" spans="10:10" x14ac:dyDescent="0.3">
      <c r="J5273"/>
    </row>
    <row r="5274" spans="10:10" x14ac:dyDescent="0.3">
      <c r="J5274"/>
    </row>
    <row r="5275" spans="10:10" x14ac:dyDescent="0.3">
      <c r="J5275"/>
    </row>
    <row r="5276" spans="10:10" x14ac:dyDescent="0.3">
      <c r="J5276"/>
    </row>
    <row r="5277" spans="10:10" x14ac:dyDescent="0.3">
      <c r="J5277"/>
    </row>
    <row r="5278" spans="10:10" x14ac:dyDescent="0.3">
      <c r="J5278"/>
    </row>
    <row r="5279" spans="10:10" x14ac:dyDescent="0.3">
      <c r="J5279"/>
    </row>
    <row r="5280" spans="10:10" x14ac:dyDescent="0.3">
      <c r="J5280"/>
    </row>
    <row r="5281" spans="10:10" x14ac:dyDescent="0.3">
      <c r="J5281"/>
    </row>
    <row r="5282" spans="10:10" x14ac:dyDescent="0.3">
      <c r="J5282"/>
    </row>
    <row r="5283" spans="10:10" x14ac:dyDescent="0.3">
      <c r="J5283"/>
    </row>
    <row r="5284" spans="10:10" x14ac:dyDescent="0.3">
      <c r="J5284"/>
    </row>
    <row r="5285" spans="10:10" x14ac:dyDescent="0.3">
      <c r="J5285"/>
    </row>
    <row r="5286" spans="10:10" x14ac:dyDescent="0.3">
      <c r="J5286"/>
    </row>
    <row r="5287" spans="10:10" x14ac:dyDescent="0.3">
      <c r="J5287"/>
    </row>
    <row r="5288" spans="10:10" x14ac:dyDescent="0.3">
      <c r="J5288"/>
    </row>
    <row r="5289" spans="10:10" x14ac:dyDescent="0.3">
      <c r="J5289"/>
    </row>
    <row r="5290" spans="10:10" x14ac:dyDescent="0.3">
      <c r="J5290"/>
    </row>
    <row r="5291" spans="10:10" x14ac:dyDescent="0.3">
      <c r="J5291"/>
    </row>
    <row r="5292" spans="10:10" x14ac:dyDescent="0.3">
      <c r="J5292"/>
    </row>
    <row r="5293" spans="10:10" x14ac:dyDescent="0.3">
      <c r="J5293"/>
    </row>
    <row r="5294" spans="10:10" x14ac:dyDescent="0.3">
      <c r="J5294"/>
    </row>
    <row r="5295" spans="10:10" x14ac:dyDescent="0.3">
      <c r="J5295"/>
    </row>
    <row r="5296" spans="10:10" x14ac:dyDescent="0.3">
      <c r="J5296"/>
    </row>
    <row r="5297" spans="10:10" x14ac:dyDescent="0.3">
      <c r="J5297"/>
    </row>
    <row r="5298" spans="10:10" x14ac:dyDescent="0.3">
      <c r="J5298"/>
    </row>
    <row r="5299" spans="10:10" x14ac:dyDescent="0.3">
      <c r="J5299"/>
    </row>
    <row r="5300" spans="10:10" x14ac:dyDescent="0.3">
      <c r="J5300"/>
    </row>
    <row r="5301" spans="10:10" x14ac:dyDescent="0.3">
      <c r="J5301"/>
    </row>
    <row r="5302" spans="10:10" x14ac:dyDescent="0.3">
      <c r="J5302"/>
    </row>
    <row r="5303" spans="10:10" x14ac:dyDescent="0.3">
      <c r="J5303"/>
    </row>
    <row r="5304" spans="10:10" x14ac:dyDescent="0.3">
      <c r="J5304"/>
    </row>
    <row r="5305" spans="10:10" x14ac:dyDescent="0.3">
      <c r="J5305"/>
    </row>
    <row r="5306" spans="10:10" x14ac:dyDescent="0.3">
      <c r="J5306"/>
    </row>
    <row r="5307" spans="10:10" x14ac:dyDescent="0.3">
      <c r="J5307"/>
    </row>
    <row r="5308" spans="10:10" x14ac:dyDescent="0.3">
      <c r="J5308"/>
    </row>
    <row r="5309" spans="10:10" x14ac:dyDescent="0.3">
      <c r="J5309"/>
    </row>
    <row r="5310" spans="10:10" x14ac:dyDescent="0.3">
      <c r="J5310"/>
    </row>
    <row r="5311" spans="10:10" x14ac:dyDescent="0.3">
      <c r="J5311"/>
    </row>
    <row r="5312" spans="10:10" x14ac:dyDescent="0.3">
      <c r="J5312"/>
    </row>
    <row r="5313" spans="10:10" x14ac:dyDescent="0.3">
      <c r="J5313"/>
    </row>
    <row r="5314" spans="10:10" x14ac:dyDescent="0.3">
      <c r="J5314"/>
    </row>
    <row r="5315" spans="10:10" x14ac:dyDescent="0.3">
      <c r="J5315"/>
    </row>
    <row r="5316" spans="10:10" x14ac:dyDescent="0.3">
      <c r="J5316"/>
    </row>
    <row r="5317" spans="10:10" x14ac:dyDescent="0.3">
      <c r="J5317"/>
    </row>
    <row r="5318" spans="10:10" x14ac:dyDescent="0.3">
      <c r="J5318"/>
    </row>
    <row r="5319" spans="10:10" x14ac:dyDescent="0.3">
      <c r="J5319"/>
    </row>
    <row r="5320" spans="10:10" x14ac:dyDescent="0.3">
      <c r="J5320"/>
    </row>
    <row r="5321" spans="10:10" x14ac:dyDescent="0.3">
      <c r="J5321"/>
    </row>
    <row r="5322" spans="10:10" x14ac:dyDescent="0.3">
      <c r="J5322"/>
    </row>
    <row r="5323" spans="10:10" x14ac:dyDescent="0.3">
      <c r="J5323"/>
    </row>
    <row r="5324" spans="10:10" x14ac:dyDescent="0.3">
      <c r="J5324"/>
    </row>
    <row r="5325" spans="10:10" x14ac:dyDescent="0.3">
      <c r="J5325"/>
    </row>
    <row r="5326" spans="10:10" x14ac:dyDescent="0.3">
      <c r="J5326"/>
    </row>
    <row r="5327" spans="10:10" x14ac:dyDescent="0.3">
      <c r="J5327"/>
    </row>
    <row r="5328" spans="10:10" x14ac:dyDescent="0.3">
      <c r="J5328"/>
    </row>
    <row r="5329" spans="10:10" x14ac:dyDescent="0.3">
      <c r="J5329"/>
    </row>
    <row r="5330" spans="10:10" x14ac:dyDescent="0.3">
      <c r="J5330"/>
    </row>
    <row r="5331" spans="10:10" x14ac:dyDescent="0.3">
      <c r="J5331"/>
    </row>
    <row r="5332" spans="10:10" x14ac:dyDescent="0.3">
      <c r="J5332"/>
    </row>
    <row r="5333" spans="10:10" x14ac:dyDescent="0.3">
      <c r="J5333"/>
    </row>
    <row r="5334" spans="10:10" x14ac:dyDescent="0.3">
      <c r="J5334"/>
    </row>
    <row r="5335" spans="10:10" x14ac:dyDescent="0.3">
      <c r="J5335"/>
    </row>
    <row r="5336" spans="10:10" x14ac:dyDescent="0.3">
      <c r="J5336"/>
    </row>
    <row r="5337" spans="10:10" x14ac:dyDescent="0.3">
      <c r="J5337"/>
    </row>
    <row r="5338" spans="10:10" x14ac:dyDescent="0.3">
      <c r="J5338"/>
    </row>
    <row r="5339" spans="10:10" x14ac:dyDescent="0.3">
      <c r="J5339"/>
    </row>
    <row r="5340" spans="10:10" x14ac:dyDescent="0.3">
      <c r="J5340"/>
    </row>
    <row r="5341" spans="10:10" x14ac:dyDescent="0.3">
      <c r="J5341"/>
    </row>
    <row r="5342" spans="10:10" x14ac:dyDescent="0.3">
      <c r="J5342"/>
    </row>
    <row r="5343" spans="10:10" x14ac:dyDescent="0.3">
      <c r="J5343"/>
    </row>
    <row r="5344" spans="10:10" x14ac:dyDescent="0.3">
      <c r="J5344"/>
    </row>
    <row r="5345" spans="10:10" x14ac:dyDescent="0.3">
      <c r="J5345"/>
    </row>
    <row r="5346" spans="10:10" x14ac:dyDescent="0.3">
      <c r="J5346"/>
    </row>
    <row r="5347" spans="10:10" x14ac:dyDescent="0.3">
      <c r="J5347"/>
    </row>
    <row r="5348" spans="10:10" x14ac:dyDescent="0.3">
      <c r="J5348"/>
    </row>
    <row r="5349" spans="10:10" x14ac:dyDescent="0.3">
      <c r="J5349"/>
    </row>
    <row r="5350" spans="10:10" x14ac:dyDescent="0.3">
      <c r="J5350"/>
    </row>
    <row r="5351" spans="10:10" x14ac:dyDescent="0.3">
      <c r="J5351"/>
    </row>
    <row r="5352" spans="10:10" x14ac:dyDescent="0.3">
      <c r="J5352"/>
    </row>
    <row r="5353" spans="10:10" x14ac:dyDescent="0.3">
      <c r="J5353"/>
    </row>
    <row r="5354" spans="10:10" x14ac:dyDescent="0.3">
      <c r="J5354"/>
    </row>
    <row r="5355" spans="10:10" x14ac:dyDescent="0.3">
      <c r="J5355"/>
    </row>
    <row r="5356" spans="10:10" x14ac:dyDescent="0.3">
      <c r="J5356"/>
    </row>
    <row r="5357" spans="10:10" x14ac:dyDescent="0.3">
      <c r="J5357"/>
    </row>
    <row r="5358" spans="10:10" x14ac:dyDescent="0.3">
      <c r="J5358"/>
    </row>
    <row r="5359" spans="10:10" x14ac:dyDescent="0.3">
      <c r="J5359"/>
    </row>
    <row r="5360" spans="10:10" x14ac:dyDescent="0.3">
      <c r="J5360"/>
    </row>
    <row r="5361" spans="10:10" x14ac:dyDescent="0.3">
      <c r="J5361"/>
    </row>
    <row r="5362" spans="10:10" x14ac:dyDescent="0.3">
      <c r="J5362"/>
    </row>
    <row r="5363" spans="10:10" x14ac:dyDescent="0.3">
      <c r="J5363"/>
    </row>
    <row r="5364" spans="10:10" x14ac:dyDescent="0.3">
      <c r="J5364"/>
    </row>
    <row r="5365" spans="10:10" x14ac:dyDescent="0.3">
      <c r="J5365"/>
    </row>
    <row r="5366" spans="10:10" x14ac:dyDescent="0.3">
      <c r="J5366"/>
    </row>
    <row r="5367" spans="10:10" x14ac:dyDescent="0.3">
      <c r="J5367"/>
    </row>
    <row r="5368" spans="10:10" x14ac:dyDescent="0.3">
      <c r="J5368"/>
    </row>
    <row r="5369" spans="10:10" x14ac:dyDescent="0.3">
      <c r="J5369"/>
    </row>
    <row r="5370" spans="10:10" x14ac:dyDescent="0.3">
      <c r="J5370"/>
    </row>
    <row r="5371" spans="10:10" x14ac:dyDescent="0.3">
      <c r="J5371"/>
    </row>
    <row r="5372" spans="10:10" x14ac:dyDescent="0.3">
      <c r="J5372"/>
    </row>
    <row r="5373" spans="10:10" x14ac:dyDescent="0.3">
      <c r="J5373"/>
    </row>
    <row r="5374" spans="10:10" x14ac:dyDescent="0.3">
      <c r="J5374"/>
    </row>
    <row r="5375" spans="10:10" x14ac:dyDescent="0.3">
      <c r="J5375"/>
    </row>
    <row r="5376" spans="10:10" x14ac:dyDescent="0.3">
      <c r="J5376"/>
    </row>
    <row r="5377" spans="10:10" x14ac:dyDescent="0.3">
      <c r="J5377"/>
    </row>
    <row r="5378" spans="10:10" x14ac:dyDescent="0.3">
      <c r="J5378"/>
    </row>
    <row r="5379" spans="10:10" x14ac:dyDescent="0.3">
      <c r="J5379"/>
    </row>
    <row r="5380" spans="10:10" x14ac:dyDescent="0.3">
      <c r="J5380"/>
    </row>
    <row r="5381" spans="10:10" x14ac:dyDescent="0.3">
      <c r="J5381"/>
    </row>
    <row r="5382" spans="10:10" x14ac:dyDescent="0.3">
      <c r="J5382"/>
    </row>
    <row r="5383" spans="10:10" x14ac:dyDescent="0.3">
      <c r="J5383"/>
    </row>
    <row r="5384" spans="10:10" x14ac:dyDescent="0.3">
      <c r="J5384"/>
    </row>
    <row r="5385" spans="10:10" x14ac:dyDescent="0.3">
      <c r="J5385"/>
    </row>
    <row r="5386" spans="10:10" x14ac:dyDescent="0.3">
      <c r="J5386"/>
    </row>
    <row r="5387" spans="10:10" x14ac:dyDescent="0.3">
      <c r="J5387"/>
    </row>
    <row r="5388" spans="10:10" x14ac:dyDescent="0.3">
      <c r="J5388"/>
    </row>
    <row r="5389" spans="10:10" x14ac:dyDescent="0.3">
      <c r="J5389"/>
    </row>
    <row r="5390" spans="10:10" x14ac:dyDescent="0.3">
      <c r="J5390"/>
    </row>
    <row r="5391" spans="10:10" x14ac:dyDescent="0.3">
      <c r="J5391"/>
    </row>
    <row r="5392" spans="10:10" x14ac:dyDescent="0.3">
      <c r="J5392"/>
    </row>
    <row r="5393" spans="10:10" x14ac:dyDescent="0.3">
      <c r="J5393"/>
    </row>
    <row r="5394" spans="10:10" x14ac:dyDescent="0.3">
      <c r="J5394"/>
    </row>
    <row r="5395" spans="10:10" x14ac:dyDescent="0.3">
      <c r="J5395"/>
    </row>
    <row r="5396" spans="10:10" x14ac:dyDescent="0.3">
      <c r="J5396"/>
    </row>
    <row r="5397" spans="10:10" x14ac:dyDescent="0.3">
      <c r="J5397"/>
    </row>
    <row r="5398" spans="10:10" x14ac:dyDescent="0.3">
      <c r="J5398"/>
    </row>
    <row r="5399" spans="10:10" x14ac:dyDescent="0.3">
      <c r="J5399"/>
    </row>
    <row r="5400" spans="10:10" x14ac:dyDescent="0.3">
      <c r="J5400"/>
    </row>
    <row r="5401" spans="10:10" x14ac:dyDescent="0.3">
      <c r="J5401"/>
    </row>
    <row r="5402" spans="10:10" x14ac:dyDescent="0.3">
      <c r="J5402"/>
    </row>
    <row r="5403" spans="10:10" x14ac:dyDescent="0.3">
      <c r="J5403"/>
    </row>
    <row r="5404" spans="10:10" x14ac:dyDescent="0.3">
      <c r="J5404"/>
    </row>
    <row r="5405" spans="10:10" x14ac:dyDescent="0.3">
      <c r="J5405"/>
    </row>
    <row r="5406" spans="10:10" x14ac:dyDescent="0.3">
      <c r="J5406"/>
    </row>
    <row r="5407" spans="10:10" x14ac:dyDescent="0.3">
      <c r="J5407"/>
    </row>
    <row r="5408" spans="10:10" x14ac:dyDescent="0.3">
      <c r="J5408"/>
    </row>
    <row r="5409" spans="10:10" x14ac:dyDescent="0.3">
      <c r="J5409"/>
    </row>
    <row r="5410" spans="10:10" x14ac:dyDescent="0.3">
      <c r="J5410"/>
    </row>
    <row r="5411" spans="10:10" x14ac:dyDescent="0.3">
      <c r="J5411"/>
    </row>
    <row r="5412" spans="10:10" x14ac:dyDescent="0.3">
      <c r="J5412"/>
    </row>
    <row r="5413" spans="10:10" x14ac:dyDescent="0.3">
      <c r="J5413"/>
    </row>
    <row r="5414" spans="10:10" x14ac:dyDescent="0.3">
      <c r="J5414"/>
    </row>
    <row r="5415" spans="10:10" x14ac:dyDescent="0.3">
      <c r="J5415"/>
    </row>
    <row r="5416" spans="10:10" x14ac:dyDescent="0.3">
      <c r="J5416"/>
    </row>
    <row r="5417" spans="10:10" x14ac:dyDescent="0.3">
      <c r="J5417"/>
    </row>
    <row r="5418" spans="10:10" x14ac:dyDescent="0.3">
      <c r="J5418"/>
    </row>
    <row r="5419" spans="10:10" x14ac:dyDescent="0.3">
      <c r="J5419"/>
    </row>
    <row r="5420" spans="10:10" x14ac:dyDescent="0.3">
      <c r="J5420"/>
    </row>
    <row r="5421" spans="10:10" x14ac:dyDescent="0.3">
      <c r="J5421"/>
    </row>
    <row r="5422" spans="10:10" x14ac:dyDescent="0.3">
      <c r="J5422"/>
    </row>
    <row r="5423" spans="10:10" x14ac:dyDescent="0.3">
      <c r="J5423"/>
    </row>
    <row r="5424" spans="10:10" x14ac:dyDescent="0.3">
      <c r="J5424"/>
    </row>
    <row r="5425" spans="10:10" x14ac:dyDescent="0.3">
      <c r="J5425"/>
    </row>
    <row r="5426" spans="10:10" x14ac:dyDescent="0.3">
      <c r="J5426"/>
    </row>
    <row r="5427" spans="10:10" x14ac:dyDescent="0.3">
      <c r="J5427"/>
    </row>
    <row r="5428" spans="10:10" x14ac:dyDescent="0.3">
      <c r="J5428"/>
    </row>
    <row r="5429" spans="10:10" x14ac:dyDescent="0.3">
      <c r="J5429"/>
    </row>
    <row r="5430" spans="10:10" x14ac:dyDescent="0.3">
      <c r="J5430"/>
    </row>
    <row r="5431" spans="10:10" x14ac:dyDescent="0.3">
      <c r="J5431"/>
    </row>
    <row r="5432" spans="10:10" x14ac:dyDescent="0.3">
      <c r="J5432"/>
    </row>
    <row r="5433" spans="10:10" x14ac:dyDescent="0.3">
      <c r="J5433"/>
    </row>
    <row r="5434" spans="10:10" x14ac:dyDescent="0.3">
      <c r="J5434"/>
    </row>
    <row r="5435" spans="10:10" x14ac:dyDescent="0.3">
      <c r="J5435"/>
    </row>
    <row r="5436" spans="10:10" x14ac:dyDescent="0.3">
      <c r="J5436"/>
    </row>
    <row r="5437" spans="10:10" x14ac:dyDescent="0.3">
      <c r="J5437"/>
    </row>
    <row r="5438" spans="10:10" x14ac:dyDescent="0.3">
      <c r="J5438"/>
    </row>
    <row r="5439" spans="10:10" x14ac:dyDescent="0.3">
      <c r="J5439"/>
    </row>
    <row r="5440" spans="10:10" x14ac:dyDescent="0.3">
      <c r="J5440"/>
    </row>
    <row r="5441" spans="10:10" x14ac:dyDescent="0.3">
      <c r="J5441"/>
    </row>
    <row r="5442" spans="10:10" x14ac:dyDescent="0.3">
      <c r="J5442"/>
    </row>
    <row r="5443" spans="10:10" x14ac:dyDescent="0.3">
      <c r="J5443"/>
    </row>
    <row r="5444" spans="10:10" x14ac:dyDescent="0.3">
      <c r="J5444"/>
    </row>
    <row r="5445" spans="10:10" x14ac:dyDescent="0.3">
      <c r="J5445"/>
    </row>
    <row r="5446" spans="10:10" x14ac:dyDescent="0.3">
      <c r="J5446"/>
    </row>
    <row r="5447" spans="10:10" x14ac:dyDescent="0.3">
      <c r="J5447"/>
    </row>
    <row r="5448" spans="10:10" x14ac:dyDescent="0.3">
      <c r="J5448"/>
    </row>
    <row r="5449" spans="10:10" x14ac:dyDescent="0.3">
      <c r="J5449"/>
    </row>
    <row r="5450" spans="10:10" x14ac:dyDescent="0.3">
      <c r="J5450"/>
    </row>
    <row r="5451" spans="10:10" x14ac:dyDescent="0.3">
      <c r="J5451"/>
    </row>
    <row r="5452" spans="10:10" x14ac:dyDescent="0.3">
      <c r="J5452"/>
    </row>
    <row r="5453" spans="10:10" x14ac:dyDescent="0.3">
      <c r="J5453"/>
    </row>
    <row r="5454" spans="10:10" x14ac:dyDescent="0.3">
      <c r="J5454"/>
    </row>
    <row r="5455" spans="10:10" x14ac:dyDescent="0.3">
      <c r="J5455"/>
    </row>
    <row r="5456" spans="10:10" x14ac:dyDescent="0.3">
      <c r="J5456"/>
    </row>
    <row r="5457" spans="10:10" x14ac:dyDescent="0.3">
      <c r="J5457"/>
    </row>
    <row r="5458" spans="10:10" x14ac:dyDescent="0.3">
      <c r="J5458"/>
    </row>
    <row r="5459" spans="10:10" x14ac:dyDescent="0.3">
      <c r="J5459"/>
    </row>
    <row r="5460" spans="10:10" x14ac:dyDescent="0.3">
      <c r="J5460"/>
    </row>
    <row r="5461" spans="10:10" x14ac:dyDescent="0.3">
      <c r="J5461"/>
    </row>
    <row r="5462" spans="10:10" x14ac:dyDescent="0.3">
      <c r="J5462"/>
    </row>
    <row r="5463" spans="10:10" x14ac:dyDescent="0.3">
      <c r="J5463"/>
    </row>
    <row r="5464" spans="10:10" x14ac:dyDescent="0.3">
      <c r="J5464"/>
    </row>
    <row r="5465" spans="10:10" x14ac:dyDescent="0.3">
      <c r="J5465"/>
    </row>
    <row r="5466" spans="10:10" x14ac:dyDescent="0.3">
      <c r="J5466"/>
    </row>
    <row r="5467" spans="10:10" x14ac:dyDescent="0.3">
      <c r="J5467"/>
    </row>
    <row r="5468" spans="10:10" x14ac:dyDescent="0.3">
      <c r="J5468"/>
    </row>
    <row r="5469" spans="10:10" x14ac:dyDescent="0.3">
      <c r="J5469"/>
    </row>
    <row r="5470" spans="10:10" x14ac:dyDescent="0.3">
      <c r="J5470"/>
    </row>
    <row r="5471" spans="10:10" x14ac:dyDescent="0.3">
      <c r="J5471"/>
    </row>
    <row r="5472" spans="10:10" x14ac:dyDescent="0.3">
      <c r="J5472"/>
    </row>
    <row r="5473" spans="10:10" x14ac:dyDescent="0.3">
      <c r="J5473"/>
    </row>
    <row r="5474" spans="10:10" x14ac:dyDescent="0.3">
      <c r="J5474"/>
    </row>
    <row r="5475" spans="10:10" x14ac:dyDescent="0.3">
      <c r="J5475"/>
    </row>
    <row r="5476" spans="10:10" x14ac:dyDescent="0.3">
      <c r="J5476"/>
    </row>
    <row r="5477" spans="10:10" x14ac:dyDescent="0.3">
      <c r="J5477"/>
    </row>
    <row r="5478" spans="10:10" x14ac:dyDescent="0.3">
      <c r="J5478"/>
    </row>
    <row r="5479" spans="10:10" x14ac:dyDescent="0.3">
      <c r="J5479"/>
    </row>
    <row r="5480" spans="10:10" x14ac:dyDescent="0.3">
      <c r="J5480"/>
    </row>
    <row r="5481" spans="10:10" x14ac:dyDescent="0.3">
      <c r="J5481"/>
    </row>
    <row r="5482" spans="10:10" x14ac:dyDescent="0.3">
      <c r="J5482"/>
    </row>
    <row r="5483" spans="10:10" x14ac:dyDescent="0.3">
      <c r="J5483"/>
    </row>
    <row r="5484" spans="10:10" x14ac:dyDescent="0.3">
      <c r="J5484"/>
    </row>
    <row r="5485" spans="10:10" x14ac:dyDescent="0.3">
      <c r="J5485"/>
    </row>
    <row r="5486" spans="10:10" x14ac:dyDescent="0.3">
      <c r="J5486"/>
    </row>
    <row r="5487" spans="10:10" x14ac:dyDescent="0.3">
      <c r="J5487"/>
    </row>
    <row r="5488" spans="10:10" x14ac:dyDescent="0.3">
      <c r="J5488"/>
    </row>
    <row r="5489" spans="10:10" x14ac:dyDescent="0.3">
      <c r="J5489"/>
    </row>
    <row r="5490" spans="10:10" x14ac:dyDescent="0.3">
      <c r="J5490"/>
    </row>
    <row r="5491" spans="10:10" x14ac:dyDescent="0.3">
      <c r="J5491"/>
    </row>
    <row r="5492" spans="10:10" x14ac:dyDescent="0.3">
      <c r="J5492"/>
    </row>
    <row r="5493" spans="10:10" x14ac:dyDescent="0.3">
      <c r="J5493"/>
    </row>
    <row r="5494" spans="10:10" x14ac:dyDescent="0.3">
      <c r="J5494"/>
    </row>
    <row r="5495" spans="10:10" x14ac:dyDescent="0.3">
      <c r="J5495"/>
    </row>
    <row r="5496" spans="10:10" x14ac:dyDescent="0.3">
      <c r="J5496"/>
    </row>
    <row r="5497" spans="10:10" x14ac:dyDescent="0.3">
      <c r="J5497"/>
    </row>
    <row r="5498" spans="10:10" x14ac:dyDescent="0.3">
      <c r="J5498"/>
    </row>
    <row r="5499" spans="10:10" x14ac:dyDescent="0.3">
      <c r="J5499"/>
    </row>
    <row r="5500" spans="10:10" x14ac:dyDescent="0.3">
      <c r="J5500"/>
    </row>
    <row r="5501" spans="10:10" x14ac:dyDescent="0.3">
      <c r="J5501"/>
    </row>
    <row r="5502" spans="10:10" x14ac:dyDescent="0.3">
      <c r="J5502"/>
    </row>
    <row r="5503" spans="10:10" x14ac:dyDescent="0.3">
      <c r="J5503"/>
    </row>
    <row r="5504" spans="10:10" x14ac:dyDescent="0.3">
      <c r="J5504"/>
    </row>
    <row r="5505" spans="10:10" x14ac:dyDescent="0.3">
      <c r="J5505"/>
    </row>
    <row r="5506" spans="10:10" x14ac:dyDescent="0.3">
      <c r="J5506"/>
    </row>
    <row r="5507" spans="10:10" x14ac:dyDescent="0.3">
      <c r="J5507"/>
    </row>
    <row r="5508" spans="10:10" x14ac:dyDescent="0.3">
      <c r="J5508"/>
    </row>
    <row r="5509" spans="10:10" x14ac:dyDescent="0.3">
      <c r="J5509"/>
    </row>
    <row r="5510" spans="10:10" x14ac:dyDescent="0.3">
      <c r="J5510"/>
    </row>
    <row r="5511" spans="10:10" x14ac:dyDescent="0.3">
      <c r="J5511"/>
    </row>
    <row r="5512" spans="10:10" x14ac:dyDescent="0.3">
      <c r="J5512"/>
    </row>
    <row r="5513" spans="10:10" x14ac:dyDescent="0.3">
      <c r="J5513"/>
    </row>
    <row r="5514" spans="10:10" x14ac:dyDescent="0.3">
      <c r="J5514"/>
    </row>
    <row r="5515" spans="10:10" x14ac:dyDescent="0.3">
      <c r="J5515"/>
    </row>
    <row r="5516" spans="10:10" x14ac:dyDescent="0.3">
      <c r="J5516"/>
    </row>
    <row r="5517" spans="10:10" x14ac:dyDescent="0.3">
      <c r="J5517"/>
    </row>
    <row r="5518" spans="10:10" x14ac:dyDescent="0.3">
      <c r="J5518"/>
    </row>
    <row r="5519" spans="10:10" x14ac:dyDescent="0.3">
      <c r="J5519"/>
    </row>
    <row r="5520" spans="10:10" x14ac:dyDescent="0.3">
      <c r="J5520"/>
    </row>
    <row r="5521" spans="10:10" x14ac:dyDescent="0.3">
      <c r="J5521"/>
    </row>
    <row r="5522" spans="10:10" x14ac:dyDescent="0.3">
      <c r="J5522"/>
    </row>
    <row r="5523" spans="10:10" x14ac:dyDescent="0.3">
      <c r="J5523"/>
    </row>
    <row r="5524" spans="10:10" x14ac:dyDescent="0.3">
      <c r="J5524"/>
    </row>
    <row r="5525" spans="10:10" x14ac:dyDescent="0.3">
      <c r="J5525"/>
    </row>
    <row r="5526" spans="10:10" x14ac:dyDescent="0.3">
      <c r="J5526"/>
    </row>
    <row r="5527" spans="10:10" x14ac:dyDescent="0.3">
      <c r="J5527"/>
    </row>
    <row r="5528" spans="10:10" x14ac:dyDescent="0.3">
      <c r="J5528"/>
    </row>
    <row r="5529" spans="10:10" x14ac:dyDescent="0.3">
      <c r="J5529"/>
    </row>
    <row r="5530" spans="10:10" x14ac:dyDescent="0.3">
      <c r="J5530"/>
    </row>
    <row r="5531" spans="10:10" x14ac:dyDescent="0.3">
      <c r="J5531"/>
    </row>
    <row r="5532" spans="10:10" x14ac:dyDescent="0.3">
      <c r="J5532"/>
    </row>
    <row r="5533" spans="10:10" x14ac:dyDescent="0.3">
      <c r="J5533"/>
    </row>
    <row r="5534" spans="10:10" x14ac:dyDescent="0.3">
      <c r="J5534"/>
    </row>
    <row r="5535" spans="10:10" x14ac:dyDescent="0.3">
      <c r="J5535"/>
    </row>
    <row r="5536" spans="10:10" x14ac:dyDescent="0.3">
      <c r="J5536"/>
    </row>
    <row r="5537" spans="10:10" x14ac:dyDescent="0.3">
      <c r="J5537"/>
    </row>
    <row r="5538" spans="10:10" x14ac:dyDescent="0.3">
      <c r="J5538"/>
    </row>
    <row r="5539" spans="10:10" x14ac:dyDescent="0.3">
      <c r="J5539"/>
    </row>
    <row r="5540" spans="10:10" x14ac:dyDescent="0.3">
      <c r="J5540"/>
    </row>
    <row r="5541" spans="10:10" x14ac:dyDescent="0.3">
      <c r="J5541"/>
    </row>
    <row r="5542" spans="10:10" x14ac:dyDescent="0.3">
      <c r="J5542"/>
    </row>
    <row r="5543" spans="10:10" x14ac:dyDescent="0.3">
      <c r="J5543"/>
    </row>
    <row r="5544" spans="10:10" x14ac:dyDescent="0.3">
      <c r="J5544"/>
    </row>
    <row r="5545" spans="10:10" x14ac:dyDescent="0.3">
      <c r="J5545"/>
    </row>
    <row r="5546" spans="10:10" x14ac:dyDescent="0.3">
      <c r="J5546"/>
    </row>
    <row r="5547" spans="10:10" x14ac:dyDescent="0.3">
      <c r="J5547"/>
    </row>
    <row r="5548" spans="10:10" x14ac:dyDescent="0.3">
      <c r="J5548"/>
    </row>
    <row r="5549" spans="10:10" x14ac:dyDescent="0.3">
      <c r="J5549"/>
    </row>
    <row r="5550" spans="10:10" x14ac:dyDescent="0.3">
      <c r="J5550"/>
    </row>
    <row r="5551" spans="10:10" x14ac:dyDescent="0.3">
      <c r="J5551"/>
    </row>
    <row r="5552" spans="10:10" x14ac:dyDescent="0.3">
      <c r="J5552"/>
    </row>
    <row r="5553" spans="10:10" x14ac:dyDescent="0.3">
      <c r="J5553"/>
    </row>
    <row r="5554" spans="10:10" x14ac:dyDescent="0.3">
      <c r="J5554"/>
    </row>
    <row r="5555" spans="10:10" x14ac:dyDescent="0.3">
      <c r="J5555"/>
    </row>
    <row r="5556" spans="10:10" x14ac:dyDescent="0.3">
      <c r="J5556"/>
    </row>
    <row r="5557" spans="10:10" x14ac:dyDescent="0.3">
      <c r="J5557"/>
    </row>
    <row r="5558" spans="10:10" x14ac:dyDescent="0.3">
      <c r="J5558"/>
    </row>
    <row r="5559" spans="10:10" x14ac:dyDescent="0.3">
      <c r="J5559"/>
    </row>
    <row r="5560" spans="10:10" x14ac:dyDescent="0.3">
      <c r="J5560"/>
    </row>
    <row r="5561" spans="10:10" x14ac:dyDescent="0.3">
      <c r="J5561"/>
    </row>
    <row r="5562" spans="10:10" x14ac:dyDescent="0.3">
      <c r="J5562"/>
    </row>
    <row r="5563" spans="10:10" x14ac:dyDescent="0.3">
      <c r="J5563"/>
    </row>
    <row r="5564" spans="10:10" x14ac:dyDescent="0.3">
      <c r="J5564"/>
    </row>
    <row r="5565" spans="10:10" x14ac:dyDescent="0.3">
      <c r="J5565"/>
    </row>
    <row r="5566" spans="10:10" x14ac:dyDescent="0.3">
      <c r="J5566"/>
    </row>
    <row r="5567" spans="10:10" x14ac:dyDescent="0.3">
      <c r="J5567"/>
    </row>
    <row r="5568" spans="10:10" x14ac:dyDescent="0.3">
      <c r="J5568"/>
    </row>
    <row r="5569" spans="10:10" x14ac:dyDescent="0.3">
      <c r="J5569"/>
    </row>
    <row r="5570" spans="10:10" x14ac:dyDescent="0.3">
      <c r="J5570"/>
    </row>
    <row r="5571" spans="10:10" x14ac:dyDescent="0.3">
      <c r="J5571"/>
    </row>
    <row r="5572" spans="10:10" x14ac:dyDescent="0.3">
      <c r="J5572"/>
    </row>
    <row r="5573" spans="10:10" x14ac:dyDescent="0.3">
      <c r="J5573"/>
    </row>
    <row r="5574" spans="10:10" x14ac:dyDescent="0.3">
      <c r="J5574"/>
    </row>
    <row r="5575" spans="10:10" x14ac:dyDescent="0.3">
      <c r="J5575"/>
    </row>
    <row r="5576" spans="10:10" x14ac:dyDescent="0.3">
      <c r="J5576"/>
    </row>
    <row r="5577" spans="10:10" x14ac:dyDescent="0.3">
      <c r="J5577"/>
    </row>
    <row r="5578" spans="10:10" x14ac:dyDescent="0.3">
      <c r="J5578"/>
    </row>
    <row r="5579" spans="10:10" x14ac:dyDescent="0.3">
      <c r="J5579"/>
    </row>
    <row r="5580" spans="10:10" x14ac:dyDescent="0.3">
      <c r="J5580"/>
    </row>
    <row r="5581" spans="10:10" x14ac:dyDescent="0.3">
      <c r="J5581"/>
    </row>
    <row r="5582" spans="10:10" x14ac:dyDescent="0.3">
      <c r="J5582"/>
    </row>
    <row r="5583" spans="10:10" x14ac:dyDescent="0.3">
      <c r="J5583"/>
    </row>
    <row r="5584" spans="10:10" x14ac:dyDescent="0.3">
      <c r="J5584"/>
    </row>
    <row r="5585" spans="10:10" x14ac:dyDescent="0.3">
      <c r="J5585"/>
    </row>
    <row r="5586" spans="10:10" x14ac:dyDescent="0.3">
      <c r="J5586"/>
    </row>
    <row r="5587" spans="10:10" x14ac:dyDescent="0.3">
      <c r="J5587"/>
    </row>
    <row r="5588" spans="10:10" x14ac:dyDescent="0.3">
      <c r="J5588"/>
    </row>
    <row r="5589" spans="10:10" x14ac:dyDescent="0.3">
      <c r="J5589"/>
    </row>
    <row r="5590" spans="10:10" x14ac:dyDescent="0.3">
      <c r="J5590"/>
    </row>
    <row r="5591" spans="10:10" x14ac:dyDescent="0.3">
      <c r="J5591"/>
    </row>
    <row r="5592" spans="10:10" x14ac:dyDescent="0.3">
      <c r="J5592"/>
    </row>
    <row r="5593" spans="10:10" x14ac:dyDescent="0.3">
      <c r="J5593"/>
    </row>
    <row r="5594" spans="10:10" x14ac:dyDescent="0.3">
      <c r="J5594"/>
    </row>
    <row r="5595" spans="10:10" x14ac:dyDescent="0.3">
      <c r="J5595"/>
    </row>
    <row r="5596" spans="10:10" x14ac:dyDescent="0.3">
      <c r="J5596"/>
    </row>
    <row r="5597" spans="10:10" x14ac:dyDescent="0.3">
      <c r="J5597"/>
    </row>
    <row r="5598" spans="10:10" x14ac:dyDescent="0.3">
      <c r="J5598"/>
    </row>
    <row r="5599" spans="10:10" x14ac:dyDescent="0.3">
      <c r="J5599"/>
    </row>
    <row r="5600" spans="10:10" x14ac:dyDescent="0.3">
      <c r="J5600"/>
    </row>
    <row r="5601" spans="10:10" x14ac:dyDescent="0.3">
      <c r="J5601"/>
    </row>
    <row r="5602" spans="10:10" x14ac:dyDescent="0.3">
      <c r="J5602"/>
    </row>
    <row r="5603" spans="10:10" x14ac:dyDescent="0.3">
      <c r="J5603"/>
    </row>
    <row r="5604" spans="10:10" x14ac:dyDescent="0.3">
      <c r="J5604"/>
    </row>
    <row r="5605" spans="10:10" x14ac:dyDescent="0.3">
      <c r="J5605"/>
    </row>
    <row r="5606" spans="10:10" x14ac:dyDescent="0.3">
      <c r="J5606"/>
    </row>
    <row r="5607" spans="10:10" x14ac:dyDescent="0.3">
      <c r="J5607"/>
    </row>
    <row r="5608" spans="10:10" x14ac:dyDescent="0.3">
      <c r="J5608"/>
    </row>
    <row r="5609" spans="10:10" x14ac:dyDescent="0.3">
      <c r="J5609"/>
    </row>
    <row r="5610" spans="10:10" x14ac:dyDescent="0.3">
      <c r="J5610"/>
    </row>
    <row r="5611" spans="10:10" x14ac:dyDescent="0.3">
      <c r="J5611"/>
    </row>
    <row r="5612" spans="10:10" x14ac:dyDescent="0.3">
      <c r="J5612"/>
    </row>
    <row r="5613" spans="10:10" x14ac:dyDescent="0.3">
      <c r="J5613"/>
    </row>
    <row r="5614" spans="10:10" x14ac:dyDescent="0.3">
      <c r="J5614"/>
    </row>
    <row r="5615" spans="10:10" x14ac:dyDescent="0.3">
      <c r="J5615"/>
    </row>
    <row r="5616" spans="10:10" x14ac:dyDescent="0.3">
      <c r="J5616"/>
    </row>
    <row r="5617" spans="10:10" x14ac:dyDescent="0.3">
      <c r="J5617"/>
    </row>
    <row r="5618" spans="10:10" x14ac:dyDescent="0.3">
      <c r="J5618"/>
    </row>
    <row r="5619" spans="10:10" x14ac:dyDescent="0.3">
      <c r="J5619"/>
    </row>
    <row r="5620" spans="10:10" x14ac:dyDescent="0.3">
      <c r="J5620"/>
    </row>
    <row r="5621" spans="10:10" x14ac:dyDescent="0.3">
      <c r="J5621"/>
    </row>
    <row r="5622" spans="10:10" x14ac:dyDescent="0.3">
      <c r="J5622"/>
    </row>
    <row r="5623" spans="10:10" x14ac:dyDescent="0.3">
      <c r="J5623"/>
    </row>
    <row r="5624" spans="10:10" x14ac:dyDescent="0.3">
      <c r="J5624"/>
    </row>
    <row r="5625" spans="10:10" x14ac:dyDescent="0.3">
      <c r="J5625"/>
    </row>
    <row r="5626" spans="10:10" x14ac:dyDescent="0.3">
      <c r="J5626"/>
    </row>
    <row r="5627" spans="10:10" x14ac:dyDescent="0.3">
      <c r="J5627"/>
    </row>
    <row r="5628" spans="10:10" x14ac:dyDescent="0.3">
      <c r="J5628"/>
    </row>
    <row r="5629" spans="10:10" x14ac:dyDescent="0.3">
      <c r="J5629"/>
    </row>
    <row r="5630" spans="10:10" x14ac:dyDescent="0.3">
      <c r="J5630"/>
    </row>
    <row r="5631" spans="10:10" x14ac:dyDescent="0.3">
      <c r="J5631"/>
    </row>
    <row r="5632" spans="10:10" x14ac:dyDescent="0.3">
      <c r="J5632"/>
    </row>
    <row r="5633" spans="10:10" x14ac:dyDescent="0.3">
      <c r="J5633"/>
    </row>
    <row r="5634" spans="10:10" x14ac:dyDescent="0.3">
      <c r="J5634"/>
    </row>
    <row r="5635" spans="10:10" x14ac:dyDescent="0.3">
      <c r="J5635"/>
    </row>
    <row r="5636" spans="10:10" x14ac:dyDescent="0.3">
      <c r="J5636"/>
    </row>
    <row r="5637" spans="10:10" x14ac:dyDescent="0.3">
      <c r="J5637"/>
    </row>
    <row r="5638" spans="10:10" x14ac:dyDescent="0.3">
      <c r="J5638"/>
    </row>
    <row r="5639" spans="10:10" x14ac:dyDescent="0.3">
      <c r="J5639"/>
    </row>
    <row r="5640" spans="10:10" x14ac:dyDescent="0.3">
      <c r="J5640"/>
    </row>
    <row r="5641" spans="10:10" x14ac:dyDescent="0.3">
      <c r="J5641"/>
    </row>
    <row r="5642" spans="10:10" x14ac:dyDescent="0.3">
      <c r="J5642"/>
    </row>
    <row r="5643" spans="10:10" x14ac:dyDescent="0.3">
      <c r="J5643"/>
    </row>
    <row r="5644" spans="10:10" x14ac:dyDescent="0.3">
      <c r="J5644"/>
    </row>
    <row r="5645" spans="10:10" x14ac:dyDescent="0.3">
      <c r="J5645"/>
    </row>
    <row r="5646" spans="10:10" x14ac:dyDescent="0.3">
      <c r="J5646"/>
    </row>
    <row r="5647" spans="10:10" x14ac:dyDescent="0.3">
      <c r="J5647"/>
    </row>
    <row r="5648" spans="10:10" x14ac:dyDescent="0.3">
      <c r="J5648"/>
    </row>
    <row r="5649" spans="10:10" x14ac:dyDescent="0.3">
      <c r="J5649"/>
    </row>
    <row r="5650" spans="10:10" x14ac:dyDescent="0.3">
      <c r="J5650"/>
    </row>
    <row r="5651" spans="10:10" x14ac:dyDescent="0.3">
      <c r="J5651"/>
    </row>
    <row r="5652" spans="10:10" x14ac:dyDescent="0.3">
      <c r="J5652"/>
    </row>
    <row r="5653" spans="10:10" x14ac:dyDescent="0.3">
      <c r="J5653"/>
    </row>
    <row r="5654" spans="10:10" x14ac:dyDescent="0.3">
      <c r="J5654"/>
    </row>
    <row r="5655" spans="10:10" x14ac:dyDescent="0.3">
      <c r="J5655"/>
    </row>
    <row r="5656" spans="10:10" x14ac:dyDescent="0.3">
      <c r="J5656"/>
    </row>
    <row r="5657" spans="10:10" x14ac:dyDescent="0.3">
      <c r="J5657"/>
    </row>
    <row r="5658" spans="10:10" x14ac:dyDescent="0.3">
      <c r="J5658"/>
    </row>
    <row r="5659" spans="10:10" x14ac:dyDescent="0.3">
      <c r="J5659"/>
    </row>
    <row r="5660" spans="10:10" x14ac:dyDescent="0.3">
      <c r="J5660"/>
    </row>
    <row r="5661" spans="10:10" x14ac:dyDescent="0.3">
      <c r="J5661"/>
    </row>
    <row r="5662" spans="10:10" x14ac:dyDescent="0.3">
      <c r="J5662"/>
    </row>
    <row r="5663" spans="10:10" x14ac:dyDescent="0.3">
      <c r="J5663"/>
    </row>
    <row r="5664" spans="10:10" x14ac:dyDescent="0.3">
      <c r="J5664"/>
    </row>
    <row r="5665" spans="10:10" x14ac:dyDescent="0.3">
      <c r="J5665"/>
    </row>
    <row r="5666" spans="10:10" x14ac:dyDescent="0.3">
      <c r="J5666"/>
    </row>
    <row r="5667" spans="10:10" x14ac:dyDescent="0.3">
      <c r="J5667"/>
    </row>
    <row r="5668" spans="10:10" x14ac:dyDescent="0.3">
      <c r="J5668"/>
    </row>
    <row r="5669" spans="10:10" x14ac:dyDescent="0.3">
      <c r="J5669"/>
    </row>
    <row r="5670" spans="10:10" x14ac:dyDescent="0.3">
      <c r="J5670"/>
    </row>
    <row r="5671" spans="10:10" x14ac:dyDescent="0.3">
      <c r="J5671"/>
    </row>
    <row r="5672" spans="10:10" x14ac:dyDescent="0.3">
      <c r="J5672"/>
    </row>
    <row r="5673" spans="10:10" x14ac:dyDescent="0.3">
      <c r="J5673"/>
    </row>
    <row r="5674" spans="10:10" x14ac:dyDescent="0.3">
      <c r="J5674"/>
    </row>
    <row r="5675" spans="10:10" x14ac:dyDescent="0.3">
      <c r="J5675"/>
    </row>
    <row r="5676" spans="10:10" x14ac:dyDescent="0.3">
      <c r="J5676"/>
    </row>
    <row r="5677" spans="10:10" x14ac:dyDescent="0.3">
      <c r="J5677"/>
    </row>
    <row r="5678" spans="10:10" x14ac:dyDescent="0.3">
      <c r="J5678"/>
    </row>
    <row r="5679" spans="10:10" x14ac:dyDescent="0.3">
      <c r="J5679"/>
    </row>
    <row r="5680" spans="10:10" x14ac:dyDescent="0.3">
      <c r="J5680"/>
    </row>
    <row r="5681" spans="10:10" x14ac:dyDescent="0.3">
      <c r="J5681"/>
    </row>
    <row r="5682" spans="10:10" x14ac:dyDescent="0.3">
      <c r="J5682"/>
    </row>
    <row r="5683" spans="10:10" x14ac:dyDescent="0.3">
      <c r="J5683"/>
    </row>
    <row r="5684" spans="10:10" x14ac:dyDescent="0.3">
      <c r="J5684"/>
    </row>
    <row r="5685" spans="10:10" x14ac:dyDescent="0.3">
      <c r="J5685"/>
    </row>
    <row r="5686" spans="10:10" x14ac:dyDescent="0.3">
      <c r="J5686"/>
    </row>
    <row r="5687" spans="10:10" x14ac:dyDescent="0.3">
      <c r="J5687"/>
    </row>
    <row r="5688" spans="10:10" x14ac:dyDescent="0.3">
      <c r="J5688"/>
    </row>
    <row r="5689" spans="10:10" x14ac:dyDescent="0.3">
      <c r="J5689"/>
    </row>
    <row r="5690" spans="10:10" x14ac:dyDescent="0.3">
      <c r="J5690"/>
    </row>
    <row r="5691" spans="10:10" x14ac:dyDescent="0.3">
      <c r="J5691"/>
    </row>
    <row r="5692" spans="10:10" x14ac:dyDescent="0.3">
      <c r="J5692"/>
    </row>
    <row r="5693" spans="10:10" x14ac:dyDescent="0.3">
      <c r="J5693"/>
    </row>
    <row r="5694" spans="10:10" x14ac:dyDescent="0.3">
      <c r="J5694"/>
    </row>
    <row r="5695" spans="10:10" x14ac:dyDescent="0.3">
      <c r="J5695"/>
    </row>
    <row r="5696" spans="10:10" x14ac:dyDescent="0.3">
      <c r="J5696"/>
    </row>
    <row r="5697" spans="10:10" x14ac:dyDescent="0.3">
      <c r="J5697"/>
    </row>
    <row r="5698" spans="10:10" x14ac:dyDescent="0.3">
      <c r="J5698"/>
    </row>
    <row r="5699" spans="10:10" x14ac:dyDescent="0.3">
      <c r="J5699"/>
    </row>
    <row r="5700" spans="10:10" x14ac:dyDescent="0.3">
      <c r="J5700"/>
    </row>
    <row r="5701" spans="10:10" x14ac:dyDescent="0.3">
      <c r="J5701"/>
    </row>
    <row r="5702" spans="10:10" x14ac:dyDescent="0.3">
      <c r="J5702"/>
    </row>
    <row r="5703" spans="10:10" x14ac:dyDescent="0.3">
      <c r="J5703"/>
    </row>
    <row r="5704" spans="10:10" x14ac:dyDescent="0.3">
      <c r="J5704"/>
    </row>
    <row r="5705" spans="10:10" x14ac:dyDescent="0.3">
      <c r="J5705"/>
    </row>
    <row r="5706" spans="10:10" x14ac:dyDescent="0.3">
      <c r="J5706"/>
    </row>
    <row r="5707" spans="10:10" x14ac:dyDescent="0.3">
      <c r="J5707"/>
    </row>
    <row r="5708" spans="10:10" x14ac:dyDescent="0.3">
      <c r="J5708"/>
    </row>
    <row r="5709" spans="10:10" x14ac:dyDescent="0.3">
      <c r="J5709"/>
    </row>
    <row r="5710" spans="10:10" x14ac:dyDescent="0.3">
      <c r="J5710"/>
    </row>
    <row r="5711" spans="10:10" x14ac:dyDescent="0.3">
      <c r="J5711"/>
    </row>
    <row r="5712" spans="10:10" x14ac:dyDescent="0.3">
      <c r="J5712"/>
    </row>
    <row r="5713" spans="10:10" x14ac:dyDescent="0.3">
      <c r="J5713"/>
    </row>
    <row r="5714" spans="10:10" x14ac:dyDescent="0.3">
      <c r="J5714"/>
    </row>
    <row r="5715" spans="10:10" x14ac:dyDescent="0.3">
      <c r="J5715"/>
    </row>
    <row r="5716" spans="10:10" x14ac:dyDescent="0.3">
      <c r="J5716"/>
    </row>
    <row r="5717" spans="10:10" x14ac:dyDescent="0.3">
      <c r="J5717"/>
    </row>
    <row r="5718" spans="10:10" x14ac:dyDescent="0.3">
      <c r="J5718"/>
    </row>
    <row r="5719" spans="10:10" x14ac:dyDescent="0.3">
      <c r="J5719"/>
    </row>
    <row r="5720" spans="10:10" x14ac:dyDescent="0.3">
      <c r="J5720"/>
    </row>
    <row r="5721" spans="10:10" x14ac:dyDescent="0.3">
      <c r="J5721"/>
    </row>
    <row r="5722" spans="10:10" x14ac:dyDescent="0.3">
      <c r="J5722"/>
    </row>
    <row r="5723" spans="10:10" x14ac:dyDescent="0.3">
      <c r="J5723"/>
    </row>
    <row r="5724" spans="10:10" x14ac:dyDescent="0.3">
      <c r="J5724"/>
    </row>
    <row r="5725" spans="10:10" x14ac:dyDescent="0.3">
      <c r="J5725"/>
    </row>
    <row r="5726" spans="10:10" x14ac:dyDescent="0.3">
      <c r="J5726"/>
    </row>
    <row r="5727" spans="10:10" x14ac:dyDescent="0.3">
      <c r="J5727"/>
    </row>
    <row r="5728" spans="10:10" x14ac:dyDescent="0.3">
      <c r="J5728"/>
    </row>
    <row r="5729" spans="10:10" x14ac:dyDescent="0.3">
      <c r="J5729"/>
    </row>
    <row r="5730" spans="10:10" x14ac:dyDescent="0.3">
      <c r="J5730"/>
    </row>
    <row r="5731" spans="10:10" x14ac:dyDescent="0.3">
      <c r="J5731"/>
    </row>
    <row r="5732" spans="10:10" x14ac:dyDescent="0.3">
      <c r="J5732"/>
    </row>
    <row r="5733" spans="10:10" x14ac:dyDescent="0.3">
      <c r="J5733"/>
    </row>
    <row r="5734" spans="10:10" x14ac:dyDescent="0.3">
      <c r="J5734"/>
    </row>
    <row r="5735" spans="10:10" x14ac:dyDescent="0.3">
      <c r="J5735"/>
    </row>
    <row r="5736" spans="10:10" x14ac:dyDescent="0.3">
      <c r="J5736"/>
    </row>
    <row r="5737" spans="10:10" x14ac:dyDescent="0.3">
      <c r="J5737"/>
    </row>
    <row r="5738" spans="10:10" x14ac:dyDescent="0.3">
      <c r="J5738"/>
    </row>
    <row r="5739" spans="10:10" x14ac:dyDescent="0.3">
      <c r="J5739"/>
    </row>
    <row r="5740" spans="10:10" x14ac:dyDescent="0.3">
      <c r="J5740"/>
    </row>
    <row r="5741" spans="10:10" x14ac:dyDescent="0.3">
      <c r="J5741"/>
    </row>
    <row r="5742" spans="10:10" x14ac:dyDescent="0.3">
      <c r="J5742"/>
    </row>
    <row r="5743" spans="10:10" x14ac:dyDescent="0.3">
      <c r="J5743"/>
    </row>
    <row r="5744" spans="10:10" x14ac:dyDescent="0.3">
      <c r="J5744"/>
    </row>
    <row r="5745" spans="10:10" x14ac:dyDescent="0.3">
      <c r="J5745"/>
    </row>
    <row r="5746" spans="10:10" x14ac:dyDescent="0.3">
      <c r="J5746"/>
    </row>
    <row r="5747" spans="10:10" x14ac:dyDescent="0.3">
      <c r="J5747"/>
    </row>
    <row r="5748" spans="10:10" x14ac:dyDescent="0.3">
      <c r="J5748"/>
    </row>
    <row r="5749" spans="10:10" x14ac:dyDescent="0.3">
      <c r="J5749"/>
    </row>
    <row r="5750" spans="10:10" x14ac:dyDescent="0.3">
      <c r="J5750"/>
    </row>
    <row r="5751" spans="10:10" x14ac:dyDescent="0.3">
      <c r="J5751"/>
    </row>
    <row r="5752" spans="10:10" x14ac:dyDescent="0.3">
      <c r="J5752"/>
    </row>
    <row r="5753" spans="10:10" x14ac:dyDescent="0.3">
      <c r="J5753"/>
    </row>
    <row r="5754" spans="10:10" x14ac:dyDescent="0.3">
      <c r="J5754"/>
    </row>
    <row r="5755" spans="10:10" x14ac:dyDescent="0.3">
      <c r="J5755"/>
    </row>
    <row r="5756" spans="10:10" x14ac:dyDescent="0.3">
      <c r="J5756"/>
    </row>
    <row r="5757" spans="10:10" x14ac:dyDescent="0.3">
      <c r="J5757"/>
    </row>
    <row r="5758" spans="10:10" x14ac:dyDescent="0.3">
      <c r="J5758"/>
    </row>
    <row r="5759" spans="10:10" x14ac:dyDescent="0.3">
      <c r="J5759"/>
    </row>
    <row r="5760" spans="10:10" x14ac:dyDescent="0.3">
      <c r="J5760"/>
    </row>
    <row r="5761" spans="10:10" x14ac:dyDescent="0.3">
      <c r="J5761"/>
    </row>
    <row r="5762" spans="10:10" x14ac:dyDescent="0.3">
      <c r="J5762"/>
    </row>
    <row r="5763" spans="10:10" x14ac:dyDescent="0.3">
      <c r="J5763"/>
    </row>
    <row r="5764" spans="10:10" x14ac:dyDescent="0.3">
      <c r="J5764"/>
    </row>
    <row r="5765" spans="10:10" x14ac:dyDescent="0.3">
      <c r="J5765"/>
    </row>
    <row r="5766" spans="10:10" x14ac:dyDescent="0.3">
      <c r="J5766"/>
    </row>
    <row r="5767" spans="10:10" x14ac:dyDescent="0.3">
      <c r="J5767"/>
    </row>
    <row r="5768" spans="10:10" x14ac:dyDescent="0.3">
      <c r="J5768"/>
    </row>
    <row r="5769" spans="10:10" x14ac:dyDescent="0.3">
      <c r="J5769"/>
    </row>
    <row r="5770" spans="10:10" x14ac:dyDescent="0.3">
      <c r="J5770"/>
    </row>
    <row r="5771" spans="10:10" x14ac:dyDescent="0.3">
      <c r="J5771"/>
    </row>
    <row r="5772" spans="10:10" x14ac:dyDescent="0.3">
      <c r="J5772"/>
    </row>
    <row r="5773" spans="10:10" x14ac:dyDescent="0.3">
      <c r="J5773"/>
    </row>
    <row r="5774" spans="10:10" x14ac:dyDescent="0.3">
      <c r="J5774"/>
    </row>
    <row r="5775" spans="10:10" x14ac:dyDescent="0.3">
      <c r="J5775"/>
    </row>
    <row r="5776" spans="10:10" x14ac:dyDescent="0.3">
      <c r="J5776"/>
    </row>
    <row r="5777" spans="10:10" x14ac:dyDescent="0.3">
      <c r="J5777"/>
    </row>
    <row r="5778" spans="10:10" x14ac:dyDescent="0.3">
      <c r="J5778"/>
    </row>
    <row r="5779" spans="10:10" x14ac:dyDescent="0.3">
      <c r="J5779"/>
    </row>
    <row r="5780" spans="10:10" x14ac:dyDescent="0.3">
      <c r="J5780"/>
    </row>
    <row r="5781" spans="10:10" x14ac:dyDescent="0.3">
      <c r="J5781"/>
    </row>
    <row r="5782" spans="10:10" x14ac:dyDescent="0.3">
      <c r="J5782"/>
    </row>
    <row r="5783" spans="10:10" x14ac:dyDescent="0.3">
      <c r="J5783"/>
    </row>
    <row r="5784" spans="10:10" x14ac:dyDescent="0.3">
      <c r="J5784"/>
    </row>
    <row r="5785" spans="10:10" x14ac:dyDescent="0.3">
      <c r="J5785"/>
    </row>
    <row r="5786" spans="10:10" x14ac:dyDescent="0.3">
      <c r="J5786"/>
    </row>
    <row r="5787" spans="10:10" x14ac:dyDescent="0.3">
      <c r="J5787"/>
    </row>
    <row r="5788" spans="10:10" x14ac:dyDescent="0.3">
      <c r="J5788"/>
    </row>
    <row r="5789" spans="10:10" x14ac:dyDescent="0.3">
      <c r="J5789"/>
    </row>
    <row r="5790" spans="10:10" x14ac:dyDescent="0.3">
      <c r="J5790"/>
    </row>
    <row r="5791" spans="10:10" x14ac:dyDescent="0.3">
      <c r="J5791"/>
    </row>
    <row r="5792" spans="10:10" x14ac:dyDescent="0.3">
      <c r="J5792"/>
    </row>
    <row r="5793" spans="10:10" x14ac:dyDescent="0.3">
      <c r="J5793"/>
    </row>
    <row r="5794" spans="10:10" x14ac:dyDescent="0.3">
      <c r="J5794"/>
    </row>
    <row r="5795" spans="10:10" x14ac:dyDescent="0.3">
      <c r="J5795"/>
    </row>
    <row r="5796" spans="10:10" x14ac:dyDescent="0.3">
      <c r="J5796"/>
    </row>
    <row r="5797" spans="10:10" x14ac:dyDescent="0.3">
      <c r="J5797"/>
    </row>
    <row r="5798" spans="10:10" x14ac:dyDescent="0.3">
      <c r="J5798"/>
    </row>
    <row r="5799" spans="10:10" x14ac:dyDescent="0.3">
      <c r="J5799"/>
    </row>
    <row r="5800" spans="10:10" x14ac:dyDescent="0.3">
      <c r="J5800"/>
    </row>
    <row r="5801" spans="10:10" x14ac:dyDescent="0.3">
      <c r="J5801"/>
    </row>
    <row r="5802" spans="10:10" x14ac:dyDescent="0.3">
      <c r="J5802"/>
    </row>
    <row r="5803" spans="10:10" x14ac:dyDescent="0.3">
      <c r="J5803"/>
    </row>
    <row r="5804" spans="10:10" x14ac:dyDescent="0.3">
      <c r="J5804"/>
    </row>
    <row r="5805" spans="10:10" x14ac:dyDescent="0.3">
      <c r="J5805"/>
    </row>
    <row r="5806" spans="10:10" x14ac:dyDescent="0.3">
      <c r="J5806"/>
    </row>
    <row r="5807" spans="10:10" x14ac:dyDescent="0.3">
      <c r="J5807"/>
    </row>
    <row r="5808" spans="10:10" x14ac:dyDescent="0.3">
      <c r="J5808"/>
    </row>
    <row r="5809" spans="10:10" x14ac:dyDescent="0.3">
      <c r="J5809"/>
    </row>
    <row r="5810" spans="10:10" x14ac:dyDescent="0.3">
      <c r="J5810"/>
    </row>
    <row r="5811" spans="10:10" x14ac:dyDescent="0.3">
      <c r="J5811"/>
    </row>
    <row r="5812" spans="10:10" x14ac:dyDescent="0.3">
      <c r="J5812"/>
    </row>
    <row r="5813" spans="10:10" x14ac:dyDescent="0.3">
      <c r="J5813"/>
    </row>
    <row r="5814" spans="10:10" x14ac:dyDescent="0.3">
      <c r="J5814"/>
    </row>
    <row r="5815" spans="10:10" x14ac:dyDescent="0.3">
      <c r="J5815"/>
    </row>
    <row r="5816" spans="10:10" x14ac:dyDescent="0.3">
      <c r="J5816"/>
    </row>
    <row r="5817" spans="10:10" x14ac:dyDescent="0.3">
      <c r="J5817"/>
    </row>
    <row r="5818" spans="10:10" x14ac:dyDescent="0.3">
      <c r="J5818"/>
    </row>
    <row r="5819" spans="10:10" x14ac:dyDescent="0.3">
      <c r="J5819"/>
    </row>
    <row r="5820" spans="10:10" x14ac:dyDescent="0.3">
      <c r="J5820"/>
    </row>
    <row r="5821" spans="10:10" x14ac:dyDescent="0.3">
      <c r="J5821"/>
    </row>
    <row r="5822" spans="10:10" x14ac:dyDescent="0.3">
      <c r="J5822"/>
    </row>
    <row r="5823" spans="10:10" x14ac:dyDescent="0.3">
      <c r="J5823"/>
    </row>
    <row r="5824" spans="10:10" x14ac:dyDescent="0.3">
      <c r="J5824"/>
    </row>
    <row r="5825" spans="10:10" x14ac:dyDescent="0.3">
      <c r="J5825"/>
    </row>
    <row r="5826" spans="10:10" x14ac:dyDescent="0.3">
      <c r="J5826"/>
    </row>
    <row r="5827" spans="10:10" x14ac:dyDescent="0.3">
      <c r="J5827"/>
    </row>
    <row r="5828" spans="10:10" x14ac:dyDescent="0.3">
      <c r="J5828"/>
    </row>
    <row r="5829" spans="10:10" x14ac:dyDescent="0.3">
      <c r="J5829"/>
    </row>
    <row r="5830" spans="10:10" x14ac:dyDescent="0.3">
      <c r="J5830"/>
    </row>
    <row r="5831" spans="10:10" x14ac:dyDescent="0.3">
      <c r="J5831"/>
    </row>
    <row r="5832" spans="10:10" x14ac:dyDescent="0.3">
      <c r="J5832"/>
    </row>
    <row r="5833" spans="10:10" x14ac:dyDescent="0.3">
      <c r="J5833"/>
    </row>
    <row r="5834" spans="10:10" x14ac:dyDescent="0.3">
      <c r="J5834"/>
    </row>
    <row r="5835" spans="10:10" x14ac:dyDescent="0.3">
      <c r="J5835"/>
    </row>
    <row r="5836" spans="10:10" x14ac:dyDescent="0.3">
      <c r="J5836"/>
    </row>
    <row r="5837" spans="10:10" x14ac:dyDescent="0.3">
      <c r="J5837"/>
    </row>
    <row r="5838" spans="10:10" x14ac:dyDescent="0.3">
      <c r="J5838"/>
    </row>
    <row r="5839" spans="10:10" x14ac:dyDescent="0.3">
      <c r="J5839"/>
    </row>
    <row r="5840" spans="10:10" x14ac:dyDescent="0.3">
      <c r="J5840"/>
    </row>
    <row r="5841" spans="10:10" x14ac:dyDescent="0.3">
      <c r="J5841"/>
    </row>
    <row r="5842" spans="10:10" x14ac:dyDescent="0.3">
      <c r="J5842"/>
    </row>
    <row r="5843" spans="10:10" x14ac:dyDescent="0.3">
      <c r="J5843"/>
    </row>
    <row r="5844" spans="10:10" x14ac:dyDescent="0.3">
      <c r="J5844"/>
    </row>
    <row r="5845" spans="10:10" x14ac:dyDescent="0.3">
      <c r="J5845"/>
    </row>
    <row r="5846" spans="10:10" x14ac:dyDescent="0.3">
      <c r="J5846"/>
    </row>
    <row r="5847" spans="10:10" x14ac:dyDescent="0.3">
      <c r="J5847"/>
    </row>
    <row r="5848" spans="10:10" x14ac:dyDescent="0.3">
      <c r="J5848"/>
    </row>
    <row r="5849" spans="10:10" x14ac:dyDescent="0.3">
      <c r="J5849"/>
    </row>
    <row r="5850" spans="10:10" x14ac:dyDescent="0.3">
      <c r="J5850"/>
    </row>
    <row r="5851" spans="10:10" x14ac:dyDescent="0.3">
      <c r="J5851"/>
    </row>
    <row r="5852" spans="10:10" x14ac:dyDescent="0.3">
      <c r="J5852"/>
    </row>
    <row r="5853" spans="10:10" x14ac:dyDescent="0.3">
      <c r="J5853"/>
    </row>
    <row r="5854" spans="10:10" x14ac:dyDescent="0.3">
      <c r="J5854"/>
    </row>
    <row r="5855" spans="10:10" x14ac:dyDescent="0.3">
      <c r="J5855"/>
    </row>
    <row r="5856" spans="10:10" x14ac:dyDescent="0.3">
      <c r="J5856"/>
    </row>
    <row r="5857" spans="10:10" x14ac:dyDescent="0.3">
      <c r="J5857"/>
    </row>
    <row r="5858" spans="10:10" x14ac:dyDescent="0.3">
      <c r="J5858"/>
    </row>
    <row r="5859" spans="10:10" x14ac:dyDescent="0.3">
      <c r="J5859"/>
    </row>
    <row r="5860" spans="10:10" x14ac:dyDescent="0.3">
      <c r="J5860"/>
    </row>
    <row r="5861" spans="10:10" x14ac:dyDescent="0.3">
      <c r="J5861"/>
    </row>
    <row r="5862" spans="10:10" x14ac:dyDescent="0.3">
      <c r="J5862"/>
    </row>
    <row r="5863" spans="10:10" x14ac:dyDescent="0.3">
      <c r="J5863"/>
    </row>
    <row r="5864" spans="10:10" x14ac:dyDescent="0.3">
      <c r="J5864"/>
    </row>
    <row r="5865" spans="10:10" x14ac:dyDescent="0.3">
      <c r="J5865"/>
    </row>
    <row r="5866" spans="10:10" x14ac:dyDescent="0.3">
      <c r="J5866"/>
    </row>
    <row r="5867" spans="10:10" x14ac:dyDescent="0.3">
      <c r="J5867"/>
    </row>
    <row r="5868" spans="10:10" x14ac:dyDescent="0.3">
      <c r="J5868"/>
    </row>
    <row r="5869" spans="10:10" x14ac:dyDescent="0.3">
      <c r="J5869"/>
    </row>
    <row r="5870" spans="10:10" x14ac:dyDescent="0.3">
      <c r="J5870"/>
    </row>
    <row r="5871" spans="10:10" x14ac:dyDescent="0.3">
      <c r="J5871"/>
    </row>
    <row r="5872" spans="10:10" x14ac:dyDescent="0.3">
      <c r="J5872"/>
    </row>
    <row r="5873" spans="10:10" x14ac:dyDescent="0.3">
      <c r="J5873"/>
    </row>
    <row r="5874" spans="10:10" x14ac:dyDescent="0.3">
      <c r="J5874"/>
    </row>
    <row r="5875" spans="10:10" x14ac:dyDescent="0.3">
      <c r="J5875"/>
    </row>
    <row r="5876" spans="10:10" x14ac:dyDescent="0.3">
      <c r="J5876"/>
    </row>
    <row r="5877" spans="10:10" x14ac:dyDescent="0.3">
      <c r="J5877"/>
    </row>
    <row r="5878" spans="10:10" x14ac:dyDescent="0.3">
      <c r="J5878"/>
    </row>
    <row r="5879" spans="10:10" x14ac:dyDescent="0.3">
      <c r="J5879"/>
    </row>
    <row r="5880" spans="10:10" x14ac:dyDescent="0.3">
      <c r="J5880"/>
    </row>
    <row r="5881" spans="10:10" x14ac:dyDescent="0.3">
      <c r="J5881"/>
    </row>
    <row r="5882" spans="10:10" x14ac:dyDescent="0.3">
      <c r="J5882"/>
    </row>
    <row r="5883" spans="10:10" x14ac:dyDescent="0.3">
      <c r="J5883"/>
    </row>
    <row r="5884" spans="10:10" x14ac:dyDescent="0.3">
      <c r="J5884"/>
    </row>
    <row r="5885" spans="10:10" x14ac:dyDescent="0.3">
      <c r="J5885"/>
    </row>
    <row r="5886" spans="10:10" x14ac:dyDescent="0.3">
      <c r="J5886"/>
    </row>
    <row r="5887" spans="10:10" x14ac:dyDescent="0.3">
      <c r="J5887"/>
    </row>
    <row r="5888" spans="10:10" x14ac:dyDescent="0.3">
      <c r="J5888"/>
    </row>
    <row r="5889" spans="10:10" x14ac:dyDescent="0.3">
      <c r="J5889"/>
    </row>
    <row r="5890" spans="10:10" x14ac:dyDescent="0.3">
      <c r="J5890"/>
    </row>
    <row r="5891" spans="10:10" x14ac:dyDescent="0.3">
      <c r="J5891"/>
    </row>
    <row r="5892" spans="10:10" x14ac:dyDescent="0.3">
      <c r="J5892"/>
    </row>
    <row r="5893" spans="10:10" x14ac:dyDescent="0.3">
      <c r="J5893"/>
    </row>
    <row r="5894" spans="10:10" x14ac:dyDescent="0.3">
      <c r="J5894"/>
    </row>
    <row r="5895" spans="10:10" x14ac:dyDescent="0.3">
      <c r="J5895"/>
    </row>
    <row r="5896" spans="10:10" x14ac:dyDescent="0.3">
      <c r="J5896"/>
    </row>
    <row r="5897" spans="10:10" x14ac:dyDescent="0.3">
      <c r="J5897"/>
    </row>
    <row r="5898" spans="10:10" x14ac:dyDescent="0.3">
      <c r="J5898"/>
    </row>
    <row r="5899" spans="10:10" x14ac:dyDescent="0.3">
      <c r="J5899"/>
    </row>
    <row r="5900" spans="10:10" x14ac:dyDescent="0.3">
      <c r="J5900"/>
    </row>
    <row r="5901" spans="10:10" x14ac:dyDescent="0.3">
      <c r="J5901"/>
    </row>
    <row r="5902" spans="10:10" x14ac:dyDescent="0.3">
      <c r="J5902"/>
    </row>
    <row r="5903" spans="10:10" x14ac:dyDescent="0.3">
      <c r="J5903"/>
    </row>
    <row r="5904" spans="10:10" x14ac:dyDescent="0.3">
      <c r="J5904"/>
    </row>
    <row r="5905" spans="10:10" x14ac:dyDescent="0.3">
      <c r="J5905"/>
    </row>
    <row r="5906" spans="10:10" x14ac:dyDescent="0.3">
      <c r="J5906"/>
    </row>
    <row r="5907" spans="10:10" x14ac:dyDescent="0.3">
      <c r="J5907"/>
    </row>
    <row r="5908" spans="10:10" x14ac:dyDescent="0.3">
      <c r="J5908"/>
    </row>
    <row r="5909" spans="10:10" x14ac:dyDescent="0.3">
      <c r="J5909"/>
    </row>
    <row r="5910" spans="10:10" x14ac:dyDescent="0.3">
      <c r="J5910"/>
    </row>
    <row r="5911" spans="10:10" x14ac:dyDescent="0.3">
      <c r="J5911"/>
    </row>
    <row r="5912" spans="10:10" x14ac:dyDescent="0.3">
      <c r="J5912"/>
    </row>
    <row r="5913" spans="10:10" x14ac:dyDescent="0.3">
      <c r="J5913"/>
    </row>
    <row r="5914" spans="10:10" x14ac:dyDescent="0.3">
      <c r="J5914"/>
    </row>
    <row r="5915" spans="10:10" x14ac:dyDescent="0.3">
      <c r="J5915"/>
    </row>
    <row r="5916" spans="10:10" x14ac:dyDescent="0.3">
      <c r="J5916"/>
    </row>
    <row r="5917" spans="10:10" x14ac:dyDescent="0.3">
      <c r="J5917"/>
    </row>
    <row r="5918" spans="10:10" x14ac:dyDescent="0.3">
      <c r="J5918"/>
    </row>
    <row r="5919" spans="10:10" x14ac:dyDescent="0.3">
      <c r="J5919"/>
    </row>
    <row r="5920" spans="10:10" x14ac:dyDescent="0.3">
      <c r="J5920"/>
    </row>
    <row r="5921" spans="10:10" x14ac:dyDescent="0.3">
      <c r="J5921"/>
    </row>
    <row r="5922" spans="10:10" x14ac:dyDescent="0.3">
      <c r="J5922"/>
    </row>
    <row r="5923" spans="10:10" x14ac:dyDescent="0.3">
      <c r="J5923"/>
    </row>
    <row r="5924" spans="10:10" x14ac:dyDescent="0.3">
      <c r="J5924"/>
    </row>
    <row r="5925" spans="10:10" x14ac:dyDescent="0.3">
      <c r="J5925"/>
    </row>
    <row r="5926" spans="10:10" x14ac:dyDescent="0.3">
      <c r="J5926"/>
    </row>
    <row r="5927" spans="10:10" x14ac:dyDescent="0.3">
      <c r="J5927"/>
    </row>
    <row r="5928" spans="10:10" x14ac:dyDescent="0.3">
      <c r="J5928"/>
    </row>
    <row r="5929" spans="10:10" x14ac:dyDescent="0.3">
      <c r="J5929"/>
    </row>
    <row r="5930" spans="10:10" x14ac:dyDescent="0.3">
      <c r="J5930"/>
    </row>
    <row r="5931" spans="10:10" x14ac:dyDescent="0.3">
      <c r="J5931"/>
    </row>
    <row r="5932" spans="10:10" x14ac:dyDescent="0.3">
      <c r="J5932"/>
    </row>
    <row r="5933" spans="10:10" x14ac:dyDescent="0.3">
      <c r="J5933"/>
    </row>
    <row r="5934" spans="10:10" x14ac:dyDescent="0.3">
      <c r="J5934"/>
    </row>
    <row r="5935" spans="10:10" x14ac:dyDescent="0.3">
      <c r="J5935"/>
    </row>
    <row r="5936" spans="10:10" x14ac:dyDescent="0.3">
      <c r="J5936"/>
    </row>
    <row r="5937" spans="10:10" x14ac:dyDescent="0.3">
      <c r="J5937"/>
    </row>
    <row r="5938" spans="10:10" x14ac:dyDescent="0.3">
      <c r="J5938"/>
    </row>
    <row r="5939" spans="10:10" x14ac:dyDescent="0.3">
      <c r="J5939"/>
    </row>
    <row r="5940" spans="10:10" x14ac:dyDescent="0.3">
      <c r="J5940"/>
    </row>
    <row r="5941" spans="10:10" x14ac:dyDescent="0.3">
      <c r="J5941"/>
    </row>
    <row r="5942" spans="10:10" x14ac:dyDescent="0.3">
      <c r="J5942"/>
    </row>
    <row r="5943" spans="10:10" x14ac:dyDescent="0.3">
      <c r="J5943"/>
    </row>
    <row r="5944" spans="10:10" x14ac:dyDescent="0.3">
      <c r="J5944"/>
    </row>
    <row r="5945" spans="10:10" x14ac:dyDescent="0.3">
      <c r="J5945"/>
    </row>
    <row r="5946" spans="10:10" x14ac:dyDescent="0.3">
      <c r="J5946"/>
    </row>
    <row r="5947" spans="10:10" x14ac:dyDescent="0.3">
      <c r="J5947"/>
    </row>
    <row r="5948" spans="10:10" x14ac:dyDescent="0.3">
      <c r="J5948"/>
    </row>
    <row r="5949" spans="10:10" x14ac:dyDescent="0.3">
      <c r="J5949"/>
    </row>
    <row r="5950" spans="10:10" x14ac:dyDescent="0.3">
      <c r="J5950"/>
    </row>
    <row r="5951" spans="10:10" x14ac:dyDescent="0.3">
      <c r="J5951"/>
    </row>
    <row r="5952" spans="10:10" x14ac:dyDescent="0.3">
      <c r="J5952"/>
    </row>
    <row r="5953" spans="10:10" x14ac:dyDescent="0.3">
      <c r="J5953"/>
    </row>
    <row r="5954" spans="10:10" x14ac:dyDescent="0.3">
      <c r="J5954"/>
    </row>
    <row r="5955" spans="10:10" x14ac:dyDescent="0.3">
      <c r="J5955"/>
    </row>
    <row r="5956" spans="10:10" x14ac:dyDescent="0.3">
      <c r="J5956"/>
    </row>
    <row r="5957" spans="10:10" x14ac:dyDescent="0.3">
      <c r="J5957"/>
    </row>
    <row r="5958" spans="10:10" x14ac:dyDescent="0.3">
      <c r="J5958"/>
    </row>
    <row r="5959" spans="10:10" x14ac:dyDescent="0.3">
      <c r="J5959"/>
    </row>
    <row r="5960" spans="10:10" x14ac:dyDescent="0.3">
      <c r="J5960"/>
    </row>
    <row r="5961" spans="10:10" x14ac:dyDescent="0.3">
      <c r="J5961"/>
    </row>
    <row r="5962" spans="10:10" x14ac:dyDescent="0.3">
      <c r="J5962"/>
    </row>
    <row r="5963" spans="10:10" x14ac:dyDescent="0.3">
      <c r="J5963"/>
    </row>
    <row r="5964" spans="10:10" x14ac:dyDescent="0.3">
      <c r="J5964"/>
    </row>
    <row r="5965" spans="10:10" x14ac:dyDescent="0.3">
      <c r="J5965"/>
    </row>
    <row r="5966" spans="10:10" x14ac:dyDescent="0.3">
      <c r="J5966"/>
    </row>
    <row r="5967" spans="10:10" x14ac:dyDescent="0.3">
      <c r="J5967"/>
    </row>
    <row r="5968" spans="10:10" x14ac:dyDescent="0.3">
      <c r="J5968"/>
    </row>
    <row r="5969" spans="10:10" x14ac:dyDescent="0.3">
      <c r="J5969"/>
    </row>
    <row r="5970" spans="10:10" x14ac:dyDescent="0.3">
      <c r="J5970"/>
    </row>
    <row r="5971" spans="10:10" x14ac:dyDescent="0.3">
      <c r="J5971"/>
    </row>
    <row r="5972" spans="10:10" x14ac:dyDescent="0.3">
      <c r="J5972"/>
    </row>
    <row r="5973" spans="10:10" x14ac:dyDescent="0.3">
      <c r="J5973"/>
    </row>
    <row r="5974" spans="10:10" x14ac:dyDescent="0.3">
      <c r="J5974"/>
    </row>
    <row r="5975" spans="10:10" x14ac:dyDescent="0.3">
      <c r="J5975"/>
    </row>
    <row r="5976" spans="10:10" x14ac:dyDescent="0.3">
      <c r="J5976"/>
    </row>
    <row r="5977" spans="10:10" x14ac:dyDescent="0.3">
      <c r="J5977"/>
    </row>
    <row r="5978" spans="10:10" x14ac:dyDescent="0.3">
      <c r="J5978"/>
    </row>
    <row r="5979" spans="10:10" x14ac:dyDescent="0.3">
      <c r="J5979"/>
    </row>
    <row r="5980" spans="10:10" x14ac:dyDescent="0.3">
      <c r="J5980"/>
    </row>
    <row r="5981" spans="10:10" x14ac:dyDescent="0.3">
      <c r="J5981"/>
    </row>
    <row r="5982" spans="10:10" x14ac:dyDescent="0.3">
      <c r="J5982"/>
    </row>
    <row r="5983" spans="10:10" x14ac:dyDescent="0.3">
      <c r="J5983"/>
    </row>
    <row r="5984" spans="10:10" x14ac:dyDescent="0.3">
      <c r="J5984"/>
    </row>
    <row r="5985" spans="10:10" x14ac:dyDescent="0.3">
      <c r="J5985"/>
    </row>
    <row r="5986" spans="10:10" x14ac:dyDescent="0.3">
      <c r="J5986"/>
    </row>
    <row r="5987" spans="10:10" x14ac:dyDescent="0.3">
      <c r="J5987"/>
    </row>
    <row r="5988" spans="10:10" x14ac:dyDescent="0.3">
      <c r="J5988"/>
    </row>
    <row r="5989" spans="10:10" x14ac:dyDescent="0.3">
      <c r="J5989"/>
    </row>
    <row r="5990" spans="10:10" x14ac:dyDescent="0.3">
      <c r="J5990"/>
    </row>
    <row r="5991" spans="10:10" x14ac:dyDescent="0.3">
      <c r="J5991"/>
    </row>
    <row r="5992" spans="10:10" x14ac:dyDescent="0.3">
      <c r="J5992"/>
    </row>
    <row r="5993" spans="10:10" x14ac:dyDescent="0.3">
      <c r="J5993"/>
    </row>
    <row r="5994" spans="10:10" x14ac:dyDescent="0.3">
      <c r="J5994"/>
    </row>
    <row r="5995" spans="10:10" x14ac:dyDescent="0.3">
      <c r="J5995"/>
    </row>
    <row r="5996" spans="10:10" x14ac:dyDescent="0.3">
      <c r="J5996"/>
    </row>
    <row r="5997" spans="10:10" x14ac:dyDescent="0.3">
      <c r="J5997"/>
    </row>
    <row r="5998" spans="10:10" x14ac:dyDescent="0.3">
      <c r="J5998"/>
    </row>
    <row r="5999" spans="10:10" x14ac:dyDescent="0.3">
      <c r="J5999"/>
    </row>
    <row r="6000" spans="10:10" x14ac:dyDescent="0.3">
      <c r="J6000"/>
    </row>
    <row r="6001" spans="10:10" x14ac:dyDescent="0.3">
      <c r="J6001"/>
    </row>
    <row r="6002" spans="10:10" x14ac:dyDescent="0.3">
      <c r="J6002"/>
    </row>
    <row r="6003" spans="10:10" x14ac:dyDescent="0.3">
      <c r="J6003"/>
    </row>
    <row r="6004" spans="10:10" x14ac:dyDescent="0.3">
      <c r="J6004"/>
    </row>
    <row r="6005" spans="10:10" x14ac:dyDescent="0.3">
      <c r="J6005"/>
    </row>
    <row r="6006" spans="10:10" x14ac:dyDescent="0.3">
      <c r="J6006"/>
    </row>
    <row r="6007" spans="10:10" x14ac:dyDescent="0.3">
      <c r="J6007"/>
    </row>
    <row r="6008" spans="10:10" x14ac:dyDescent="0.3">
      <c r="J6008"/>
    </row>
    <row r="6009" spans="10:10" x14ac:dyDescent="0.3">
      <c r="J6009"/>
    </row>
    <row r="6010" spans="10:10" x14ac:dyDescent="0.3">
      <c r="J6010"/>
    </row>
    <row r="6011" spans="10:10" x14ac:dyDescent="0.3">
      <c r="J6011"/>
    </row>
    <row r="6012" spans="10:10" x14ac:dyDescent="0.3">
      <c r="J6012"/>
    </row>
    <row r="6013" spans="10:10" x14ac:dyDescent="0.3">
      <c r="J6013"/>
    </row>
    <row r="6014" spans="10:10" x14ac:dyDescent="0.3">
      <c r="J6014"/>
    </row>
    <row r="6015" spans="10:10" x14ac:dyDescent="0.3">
      <c r="J6015"/>
    </row>
    <row r="6016" spans="10:10" x14ac:dyDescent="0.3">
      <c r="J6016"/>
    </row>
    <row r="6017" spans="10:10" x14ac:dyDescent="0.3">
      <c r="J6017"/>
    </row>
    <row r="6018" spans="10:10" x14ac:dyDescent="0.3">
      <c r="J6018"/>
    </row>
    <row r="6019" spans="10:10" x14ac:dyDescent="0.3">
      <c r="J6019"/>
    </row>
    <row r="6020" spans="10:10" x14ac:dyDescent="0.3">
      <c r="J6020"/>
    </row>
    <row r="6021" spans="10:10" x14ac:dyDescent="0.3">
      <c r="J6021"/>
    </row>
    <row r="6022" spans="10:10" x14ac:dyDescent="0.3">
      <c r="J6022"/>
    </row>
    <row r="6023" spans="10:10" x14ac:dyDescent="0.3">
      <c r="J6023"/>
    </row>
    <row r="6024" spans="10:10" x14ac:dyDescent="0.3">
      <c r="J6024"/>
    </row>
    <row r="6025" spans="10:10" x14ac:dyDescent="0.3">
      <c r="J6025"/>
    </row>
    <row r="6026" spans="10:10" x14ac:dyDescent="0.3">
      <c r="J6026"/>
    </row>
    <row r="6027" spans="10:10" x14ac:dyDescent="0.3">
      <c r="J6027"/>
    </row>
    <row r="6028" spans="10:10" x14ac:dyDescent="0.3">
      <c r="J6028"/>
    </row>
    <row r="6029" spans="10:10" x14ac:dyDescent="0.3">
      <c r="J6029"/>
    </row>
    <row r="6030" spans="10:10" x14ac:dyDescent="0.3">
      <c r="J6030"/>
    </row>
    <row r="6031" spans="10:10" x14ac:dyDescent="0.3">
      <c r="J6031"/>
    </row>
    <row r="6032" spans="10:10" x14ac:dyDescent="0.3">
      <c r="J6032"/>
    </row>
    <row r="6033" spans="10:10" x14ac:dyDescent="0.3">
      <c r="J6033"/>
    </row>
    <row r="6034" spans="10:10" x14ac:dyDescent="0.3">
      <c r="J6034"/>
    </row>
    <row r="6035" spans="10:10" x14ac:dyDescent="0.3">
      <c r="J6035"/>
    </row>
    <row r="6036" spans="10:10" x14ac:dyDescent="0.3">
      <c r="J6036"/>
    </row>
    <row r="6037" spans="10:10" x14ac:dyDescent="0.3">
      <c r="J6037"/>
    </row>
    <row r="6038" spans="10:10" x14ac:dyDescent="0.3">
      <c r="J6038"/>
    </row>
    <row r="6039" spans="10:10" x14ac:dyDescent="0.3">
      <c r="J6039"/>
    </row>
    <row r="6040" spans="10:10" x14ac:dyDescent="0.3">
      <c r="J6040"/>
    </row>
    <row r="6041" spans="10:10" x14ac:dyDescent="0.3">
      <c r="J6041"/>
    </row>
    <row r="6042" spans="10:10" x14ac:dyDescent="0.3">
      <c r="J6042"/>
    </row>
    <row r="6043" spans="10:10" x14ac:dyDescent="0.3">
      <c r="J6043"/>
    </row>
    <row r="6044" spans="10:10" x14ac:dyDescent="0.3">
      <c r="J6044"/>
    </row>
    <row r="6045" spans="10:10" x14ac:dyDescent="0.3">
      <c r="J6045"/>
    </row>
    <row r="6046" spans="10:10" x14ac:dyDescent="0.3">
      <c r="J6046"/>
    </row>
    <row r="6047" spans="10:10" x14ac:dyDescent="0.3">
      <c r="J6047"/>
    </row>
    <row r="6048" spans="10:10" x14ac:dyDescent="0.3">
      <c r="J6048"/>
    </row>
    <row r="6049" spans="10:10" x14ac:dyDescent="0.3">
      <c r="J6049"/>
    </row>
    <row r="6050" spans="10:10" x14ac:dyDescent="0.3">
      <c r="J6050"/>
    </row>
    <row r="6051" spans="10:10" x14ac:dyDescent="0.3">
      <c r="J6051"/>
    </row>
    <row r="6052" spans="10:10" x14ac:dyDescent="0.3">
      <c r="J6052"/>
    </row>
    <row r="6053" spans="10:10" x14ac:dyDescent="0.3">
      <c r="J6053"/>
    </row>
    <row r="6054" spans="10:10" x14ac:dyDescent="0.3">
      <c r="J6054"/>
    </row>
    <row r="6055" spans="10:10" x14ac:dyDescent="0.3">
      <c r="J6055"/>
    </row>
    <row r="6056" spans="10:10" x14ac:dyDescent="0.3">
      <c r="J6056"/>
    </row>
    <row r="6057" spans="10:10" x14ac:dyDescent="0.3">
      <c r="J6057"/>
    </row>
    <row r="6058" spans="10:10" x14ac:dyDescent="0.3">
      <c r="J6058"/>
    </row>
    <row r="6059" spans="10:10" x14ac:dyDescent="0.3">
      <c r="J6059"/>
    </row>
    <row r="6060" spans="10:10" x14ac:dyDescent="0.3">
      <c r="J6060"/>
    </row>
    <row r="6061" spans="10:10" x14ac:dyDescent="0.3">
      <c r="J6061"/>
    </row>
    <row r="6062" spans="10:10" x14ac:dyDescent="0.3">
      <c r="J6062"/>
    </row>
    <row r="6063" spans="10:10" x14ac:dyDescent="0.3">
      <c r="J6063"/>
    </row>
    <row r="6064" spans="10:10" x14ac:dyDescent="0.3">
      <c r="J6064"/>
    </row>
    <row r="6065" spans="10:10" x14ac:dyDescent="0.3">
      <c r="J6065"/>
    </row>
    <row r="6066" spans="10:10" x14ac:dyDescent="0.3">
      <c r="J6066"/>
    </row>
    <row r="6067" spans="10:10" x14ac:dyDescent="0.3">
      <c r="J6067"/>
    </row>
    <row r="6068" spans="10:10" x14ac:dyDescent="0.3">
      <c r="J6068"/>
    </row>
    <row r="6069" spans="10:10" x14ac:dyDescent="0.3">
      <c r="J6069"/>
    </row>
    <row r="6070" spans="10:10" x14ac:dyDescent="0.3">
      <c r="J6070"/>
    </row>
    <row r="6071" spans="10:10" x14ac:dyDescent="0.3">
      <c r="J6071"/>
    </row>
    <row r="6072" spans="10:10" x14ac:dyDescent="0.3">
      <c r="J6072"/>
    </row>
    <row r="6073" spans="10:10" x14ac:dyDescent="0.3">
      <c r="J6073"/>
    </row>
    <row r="6074" spans="10:10" x14ac:dyDescent="0.3">
      <c r="J6074"/>
    </row>
    <row r="6075" spans="10:10" x14ac:dyDescent="0.3">
      <c r="J6075"/>
    </row>
    <row r="6076" spans="10:10" x14ac:dyDescent="0.3">
      <c r="J6076"/>
    </row>
    <row r="6077" spans="10:10" x14ac:dyDescent="0.3">
      <c r="J6077"/>
    </row>
    <row r="6078" spans="10:10" x14ac:dyDescent="0.3">
      <c r="J6078"/>
    </row>
    <row r="6079" spans="10:10" x14ac:dyDescent="0.3">
      <c r="J6079"/>
    </row>
    <row r="6080" spans="10:10" x14ac:dyDescent="0.3">
      <c r="J6080"/>
    </row>
    <row r="6081" spans="10:10" x14ac:dyDescent="0.3">
      <c r="J6081"/>
    </row>
    <row r="6082" spans="10:10" x14ac:dyDescent="0.3">
      <c r="J6082"/>
    </row>
    <row r="6083" spans="10:10" x14ac:dyDescent="0.3">
      <c r="J6083"/>
    </row>
    <row r="6084" spans="10:10" x14ac:dyDescent="0.3">
      <c r="J6084"/>
    </row>
    <row r="6085" spans="10:10" x14ac:dyDescent="0.3">
      <c r="J6085"/>
    </row>
    <row r="6086" spans="10:10" x14ac:dyDescent="0.3">
      <c r="J6086"/>
    </row>
    <row r="6087" spans="10:10" x14ac:dyDescent="0.3">
      <c r="J6087"/>
    </row>
    <row r="6088" spans="10:10" x14ac:dyDescent="0.3">
      <c r="J6088"/>
    </row>
    <row r="6089" spans="10:10" x14ac:dyDescent="0.3">
      <c r="J6089"/>
    </row>
    <row r="6090" spans="10:10" x14ac:dyDescent="0.3">
      <c r="J6090"/>
    </row>
    <row r="6091" spans="10:10" x14ac:dyDescent="0.3">
      <c r="J6091"/>
    </row>
    <row r="6092" spans="10:10" x14ac:dyDescent="0.3">
      <c r="J6092"/>
    </row>
    <row r="6093" spans="10:10" x14ac:dyDescent="0.3">
      <c r="J6093"/>
    </row>
    <row r="6094" spans="10:10" x14ac:dyDescent="0.3">
      <c r="J6094"/>
    </row>
    <row r="6095" spans="10:10" x14ac:dyDescent="0.3">
      <c r="J6095"/>
    </row>
    <row r="6096" spans="10:10" x14ac:dyDescent="0.3">
      <c r="J6096"/>
    </row>
    <row r="6097" spans="10:10" x14ac:dyDescent="0.3">
      <c r="J6097"/>
    </row>
    <row r="6098" spans="10:10" x14ac:dyDescent="0.3">
      <c r="J6098"/>
    </row>
    <row r="6099" spans="10:10" x14ac:dyDescent="0.3">
      <c r="J6099"/>
    </row>
    <row r="6100" spans="10:10" x14ac:dyDescent="0.3">
      <c r="J6100"/>
    </row>
    <row r="6101" spans="10:10" x14ac:dyDescent="0.3">
      <c r="J6101"/>
    </row>
    <row r="6102" spans="10:10" x14ac:dyDescent="0.3">
      <c r="J6102"/>
    </row>
    <row r="6103" spans="10:10" x14ac:dyDescent="0.3">
      <c r="J6103"/>
    </row>
    <row r="6104" spans="10:10" x14ac:dyDescent="0.3">
      <c r="J6104"/>
    </row>
    <row r="6105" spans="10:10" x14ac:dyDescent="0.3">
      <c r="J6105"/>
    </row>
    <row r="6106" spans="10:10" x14ac:dyDescent="0.3">
      <c r="J6106"/>
    </row>
    <row r="6107" spans="10:10" x14ac:dyDescent="0.3">
      <c r="J6107"/>
    </row>
    <row r="6108" spans="10:10" x14ac:dyDescent="0.3">
      <c r="J6108"/>
    </row>
    <row r="6109" spans="10:10" x14ac:dyDescent="0.3">
      <c r="J6109"/>
    </row>
    <row r="6110" spans="10:10" x14ac:dyDescent="0.3">
      <c r="J6110"/>
    </row>
    <row r="6111" spans="10:10" x14ac:dyDescent="0.3">
      <c r="J6111"/>
    </row>
    <row r="6112" spans="10:10" x14ac:dyDescent="0.3">
      <c r="J6112"/>
    </row>
    <row r="6113" spans="10:10" x14ac:dyDescent="0.3">
      <c r="J6113"/>
    </row>
    <row r="6114" spans="10:10" x14ac:dyDescent="0.3">
      <c r="J6114"/>
    </row>
    <row r="6115" spans="10:10" x14ac:dyDescent="0.3">
      <c r="J6115"/>
    </row>
    <row r="6116" spans="10:10" x14ac:dyDescent="0.3">
      <c r="J6116"/>
    </row>
    <row r="6117" spans="10:10" x14ac:dyDescent="0.3">
      <c r="J6117"/>
    </row>
    <row r="6118" spans="10:10" x14ac:dyDescent="0.3">
      <c r="J6118"/>
    </row>
    <row r="6119" spans="10:10" x14ac:dyDescent="0.3">
      <c r="J6119"/>
    </row>
    <row r="6120" spans="10:10" x14ac:dyDescent="0.3">
      <c r="J6120"/>
    </row>
    <row r="6121" spans="10:10" x14ac:dyDescent="0.3">
      <c r="J6121"/>
    </row>
    <row r="6122" spans="10:10" x14ac:dyDescent="0.3">
      <c r="J6122"/>
    </row>
    <row r="6123" spans="10:10" x14ac:dyDescent="0.3">
      <c r="J6123"/>
    </row>
    <row r="6124" spans="10:10" x14ac:dyDescent="0.3">
      <c r="J6124"/>
    </row>
    <row r="6125" spans="10:10" x14ac:dyDescent="0.3">
      <c r="J6125"/>
    </row>
    <row r="6126" spans="10:10" x14ac:dyDescent="0.3">
      <c r="J6126"/>
    </row>
    <row r="6127" spans="10:10" x14ac:dyDescent="0.3">
      <c r="J6127"/>
    </row>
    <row r="6128" spans="10:10" x14ac:dyDescent="0.3">
      <c r="J6128"/>
    </row>
    <row r="6129" spans="10:10" x14ac:dyDescent="0.3">
      <c r="J6129"/>
    </row>
    <row r="6130" spans="10:10" x14ac:dyDescent="0.3">
      <c r="J6130"/>
    </row>
    <row r="6131" spans="10:10" x14ac:dyDescent="0.3">
      <c r="J6131"/>
    </row>
    <row r="6132" spans="10:10" x14ac:dyDescent="0.3">
      <c r="J6132"/>
    </row>
    <row r="6133" spans="10:10" x14ac:dyDescent="0.3">
      <c r="J6133"/>
    </row>
    <row r="6134" spans="10:10" x14ac:dyDescent="0.3">
      <c r="J6134"/>
    </row>
    <row r="6135" spans="10:10" x14ac:dyDescent="0.3">
      <c r="J6135"/>
    </row>
    <row r="6136" spans="10:10" x14ac:dyDescent="0.3">
      <c r="J6136"/>
    </row>
    <row r="6137" spans="10:10" x14ac:dyDescent="0.3">
      <c r="J6137"/>
    </row>
    <row r="6138" spans="10:10" x14ac:dyDescent="0.3">
      <c r="J6138"/>
    </row>
    <row r="6139" spans="10:10" x14ac:dyDescent="0.3">
      <c r="J6139"/>
    </row>
    <row r="6140" spans="10:10" x14ac:dyDescent="0.3">
      <c r="J6140"/>
    </row>
    <row r="6141" spans="10:10" x14ac:dyDescent="0.3">
      <c r="J6141"/>
    </row>
    <row r="6142" spans="10:10" x14ac:dyDescent="0.3">
      <c r="J6142"/>
    </row>
    <row r="6143" spans="10:10" x14ac:dyDescent="0.3">
      <c r="J6143"/>
    </row>
    <row r="6144" spans="10:10" x14ac:dyDescent="0.3">
      <c r="J6144"/>
    </row>
    <row r="6145" spans="10:10" x14ac:dyDescent="0.3">
      <c r="J6145"/>
    </row>
    <row r="6146" spans="10:10" x14ac:dyDescent="0.3">
      <c r="J6146"/>
    </row>
    <row r="6147" spans="10:10" x14ac:dyDescent="0.3">
      <c r="J6147"/>
    </row>
    <row r="6148" spans="10:10" x14ac:dyDescent="0.3">
      <c r="J6148"/>
    </row>
    <row r="6149" spans="10:10" x14ac:dyDescent="0.3">
      <c r="J6149"/>
    </row>
    <row r="6150" spans="10:10" x14ac:dyDescent="0.3">
      <c r="J6150"/>
    </row>
    <row r="6151" spans="10:10" x14ac:dyDescent="0.3">
      <c r="J6151"/>
    </row>
    <row r="6152" spans="10:10" x14ac:dyDescent="0.3">
      <c r="J6152"/>
    </row>
    <row r="6153" spans="10:10" x14ac:dyDescent="0.3">
      <c r="J6153"/>
    </row>
    <row r="6154" spans="10:10" x14ac:dyDescent="0.3">
      <c r="J6154"/>
    </row>
    <row r="6155" spans="10:10" x14ac:dyDescent="0.3">
      <c r="J6155"/>
    </row>
    <row r="6156" spans="10:10" x14ac:dyDescent="0.3">
      <c r="J6156"/>
    </row>
    <row r="6157" spans="10:10" x14ac:dyDescent="0.3">
      <c r="J6157"/>
    </row>
    <row r="6158" spans="10:10" x14ac:dyDescent="0.3">
      <c r="J6158"/>
    </row>
    <row r="6159" spans="10:10" x14ac:dyDescent="0.3">
      <c r="J6159"/>
    </row>
    <row r="6160" spans="10:10" x14ac:dyDescent="0.3">
      <c r="J6160"/>
    </row>
    <row r="6161" spans="10:10" x14ac:dyDescent="0.3">
      <c r="J6161"/>
    </row>
    <row r="6162" spans="10:10" x14ac:dyDescent="0.3">
      <c r="J6162"/>
    </row>
    <row r="6163" spans="10:10" x14ac:dyDescent="0.3">
      <c r="J6163"/>
    </row>
    <row r="6164" spans="10:10" x14ac:dyDescent="0.3">
      <c r="J6164"/>
    </row>
    <row r="6165" spans="10:10" x14ac:dyDescent="0.3">
      <c r="J6165"/>
    </row>
    <row r="6166" spans="10:10" x14ac:dyDescent="0.3">
      <c r="J6166"/>
    </row>
    <row r="6167" spans="10:10" x14ac:dyDescent="0.3">
      <c r="J6167"/>
    </row>
    <row r="6168" spans="10:10" x14ac:dyDescent="0.3">
      <c r="J6168"/>
    </row>
    <row r="6169" spans="10:10" x14ac:dyDescent="0.3">
      <c r="J6169"/>
    </row>
    <row r="6170" spans="10:10" x14ac:dyDescent="0.3">
      <c r="J6170"/>
    </row>
    <row r="6171" spans="10:10" x14ac:dyDescent="0.3">
      <c r="J6171"/>
    </row>
    <row r="6172" spans="10:10" x14ac:dyDescent="0.3">
      <c r="J6172"/>
    </row>
    <row r="6173" spans="10:10" x14ac:dyDescent="0.3">
      <c r="J6173"/>
    </row>
    <row r="6174" spans="10:10" x14ac:dyDescent="0.3">
      <c r="J6174"/>
    </row>
    <row r="6175" spans="10:10" x14ac:dyDescent="0.3">
      <c r="J6175"/>
    </row>
    <row r="6176" spans="10:10" x14ac:dyDescent="0.3">
      <c r="J6176"/>
    </row>
    <row r="6177" spans="10:10" x14ac:dyDescent="0.3">
      <c r="J6177"/>
    </row>
    <row r="6178" spans="10:10" x14ac:dyDescent="0.3">
      <c r="J6178"/>
    </row>
    <row r="6179" spans="10:10" x14ac:dyDescent="0.3">
      <c r="J6179"/>
    </row>
    <row r="6180" spans="10:10" x14ac:dyDescent="0.3">
      <c r="J6180"/>
    </row>
    <row r="6181" spans="10:10" x14ac:dyDescent="0.3">
      <c r="J6181"/>
    </row>
    <row r="6182" spans="10:10" x14ac:dyDescent="0.3">
      <c r="J6182"/>
    </row>
    <row r="6183" spans="10:10" x14ac:dyDescent="0.3">
      <c r="J6183"/>
    </row>
    <row r="6184" spans="10:10" x14ac:dyDescent="0.3">
      <c r="J6184"/>
    </row>
    <row r="6185" spans="10:10" x14ac:dyDescent="0.3">
      <c r="J6185"/>
    </row>
    <row r="6186" spans="10:10" x14ac:dyDescent="0.3">
      <c r="J6186"/>
    </row>
    <row r="6187" spans="10:10" x14ac:dyDescent="0.3">
      <c r="J6187"/>
    </row>
    <row r="6188" spans="10:10" x14ac:dyDescent="0.3">
      <c r="J6188"/>
    </row>
    <row r="6189" spans="10:10" x14ac:dyDescent="0.3">
      <c r="J6189"/>
    </row>
    <row r="6190" spans="10:10" x14ac:dyDescent="0.3">
      <c r="J6190"/>
    </row>
    <row r="6191" spans="10:10" x14ac:dyDescent="0.3">
      <c r="J6191"/>
    </row>
    <row r="6192" spans="10:10" x14ac:dyDescent="0.3">
      <c r="J6192"/>
    </row>
    <row r="6193" spans="10:10" x14ac:dyDescent="0.3">
      <c r="J6193"/>
    </row>
    <row r="6194" spans="10:10" x14ac:dyDescent="0.3">
      <c r="J6194"/>
    </row>
    <row r="6195" spans="10:10" x14ac:dyDescent="0.3">
      <c r="J6195"/>
    </row>
    <row r="6196" spans="10:10" x14ac:dyDescent="0.3">
      <c r="J6196"/>
    </row>
    <row r="6197" spans="10:10" x14ac:dyDescent="0.3">
      <c r="J6197"/>
    </row>
    <row r="6198" spans="10:10" x14ac:dyDescent="0.3">
      <c r="J6198"/>
    </row>
    <row r="6199" spans="10:10" x14ac:dyDescent="0.3">
      <c r="J6199"/>
    </row>
    <row r="6200" spans="10:10" x14ac:dyDescent="0.3">
      <c r="J6200"/>
    </row>
    <row r="6201" spans="10:10" x14ac:dyDescent="0.3">
      <c r="J6201"/>
    </row>
    <row r="6202" spans="10:10" x14ac:dyDescent="0.3">
      <c r="J6202"/>
    </row>
    <row r="6203" spans="10:10" x14ac:dyDescent="0.3">
      <c r="J6203"/>
    </row>
    <row r="6204" spans="10:10" x14ac:dyDescent="0.3">
      <c r="J6204"/>
    </row>
    <row r="6205" spans="10:10" x14ac:dyDescent="0.3">
      <c r="J6205"/>
    </row>
    <row r="6206" spans="10:10" x14ac:dyDescent="0.3">
      <c r="J6206"/>
    </row>
    <row r="6207" spans="10:10" x14ac:dyDescent="0.3">
      <c r="J6207"/>
    </row>
    <row r="6208" spans="10:10" x14ac:dyDescent="0.3">
      <c r="J6208"/>
    </row>
    <row r="6209" spans="10:10" x14ac:dyDescent="0.3">
      <c r="J6209"/>
    </row>
    <row r="6210" spans="10:10" x14ac:dyDescent="0.3">
      <c r="J6210"/>
    </row>
    <row r="6211" spans="10:10" x14ac:dyDescent="0.3">
      <c r="J6211"/>
    </row>
    <row r="6212" spans="10:10" x14ac:dyDescent="0.3">
      <c r="J6212"/>
    </row>
    <row r="6213" spans="10:10" x14ac:dyDescent="0.3">
      <c r="J6213"/>
    </row>
    <row r="6214" spans="10:10" x14ac:dyDescent="0.3">
      <c r="J6214"/>
    </row>
    <row r="6215" spans="10:10" x14ac:dyDescent="0.3">
      <c r="J6215"/>
    </row>
    <row r="6216" spans="10:10" x14ac:dyDescent="0.3">
      <c r="J6216"/>
    </row>
    <row r="6217" spans="10:10" x14ac:dyDescent="0.3">
      <c r="J6217"/>
    </row>
    <row r="6218" spans="10:10" x14ac:dyDescent="0.3">
      <c r="J6218"/>
    </row>
    <row r="6219" spans="10:10" x14ac:dyDescent="0.3">
      <c r="J6219"/>
    </row>
    <row r="6220" spans="10:10" x14ac:dyDescent="0.3">
      <c r="J6220"/>
    </row>
    <row r="6221" spans="10:10" x14ac:dyDescent="0.3">
      <c r="J6221"/>
    </row>
    <row r="6222" spans="10:10" x14ac:dyDescent="0.3">
      <c r="J6222"/>
    </row>
    <row r="6223" spans="10:10" x14ac:dyDescent="0.3">
      <c r="J6223"/>
    </row>
    <row r="6224" spans="10:10" x14ac:dyDescent="0.3">
      <c r="J6224"/>
    </row>
    <row r="6225" spans="10:10" x14ac:dyDescent="0.3">
      <c r="J6225"/>
    </row>
    <row r="6226" spans="10:10" x14ac:dyDescent="0.3">
      <c r="J6226"/>
    </row>
    <row r="6227" spans="10:10" x14ac:dyDescent="0.3">
      <c r="J6227"/>
    </row>
    <row r="6228" spans="10:10" x14ac:dyDescent="0.3">
      <c r="J6228"/>
    </row>
    <row r="6229" spans="10:10" x14ac:dyDescent="0.3">
      <c r="J6229"/>
    </row>
    <row r="6230" spans="10:10" x14ac:dyDescent="0.3">
      <c r="J6230"/>
    </row>
    <row r="6231" spans="10:10" x14ac:dyDescent="0.3">
      <c r="J6231"/>
    </row>
    <row r="6232" spans="10:10" x14ac:dyDescent="0.3">
      <c r="J6232"/>
    </row>
    <row r="6233" spans="10:10" x14ac:dyDescent="0.3">
      <c r="J6233"/>
    </row>
    <row r="6234" spans="10:10" x14ac:dyDescent="0.3">
      <c r="J6234"/>
    </row>
    <row r="6235" spans="10:10" x14ac:dyDescent="0.3">
      <c r="J6235"/>
    </row>
    <row r="6236" spans="10:10" x14ac:dyDescent="0.3">
      <c r="J6236"/>
    </row>
    <row r="6237" spans="10:10" x14ac:dyDescent="0.3">
      <c r="J6237"/>
    </row>
    <row r="6238" spans="10:10" x14ac:dyDescent="0.3">
      <c r="J6238"/>
    </row>
    <row r="6239" spans="10:10" x14ac:dyDescent="0.3">
      <c r="J6239"/>
    </row>
    <row r="6240" spans="10:10" x14ac:dyDescent="0.3">
      <c r="J6240"/>
    </row>
    <row r="6241" spans="10:10" x14ac:dyDescent="0.3">
      <c r="J6241"/>
    </row>
    <row r="6242" spans="10:10" x14ac:dyDescent="0.3">
      <c r="J6242"/>
    </row>
    <row r="6243" spans="10:10" x14ac:dyDescent="0.3">
      <c r="J6243"/>
    </row>
    <row r="6244" spans="10:10" x14ac:dyDescent="0.3">
      <c r="J6244"/>
    </row>
    <row r="6245" spans="10:10" x14ac:dyDescent="0.3">
      <c r="J6245"/>
    </row>
    <row r="6246" spans="10:10" x14ac:dyDescent="0.3">
      <c r="J6246"/>
    </row>
    <row r="6247" spans="10:10" x14ac:dyDescent="0.3">
      <c r="J6247"/>
    </row>
    <row r="6248" spans="10:10" x14ac:dyDescent="0.3">
      <c r="J6248"/>
    </row>
    <row r="6249" spans="10:10" x14ac:dyDescent="0.3">
      <c r="J6249"/>
    </row>
    <row r="6250" spans="10:10" x14ac:dyDescent="0.3">
      <c r="J6250"/>
    </row>
    <row r="6251" spans="10:10" x14ac:dyDescent="0.3">
      <c r="J6251"/>
    </row>
    <row r="6252" spans="10:10" x14ac:dyDescent="0.3">
      <c r="J6252"/>
    </row>
    <row r="6253" spans="10:10" x14ac:dyDescent="0.3">
      <c r="J6253"/>
    </row>
    <row r="6254" spans="10:10" x14ac:dyDescent="0.3">
      <c r="J6254"/>
    </row>
    <row r="6255" spans="10:10" x14ac:dyDescent="0.3">
      <c r="J6255"/>
    </row>
    <row r="6256" spans="10:10" x14ac:dyDescent="0.3">
      <c r="J6256"/>
    </row>
    <row r="6257" spans="10:10" x14ac:dyDescent="0.3">
      <c r="J6257"/>
    </row>
    <row r="6258" spans="10:10" x14ac:dyDescent="0.3">
      <c r="J6258"/>
    </row>
    <row r="6259" spans="10:10" x14ac:dyDescent="0.3">
      <c r="J6259"/>
    </row>
    <row r="6260" spans="10:10" x14ac:dyDescent="0.3">
      <c r="J6260"/>
    </row>
    <row r="6261" spans="10:10" x14ac:dyDescent="0.3">
      <c r="J6261"/>
    </row>
    <row r="6262" spans="10:10" x14ac:dyDescent="0.3">
      <c r="J6262"/>
    </row>
    <row r="6263" spans="10:10" x14ac:dyDescent="0.3">
      <c r="J6263"/>
    </row>
    <row r="6264" spans="10:10" x14ac:dyDescent="0.3">
      <c r="J6264"/>
    </row>
    <row r="6265" spans="10:10" x14ac:dyDescent="0.3">
      <c r="J6265"/>
    </row>
    <row r="6266" spans="10:10" x14ac:dyDescent="0.3">
      <c r="J6266"/>
    </row>
    <row r="6267" spans="10:10" x14ac:dyDescent="0.3">
      <c r="J6267"/>
    </row>
    <row r="6268" spans="10:10" x14ac:dyDescent="0.3">
      <c r="J6268"/>
    </row>
    <row r="6269" spans="10:10" x14ac:dyDescent="0.3">
      <c r="J6269"/>
    </row>
    <row r="6270" spans="10:10" x14ac:dyDescent="0.3">
      <c r="J6270"/>
    </row>
    <row r="6271" spans="10:10" x14ac:dyDescent="0.3">
      <c r="J6271"/>
    </row>
    <row r="6272" spans="10:10" x14ac:dyDescent="0.3">
      <c r="J6272"/>
    </row>
    <row r="6273" spans="10:10" x14ac:dyDescent="0.3">
      <c r="J6273"/>
    </row>
    <row r="6274" spans="10:10" x14ac:dyDescent="0.3">
      <c r="J6274"/>
    </row>
    <row r="6275" spans="10:10" x14ac:dyDescent="0.3">
      <c r="J6275"/>
    </row>
    <row r="6276" spans="10:10" x14ac:dyDescent="0.3">
      <c r="J6276"/>
    </row>
    <row r="6277" spans="10:10" x14ac:dyDescent="0.3">
      <c r="J6277"/>
    </row>
    <row r="6278" spans="10:10" x14ac:dyDescent="0.3">
      <c r="J6278"/>
    </row>
    <row r="6279" spans="10:10" x14ac:dyDescent="0.3">
      <c r="J6279"/>
    </row>
    <row r="6280" spans="10:10" x14ac:dyDescent="0.3">
      <c r="J6280"/>
    </row>
    <row r="6281" spans="10:10" x14ac:dyDescent="0.3">
      <c r="J6281"/>
    </row>
    <row r="6282" spans="10:10" x14ac:dyDescent="0.3">
      <c r="J6282"/>
    </row>
    <row r="6283" spans="10:10" x14ac:dyDescent="0.3">
      <c r="J6283"/>
    </row>
    <row r="6284" spans="10:10" x14ac:dyDescent="0.3">
      <c r="J6284"/>
    </row>
    <row r="6285" spans="10:10" x14ac:dyDescent="0.3">
      <c r="J6285"/>
    </row>
    <row r="6286" spans="10:10" x14ac:dyDescent="0.3">
      <c r="J6286"/>
    </row>
    <row r="6287" spans="10:10" x14ac:dyDescent="0.3">
      <c r="J6287"/>
    </row>
    <row r="6288" spans="10:10" x14ac:dyDescent="0.3">
      <c r="J6288"/>
    </row>
    <row r="6289" spans="10:10" x14ac:dyDescent="0.3">
      <c r="J6289"/>
    </row>
    <row r="6290" spans="10:10" x14ac:dyDescent="0.3">
      <c r="J6290"/>
    </row>
    <row r="6291" spans="10:10" x14ac:dyDescent="0.3">
      <c r="J6291"/>
    </row>
    <row r="6292" spans="10:10" x14ac:dyDescent="0.3">
      <c r="J6292"/>
    </row>
    <row r="6293" spans="10:10" x14ac:dyDescent="0.3">
      <c r="J6293"/>
    </row>
    <row r="6294" spans="10:10" x14ac:dyDescent="0.3">
      <c r="J6294"/>
    </row>
    <row r="6295" spans="10:10" x14ac:dyDescent="0.3">
      <c r="J6295"/>
    </row>
    <row r="6296" spans="10:10" x14ac:dyDescent="0.3">
      <c r="J6296"/>
    </row>
    <row r="6297" spans="10:10" x14ac:dyDescent="0.3">
      <c r="J6297"/>
    </row>
    <row r="6298" spans="10:10" x14ac:dyDescent="0.3">
      <c r="J6298"/>
    </row>
    <row r="6299" spans="10:10" x14ac:dyDescent="0.3">
      <c r="J6299"/>
    </row>
    <row r="6300" spans="10:10" x14ac:dyDescent="0.3">
      <c r="J6300"/>
    </row>
    <row r="6301" spans="10:10" x14ac:dyDescent="0.3">
      <c r="J6301"/>
    </row>
    <row r="6302" spans="10:10" x14ac:dyDescent="0.3">
      <c r="J6302"/>
    </row>
    <row r="6303" spans="10:10" x14ac:dyDescent="0.3">
      <c r="J6303"/>
    </row>
    <row r="6304" spans="10:10" x14ac:dyDescent="0.3">
      <c r="J6304"/>
    </row>
    <row r="6305" spans="10:10" x14ac:dyDescent="0.3">
      <c r="J6305"/>
    </row>
    <row r="6306" spans="10:10" x14ac:dyDescent="0.3">
      <c r="J6306"/>
    </row>
    <row r="6307" spans="10:10" x14ac:dyDescent="0.3">
      <c r="J6307"/>
    </row>
    <row r="6308" spans="10:10" x14ac:dyDescent="0.3">
      <c r="J6308"/>
    </row>
    <row r="6309" spans="10:10" x14ac:dyDescent="0.3">
      <c r="J6309"/>
    </row>
    <row r="6310" spans="10:10" x14ac:dyDescent="0.3">
      <c r="J6310"/>
    </row>
    <row r="6311" spans="10:10" x14ac:dyDescent="0.3">
      <c r="J6311"/>
    </row>
    <row r="6312" spans="10:10" x14ac:dyDescent="0.3">
      <c r="J6312"/>
    </row>
    <row r="6313" spans="10:10" x14ac:dyDescent="0.3">
      <c r="J6313"/>
    </row>
    <row r="6314" spans="10:10" x14ac:dyDescent="0.3">
      <c r="J6314"/>
    </row>
    <row r="6315" spans="10:10" x14ac:dyDescent="0.3">
      <c r="J6315"/>
    </row>
    <row r="6316" spans="10:10" x14ac:dyDescent="0.3">
      <c r="J6316"/>
    </row>
    <row r="6317" spans="10:10" x14ac:dyDescent="0.3">
      <c r="J6317"/>
    </row>
    <row r="6318" spans="10:10" x14ac:dyDescent="0.3">
      <c r="J6318"/>
    </row>
    <row r="6319" spans="10:10" x14ac:dyDescent="0.3">
      <c r="J6319"/>
    </row>
    <row r="6320" spans="10:10" x14ac:dyDescent="0.3">
      <c r="J6320"/>
    </row>
    <row r="6321" spans="10:10" x14ac:dyDescent="0.3">
      <c r="J6321"/>
    </row>
    <row r="6322" spans="10:10" x14ac:dyDescent="0.3">
      <c r="J6322"/>
    </row>
    <row r="6323" spans="10:10" x14ac:dyDescent="0.3">
      <c r="J6323"/>
    </row>
    <row r="6324" spans="10:10" x14ac:dyDescent="0.3">
      <c r="J6324"/>
    </row>
    <row r="6325" spans="10:10" x14ac:dyDescent="0.3">
      <c r="J6325"/>
    </row>
    <row r="6326" spans="10:10" x14ac:dyDescent="0.3">
      <c r="J6326"/>
    </row>
    <row r="6327" spans="10:10" x14ac:dyDescent="0.3">
      <c r="J6327"/>
    </row>
    <row r="6328" spans="10:10" x14ac:dyDescent="0.3">
      <c r="J6328"/>
    </row>
    <row r="6329" spans="10:10" x14ac:dyDescent="0.3">
      <c r="J6329"/>
    </row>
    <row r="6330" spans="10:10" x14ac:dyDescent="0.3">
      <c r="J6330"/>
    </row>
    <row r="6331" spans="10:10" x14ac:dyDescent="0.3">
      <c r="J6331"/>
    </row>
    <row r="6332" spans="10:10" x14ac:dyDescent="0.3">
      <c r="J6332"/>
    </row>
    <row r="6333" spans="10:10" x14ac:dyDescent="0.3">
      <c r="J6333"/>
    </row>
    <row r="6334" spans="10:10" x14ac:dyDescent="0.3">
      <c r="J6334"/>
    </row>
    <row r="6335" spans="10:10" x14ac:dyDescent="0.3">
      <c r="J6335"/>
    </row>
    <row r="6336" spans="10:10" x14ac:dyDescent="0.3">
      <c r="J6336"/>
    </row>
    <row r="6337" spans="10:10" x14ac:dyDescent="0.3">
      <c r="J6337"/>
    </row>
    <row r="6338" spans="10:10" x14ac:dyDescent="0.3">
      <c r="J6338"/>
    </row>
    <row r="6339" spans="10:10" x14ac:dyDescent="0.3">
      <c r="J6339"/>
    </row>
    <row r="6340" spans="10:10" x14ac:dyDescent="0.3">
      <c r="J6340"/>
    </row>
    <row r="6341" spans="10:10" x14ac:dyDescent="0.3">
      <c r="J6341"/>
    </row>
    <row r="6342" spans="10:10" x14ac:dyDescent="0.3">
      <c r="J6342"/>
    </row>
    <row r="6343" spans="10:10" x14ac:dyDescent="0.3">
      <c r="J6343"/>
    </row>
    <row r="6344" spans="10:10" x14ac:dyDescent="0.3">
      <c r="J6344"/>
    </row>
    <row r="6345" spans="10:10" x14ac:dyDescent="0.3">
      <c r="J6345"/>
    </row>
    <row r="6346" spans="10:10" x14ac:dyDescent="0.3">
      <c r="J6346"/>
    </row>
    <row r="6347" spans="10:10" x14ac:dyDescent="0.3">
      <c r="J6347"/>
    </row>
    <row r="6348" spans="10:10" x14ac:dyDescent="0.3">
      <c r="J6348"/>
    </row>
    <row r="6349" spans="10:10" x14ac:dyDescent="0.3">
      <c r="J6349"/>
    </row>
    <row r="6350" spans="10:10" x14ac:dyDescent="0.3">
      <c r="J6350"/>
    </row>
    <row r="6351" spans="10:10" x14ac:dyDescent="0.3">
      <c r="J6351"/>
    </row>
    <row r="6352" spans="10:10" x14ac:dyDescent="0.3">
      <c r="J6352"/>
    </row>
    <row r="6353" spans="10:10" x14ac:dyDescent="0.3">
      <c r="J6353"/>
    </row>
    <row r="6354" spans="10:10" x14ac:dyDescent="0.3">
      <c r="J6354"/>
    </row>
    <row r="6355" spans="10:10" x14ac:dyDescent="0.3">
      <c r="J6355"/>
    </row>
    <row r="6356" spans="10:10" x14ac:dyDescent="0.3">
      <c r="J6356"/>
    </row>
    <row r="6357" spans="10:10" x14ac:dyDescent="0.3">
      <c r="J6357"/>
    </row>
    <row r="6358" spans="10:10" x14ac:dyDescent="0.3">
      <c r="J6358"/>
    </row>
    <row r="6359" spans="10:10" x14ac:dyDescent="0.3">
      <c r="J6359"/>
    </row>
    <row r="6360" spans="10:10" x14ac:dyDescent="0.3">
      <c r="J6360"/>
    </row>
    <row r="6361" spans="10:10" x14ac:dyDescent="0.3">
      <c r="J6361"/>
    </row>
    <row r="6362" spans="10:10" x14ac:dyDescent="0.3">
      <c r="J6362"/>
    </row>
    <row r="6363" spans="10:10" x14ac:dyDescent="0.3">
      <c r="J6363"/>
    </row>
    <row r="6364" spans="10:10" x14ac:dyDescent="0.3">
      <c r="J6364"/>
    </row>
    <row r="6365" spans="10:10" x14ac:dyDescent="0.3">
      <c r="J6365"/>
    </row>
    <row r="6366" spans="10:10" x14ac:dyDescent="0.3">
      <c r="J6366"/>
    </row>
    <row r="6367" spans="10:10" x14ac:dyDescent="0.3">
      <c r="J6367"/>
    </row>
    <row r="6368" spans="10:10" x14ac:dyDescent="0.3">
      <c r="J6368"/>
    </row>
    <row r="6369" spans="10:10" x14ac:dyDescent="0.3">
      <c r="J6369"/>
    </row>
    <row r="6370" spans="10:10" x14ac:dyDescent="0.3">
      <c r="J6370"/>
    </row>
    <row r="6371" spans="10:10" x14ac:dyDescent="0.3">
      <c r="J6371"/>
    </row>
    <row r="6372" spans="10:10" x14ac:dyDescent="0.3">
      <c r="J6372"/>
    </row>
    <row r="6373" spans="10:10" x14ac:dyDescent="0.3">
      <c r="J6373"/>
    </row>
    <row r="6374" spans="10:10" x14ac:dyDescent="0.3">
      <c r="J6374"/>
    </row>
    <row r="6375" spans="10:10" x14ac:dyDescent="0.3">
      <c r="J6375"/>
    </row>
    <row r="6376" spans="10:10" x14ac:dyDescent="0.3">
      <c r="J6376"/>
    </row>
    <row r="6377" spans="10:10" x14ac:dyDescent="0.3">
      <c r="J6377"/>
    </row>
    <row r="6378" spans="10:10" x14ac:dyDescent="0.3">
      <c r="J6378"/>
    </row>
    <row r="6379" spans="10:10" x14ac:dyDescent="0.3">
      <c r="J6379"/>
    </row>
    <row r="6380" spans="10:10" x14ac:dyDescent="0.3">
      <c r="J6380"/>
    </row>
    <row r="6381" spans="10:10" x14ac:dyDescent="0.3">
      <c r="J6381"/>
    </row>
    <row r="6382" spans="10:10" x14ac:dyDescent="0.3">
      <c r="J6382"/>
    </row>
    <row r="6383" spans="10:10" x14ac:dyDescent="0.3">
      <c r="J6383"/>
    </row>
    <row r="6384" spans="10:10" x14ac:dyDescent="0.3">
      <c r="J6384"/>
    </row>
    <row r="6385" spans="10:10" x14ac:dyDescent="0.3">
      <c r="J6385"/>
    </row>
    <row r="6386" spans="10:10" x14ac:dyDescent="0.3">
      <c r="J6386"/>
    </row>
    <row r="6387" spans="10:10" x14ac:dyDescent="0.3">
      <c r="J6387"/>
    </row>
    <row r="6388" spans="10:10" x14ac:dyDescent="0.3">
      <c r="J6388"/>
    </row>
    <row r="6389" spans="10:10" x14ac:dyDescent="0.3">
      <c r="J6389"/>
    </row>
    <row r="6390" spans="10:10" x14ac:dyDescent="0.3">
      <c r="J6390"/>
    </row>
    <row r="6391" spans="10:10" x14ac:dyDescent="0.3">
      <c r="J6391"/>
    </row>
    <row r="6392" spans="10:10" x14ac:dyDescent="0.3">
      <c r="J6392"/>
    </row>
    <row r="6393" spans="10:10" x14ac:dyDescent="0.3">
      <c r="J6393"/>
    </row>
    <row r="6394" spans="10:10" x14ac:dyDescent="0.3">
      <c r="J6394"/>
    </row>
    <row r="6395" spans="10:10" x14ac:dyDescent="0.3">
      <c r="J6395"/>
    </row>
    <row r="6396" spans="10:10" x14ac:dyDescent="0.3">
      <c r="J6396"/>
    </row>
    <row r="6397" spans="10:10" x14ac:dyDescent="0.3">
      <c r="J6397"/>
    </row>
    <row r="6398" spans="10:10" x14ac:dyDescent="0.3">
      <c r="J6398"/>
    </row>
    <row r="6399" spans="10:10" x14ac:dyDescent="0.3">
      <c r="J6399"/>
    </row>
    <row r="6400" spans="10:10" x14ac:dyDescent="0.3">
      <c r="J6400"/>
    </row>
    <row r="6401" spans="10:10" x14ac:dyDescent="0.3">
      <c r="J6401"/>
    </row>
    <row r="6402" spans="10:10" x14ac:dyDescent="0.3">
      <c r="J6402"/>
    </row>
    <row r="6403" spans="10:10" x14ac:dyDescent="0.3">
      <c r="J6403"/>
    </row>
    <row r="6404" spans="10:10" x14ac:dyDescent="0.3">
      <c r="J6404"/>
    </row>
    <row r="6405" spans="10:10" x14ac:dyDescent="0.3">
      <c r="J6405"/>
    </row>
    <row r="6406" spans="10:10" x14ac:dyDescent="0.3">
      <c r="J6406"/>
    </row>
    <row r="6407" spans="10:10" x14ac:dyDescent="0.3">
      <c r="J6407"/>
    </row>
    <row r="6408" spans="10:10" x14ac:dyDescent="0.3">
      <c r="J6408"/>
    </row>
    <row r="6409" spans="10:10" x14ac:dyDescent="0.3">
      <c r="J6409"/>
    </row>
    <row r="6410" spans="10:10" x14ac:dyDescent="0.3">
      <c r="J6410"/>
    </row>
    <row r="6411" spans="10:10" x14ac:dyDescent="0.3">
      <c r="J6411"/>
    </row>
    <row r="6412" spans="10:10" x14ac:dyDescent="0.3">
      <c r="J6412"/>
    </row>
    <row r="6413" spans="10:10" x14ac:dyDescent="0.3">
      <c r="J6413"/>
    </row>
    <row r="6414" spans="10:10" x14ac:dyDescent="0.3">
      <c r="J6414"/>
    </row>
    <row r="6415" spans="10:10" x14ac:dyDescent="0.3">
      <c r="J6415"/>
    </row>
    <row r="6416" spans="10:10" x14ac:dyDescent="0.3">
      <c r="J6416"/>
    </row>
    <row r="6417" spans="10:10" x14ac:dyDescent="0.3">
      <c r="J6417"/>
    </row>
    <row r="6418" spans="10:10" x14ac:dyDescent="0.3">
      <c r="J6418"/>
    </row>
    <row r="6419" spans="10:10" x14ac:dyDescent="0.3">
      <c r="J6419"/>
    </row>
    <row r="6420" spans="10:10" x14ac:dyDescent="0.3">
      <c r="J6420"/>
    </row>
    <row r="6421" spans="10:10" x14ac:dyDescent="0.3">
      <c r="J6421"/>
    </row>
    <row r="6422" spans="10:10" x14ac:dyDescent="0.3">
      <c r="J6422"/>
    </row>
    <row r="6423" spans="10:10" x14ac:dyDescent="0.3">
      <c r="J6423"/>
    </row>
    <row r="6424" spans="10:10" x14ac:dyDescent="0.3">
      <c r="J6424"/>
    </row>
    <row r="6425" spans="10:10" x14ac:dyDescent="0.3">
      <c r="J6425"/>
    </row>
    <row r="6426" spans="10:10" x14ac:dyDescent="0.3">
      <c r="J6426"/>
    </row>
    <row r="6427" spans="10:10" x14ac:dyDescent="0.3">
      <c r="J6427"/>
    </row>
    <row r="6428" spans="10:10" x14ac:dyDescent="0.3">
      <c r="J6428"/>
    </row>
    <row r="6429" spans="10:10" x14ac:dyDescent="0.3">
      <c r="J6429"/>
    </row>
    <row r="6430" spans="10:10" x14ac:dyDescent="0.3">
      <c r="J6430"/>
    </row>
    <row r="6431" spans="10:10" x14ac:dyDescent="0.3">
      <c r="J6431"/>
    </row>
    <row r="6432" spans="10:10" x14ac:dyDescent="0.3">
      <c r="J6432"/>
    </row>
    <row r="6433" spans="10:10" x14ac:dyDescent="0.3">
      <c r="J6433"/>
    </row>
    <row r="6434" spans="10:10" x14ac:dyDescent="0.3">
      <c r="J6434"/>
    </row>
    <row r="6435" spans="10:10" x14ac:dyDescent="0.3">
      <c r="J6435"/>
    </row>
    <row r="6436" spans="10:10" x14ac:dyDescent="0.3">
      <c r="J6436"/>
    </row>
    <row r="6437" spans="10:10" x14ac:dyDescent="0.3">
      <c r="J6437"/>
    </row>
    <row r="6438" spans="10:10" x14ac:dyDescent="0.3">
      <c r="J6438"/>
    </row>
    <row r="6439" spans="10:10" x14ac:dyDescent="0.3">
      <c r="J6439"/>
    </row>
    <row r="6440" spans="10:10" x14ac:dyDescent="0.3">
      <c r="J6440"/>
    </row>
    <row r="6441" spans="10:10" x14ac:dyDescent="0.3">
      <c r="J6441"/>
    </row>
    <row r="6442" spans="10:10" x14ac:dyDescent="0.3">
      <c r="J6442"/>
    </row>
    <row r="6443" spans="10:10" x14ac:dyDescent="0.3">
      <c r="J6443"/>
    </row>
    <row r="6444" spans="10:10" x14ac:dyDescent="0.3">
      <c r="J6444"/>
    </row>
    <row r="6445" spans="10:10" x14ac:dyDescent="0.3">
      <c r="J6445"/>
    </row>
    <row r="6446" spans="10:10" x14ac:dyDescent="0.3">
      <c r="J6446"/>
    </row>
    <row r="6447" spans="10:10" x14ac:dyDescent="0.3">
      <c r="J6447"/>
    </row>
    <row r="6448" spans="10:10" x14ac:dyDescent="0.3">
      <c r="J6448"/>
    </row>
    <row r="6449" spans="10:10" x14ac:dyDescent="0.3">
      <c r="J6449"/>
    </row>
    <row r="6450" spans="10:10" x14ac:dyDescent="0.3">
      <c r="J6450"/>
    </row>
    <row r="6451" spans="10:10" x14ac:dyDescent="0.3">
      <c r="J6451"/>
    </row>
    <row r="6452" spans="10:10" x14ac:dyDescent="0.3">
      <c r="J6452"/>
    </row>
    <row r="6453" spans="10:10" x14ac:dyDescent="0.3">
      <c r="J6453"/>
    </row>
    <row r="6454" spans="10:10" x14ac:dyDescent="0.3">
      <c r="J6454"/>
    </row>
    <row r="6455" spans="10:10" x14ac:dyDescent="0.3">
      <c r="J6455"/>
    </row>
    <row r="6456" spans="10:10" x14ac:dyDescent="0.3">
      <c r="J6456"/>
    </row>
    <row r="6457" spans="10:10" x14ac:dyDescent="0.3">
      <c r="J6457"/>
    </row>
    <row r="6458" spans="10:10" x14ac:dyDescent="0.3">
      <c r="J6458"/>
    </row>
    <row r="6459" spans="10:10" x14ac:dyDescent="0.3">
      <c r="J6459"/>
    </row>
    <row r="6460" spans="10:10" x14ac:dyDescent="0.3">
      <c r="J6460"/>
    </row>
    <row r="6461" spans="10:10" x14ac:dyDescent="0.3">
      <c r="J6461"/>
    </row>
    <row r="6462" spans="10:10" x14ac:dyDescent="0.3">
      <c r="J6462"/>
    </row>
    <row r="6463" spans="10:10" x14ac:dyDescent="0.3">
      <c r="J6463"/>
    </row>
    <row r="6464" spans="10:10" x14ac:dyDescent="0.3">
      <c r="J6464"/>
    </row>
    <row r="6465" spans="10:10" x14ac:dyDescent="0.3">
      <c r="J6465"/>
    </row>
    <row r="6466" spans="10:10" x14ac:dyDescent="0.3">
      <c r="J6466"/>
    </row>
    <row r="6467" spans="10:10" x14ac:dyDescent="0.3">
      <c r="J6467"/>
    </row>
    <row r="6468" spans="10:10" x14ac:dyDescent="0.3">
      <c r="J6468"/>
    </row>
    <row r="6469" spans="10:10" x14ac:dyDescent="0.3">
      <c r="J6469"/>
    </row>
    <row r="6470" spans="10:10" x14ac:dyDescent="0.3">
      <c r="J6470"/>
    </row>
    <row r="6471" spans="10:10" x14ac:dyDescent="0.3">
      <c r="J6471"/>
    </row>
    <row r="6472" spans="10:10" x14ac:dyDescent="0.3">
      <c r="J6472"/>
    </row>
    <row r="6473" spans="10:10" x14ac:dyDescent="0.3">
      <c r="J6473"/>
    </row>
    <row r="6474" spans="10:10" x14ac:dyDescent="0.3">
      <c r="J6474"/>
    </row>
    <row r="6475" spans="10:10" x14ac:dyDescent="0.3">
      <c r="J6475"/>
    </row>
    <row r="6476" spans="10:10" x14ac:dyDescent="0.3">
      <c r="J6476"/>
    </row>
    <row r="6477" spans="10:10" x14ac:dyDescent="0.3">
      <c r="J6477"/>
    </row>
    <row r="6478" spans="10:10" x14ac:dyDescent="0.3">
      <c r="J6478"/>
    </row>
    <row r="6479" spans="10:10" x14ac:dyDescent="0.3">
      <c r="J6479"/>
    </row>
    <row r="6480" spans="10:10" x14ac:dyDescent="0.3">
      <c r="J6480"/>
    </row>
    <row r="6481" spans="10:10" x14ac:dyDescent="0.3">
      <c r="J6481"/>
    </row>
    <row r="6482" spans="10:10" x14ac:dyDescent="0.3">
      <c r="J6482"/>
    </row>
    <row r="6483" spans="10:10" x14ac:dyDescent="0.3">
      <c r="J6483"/>
    </row>
    <row r="6484" spans="10:10" x14ac:dyDescent="0.3">
      <c r="J6484"/>
    </row>
    <row r="6485" spans="10:10" x14ac:dyDescent="0.3">
      <c r="J6485"/>
    </row>
    <row r="6486" spans="10:10" x14ac:dyDescent="0.3">
      <c r="J6486"/>
    </row>
    <row r="6487" spans="10:10" x14ac:dyDescent="0.3">
      <c r="J6487"/>
    </row>
    <row r="6488" spans="10:10" x14ac:dyDescent="0.3">
      <c r="J6488"/>
    </row>
    <row r="6489" spans="10:10" x14ac:dyDescent="0.3">
      <c r="J6489"/>
    </row>
    <row r="6490" spans="10:10" x14ac:dyDescent="0.3">
      <c r="J6490"/>
    </row>
    <row r="6491" spans="10:10" x14ac:dyDescent="0.3">
      <c r="J6491"/>
    </row>
    <row r="6492" spans="10:10" x14ac:dyDescent="0.3">
      <c r="J6492"/>
    </row>
    <row r="6493" spans="10:10" x14ac:dyDescent="0.3">
      <c r="J6493"/>
    </row>
    <row r="6494" spans="10:10" x14ac:dyDescent="0.3">
      <c r="J6494"/>
    </row>
    <row r="6495" spans="10:10" x14ac:dyDescent="0.3">
      <c r="J6495"/>
    </row>
    <row r="6496" spans="10:10" x14ac:dyDescent="0.3">
      <c r="J6496"/>
    </row>
    <row r="6497" spans="10:10" x14ac:dyDescent="0.3">
      <c r="J6497"/>
    </row>
    <row r="6498" spans="10:10" x14ac:dyDescent="0.3">
      <c r="J6498"/>
    </row>
    <row r="6499" spans="10:10" x14ac:dyDescent="0.3">
      <c r="J6499"/>
    </row>
    <row r="6500" spans="10:10" x14ac:dyDescent="0.3">
      <c r="J6500"/>
    </row>
    <row r="6501" spans="10:10" x14ac:dyDescent="0.3">
      <c r="J6501"/>
    </row>
    <row r="6502" spans="10:10" x14ac:dyDescent="0.3">
      <c r="J6502"/>
    </row>
    <row r="6503" spans="10:10" x14ac:dyDescent="0.3">
      <c r="J6503"/>
    </row>
    <row r="6504" spans="10:10" x14ac:dyDescent="0.3">
      <c r="J6504"/>
    </row>
    <row r="6505" spans="10:10" x14ac:dyDescent="0.3">
      <c r="J6505"/>
    </row>
    <row r="6506" spans="10:10" x14ac:dyDescent="0.3">
      <c r="J6506"/>
    </row>
    <row r="6507" spans="10:10" x14ac:dyDescent="0.3">
      <c r="J6507"/>
    </row>
    <row r="6508" spans="10:10" x14ac:dyDescent="0.3">
      <c r="J6508"/>
    </row>
    <row r="6509" spans="10:10" x14ac:dyDescent="0.3">
      <c r="J6509"/>
    </row>
    <row r="6510" spans="10:10" x14ac:dyDescent="0.3">
      <c r="J6510"/>
    </row>
    <row r="6511" spans="10:10" x14ac:dyDescent="0.3">
      <c r="J6511"/>
    </row>
    <row r="6512" spans="10:10" x14ac:dyDescent="0.3">
      <c r="J6512"/>
    </row>
    <row r="6513" spans="10:10" x14ac:dyDescent="0.3">
      <c r="J6513"/>
    </row>
    <row r="6514" spans="10:10" x14ac:dyDescent="0.3">
      <c r="J6514"/>
    </row>
    <row r="6515" spans="10:10" x14ac:dyDescent="0.3">
      <c r="J6515"/>
    </row>
    <row r="6516" spans="10:10" x14ac:dyDescent="0.3">
      <c r="J6516"/>
    </row>
    <row r="6517" spans="10:10" x14ac:dyDescent="0.3">
      <c r="J6517"/>
    </row>
    <row r="6518" spans="10:10" x14ac:dyDescent="0.3">
      <c r="J6518"/>
    </row>
    <row r="6519" spans="10:10" x14ac:dyDescent="0.3">
      <c r="J6519"/>
    </row>
    <row r="6520" spans="10:10" x14ac:dyDescent="0.3">
      <c r="J6520"/>
    </row>
    <row r="6521" spans="10:10" x14ac:dyDescent="0.3">
      <c r="J6521"/>
    </row>
    <row r="6522" spans="10:10" x14ac:dyDescent="0.3">
      <c r="J6522"/>
    </row>
    <row r="6523" spans="10:10" x14ac:dyDescent="0.3">
      <c r="J6523"/>
    </row>
    <row r="6524" spans="10:10" x14ac:dyDescent="0.3">
      <c r="J6524"/>
    </row>
    <row r="6525" spans="10:10" x14ac:dyDescent="0.3">
      <c r="J6525"/>
    </row>
    <row r="6526" spans="10:10" x14ac:dyDescent="0.3">
      <c r="J6526"/>
    </row>
    <row r="6527" spans="10:10" x14ac:dyDescent="0.3">
      <c r="J6527"/>
    </row>
    <row r="6528" spans="10:10" x14ac:dyDescent="0.3">
      <c r="J6528"/>
    </row>
    <row r="6529" spans="10:10" x14ac:dyDescent="0.3">
      <c r="J6529"/>
    </row>
    <row r="6530" spans="10:10" x14ac:dyDescent="0.3">
      <c r="J6530"/>
    </row>
    <row r="6531" spans="10:10" x14ac:dyDescent="0.3">
      <c r="J6531"/>
    </row>
    <row r="6532" spans="10:10" x14ac:dyDescent="0.3">
      <c r="J6532"/>
    </row>
    <row r="6533" spans="10:10" x14ac:dyDescent="0.3">
      <c r="J6533"/>
    </row>
    <row r="6534" spans="10:10" x14ac:dyDescent="0.3">
      <c r="J6534"/>
    </row>
    <row r="6535" spans="10:10" x14ac:dyDescent="0.3">
      <c r="J6535"/>
    </row>
    <row r="6536" spans="10:10" x14ac:dyDescent="0.3">
      <c r="J6536"/>
    </row>
    <row r="6537" spans="10:10" x14ac:dyDescent="0.3">
      <c r="J6537"/>
    </row>
    <row r="6538" spans="10:10" x14ac:dyDescent="0.3">
      <c r="J6538"/>
    </row>
    <row r="6539" spans="10:10" x14ac:dyDescent="0.3">
      <c r="J6539"/>
    </row>
    <row r="6540" spans="10:10" x14ac:dyDescent="0.3">
      <c r="J6540"/>
    </row>
    <row r="6541" spans="10:10" x14ac:dyDescent="0.3">
      <c r="J6541"/>
    </row>
    <row r="6542" spans="10:10" x14ac:dyDescent="0.3">
      <c r="J6542"/>
    </row>
    <row r="6543" spans="10:10" x14ac:dyDescent="0.3">
      <c r="J6543"/>
    </row>
    <row r="6544" spans="10:10" x14ac:dyDescent="0.3">
      <c r="J6544"/>
    </row>
    <row r="6545" spans="10:10" x14ac:dyDescent="0.3">
      <c r="J6545"/>
    </row>
    <row r="6546" spans="10:10" x14ac:dyDescent="0.3">
      <c r="J6546"/>
    </row>
    <row r="6547" spans="10:10" x14ac:dyDescent="0.3">
      <c r="J6547"/>
    </row>
    <row r="6548" spans="10:10" x14ac:dyDescent="0.3">
      <c r="J6548"/>
    </row>
    <row r="6549" spans="10:10" x14ac:dyDescent="0.3">
      <c r="J6549"/>
    </row>
    <row r="6550" spans="10:10" x14ac:dyDescent="0.3">
      <c r="J6550"/>
    </row>
    <row r="6551" spans="10:10" x14ac:dyDescent="0.3">
      <c r="J6551"/>
    </row>
    <row r="6552" spans="10:10" x14ac:dyDescent="0.3">
      <c r="J6552"/>
    </row>
    <row r="6553" spans="10:10" x14ac:dyDescent="0.3">
      <c r="J6553"/>
    </row>
    <row r="6554" spans="10:10" x14ac:dyDescent="0.3">
      <c r="J6554"/>
    </row>
    <row r="6555" spans="10:10" x14ac:dyDescent="0.3">
      <c r="J6555"/>
    </row>
    <row r="6556" spans="10:10" x14ac:dyDescent="0.3">
      <c r="J6556"/>
    </row>
    <row r="6557" spans="10:10" x14ac:dyDescent="0.3">
      <c r="J6557"/>
    </row>
    <row r="6558" spans="10:10" x14ac:dyDescent="0.3">
      <c r="J6558"/>
    </row>
    <row r="6559" spans="10:10" x14ac:dyDescent="0.3">
      <c r="J6559"/>
    </row>
    <row r="6560" spans="10:10" x14ac:dyDescent="0.3">
      <c r="J6560"/>
    </row>
    <row r="6561" spans="10:10" x14ac:dyDescent="0.3">
      <c r="J6561"/>
    </row>
    <row r="6562" spans="10:10" x14ac:dyDescent="0.3">
      <c r="J6562"/>
    </row>
    <row r="6563" spans="10:10" x14ac:dyDescent="0.3">
      <c r="J6563"/>
    </row>
    <row r="6564" spans="10:10" x14ac:dyDescent="0.3">
      <c r="J6564"/>
    </row>
    <row r="6565" spans="10:10" x14ac:dyDescent="0.3">
      <c r="J6565"/>
    </row>
    <row r="6566" spans="10:10" x14ac:dyDescent="0.3">
      <c r="J6566"/>
    </row>
    <row r="6567" spans="10:10" x14ac:dyDescent="0.3">
      <c r="J6567"/>
    </row>
    <row r="6568" spans="10:10" x14ac:dyDescent="0.3">
      <c r="J6568"/>
    </row>
    <row r="6569" spans="10:10" x14ac:dyDescent="0.3">
      <c r="J6569"/>
    </row>
    <row r="6570" spans="10:10" x14ac:dyDescent="0.3">
      <c r="J6570"/>
    </row>
    <row r="6571" spans="10:10" x14ac:dyDescent="0.3">
      <c r="J6571"/>
    </row>
    <row r="6572" spans="10:10" x14ac:dyDescent="0.3">
      <c r="J6572"/>
    </row>
    <row r="6573" spans="10:10" x14ac:dyDescent="0.3">
      <c r="J6573"/>
    </row>
    <row r="6574" spans="10:10" x14ac:dyDescent="0.3">
      <c r="J6574"/>
    </row>
    <row r="6575" spans="10:10" x14ac:dyDescent="0.3">
      <c r="J6575"/>
    </row>
    <row r="6576" spans="10:10" x14ac:dyDescent="0.3">
      <c r="J6576"/>
    </row>
    <row r="6577" spans="10:10" x14ac:dyDescent="0.3">
      <c r="J6577"/>
    </row>
    <row r="6578" spans="10:10" x14ac:dyDescent="0.3">
      <c r="J6578"/>
    </row>
    <row r="6579" spans="10:10" x14ac:dyDescent="0.3">
      <c r="J6579"/>
    </row>
    <row r="6580" spans="10:10" x14ac:dyDescent="0.3">
      <c r="J6580"/>
    </row>
    <row r="6581" spans="10:10" x14ac:dyDescent="0.3">
      <c r="J6581"/>
    </row>
    <row r="6582" spans="10:10" x14ac:dyDescent="0.3">
      <c r="J6582"/>
    </row>
    <row r="6583" spans="10:10" x14ac:dyDescent="0.3">
      <c r="J6583"/>
    </row>
    <row r="6584" spans="10:10" x14ac:dyDescent="0.3">
      <c r="J6584"/>
    </row>
    <row r="6585" spans="10:10" x14ac:dyDescent="0.3">
      <c r="J6585"/>
    </row>
    <row r="6586" spans="10:10" x14ac:dyDescent="0.3">
      <c r="J6586"/>
    </row>
    <row r="6587" spans="10:10" x14ac:dyDescent="0.3">
      <c r="J6587"/>
    </row>
    <row r="6588" spans="10:10" x14ac:dyDescent="0.3">
      <c r="J6588"/>
    </row>
    <row r="6589" spans="10:10" x14ac:dyDescent="0.3">
      <c r="J6589"/>
    </row>
    <row r="6590" spans="10:10" x14ac:dyDescent="0.3">
      <c r="J6590"/>
    </row>
    <row r="6591" spans="10:10" x14ac:dyDescent="0.3">
      <c r="J6591"/>
    </row>
    <row r="6592" spans="10:10" x14ac:dyDescent="0.3">
      <c r="J6592"/>
    </row>
    <row r="6593" spans="10:10" x14ac:dyDescent="0.3">
      <c r="J6593"/>
    </row>
    <row r="6594" spans="10:10" x14ac:dyDescent="0.3">
      <c r="J6594"/>
    </row>
    <row r="6595" spans="10:10" x14ac:dyDescent="0.3">
      <c r="J6595"/>
    </row>
    <row r="6596" spans="10:10" x14ac:dyDescent="0.3">
      <c r="J6596"/>
    </row>
    <row r="6597" spans="10:10" x14ac:dyDescent="0.3">
      <c r="J6597"/>
    </row>
    <row r="6598" spans="10:10" x14ac:dyDescent="0.3">
      <c r="J6598"/>
    </row>
    <row r="6599" spans="10:10" x14ac:dyDescent="0.3">
      <c r="J6599"/>
    </row>
    <row r="6600" spans="10:10" x14ac:dyDescent="0.3">
      <c r="J6600"/>
    </row>
    <row r="6601" spans="10:10" x14ac:dyDescent="0.3">
      <c r="J6601"/>
    </row>
    <row r="6602" spans="10:10" x14ac:dyDescent="0.3">
      <c r="J6602"/>
    </row>
    <row r="6603" spans="10:10" x14ac:dyDescent="0.3">
      <c r="J6603"/>
    </row>
    <row r="6604" spans="10:10" x14ac:dyDescent="0.3">
      <c r="J6604"/>
    </row>
    <row r="6605" spans="10:10" x14ac:dyDescent="0.3">
      <c r="J6605"/>
    </row>
    <row r="6606" spans="10:10" x14ac:dyDescent="0.3">
      <c r="J6606"/>
    </row>
    <row r="6607" spans="10:10" x14ac:dyDescent="0.3">
      <c r="J6607"/>
    </row>
    <row r="6608" spans="10:10" x14ac:dyDescent="0.3">
      <c r="J6608"/>
    </row>
    <row r="6609" spans="10:10" x14ac:dyDescent="0.3">
      <c r="J6609"/>
    </row>
    <row r="6610" spans="10:10" x14ac:dyDescent="0.3">
      <c r="J6610"/>
    </row>
    <row r="6611" spans="10:10" x14ac:dyDescent="0.3">
      <c r="J6611"/>
    </row>
    <row r="6612" spans="10:10" x14ac:dyDescent="0.3">
      <c r="J6612"/>
    </row>
    <row r="6613" spans="10:10" x14ac:dyDescent="0.3">
      <c r="J6613"/>
    </row>
    <row r="6614" spans="10:10" x14ac:dyDescent="0.3">
      <c r="J6614"/>
    </row>
    <row r="6615" spans="10:10" x14ac:dyDescent="0.3">
      <c r="J6615"/>
    </row>
    <row r="6616" spans="10:10" x14ac:dyDescent="0.3">
      <c r="J6616"/>
    </row>
    <row r="6617" spans="10:10" x14ac:dyDescent="0.3">
      <c r="J6617"/>
    </row>
    <row r="6618" spans="10:10" x14ac:dyDescent="0.3">
      <c r="J6618"/>
    </row>
    <row r="6619" spans="10:10" x14ac:dyDescent="0.3">
      <c r="J6619"/>
    </row>
    <row r="6620" spans="10:10" x14ac:dyDescent="0.3">
      <c r="J6620"/>
    </row>
    <row r="6621" spans="10:10" x14ac:dyDescent="0.3">
      <c r="J6621"/>
    </row>
    <row r="6622" spans="10:10" x14ac:dyDescent="0.3">
      <c r="J6622"/>
    </row>
    <row r="6623" spans="10:10" x14ac:dyDescent="0.3">
      <c r="J6623"/>
    </row>
    <row r="6624" spans="10:10" x14ac:dyDescent="0.3">
      <c r="J6624"/>
    </row>
    <row r="6625" spans="10:10" x14ac:dyDescent="0.3">
      <c r="J6625"/>
    </row>
    <row r="6626" spans="10:10" x14ac:dyDescent="0.3">
      <c r="J6626"/>
    </row>
    <row r="6627" spans="10:10" x14ac:dyDescent="0.3">
      <c r="J6627"/>
    </row>
    <row r="6628" spans="10:10" x14ac:dyDescent="0.3">
      <c r="J6628"/>
    </row>
    <row r="6629" spans="10:10" x14ac:dyDescent="0.3">
      <c r="J6629"/>
    </row>
    <row r="6630" spans="10:10" x14ac:dyDescent="0.3">
      <c r="J6630"/>
    </row>
    <row r="6631" spans="10:10" x14ac:dyDescent="0.3">
      <c r="J6631"/>
    </row>
    <row r="6632" spans="10:10" x14ac:dyDescent="0.3">
      <c r="J6632"/>
    </row>
    <row r="6633" spans="10:10" x14ac:dyDescent="0.3">
      <c r="J6633"/>
    </row>
    <row r="6634" spans="10:10" x14ac:dyDescent="0.3">
      <c r="J6634"/>
    </row>
    <row r="6635" spans="10:10" x14ac:dyDescent="0.3">
      <c r="J6635"/>
    </row>
    <row r="6636" spans="10:10" x14ac:dyDescent="0.3">
      <c r="J6636"/>
    </row>
    <row r="6637" spans="10:10" x14ac:dyDescent="0.3">
      <c r="J6637"/>
    </row>
    <row r="6638" spans="10:10" x14ac:dyDescent="0.3">
      <c r="J6638"/>
    </row>
    <row r="6639" spans="10:10" x14ac:dyDescent="0.3">
      <c r="J6639"/>
    </row>
    <row r="6640" spans="10:10" x14ac:dyDescent="0.3">
      <c r="J6640"/>
    </row>
    <row r="6641" spans="10:10" x14ac:dyDescent="0.3">
      <c r="J6641"/>
    </row>
    <row r="6642" spans="10:10" x14ac:dyDescent="0.3">
      <c r="J6642"/>
    </row>
    <row r="6643" spans="10:10" x14ac:dyDescent="0.3">
      <c r="J6643"/>
    </row>
    <row r="6644" spans="10:10" x14ac:dyDescent="0.3">
      <c r="J6644"/>
    </row>
    <row r="6645" spans="10:10" x14ac:dyDescent="0.3">
      <c r="J6645"/>
    </row>
    <row r="6646" spans="10:10" x14ac:dyDescent="0.3">
      <c r="J6646"/>
    </row>
    <row r="6647" spans="10:10" x14ac:dyDescent="0.3">
      <c r="J6647"/>
    </row>
    <row r="6648" spans="10:10" x14ac:dyDescent="0.3">
      <c r="J6648"/>
    </row>
    <row r="6649" spans="10:10" x14ac:dyDescent="0.3">
      <c r="J6649"/>
    </row>
    <row r="6650" spans="10:10" x14ac:dyDescent="0.3">
      <c r="J6650"/>
    </row>
    <row r="6651" spans="10:10" x14ac:dyDescent="0.3">
      <c r="J6651"/>
    </row>
    <row r="6652" spans="10:10" x14ac:dyDescent="0.3">
      <c r="J6652"/>
    </row>
    <row r="6653" spans="10:10" x14ac:dyDescent="0.3">
      <c r="J6653"/>
    </row>
    <row r="6654" spans="10:10" x14ac:dyDescent="0.3">
      <c r="J6654"/>
    </row>
    <row r="6655" spans="10:10" x14ac:dyDescent="0.3">
      <c r="J6655"/>
    </row>
    <row r="6656" spans="10:10" x14ac:dyDescent="0.3">
      <c r="J6656"/>
    </row>
    <row r="6657" spans="10:10" x14ac:dyDescent="0.3">
      <c r="J6657"/>
    </row>
    <row r="6658" spans="10:10" x14ac:dyDescent="0.3">
      <c r="J6658"/>
    </row>
    <row r="6659" spans="10:10" x14ac:dyDescent="0.3">
      <c r="J6659"/>
    </row>
    <row r="6660" spans="10:10" x14ac:dyDescent="0.3">
      <c r="J6660"/>
    </row>
    <row r="6661" spans="10:10" x14ac:dyDescent="0.3">
      <c r="J6661"/>
    </row>
    <row r="6662" spans="10:10" x14ac:dyDescent="0.3">
      <c r="J6662"/>
    </row>
    <row r="6663" spans="10:10" x14ac:dyDescent="0.3">
      <c r="J6663"/>
    </row>
    <row r="6664" spans="10:10" x14ac:dyDescent="0.3">
      <c r="J6664"/>
    </row>
    <row r="6665" spans="10:10" x14ac:dyDescent="0.3">
      <c r="J6665"/>
    </row>
    <row r="6666" spans="10:10" x14ac:dyDescent="0.3">
      <c r="J6666"/>
    </row>
    <row r="6667" spans="10:10" x14ac:dyDescent="0.3">
      <c r="J6667"/>
    </row>
    <row r="6668" spans="10:10" x14ac:dyDescent="0.3">
      <c r="J6668"/>
    </row>
    <row r="6669" spans="10:10" x14ac:dyDescent="0.3">
      <c r="J6669"/>
    </row>
    <row r="6670" spans="10:10" x14ac:dyDescent="0.3">
      <c r="J6670"/>
    </row>
    <row r="6671" spans="10:10" x14ac:dyDescent="0.3">
      <c r="J6671"/>
    </row>
    <row r="6672" spans="10:10" x14ac:dyDescent="0.3">
      <c r="J6672"/>
    </row>
    <row r="6673" spans="10:10" x14ac:dyDescent="0.3">
      <c r="J6673"/>
    </row>
    <row r="6674" spans="10:10" x14ac:dyDescent="0.3">
      <c r="J6674"/>
    </row>
    <row r="6675" spans="10:10" x14ac:dyDescent="0.3">
      <c r="J6675"/>
    </row>
    <row r="6676" spans="10:10" x14ac:dyDescent="0.3">
      <c r="J6676"/>
    </row>
    <row r="6677" spans="10:10" x14ac:dyDescent="0.3">
      <c r="J6677"/>
    </row>
    <row r="6678" spans="10:10" x14ac:dyDescent="0.3">
      <c r="J6678"/>
    </row>
    <row r="6679" spans="10:10" x14ac:dyDescent="0.3">
      <c r="J6679"/>
    </row>
    <row r="6680" spans="10:10" x14ac:dyDescent="0.3">
      <c r="J6680"/>
    </row>
    <row r="6681" spans="10:10" x14ac:dyDescent="0.3">
      <c r="J6681"/>
    </row>
    <row r="6682" spans="10:10" x14ac:dyDescent="0.3">
      <c r="J6682"/>
    </row>
    <row r="6683" spans="10:10" x14ac:dyDescent="0.3">
      <c r="J6683"/>
    </row>
    <row r="6684" spans="10:10" x14ac:dyDescent="0.3">
      <c r="J6684"/>
    </row>
    <row r="6685" spans="10:10" x14ac:dyDescent="0.3">
      <c r="J6685"/>
    </row>
    <row r="6686" spans="10:10" x14ac:dyDescent="0.3">
      <c r="J6686"/>
    </row>
    <row r="6687" spans="10:10" x14ac:dyDescent="0.3">
      <c r="J6687"/>
    </row>
    <row r="6688" spans="10:10" x14ac:dyDescent="0.3">
      <c r="J6688"/>
    </row>
    <row r="6689" spans="10:10" x14ac:dyDescent="0.3">
      <c r="J6689"/>
    </row>
    <row r="6690" spans="10:10" x14ac:dyDescent="0.3">
      <c r="J6690"/>
    </row>
    <row r="6691" spans="10:10" x14ac:dyDescent="0.3">
      <c r="J6691"/>
    </row>
    <row r="6692" spans="10:10" x14ac:dyDescent="0.3">
      <c r="J6692"/>
    </row>
    <row r="6693" spans="10:10" x14ac:dyDescent="0.3">
      <c r="J6693"/>
    </row>
    <row r="6694" spans="10:10" x14ac:dyDescent="0.3">
      <c r="J6694"/>
    </row>
    <row r="6695" spans="10:10" x14ac:dyDescent="0.3">
      <c r="J6695"/>
    </row>
    <row r="6696" spans="10:10" x14ac:dyDescent="0.3">
      <c r="J6696"/>
    </row>
    <row r="6697" spans="10:10" x14ac:dyDescent="0.3">
      <c r="J6697"/>
    </row>
    <row r="6698" spans="10:10" x14ac:dyDescent="0.3">
      <c r="J6698"/>
    </row>
    <row r="6699" spans="10:10" x14ac:dyDescent="0.3">
      <c r="J6699"/>
    </row>
    <row r="6700" spans="10:10" x14ac:dyDescent="0.3">
      <c r="J6700"/>
    </row>
    <row r="6701" spans="10:10" x14ac:dyDescent="0.3">
      <c r="J6701"/>
    </row>
    <row r="6702" spans="10:10" x14ac:dyDescent="0.3">
      <c r="J6702"/>
    </row>
    <row r="6703" spans="10:10" x14ac:dyDescent="0.3">
      <c r="J6703"/>
    </row>
    <row r="6704" spans="10:10" x14ac:dyDescent="0.3">
      <c r="J6704"/>
    </row>
    <row r="6705" spans="10:10" x14ac:dyDescent="0.3">
      <c r="J6705"/>
    </row>
    <row r="6706" spans="10:10" x14ac:dyDescent="0.3">
      <c r="J6706"/>
    </row>
    <row r="6707" spans="10:10" x14ac:dyDescent="0.3">
      <c r="J6707"/>
    </row>
    <row r="6708" spans="10:10" x14ac:dyDescent="0.3">
      <c r="J6708"/>
    </row>
    <row r="6709" spans="10:10" x14ac:dyDescent="0.3">
      <c r="J6709"/>
    </row>
    <row r="6710" spans="10:10" x14ac:dyDescent="0.3">
      <c r="J6710"/>
    </row>
    <row r="6711" spans="10:10" x14ac:dyDescent="0.3">
      <c r="J6711"/>
    </row>
    <row r="6712" spans="10:10" x14ac:dyDescent="0.3">
      <c r="J6712"/>
    </row>
    <row r="6713" spans="10:10" x14ac:dyDescent="0.3">
      <c r="J6713"/>
    </row>
    <row r="6714" spans="10:10" x14ac:dyDescent="0.3">
      <c r="J6714"/>
    </row>
    <row r="6715" spans="10:10" x14ac:dyDescent="0.3">
      <c r="J6715"/>
    </row>
    <row r="6716" spans="10:10" x14ac:dyDescent="0.3">
      <c r="J6716"/>
    </row>
    <row r="6717" spans="10:10" x14ac:dyDescent="0.3">
      <c r="J6717"/>
    </row>
    <row r="6718" spans="10:10" x14ac:dyDescent="0.3">
      <c r="J6718"/>
    </row>
    <row r="6719" spans="10:10" x14ac:dyDescent="0.3">
      <c r="J6719"/>
    </row>
    <row r="6720" spans="10:10" x14ac:dyDescent="0.3">
      <c r="J6720"/>
    </row>
    <row r="6721" spans="10:10" x14ac:dyDescent="0.3">
      <c r="J6721"/>
    </row>
    <row r="6722" spans="10:10" x14ac:dyDescent="0.3">
      <c r="J6722"/>
    </row>
    <row r="6723" spans="10:10" x14ac:dyDescent="0.3">
      <c r="J6723"/>
    </row>
    <row r="6724" spans="10:10" x14ac:dyDescent="0.3">
      <c r="J6724"/>
    </row>
    <row r="6725" spans="10:10" x14ac:dyDescent="0.3">
      <c r="J6725"/>
    </row>
    <row r="6726" spans="10:10" x14ac:dyDescent="0.3">
      <c r="J6726"/>
    </row>
    <row r="6727" spans="10:10" x14ac:dyDescent="0.3">
      <c r="J6727"/>
    </row>
    <row r="6728" spans="10:10" x14ac:dyDescent="0.3">
      <c r="J6728"/>
    </row>
    <row r="6729" spans="10:10" x14ac:dyDescent="0.3">
      <c r="J6729"/>
    </row>
    <row r="6730" spans="10:10" x14ac:dyDescent="0.3">
      <c r="J6730"/>
    </row>
    <row r="6731" spans="10:10" x14ac:dyDescent="0.3">
      <c r="J6731"/>
    </row>
    <row r="6732" spans="10:10" x14ac:dyDescent="0.3">
      <c r="J6732"/>
    </row>
    <row r="6733" spans="10:10" x14ac:dyDescent="0.3">
      <c r="J6733"/>
    </row>
    <row r="6734" spans="10:10" x14ac:dyDescent="0.3">
      <c r="J6734"/>
    </row>
    <row r="6735" spans="10:10" x14ac:dyDescent="0.3">
      <c r="J6735"/>
    </row>
    <row r="6736" spans="10:10" x14ac:dyDescent="0.3">
      <c r="J6736"/>
    </row>
    <row r="6737" spans="10:10" x14ac:dyDescent="0.3">
      <c r="J6737"/>
    </row>
    <row r="6738" spans="10:10" x14ac:dyDescent="0.3">
      <c r="J6738"/>
    </row>
    <row r="6739" spans="10:10" x14ac:dyDescent="0.3">
      <c r="J6739"/>
    </row>
    <row r="6740" spans="10:10" x14ac:dyDescent="0.3">
      <c r="J6740"/>
    </row>
    <row r="6741" spans="10:10" x14ac:dyDescent="0.3">
      <c r="J6741"/>
    </row>
    <row r="6742" spans="10:10" x14ac:dyDescent="0.3">
      <c r="J6742"/>
    </row>
    <row r="6743" spans="10:10" x14ac:dyDescent="0.3">
      <c r="J6743"/>
    </row>
    <row r="6744" spans="10:10" x14ac:dyDescent="0.3">
      <c r="J6744"/>
    </row>
    <row r="6745" spans="10:10" x14ac:dyDescent="0.3">
      <c r="J6745"/>
    </row>
    <row r="6746" spans="10:10" x14ac:dyDescent="0.3">
      <c r="J6746"/>
    </row>
    <row r="6747" spans="10:10" x14ac:dyDescent="0.3">
      <c r="J6747"/>
    </row>
    <row r="6748" spans="10:10" x14ac:dyDescent="0.3">
      <c r="J6748"/>
    </row>
    <row r="6749" spans="10:10" x14ac:dyDescent="0.3">
      <c r="J6749"/>
    </row>
    <row r="6750" spans="10:10" x14ac:dyDescent="0.3">
      <c r="J6750"/>
    </row>
    <row r="6751" spans="10:10" x14ac:dyDescent="0.3">
      <c r="J6751"/>
    </row>
    <row r="6752" spans="10:10" x14ac:dyDescent="0.3">
      <c r="J6752"/>
    </row>
    <row r="6753" spans="10:10" x14ac:dyDescent="0.3">
      <c r="J6753"/>
    </row>
    <row r="6754" spans="10:10" x14ac:dyDescent="0.3">
      <c r="J6754"/>
    </row>
    <row r="6755" spans="10:10" x14ac:dyDescent="0.3">
      <c r="J6755"/>
    </row>
    <row r="6756" spans="10:10" x14ac:dyDescent="0.3">
      <c r="J6756"/>
    </row>
    <row r="6757" spans="10:10" x14ac:dyDescent="0.3">
      <c r="J6757"/>
    </row>
    <row r="6758" spans="10:10" x14ac:dyDescent="0.3">
      <c r="J6758"/>
    </row>
    <row r="6759" spans="10:10" x14ac:dyDescent="0.3">
      <c r="J6759"/>
    </row>
    <row r="6760" spans="10:10" x14ac:dyDescent="0.3">
      <c r="J6760"/>
    </row>
    <row r="6761" spans="10:10" x14ac:dyDescent="0.3">
      <c r="J6761"/>
    </row>
    <row r="6762" spans="10:10" x14ac:dyDescent="0.3">
      <c r="J6762"/>
    </row>
    <row r="6763" spans="10:10" x14ac:dyDescent="0.3">
      <c r="J6763"/>
    </row>
    <row r="6764" spans="10:10" x14ac:dyDescent="0.3">
      <c r="J6764"/>
    </row>
    <row r="6765" spans="10:10" x14ac:dyDescent="0.3">
      <c r="J6765"/>
    </row>
    <row r="6766" spans="10:10" x14ac:dyDescent="0.3">
      <c r="J6766"/>
    </row>
    <row r="6767" spans="10:10" x14ac:dyDescent="0.3">
      <c r="J6767"/>
    </row>
    <row r="6768" spans="10:10" x14ac:dyDescent="0.3">
      <c r="J6768"/>
    </row>
    <row r="6769" spans="10:10" x14ac:dyDescent="0.3">
      <c r="J6769"/>
    </row>
    <row r="6770" spans="10:10" x14ac:dyDescent="0.3">
      <c r="J6770"/>
    </row>
    <row r="6771" spans="10:10" x14ac:dyDescent="0.3">
      <c r="J6771"/>
    </row>
    <row r="6772" spans="10:10" x14ac:dyDescent="0.3">
      <c r="J6772"/>
    </row>
    <row r="6773" spans="10:10" x14ac:dyDescent="0.3">
      <c r="J6773"/>
    </row>
    <row r="6774" spans="10:10" x14ac:dyDescent="0.3">
      <c r="J6774"/>
    </row>
    <row r="6775" spans="10:10" x14ac:dyDescent="0.3">
      <c r="J6775"/>
    </row>
    <row r="6776" spans="10:10" x14ac:dyDescent="0.3">
      <c r="J6776"/>
    </row>
    <row r="6777" spans="10:10" x14ac:dyDescent="0.3">
      <c r="J6777"/>
    </row>
    <row r="6778" spans="10:10" x14ac:dyDescent="0.3">
      <c r="J6778"/>
    </row>
    <row r="6779" spans="10:10" x14ac:dyDescent="0.3">
      <c r="J6779"/>
    </row>
    <row r="6780" spans="10:10" x14ac:dyDescent="0.3">
      <c r="J6780"/>
    </row>
    <row r="6781" spans="10:10" x14ac:dyDescent="0.3">
      <c r="J6781"/>
    </row>
    <row r="6782" spans="10:10" x14ac:dyDescent="0.3">
      <c r="J6782"/>
    </row>
    <row r="6783" spans="10:10" x14ac:dyDescent="0.3">
      <c r="J6783"/>
    </row>
    <row r="6784" spans="10:10" x14ac:dyDescent="0.3">
      <c r="J6784"/>
    </row>
    <row r="6785" spans="10:10" x14ac:dyDescent="0.3">
      <c r="J6785"/>
    </row>
    <row r="6786" spans="10:10" x14ac:dyDescent="0.3">
      <c r="J6786"/>
    </row>
    <row r="6787" spans="10:10" x14ac:dyDescent="0.3">
      <c r="J6787"/>
    </row>
    <row r="6788" spans="10:10" x14ac:dyDescent="0.3">
      <c r="J6788"/>
    </row>
    <row r="6789" spans="10:10" x14ac:dyDescent="0.3">
      <c r="J6789"/>
    </row>
    <row r="6790" spans="10:10" x14ac:dyDescent="0.3">
      <c r="J6790"/>
    </row>
    <row r="6791" spans="10:10" x14ac:dyDescent="0.3">
      <c r="J6791"/>
    </row>
    <row r="6792" spans="10:10" x14ac:dyDescent="0.3">
      <c r="J6792"/>
    </row>
    <row r="6793" spans="10:10" x14ac:dyDescent="0.3">
      <c r="J6793"/>
    </row>
    <row r="6794" spans="10:10" x14ac:dyDescent="0.3">
      <c r="J6794"/>
    </row>
    <row r="6795" spans="10:10" x14ac:dyDescent="0.3">
      <c r="J6795"/>
    </row>
    <row r="6796" spans="10:10" x14ac:dyDescent="0.3">
      <c r="J6796"/>
    </row>
    <row r="6797" spans="10:10" x14ac:dyDescent="0.3">
      <c r="J6797"/>
    </row>
    <row r="6798" spans="10:10" x14ac:dyDescent="0.3">
      <c r="J6798"/>
    </row>
    <row r="6799" spans="10:10" x14ac:dyDescent="0.3">
      <c r="J6799"/>
    </row>
    <row r="6800" spans="10:10" x14ac:dyDescent="0.3">
      <c r="J6800"/>
    </row>
    <row r="6801" spans="10:10" x14ac:dyDescent="0.3">
      <c r="J6801"/>
    </row>
    <row r="6802" spans="10:10" x14ac:dyDescent="0.3">
      <c r="J6802"/>
    </row>
    <row r="6803" spans="10:10" x14ac:dyDescent="0.3">
      <c r="J6803"/>
    </row>
    <row r="6804" spans="10:10" x14ac:dyDescent="0.3">
      <c r="J6804"/>
    </row>
    <row r="6805" spans="10:10" x14ac:dyDescent="0.3">
      <c r="J6805"/>
    </row>
    <row r="6806" spans="10:10" x14ac:dyDescent="0.3">
      <c r="J6806"/>
    </row>
    <row r="6807" spans="10:10" x14ac:dyDescent="0.3">
      <c r="J6807"/>
    </row>
    <row r="6808" spans="10:10" x14ac:dyDescent="0.3">
      <c r="J6808"/>
    </row>
    <row r="6809" spans="10:10" x14ac:dyDescent="0.3">
      <c r="J6809"/>
    </row>
    <row r="6810" spans="10:10" x14ac:dyDescent="0.3">
      <c r="J6810"/>
    </row>
    <row r="6811" spans="10:10" x14ac:dyDescent="0.3">
      <c r="J6811"/>
    </row>
    <row r="6812" spans="10:10" x14ac:dyDescent="0.3">
      <c r="J6812"/>
    </row>
    <row r="6813" spans="10:10" x14ac:dyDescent="0.3">
      <c r="J6813"/>
    </row>
    <row r="6814" spans="10:10" x14ac:dyDescent="0.3">
      <c r="J6814"/>
    </row>
    <row r="6815" spans="10:10" x14ac:dyDescent="0.3">
      <c r="J6815"/>
    </row>
    <row r="6816" spans="10:10" x14ac:dyDescent="0.3">
      <c r="J6816"/>
    </row>
    <row r="6817" spans="10:10" x14ac:dyDescent="0.3">
      <c r="J6817"/>
    </row>
    <row r="6818" spans="10:10" x14ac:dyDescent="0.3">
      <c r="J6818"/>
    </row>
    <row r="6819" spans="10:10" x14ac:dyDescent="0.3">
      <c r="J6819"/>
    </row>
    <row r="6820" spans="10:10" x14ac:dyDescent="0.3">
      <c r="J6820"/>
    </row>
    <row r="6821" spans="10:10" x14ac:dyDescent="0.3">
      <c r="J6821"/>
    </row>
    <row r="6822" spans="10:10" x14ac:dyDescent="0.3">
      <c r="J6822"/>
    </row>
    <row r="6823" spans="10:10" x14ac:dyDescent="0.3">
      <c r="J6823"/>
    </row>
    <row r="6824" spans="10:10" x14ac:dyDescent="0.3">
      <c r="J6824"/>
    </row>
    <row r="6825" spans="10:10" x14ac:dyDescent="0.3">
      <c r="J6825"/>
    </row>
    <row r="6826" spans="10:10" x14ac:dyDescent="0.3">
      <c r="J6826"/>
    </row>
    <row r="6827" spans="10:10" x14ac:dyDescent="0.3">
      <c r="J6827"/>
    </row>
    <row r="6828" spans="10:10" x14ac:dyDescent="0.3">
      <c r="J6828"/>
    </row>
    <row r="6829" spans="10:10" x14ac:dyDescent="0.3">
      <c r="J6829"/>
    </row>
    <row r="6830" spans="10:10" x14ac:dyDescent="0.3">
      <c r="J6830"/>
    </row>
    <row r="6831" spans="10:10" x14ac:dyDescent="0.3">
      <c r="J6831"/>
    </row>
    <row r="6832" spans="10:10" x14ac:dyDescent="0.3">
      <c r="J6832"/>
    </row>
    <row r="6833" spans="10:10" x14ac:dyDescent="0.3">
      <c r="J6833"/>
    </row>
    <row r="6834" spans="10:10" x14ac:dyDescent="0.3">
      <c r="J6834"/>
    </row>
    <row r="6835" spans="10:10" x14ac:dyDescent="0.3">
      <c r="J6835"/>
    </row>
    <row r="6836" spans="10:10" x14ac:dyDescent="0.3">
      <c r="J6836"/>
    </row>
    <row r="6837" spans="10:10" x14ac:dyDescent="0.3">
      <c r="J6837"/>
    </row>
    <row r="6838" spans="10:10" x14ac:dyDescent="0.3">
      <c r="J6838"/>
    </row>
    <row r="6839" spans="10:10" x14ac:dyDescent="0.3">
      <c r="J6839"/>
    </row>
    <row r="6840" spans="10:10" x14ac:dyDescent="0.3">
      <c r="J6840"/>
    </row>
    <row r="6841" spans="10:10" x14ac:dyDescent="0.3">
      <c r="J6841"/>
    </row>
    <row r="6842" spans="10:10" x14ac:dyDescent="0.3">
      <c r="J6842"/>
    </row>
    <row r="6843" spans="10:10" x14ac:dyDescent="0.3">
      <c r="J6843"/>
    </row>
    <row r="6844" spans="10:10" x14ac:dyDescent="0.3">
      <c r="J6844"/>
    </row>
    <row r="6845" spans="10:10" x14ac:dyDescent="0.3">
      <c r="J6845"/>
    </row>
    <row r="6846" spans="10:10" x14ac:dyDescent="0.3">
      <c r="J6846"/>
    </row>
    <row r="6847" spans="10:10" x14ac:dyDescent="0.3">
      <c r="J6847"/>
    </row>
    <row r="6848" spans="10:10" x14ac:dyDescent="0.3">
      <c r="J6848"/>
    </row>
    <row r="6849" spans="10:10" x14ac:dyDescent="0.3">
      <c r="J6849"/>
    </row>
    <row r="6850" spans="10:10" x14ac:dyDescent="0.3">
      <c r="J6850"/>
    </row>
    <row r="6851" spans="10:10" x14ac:dyDescent="0.3">
      <c r="J6851"/>
    </row>
    <row r="6852" spans="10:10" x14ac:dyDescent="0.3">
      <c r="J6852"/>
    </row>
    <row r="6853" spans="10:10" x14ac:dyDescent="0.3">
      <c r="J6853"/>
    </row>
    <row r="6854" spans="10:10" x14ac:dyDescent="0.3">
      <c r="J6854"/>
    </row>
    <row r="6855" spans="10:10" x14ac:dyDescent="0.3">
      <c r="J6855"/>
    </row>
    <row r="6856" spans="10:10" x14ac:dyDescent="0.3">
      <c r="J6856"/>
    </row>
    <row r="6857" spans="10:10" x14ac:dyDescent="0.3">
      <c r="J6857"/>
    </row>
    <row r="6858" spans="10:10" x14ac:dyDescent="0.3">
      <c r="J6858"/>
    </row>
    <row r="6859" spans="10:10" x14ac:dyDescent="0.3">
      <c r="J6859"/>
    </row>
    <row r="6860" spans="10:10" x14ac:dyDescent="0.3">
      <c r="J6860"/>
    </row>
    <row r="6861" spans="10:10" x14ac:dyDescent="0.3">
      <c r="J6861"/>
    </row>
    <row r="6862" spans="10:10" x14ac:dyDescent="0.3">
      <c r="J6862"/>
    </row>
    <row r="6863" spans="10:10" x14ac:dyDescent="0.3">
      <c r="J6863"/>
    </row>
    <row r="6864" spans="10:10" x14ac:dyDescent="0.3">
      <c r="J6864"/>
    </row>
    <row r="6865" spans="10:10" x14ac:dyDescent="0.3">
      <c r="J6865"/>
    </row>
    <row r="6866" spans="10:10" x14ac:dyDescent="0.3">
      <c r="J6866"/>
    </row>
    <row r="6867" spans="10:10" x14ac:dyDescent="0.3">
      <c r="J6867"/>
    </row>
    <row r="6868" spans="10:10" x14ac:dyDescent="0.3">
      <c r="J6868"/>
    </row>
    <row r="6869" spans="10:10" x14ac:dyDescent="0.3">
      <c r="J6869"/>
    </row>
    <row r="6870" spans="10:10" x14ac:dyDescent="0.3">
      <c r="J6870"/>
    </row>
    <row r="6871" spans="10:10" x14ac:dyDescent="0.3">
      <c r="J6871"/>
    </row>
    <row r="6872" spans="10:10" x14ac:dyDescent="0.3">
      <c r="J6872"/>
    </row>
    <row r="6873" spans="10:10" x14ac:dyDescent="0.3">
      <c r="J6873"/>
    </row>
    <row r="6874" spans="10:10" x14ac:dyDescent="0.3">
      <c r="J6874"/>
    </row>
    <row r="6875" spans="10:10" x14ac:dyDescent="0.3">
      <c r="J6875"/>
    </row>
    <row r="6876" spans="10:10" x14ac:dyDescent="0.3">
      <c r="J6876"/>
    </row>
    <row r="6877" spans="10:10" x14ac:dyDescent="0.3">
      <c r="J6877"/>
    </row>
    <row r="6878" spans="10:10" x14ac:dyDescent="0.3">
      <c r="J6878"/>
    </row>
    <row r="6879" spans="10:10" x14ac:dyDescent="0.3">
      <c r="J6879"/>
    </row>
    <row r="6880" spans="10:10" x14ac:dyDescent="0.3">
      <c r="J6880"/>
    </row>
    <row r="6881" spans="10:10" x14ac:dyDescent="0.3">
      <c r="J6881"/>
    </row>
    <row r="6882" spans="10:10" x14ac:dyDescent="0.3">
      <c r="J6882"/>
    </row>
    <row r="6883" spans="10:10" x14ac:dyDescent="0.3">
      <c r="J6883"/>
    </row>
    <row r="6884" spans="10:10" x14ac:dyDescent="0.3">
      <c r="J6884"/>
    </row>
    <row r="6885" spans="10:10" x14ac:dyDescent="0.3">
      <c r="J6885"/>
    </row>
    <row r="6886" spans="10:10" x14ac:dyDescent="0.3">
      <c r="J6886"/>
    </row>
    <row r="6887" spans="10:10" x14ac:dyDescent="0.3">
      <c r="J6887"/>
    </row>
    <row r="6888" spans="10:10" x14ac:dyDescent="0.3">
      <c r="J6888"/>
    </row>
    <row r="6889" spans="10:10" x14ac:dyDescent="0.3">
      <c r="J6889"/>
    </row>
    <row r="6890" spans="10:10" x14ac:dyDescent="0.3">
      <c r="J6890"/>
    </row>
    <row r="6891" spans="10:10" x14ac:dyDescent="0.3">
      <c r="J6891"/>
    </row>
    <row r="6892" spans="10:10" x14ac:dyDescent="0.3">
      <c r="J6892"/>
    </row>
    <row r="6893" spans="10:10" x14ac:dyDescent="0.3">
      <c r="J6893"/>
    </row>
    <row r="6894" spans="10:10" x14ac:dyDescent="0.3">
      <c r="J6894"/>
    </row>
    <row r="6895" spans="10:10" x14ac:dyDescent="0.3">
      <c r="J6895"/>
    </row>
    <row r="6896" spans="10:10" x14ac:dyDescent="0.3">
      <c r="J6896"/>
    </row>
    <row r="6897" spans="10:10" x14ac:dyDescent="0.3">
      <c r="J6897"/>
    </row>
    <row r="6898" spans="10:10" x14ac:dyDescent="0.3">
      <c r="J6898"/>
    </row>
    <row r="6899" spans="10:10" x14ac:dyDescent="0.3">
      <c r="J6899"/>
    </row>
    <row r="6900" spans="10:10" x14ac:dyDescent="0.3">
      <c r="J6900"/>
    </row>
    <row r="6901" spans="10:10" x14ac:dyDescent="0.3">
      <c r="J6901"/>
    </row>
    <row r="6902" spans="10:10" x14ac:dyDescent="0.3">
      <c r="J6902"/>
    </row>
    <row r="6903" spans="10:10" x14ac:dyDescent="0.3">
      <c r="J6903"/>
    </row>
    <row r="6904" spans="10:10" x14ac:dyDescent="0.3">
      <c r="J6904"/>
    </row>
    <row r="6905" spans="10:10" x14ac:dyDescent="0.3">
      <c r="J6905"/>
    </row>
    <row r="6906" spans="10:10" x14ac:dyDescent="0.3">
      <c r="J6906"/>
    </row>
    <row r="6907" spans="10:10" x14ac:dyDescent="0.3">
      <c r="J6907"/>
    </row>
    <row r="6908" spans="10:10" x14ac:dyDescent="0.3">
      <c r="J6908"/>
    </row>
    <row r="6909" spans="10:10" x14ac:dyDescent="0.3">
      <c r="J6909"/>
    </row>
    <row r="6910" spans="10:10" x14ac:dyDescent="0.3">
      <c r="J6910"/>
    </row>
    <row r="6911" spans="10:10" x14ac:dyDescent="0.3">
      <c r="J6911"/>
    </row>
    <row r="6912" spans="10:10" x14ac:dyDescent="0.3">
      <c r="J6912"/>
    </row>
    <row r="6913" spans="10:10" x14ac:dyDescent="0.3">
      <c r="J6913"/>
    </row>
    <row r="6914" spans="10:10" x14ac:dyDescent="0.3">
      <c r="J6914"/>
    </row>
    <row r="6915" spans="10:10" x14ac:dyDescent="0.3">
      <c r="J6915"/>
    </row>
    <row r="6916" spans="10:10" x14ac:dyDescent="0.3">
      <c r="J6916"/>
    </row>
    <row r="6917" spans="10:10" x14ac:dyDescent="0.3">
      <c r="J6917"/>
    </row>
    <row r="6918" spans="10:10" x14ac:dyDescent="0.3">
      <c r="J6918"/>
    </row>
    <row r="6919" spans="10:10" x14ac:dyDescent="0.3">
      <c r="J6919"/>
    </row>
    <row r="6920" spans="10:10" x14ac:dyDescent="0.3">
      <c r="J6920"/>
    </row>
    <row r="6921" spans="10:10" x14ac:dyDescent="0.3">
      <c r="J6921"/>
    </row>
    <row r="6922" spans="10:10" x14ac:dyDescent="0.3">
      <c r="J6922"/>
    </row>
    <row r="6923" spans="10:10" x14ac:dyDescent="0.3">
      <c r="J6923"/>
    </row>
    <row r="6924" spans="10:10" x14ac:dyDescent="0.3">
      <c r="J6924"/>
    </row>
    <row r="6925" spans="10:10" x14ac:dyDescent="0.3">
      <c r="J6925"/>
    </row>
    <row r="6926" spans="10:10" x14ac:dyDescent="0.3">
      <c r="J6926"/>
    </row>
    <row r="6927" spans="10:10" x14ac:dyDescent="0.3">
      <c r="J6927"/>
    </row>
    <row r="6928" spans="10:10" x14ac:dyDescent="0.3">
      <c r="J6928"/>
    </row>
    <row r="6929" spans="10:10" x14ac:dyDescent="0.3">
      <c r="J6929"/>
    </row>
    <row r="6930" spans="10:10" x14ac:dyDescent="0.3">
      <c r="J6930"/>
    </row>
    <row r="6931" spans="10:10" x14ac:dyDescent="0.3">
      <c r="J6931"/>
    </row>
    <row r="6932" spans="10:10" x14ac:dyDescent="0.3">
      <c r="J6932"/>
    </row>
    <row r="6933" spans="10:10" x14ac:dyDescent="0.3">
      <c r="J6933"/>
    </row>
    <row r="6934" spans="10:10" x14ac:dyDescent="0.3">
      <c r="J6934"/>
    </row>
    <row r="6935" spans="10:10" x14ac:dyDescent="0.3">
      <c r="J6935"/>
    </row>
    <row r="6936" spans="10:10" x14ac:dyDescent="0.3">
      <c r="J6936"/>
    </row>
    <row r="6937" spans="10:10" x14ac:dyDescent="0.3">
      <c r="J6937"/>
    </row>
    <row r="6938" spans="10:10" x14ac:dyDescent="0.3">
      <c r="J6938"/>
    </row>
    <row r="6939" spans="10:10" x14ac:dyDescent="0.3">
      <c r="J6939"/>
    </row>
    <row r="6940" spans="10:10" x14ac:dyDescent="0.3">
      <c r="J6940"/>
    </row>
    <row r="6941" spans="10:10" x14ac:dyDescent="0.3">
      <c r="J6941"/>
    </row>
    <row r="6942" spans="10:10" x14ac:dyDescent="0.3">
      <c r="J6942"/>
    </row>
    <row r="6943" spans="10:10" x14ac:dyDescent="0.3">
      <c r="J6943"/>
    </row>
    <row r="6944" spans="10:10" x14ac:dyDescent="0.3">
      <c r="J6944"/>
    </row>
    <row r="6945" spans="10:10" x14ac:dyDescent="0.3">
      <c r="J6945"/>
    </row>
    <row r="6946" spans="10:10" x14ac:dyDescent="0.3">
      <c r="J6946"/>
    </row>
    <row r="6947" spans="10:10" x14ac:dyDescent="0.3">
      <c r="J6947"/>
    </row>
    <row r="6948" spans="10:10" x14ac:dyDescent="0.3">
      <c r="J6948"/>
    </row>
    <row r="6949" spans="10:10" x14ac:dyDescent="0.3">
      <c r="J6949"/>
    </row>
    <row r="6950" spans="10:10" x14ac:dyDescent="0.3">
      <c r="J6950"/>
    </row>
    <row r="6951" spans="10:10" x14ac:dyDescent="0.3">
      <c r="J6951"/>
    </row>
    <row r="6952" spans="10:10" x14ac:dyDescent="0.3">
      <c r="J6952"/>
    </row>
    <row r="6953" spans="10:10" x14ac:dyDescent="0.3">
      <c r="J6953"/>
    </row>
    <row r="6954" spans="10:10" x14ac:dyDescent="0.3">
      <c r="J6954"/>
    </row>
    <row r="6955" spans="10:10" x14ac:dyDescent="0.3">
      <c r="J6955"/>
    </row>
    <row r="6956" spans="10:10" x14ac:dyDescent="0.3">
      <c r="J6956"/>
    </row>
    <row r="6957" spans="10:10" x14ac:dyDescent="0.3">
      <c r="J6957"/>
    </row>
    <row r="6958" spans="10:10" x14ac:dyDescent="0.3">
      <c r="J6958"/>
    </row>
    <row r="6959" spans="10:10" x14ac:dyDescent="0.3">
      <c r="J6959"/>
    </row>
    <row r="6960" spans="10:10" x14ac:dyDescent="0.3">
      <c r="J6960"/>
    </row>
    <row r="6961" spans="10:10" x14ac:dyDescent="0.3">
      <c r="J6961"/>
    </row>
    <row r="6962" spans="10:10" x14ac:dyDescent="0.3">
      <c r="J6962"/>
    </row>
    <row r="6963" spans="10:10" x14ac:dyDescent="0.3">
      <c r="J6963"/>
    </row>
    <row r="6964" spans="10:10" x14ac:dyDescent="0.3">
      <c r="J6964"/>
    </row>
    <row r="6965" spans="10:10" x14ac:dyDescent="0.3">
      <c r="J6965"/>
    </row>
    <row r="6966" spans="10:10" x14ac:dyDescent="0.3">
      <c r="J6966"/>
    </row>
    <row r="6967" spans="10:10" x14ac:dyDescent="0.3">
      <c r="J6967"/>
    </row>
    <row r="6968" spans="10:10" x14ac:dyDescent="0.3">
      <c r="J6968"/>
    </row>
    <row r="6969" spans="10:10" x14ac:dyDescent="0.3">
      <c r="J6969"/>
    </row>
    <row r="6970" spans="10:10" x14ac:dyDescent="0.3">
      <c r="J6970"/>
    </row>
    <row r="6971" spans="10:10" x14ac:dyDescent="0.3">
      <c r="J6971"/>
    </row>
    <row r="6972" spans="10:10" x14ac:dyDescent="0.3">
      <c r="J6972"/>
    </row>
  </sheetData>
  <autoFilter ref="A1:R1860" xr:uid="{3B5584C0-1276-4BF8-B5AC-3B8E2E78F39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DD6E0-E598-4075-9CF9-B2ED84A0AC6D}">
  <sheetPr>
    <tabColor theme="2" tint="-9.9978637043366805E-2"/>
  </sheetPr>
  <dimension ref="A1:BM17"/>
  <sheetViews>
    <sheetView zoomScale="70" zoomScaleNormal="70" workbookViewId="0">
      <pane ySplit="1" topLeftCell="A2" activePane="bottomLeft" state="frozen"/>
      <selection activeCell="E7" sqref="E7"/>
      <selection pane="bottomLeft" activeCell="O41" sqref="O41"/>
    </sheetView>
  </sheetViews>
  <sheetFormatPr baseColWidth="10" defaultColWidth="9.109375" defaultRowHeight="14.4" outlineLevelCol="1" x14ac:dyDescent="0.3"/>
  <cols>
    <col min="1" max="1" width="6" style="51" customWidth="1"/>
    <col min="2" max="5" width="12.6640625" style="51" customWidth="1"/>
    <col min="6" max="6" width="14.6640625" style="51" customWidth="1"/>
    <col min="7" max="8" width="13.6640625" style="51" customWidth="1"/>
    <col min="9" max="9" width="14" style="51" customWidth="1"/>
    <col min="10" max="10" width="9.6640625" style="51" bestFit="1" customWidth="1"/>
    <col min="11" max="11" width="20.44140625" style="51" bestFit="1" customWidth="1"/>
    <col min="12" max="13" width="13.6640625" style="51" customWidth="1"/>
    <col min="14" max="14" width="14.6640625" style="51" customWidth="1"/>
    <col min="15" max="15" width="12.6640625" style="51" customWidth="1"/>
    <col min="16" max="16" width="37.33203125" style="51" customWidth="1" outlineLevel="1"/>
    <col min="17" max="17" width="31" style="51" customWidth="1" outlineLevel="1"/>
    <col min="18" max="18" width="32" style="51" customWidth="1" outlineLevel="1"/>
    <col min="19" max="19" width="14.6640625" style="51" customWidth="1"/>
    <col min="20" max="20" width="32" style="51" customWidth="1" outlineLevel="1"/>
    <col min="21" max="21" width="36" style="51" customWidth="1" outlineLevel="1"/>
    <col min="22" max="23" width="21" style="51" customWidth="1" outlineLevel="1"/>
    <col min="24" max="25" width="10.6640625" style="51" customWidth="1"/>
    <col min="26" max="26" width="17" style="51" customWidth="1" outlineLevel="1"/>
    <col min="27" max="28" width="16.6640625" style="51" customWidth="1"/>
    <col min="29" max="30" width="21" style="51" customWidth="1" outlineLevel="1"/>
    <col min="31" max="31" width="21" style="51" customWidth="1"/>
    <col min="32" max="32" width="22" style="51" customWidth="1" outlineLevel="1"/>
    <col min="33" max="33" width="20" style="51" customWidth="1" outlineLevel="1"/>
    <col min="34" max="34" width="17" style="51" customWidth="1"/>
    <col min="35" max="35" width="19" style="51" customWidth="1" outlineLevel="1"/>
    <col min="36" max="37" width="16.6640625" style="51" customWidth="1"/>
    <col min="38" max="38" width="23.33203125" style="51" bestFit="1" customWidth="1"/>
    <col min="39" max="40" width="16.6640625" style="51" customWidth="1"/>
    <col min="41" max="41" width="26" style="51" customWidth="1"/>
    <col min="42" max="42" width="42" style="51" customWidth="1" outlineLevel="1"/>
    <col min="43" max="43" width="40" style="51" customWidth="1" outlineLevel="1"/>
    <col min="44" max="44" width="37" style="51" customWidth="1" outlineLevel="1"/>
    <col min="45" max="45" width="27" style="51" customWidth="1" outlineLevel="1"/>
    <col min="46" max="46" width="39" style="51" customWidth="1" outlineLevel="1"/>
    <col min="47" max="47" width="22" style="51" customWidth="1" outlineLevel="1"/>
    <col min="48" max="49" width="20" style="51" customWidth="1"/>
    <col min="50" max="50" width="23" style="51" customWidth="1"/>
    <col min="51" max="51" width="19.88671875" style="51" bestFit="1" customWidth="1"/>
    <col min="52" max="52" width="21" style="51" customWidth="1" outlineLevel="1"/>
    <col min="53" max="53" width="58.5546875" style="51" customWidth="1" outlineLevel="1"/>
    <col min="54" max="54" width="15.6640625" style="51" customWidth="1"/>
    <col min="55" max="55" width="23" style="51" customWidth="1"/>
    <col min="56" max="56" width="56" style="51" customWidth="1"/>
    <col min="57" max="57" width="54" style="51" customWidth="1" outlineLevel="1"/>
    <col min="58" max="59" width="27" style="51" customWidth="1" outlineLevel="1"/>
    <col min="60" max="60" width="23" style="51" customWidth="1"/>
    <col min="61" max="61" width="17" style="51" customWidth="1" outlineLevel="1"/>
    <col min="62" max="63" width="12" style="51" customWidth="1" outlineLevel="1"/>
    <col min="64" max="64" width="39" style="51" customWidth="1" outlineLevel="1"/>
    <col min="65" max="65" width="27" style="51" customWidth="1"/>
    <col min="66" max="16384" width="9.109375" style="51"/>
  </cols>
  <sheetData>
    <row r="1" spans="1:65" ht="62.4" x14ac:dyDescent="0.3">
      <c r="A1" s="73" t="s">
        <v>0</v>
      </c>
      <c r="B1" s="73" t="s">
        <v>1</v>
      </c>
      <c r="C1" s="73" t="s">
        <v>2</v>
      </c>
      <c r="D1" s="73" t="s">
        <v>3</v>
      </c>
      <c r="E1" s="73" t="s">
        <v>391</v>
      </c>
      <c r="F1" s="73" t="s">
        <v>4</v>
      </c>
      <c r="G1" s="73" t="s">
        <v>392</v>
      </c>
      <c r="H1" s="73" t="s">
        <v>5</v>
      </c>
      <c r="I1" s="73" t="s">
        <v>6</v>
      </c>
      <c r="J1" s="73" t="s">
        <v>7</v>
      </c>
      <c r="K1" s="73" t="s">
        <v>8</v>
      </c>
      <c r="L1" s="73" t="s">
        <v>393</v>
      </c>
      <c r="M1" s="73" t="s">
        <v>9</v>
      </c>
      <c r="N1" s="74" t="s">
        <v>394</v>
      </c>
      <c r="O1" s="74" t="s">
        <v>10</v>
      </c>
      <c r="P1" s="73" t="s">
        <v>395</v>
      </c>
      <c r="Q1" s="73" t="s">
        <v>396</v>
      </c>
      <c r="R1" s="73" t="s">
        <v>397</v>
      </c>
      <c r="S1" s="73" t="s">
        <v>398</v>
      </c>
      <c r="T1" s="73" t="s">
        <v>399</v>
      </c>
      <c r="U1" s="73" t="s">
        <v>400</v>
      </c>
      <c r="V1" s="73" t="s">
        <v>11</v>
      </c>
      <c r="W1" s="73" t="s">
        <v>12</v>
      </c>
      <c r="X1" s="74" t="s">
        <v>13</v>
      </c>
      <c r="Y1" s="74" t="s">
        <v>14</v>
      </c>
      <c r="Z1" s="73" t="s">
        <v>15</v>
      </c>
      <c r="AA1" s="73" t="s">
        <v>16</v>
      </c>
      <c r="AB1" s="73" t="s">
        <v>17</v>
      </c>
      <c r="AC1" s="73" t="s">
        <v>18</v>
      </c>
      <c r="AD1" s="73" t="s">
        <v>19</v>
      </c>
      <c r="AE1" s="73" t="s">
        <v>20</v>
      </c>
      <c r="AF1" s="73" t="s">
        <v>21</v>
      </c>
      <c r="AG1" s="73" t="s">
        <v>22</v>
      </c>
      <c r="AH1" s="74" t="s">
        <v>23</v>
      </c>
      <c r="AI1" s="73" t="s">
        <v>24</v>
      </c>
      <c r="AJ1" s="73" t="s">
        <v>25</v>
      </c>
      <c r="AK1" s="73" t="s">
        <v>26</v>
      </c>
      <c r="AL1" s="73" t="s">
        <v>27</v>
      </c>
      <c r="AM1" s="73" t="s">
        <v>28</v>
      </c>
      <c r="AN1" s="73" t="s">
        <v>29</v>
      </c>
      <c r="AO1" s="74" t="s">
        <v>30</v>
      </c>
      <c r="AP1" s="73" t="s">
        <v>31</v>
      </c>
      <c r="AQ1" s="73" t="s">
        <v>32</v>
      </c>
      <c r="AR1" s="73" t="s">
        <v>33</v>
      </c>
      <c r="AS1" s="73" t="s">
        <v>34</v>
      </c>
      <c r="AT1" s="73" t="s">
        <v>35</v>
      </c>
      <c r="AU1" s="73" t="s">
        <v>36</v>
      </c>
      <c r="AV1" s="73" t="s">
        <v>37</v>
      </c>
      <c r="AW1" s="73" t="s">
        <v>38</v>
      </c>
      <c r="AX1" s="73" t="s">
        <v>39</v>
      </c>
      <c r="AY1" s="73" t="s">
        <v>40</v>
      </c>
      <c r="AZ1" s="73" t="s">
        <v>41</v>
      </c>
      <c r="BA1" s="73" t="s">
        <v>42</v>
      </c>
      <c r="BB1" s="74" t="s">
        <v>401</v>
      </c>
      <c r="BC1" s="73" t="s">
        <v>43</v>
      </c>
      <c r="BD1" s="73" t="s">
        <v>44</v>
      </c>
      <c r="BE1" s="73" t="s">
        <v>402</v>
      </c>
      <c r="BF1" s="73" t="s">
        <v>45</v>
      </c>
      <c r="BG1" s="73" t="s">
        <v>403</v>
      </c>
      <c r="BH1" s="73" t="s">
        <v>404</v>
      </c>
      <c r="BI1" s="73" t="s">
        <v>47</v>
      </c>
      <c r="BJ1" s="73" t="s">
        <v>48</v>
      </c>
      <c r="BK1" s="73" t="s">
        <v>46</v>
      </c>
      <c r="BL1" s="73" t="s">
        <v>405</v>
      </c>
      <c r="BM1" s="72" t="s">
        <v>503</v>
      </c>
    </row>
    <row r="2" spans="1:65" ht="15.6" x14ac:dyDescent="0.3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5"/>
      <c r="AB2" s="65"/>
      <c r="AC2" s="68"/>
      <c r="AD2" s="68"/>
      <c r="AE2" s="68"/>
      <c r="AF2" s="65"/>
      <c r="AG2" s="65"/>
      <c r="AH2" s="67"/>
      <c r="AI2" s="66"/>
      <c r="AJ2" s="65"/>
      <c r="AK2" s="65"/>
      <c r="AL2" s="65"/>
      <c r="AM2" s="65"/>
      <c r="AN2" s="71"/>
      <c r="AO2" s="65"/>
      <c r="AP2" s="68"/>
      <c r="AQ2" s="68"/>
      <c r="AR2" s="65"/>
      <c r="AS2" s="68"/>
      <c r="AT2" s="68"/>
      <c r="AU2" s="67"/>
      <c r="AV2" s="64"/>
      <c r="AW2" s="64"/>
      <c r="AX2" s="64"/>
      <c r="AY2" s="64"/>
      <c r="AZ2" s="66"/>
      <c r="BA2" s="64"/>
      <c r="BB2" s="64"/>
      <c r="BC2" s="65"/>
      <c r="BD2" s="64"/>
      <c r="BE2" s="64"/>
      <c r="BF2" s="64"/>
      <c r="BG2" s="64"/>
      <c r="BH2" s="64"/>
      <c r="BI2" s="64"/>
      <c r="BJ2" s="64"/>
      <c r="BK2" s="64"/>
      <c r="BL2" s="64"/>
    </row>
    <row r="3" spans="1:65" ht="15.6" x14ac:dyDescent="0.3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5"/>
      <c r="AB3" s="65"/>
      <c r="AC3" s="68"/>
      <c r="AD3" s="68"/>
      <c r="AE3" s="68"/>
      <c r="AF3" s="65"/>
      <c r="AG3" s="65"/>
      <c r="AH3" s="67"/>
      <c r="AI3" s="66"/>
      <c r="AJ3" s="65"/>
      <c r="AK3" s="65"/>
      <c r="AL3" s="65"/>
      <c r="AM3" s="65"/>
      <c r="AN3" s="71"/>
      <c r="AO3" s="66"/>
      <c r="AP3" s="68"/>
      <c r="AQ3" s="68"/>
      <c r="AR3" s="65"/>
      <c r="AS3" s="68"/>
      <c r="AT3" s="68"/>
      <c r="AU3" s="67"/>
      <c r="AV3" s="64"/>
      <c r="AW3" s="64"/>
      <c r="AX3" s="64"/>
      <c r="AY3" s="64"/>
      <c r="AZ3" s="66"/>
      <c r="BA3" s="64"/>
      <c r="BB3" s="64"/>
      <c r="BC3" s="65"/>
      <c r="BD3" s="64"/>
      <c r="BE3" s="64"/>
      <c r="BF3" s="64"/>
      <c r="BG3" s="64"/>
      <c r="BH3" s="64"/>
      <c r="BI3" s="64"/>
      <c r="BJ3" s="64"/>
      <c r="BK3" s="64"/>
      <c r="BL3" s="64"/>
    </row>
    <row r="4" spans="1:65" ht="15.6" x14ac:dyDescent="0.3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5"/>
      <c r="AB4" s="65"/>
      <c r="AC4" s="68"/>
      <c r="AD4" s="68"/>
      <c r="AE4" s="68"/>
      <c r="AF4" s="65"/>
      <c r="AG4" s="65"/>
      <c r="AH4" s="67"/>
      <c r="AI4" s="66"/>
      <c r="AJ4" s="65"/>
      <c r="AK4" s="65"/>
      <c r="AL4" s="65"/>
      <c r="AM4" s="65"/>
      <c r="AN4" s="71"/>
      <c r="AO4" s="66"/>
      <c r="AP4" s="68"/>
      <c r="AQ4" s="68"/>
      <c r="AR4" s="65"/>
      <c r="AS4" s="68"/>
      <c r="AT4" s="68"/>
      <c r="AU4" s="67"/>
      <c r="AV4" s="64"/>
      <c r="AW4" s="64"/>
      <c r="AX4" s="64"/>
      <c r="AY4" s="64"/>
      <c r="AZ4" s="66"/>
      <c r="BA4" s="64"/>
      <c r="BB4" s="64"/>
      <c r="BC4" s="65"/>
      <c r="BD4" s="64"/>
      <c r="BE4" s="64"/>
      <c r="BF4" s="64"/>
      <c r="BG4" s="64"/>
      <c r="BH4" s="64"/>
      <c r="BI4" s="64"/>
      <c r="BJ4" s="64"/>
      <c r="BK4" s="64"/>
      <c r="BL4" s="64"/>
    </row>
    <row r="5" spans="1:65" ht="15.6" x14ac:dyDescent="0.3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5"/>
      <c r="AB5" s="65"/>
      <c r="AC5" s="68"/>
      <c r="AD5" s="68"/>
      <c r="AE5" s="68"/>
      <c r="AF5" s="65"/>
      <c r="AG5" s="65"/>
      <c r="AH5" s="67"/>
      <c r="AI5" s="66"/>
      <c r="AJ5" s="65"/>
      <c r="AK5" s="65"/>
      <c r="AL5" s="65"/>
      <c r="AM5" s="65"/>
      <c r="AN5" s="71"/>
      <c r="AO5" s="66"/>
      <c r="AP5" s="68"/>
      <c r="AQ5" s="68"/>
      <c r="AR5" s="65"/>
      <c r="AS5" s="68"/>
      <c r="AT5" s="68"/>
      <c r="AU5" s="67"/>
      <c r="AV5" s="64"/>
      <c r="AW5" s="64"/>
      <c r="AX5" s="64"/>
      <c r="AY5" s="64"/>
      <c r="AZ5" s="66"/>
      <c r="BA5" s="64"/>
      <c r="BB5" s="64"/>
      <c r="BC5" s="65"/>
      <c r="BD5" s="64"/>
      <c r="BE5" s="64"/>
      <c r="BF5" s="64"/>
      <c r="BG5" s="64"/>
      <c r="BH5" s="64"/>
      <c r="BI5" s="64"/>
      <c r="BJ5" s="64"/>
      <c r="BK5" s="64"/>
      <c r="BL5" s="64"/>
    </row>
    <row r="17" spans="1:64" ht="15.6" x14ac:dyDescent="0.3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5"/>
      <c r="AB17" s="65"/>
      <c r="AC17" s="69"/>
      <c r="AD17" s="69"/>
      <c r="AE17" s="69"/>
      <c r="AF17" s="65"/>
      <c r="AG17" s="65"/>
      <c r="AH17" s="67"/>
      <c r="AI17" s="66"/>
      <c r="AJ17" s="65"/>
      <c r="AK17" s="65"/>
      <c r="AL17" s="65"/>
      <c r="AM17" s="65"/>
      <c r="AN17" s="70"/>
      <c r="AO17" s="66"/>
      <c r="AP17" s="68"/>
      <c r="AQ17" s="68"/>
      <c r="AR17" s="65"/>
      <c r="AS17" s="69"/>
      <c r="AT17" s="68"/>
      <c r="AU17" s="67"/>
      <c r="AV17" s="64"/>
      <c r="AW17" s="64"/>
      <c r="AX17" s="64"/>
      <c r="AY17" s="64"/>
      <c r="AZ17" s="66"/>
      <c r="BA17" s="64"/>
      <c r="BB17" s="64"/>
      <c r="BC17" s="65"/>
      <c r="BD17" s="64"/>
      <c r="BE17" s="64"/>
      <c r="BF17" s="64"/>
      <c r="BG17" s="64"/>
      <c r="BH17" s="64"/>
      <c r="BI17" s="64"/>
      <c r="BJ17" s="64"/>
      <c r="BK17" s="64"/>
      <c r="BL17" s="64"/>
    </row>
  </sheetData>
  <autoFilter ref="A1:BM17" xr:uid="{00000000-0001-0000-0000-000000000000}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20096-DF0C-489E-9DED-32BDF0B4A60D}">
  <sheetPr>
    <tabColor rgb="FFD0CECE"/>
  </sheetPr>
  <dimension ref="A2:K966"/>
  <sheetViews>
    <sheetView topLeftCell="B1" zoomScale="70" zoomScaleNormal="70" workbookViewId="0">
      <selection activeCell="G79" sqref="G79"/>
    </sheetView>
  </sheetViews>
  <sheetFormatPr baseColWidth="10" defaultColWidth="10.88671875" defaultRowHeight="14.4" x14ac:dyDescent="0.3"/>
  <cols>
    <col min="1" max="1" width="20.5546875" style="51" bestFit="1" customWidth="1"/>
    <col min="2" max="2" width="21.33203125" style="51" bestFit="1" customWidth="1"/>
    <col min="3" max="3" width="30.6640625" style="51" customWidth="1"/>
    <col min="4" max="4" width="29.6640625" style="51" customWidth="1"/>
    <col min="5" max="5" width="32.44140625" style="51" customWidth="1"/>
    <col min="6" max="6" width="53.5546875" style="51" customWidth="1"/>
    <col min="7" max="8" width="26.88671875" style="51" bestFit="1" customWidth="1"/>
    <col min="9" max="9" width="22.44140625" style="51" bestFit="1" customWidth="1"/>
    <col min="10" max="10" width="42.6640625" style="51" bestFit="1" customWidth="1"/>
    <col min="11" max="11" width="44.88671875" style="51" bestFit="1" customWidth="1"/>
    <col min="12" max="12" width="17.6640625" style="51" bestFit="1" customWidth="1"/>
    <col min="13" max="13" width="25.44140625" style="51" bestFit="1" customWidth="1"/>
    <col min="14" max="16384" width="10.88671875" style="51"/>
  </cols>
  <sheetData>
    <row r="2" spans="1:11" x14ac:dyDescent="0.3">
      <c r="A2" s="57"/>
      <c r="B2" s="57"/>
    </row>
    <row r="4" spans="1:11" x14ac:dyDescent="0.3">
      <c r="A4" s="88" t="s">
        <v>398</v>
      </c>
      <c r="B4" s="88" t="s">
        <v>6</v>
      </c>
      <c r="C4" s="88" t="s">
        <v>37</v>
      </c>
      <c r="D4" s="88" t="s">
        <v>45</v>
      </c>
      <c r="E4" s="88" t="s">
        <v>9</v>
      </c>
      <c r="F4" s="88" t="s">
        <v>391</v>
      </c>
      <c r="G4" s="88" t="s">
        <v>44</v>
      </c>
      <c r="H4" s="88" t="s">
        <v>13</v>
      </c>
      <c r="I4" s="88" t="s">
        <v>43</v>
      </c>
      <c r="J4" s="13" t="s">
        <v>348</v>
      </c>
      <c r="K4" s="61"/>
    </row>
    <row r="5" spans="1:11" x14ac:dyDescent="0.3">
      <c r="A5" s="13" t="s">
        <v>62</v>
      </c>
      <c r="B5" s="13" t="s">
        <v>49</v>
      </c>
      <c r="C5" s="13" t="s">
        <v>426</v>
      </c>
      <c r="D5" s="13" t="s">
        <v>265</v>
      </c>
      <c r="E5" s="13" t="s">
        <v>264</v>
      </c>
      <c r="F5" s="13" t="s">
        <v>261</v>
      </c>
      <c r="G5" s="13" t="s">
        <v>310</v>
      </c>
      <c r="H5" s="13" t="s">
        <v>58</v>
      </c>
      <c r="I5" s="89">
        <v>1</v>
      </c>
      <c r="J5" s="89">
        <v>1998.87</v>
      </c>
      <c r="K5" s="61"/>
    </row>
    <row r="6" spans="1:11" x14ac:dyDescent="0.3">
      <c r="A6" s="13" t="s">
        <v>62</v>
      </c>
      <c r="B6" s="13" t="s">
        <v>49</v>
      </c>
      <c r="C6" s="13" t="s">
        <v>821</v>
      </c>
      <c r="D6" s="13" t="s">
        <v>334</v>
      </c>
      <c r="E6" s="13" t="s">
        <v>291</v>
      </c>
      <c r="F6" s="13" t="s">
        <v>743</v>
      </c>
      <c r="G6" s="13" t="s">
        <v>745</v>
      </c>
      <c r="H6" s="13" t="s">
        <v>58</v>
      </c>
      <c r="I6" s="89">
        <v>1</v>
      </c>
      <c r="J6" s="89">
        <v>288.47000000000003</v>
      </c>
      <c r="K6" s="61"/>
    </row>
    <row r="7" spans="1:11" x14ac:dyDescent="0.3">
      <c r="A7" s="13" t="s">
        <v>65</v>
      </c>
      <c r="B7" s="13" t="s">
        <v>49</v>
      </c>
      <c r="C7" s="13" t="s">
        <v>420</v>
      </c>
      <c r="D7" s="13" t="s">
        <v>73</v>
      </c>
      <c r="E7" s="13" t="s">
        <v>71</v>
      </c>
      <c r="F7" s="13" t="s">
        <v>330</v>
      </c>
      <c r="G7" s="13" t="s">
        <v>333</v>
      </c>
      <c r="H7" s="13" t="s">
        <v>58</v>
      </c>
      <c r="I7" s="89">
        <v>1</v>
      </c>
      <c r="J7" s="89">
        <v>16105.49</v>
      </c>
      <c r="K7" s="61"/>
    </row>
    <row r="8" spans="1:11" x14ac:dyDescent="0.3">
      <c r="A8" s="13" t="s">
        <v>65</v>
      </c>
      <c r="B8" s="13" t="s">
        <v>49</v>
      </c>
      <c r="C8" s="13" t="s">
        <v>422</v>
      </c>
      <c r="D8" s="13" t="s">
        <v>322</v>
      </c>
      <c r="E8" s="13" t="s">
        <v>319</v>
      </c>
      <c r="F8" s="13" t="s">
        <v>316</v>
      </c>
      <c r="G8" s="13" t="s">
        <v>321</v>
      </c>
      <c r="H8" s="13" t="s">
        <v>58</v>
      </c>
      <c r="I8" s="89">
        <v>1</v>
      </c>
      <c r="J8" s="89">
        <v>1800</v>
      </c>
      <c r="K8" s="61"/>
    </row>
    <row r="9" spans="1:11" x14ac:dyDescent="0.3">
      <c r="A9" s="13" t="s">
        <v>65</v>
      </c>
      <c r="B9" s="13" t="s">
        <v>49</v>
      </c>
      <c r="C9" s="13" t="s">
        <v>424</v>
      </c>
      <c r="D9" s="13" t="s">
        <v>306</v>
      </c>
      <c r="E9" s="13" t="s">
        <v>304</v>
      </c>
      <c r="F9" s="13" t="s">
        <v>341</v>
      </c>
      <c r="G9" s="13" t="s">
        <v>345</v>
      </c>
      <c r="H9" s="13" t="s">
        <v>58</v>
      </c>
      <c r="I9" s="89">
        <v>1</v>
      </c>
      <c r="J9" s="89">
        <v>1999.95</v>
      </c>
      <c r="K9" s="61"/>
    </row>
    <row r="10" spans="1:11" x14ac:dyDescent="0.3">
      <c r="A10" s="13" t="s">
        <v>65</v>
      </c>
      <c r="B10" s="13" t="s">
        <v>49</v>
      </c>
      <c r="C10" s="13" t="s">
        <v>428</v>
      </c>
      <c r="D10" s="13" t="s">
        <v>73</v>
      </c>
      <c r="E10" s="13" t="s">
        <v>71</v>
      </c>
      <c r="F10" s="13" t="s">
        <v>68</v>
      </c>
      <c r="G10" s="13" t="s">
        <v>323</v>
      </c>
      <c r="H10" s="13" t="s">
        <v>58</v>
      </c>
      <c r="I10" s="89">
        <v>1</v>
      </c>
      <c r="J10" s="89">
        <v>3699.53</v>
      </c>
      <c r="K10" s="61"/>
    </row>
    <row r="11" spans="1:11" x14ac:dyDescent="0.3">
      <c r="A11" s="13" t="s">
        <v>65</v>
      </c>
      <c r="B11" s="13" t="s">
        <v>49</v>
      </c>
      <c r="C11" s="13" t="s">
        <v>430</v>
      </c>
      <c r="D11" s="13" t="s">
        <v>314</v>
      </c>
      <c r="E11" s="13" t="s">
        <v>336</v>
      </c>
      <c r="F11" s="13" t="s">
        <v>311</v>
      </c>
      <c r="G11" s="13" t="s">
        <v>313</v>
      </c>
      <c r="H11" s="13" t="s">
        <v>58</v>
      </c>
      <c r="I11" s="89">
        <v>1</v>
      </c>
      <c r="J11" s="89">
        <v>4773.92</v>
      </c>
      <c r="K11" s="61"/>
    </row>
    <row r="12" spans="1:11" x14ac:dyDescent="0.3">
      <c r="A12" s="13" t="s">
        <v>65</v>
      </c>
      <c r="B12" s="13" t="s">
        <v>49</v>
      </c>
      <c r="C12" s="13" t="s">
        <v>432</v>
      </c>
      <c r="D12" s="13" t="s">
        <v>78</v>
      </c>
      <c r="E12" s="13" t="s">
        <v>77</v>
      </c>
      <c r="F12" s="13" t="s">
        <v>75</v>
      </c>
      <c r="G12" s="13" t="s">
        <v>324</v>
      </c>
      <c r="H12" s="13" t="s">
        <v>58</v>
      </c>
      <c r="I12" s="89">
        <v>1</v>
      </c>
      <c r="J12" s="89">
        <v>2986.68</v>
      </c>
      <c r="K12" s="61"/>
    </row>
    <row r="13" spans="1:11" x14ac:dyDescent="0.3">
      <c r="A13" s="13" t="s">
        <v>65</v>
      </c>
      <c r="B13" s="13" t="s">
        <v>49</v>
      </c>
      <c r="C13" s="13" t="s">
        <v>434</v>
      </c>
      <c r="D13" s="13" t="s">
        <v>306</v>
      </c>
      <c r="E13" s="13" t="s">
        <v>304</v>
      </c>
      <c r="F13" s="13" t="s">
        <v>372</v>
      </c>
      <c r="G13" s="13" t="s">
        <v>376</v>
      </c>
      <c r="H13" s="13" t="s">
        <v>58</v>
      </c>
      <c r="I13" s="89">
        <v>1</v>
      </c>
      <c r="J13" s="89">
        <v>912.96</v>
      </c>
      <c r="K13" s="61"/>
    </row>
    <row r="14" spans="1:11" x14ac:dyDescent="0.3">
      <c r="A14" s="13" t="s">
        <v>65</v>
      </c>
      <c r="B14" s="13" t="s">
        <v>49</v>
      </c>
      <c r="C14" s="13" t="s">
        <v>593</v>
      </c>
      <c r="D14" s="13" t="s">
        <v>73</v>
      </c>
      <c r="E14" s="13" t="s">
        <v>71</v>
      </c>
      <c r="F14" s="13" t="s">
        <v>568</v>
      </c>
      <c r="G14" s="13" t="s">
        <v>571</v>
      </c>
      <c r="H14" s="13" t="s">
        <v>58</v>
      </c>
      <c r="I14" s="89">
        <v>1</v>
      </c>
      <c r="J14" s="89">
        <v>9029.1299999999992</v>
      </c>
      <c r="K14" s="61"/>
    </row>
    <row r="15" spans="1:11" x14ac:dyDescent="0.3">
      <c r="A15" s="13" t="s">
        <v>65</v>
      </c>
      <c r="B15" s="13" t="s">
        <v>49</v>
      </c>
      <c r="C15" s="13" t="s">
        <v>595</v>
      </c>
      <c r="D15" s="13" t="s">
        <v>576</v>
      </c>
      <c r="E15" s="13" t="s">
        <v>574</v>
      </c>
      <c r="F15" s="13" t="s">
        <v>572</v>
      </c>
      <c r="G15" s="13" t="s">
        <v>575</v>
      </c>
      <c r="H15" s="13" t="s">
        <v>58</v>
      </c>
      <c r="I15" s="89">
        <v>1</v>
      </c>
      <c r="J15" s="89">
        <v>1027.45</v>
      </c>
      <c r="K15" s="61"/>
    </row>
    <row r="16" spans="1:11" x14ac:dyDescent="0.3">
      <c r="A16" s="13" t="s">
        <v>65</v>
      </c>
      <c r="B16" s="13" t="s">
        <v>49</v>
      </c>
      <c r="C16" s="13" t="s">
        <v>597</v>
      </c>
      <c r="D16" s="13" t="s">
        <v>306</v>
      </c>
      <c r="E16" s="13" t="s">
        <v>304</v>
      </c>
      <c r="F16" s="13" t="s">
        <v>579</v>
      </c>
      <c r="G16" s="13" t="s">
        <v>582</v>
      </c>
      <c r="H16" s="13" t="s">
        <v>58</v>
      </c>
      <c r="I16" s="89">
        <v>1</v>
      </c>
      <c r="J16" s="89">
        <v>999.97</v>
      </c>
      <c r="K16" s="61"/>
    </row>
    <row r="17" spans="1:11" x14ac:dyDescent="0.3">
      <c r="A17" s="13" t="s">
        <v>65</v>
      </c>
      <c r="B17" s="13" t="s">
        <v>49</v>
      </c>
      <c r="C17" s="13" t="s">
        <v>599</v>
      </c>
      <c r="D17" s="13" t="s">
        <v>590</v>
      </c>
      <c r="E17" s="13" t="s">
        <v>587</v>
      </c>
      <c r="F17" s="13" t="s">
        <v>584</v>
      </c>
      <c r="G17" s="13" t="s">
        <v>588</v>
      </c>
      <c r="H17" s="13" t="s">
        <v>58</v>
      </c>
      <c r="I17" s="89">
        <v>1</v>
      </c>
      <c r="J17" s="89">
        <v>8000</v>
      </c>
      <c r="K17" s="61"/>
    </row>
    <row r="18" spans="1:11" x14ac:dyDescent="0.3">
      <c r="A18" s="13" t="s">
        <v>65</v>
      </c>
      <c r="B18" s="13" t="s">
        <v>49</v>
      </c>
      <c r="C18" s="13" t="s">
        <v>791</v>
      </c>
      <c r="D18" s="13" t="s">
        <v>73</v>
      </c>
      <c r="E18" s="13" t="s">
        <v>71</v>
      </c>
      <c r="F18" s="13" t="s">
        <v>651</v>
      </c>
      <c r="G18" s="13" t="s">
        <v>656</v>
      </c>
      <c r="H18" s="13" t="s">
        <v>58</v>
      </c>
      <c r="I18" s="89">
        <v>1</v>
      </c>
      <c r="J18" s="89">
        <v>2500</v>
      </c>
      <c r="K18" s="61"/>
    </row>
    <row r="19" spans="1:11" x14ac:dyDescent="0.3">
      <c r="A19" s="13" t="s">
        <v>65</v>
      </c>
      <c r="B19" s="13" t="s">
        <v>49</v>
      </c>
      <c r="C19" s="13" t="s">
        <v>793</v>
      </c>
      <c r="D19" s="13" t="s">
        <v>340</v>
      </c>
      <c r="E19" s="13" t="s">
        <v>338</v>
      </c>
      <c r="F19" s="13" t="s">
        <v>659</v>
      </c>
      <c r="G19" s="13" t="s">
        <v>663</v>
      </c>
      <c r="H19" s="13" t="s">
        <v>58</v>
      </c>
      <c r="I19" s="89">
        <v>1</v>
      </c>
      <c r="J19" s="89">
        <v>2991.08</v>
      </c>
      <c r="K19" s="61"/>
    </row>
    <row r="20" spans="1:11" x14ac:dyDescent="0.3">
      <c r="A20" s="13" t="s">
        <v>65</v>
      </c>
      <c r="B20" s="13" t="s">
        <v>49</v>
      </c>
      <c r="C20" s="13" t="s">
        <v>795</v>
      </c>
      <c r="D20" s="13" t="s">
        <v>367</v>
      </c>
      <c r="E20" s="13" t="s">
        <v>366</v>
      </c>
      <c r="F20" s="13" t="s">
        <v>664</v>
      </c>
      <c r="G20" s="13" t="s">
        <v>668</v>
      </c>
      <c r="H20" s="13" t="s">
        <v>58</v>
      </c>
      <c r="I20" s="89">
        <v>1</v>
      </c>
      <c r="J20" s="89">
        <v>2398.79</v>
      </c>
      <c r="K20" s="61"/>
    </row>
    <row r="21" spans="1:11" x14ac:dyDescent="0.3">
      <c r="A21" s="13" t="s">
        <v>65</v>
      </c>
      <c r="B21" s="13" t="s">
        <v>49</v>
      </c>
      <c r="C21" s="13" t="s">
        <v>797</v>
      </c>
      <c r="D21" s="13" t="s">
        <v>369</v>
      </c>
      <c r="E21" s="13" t="s">
        <v>368</v>
      </c>
      <c r="F21" s="13" t="s">
        <v>669</v>
      </c>
      <c r="G21" s="13" t="s">
        <v>673</v>
      </c>
      <c r="H21" s="13" t="s">
        <v>58</v>
      </c>
      <c r="I21" s="89">
        <v>1</v>
      </c>
      <c r="J21" s="89">
        <v>2019.13</v>
      </c>
      <c r="K21" s="61"/>
    </row>
    <row r="22" spans="1:11" x14ac:dyDescent="0.3">
      <c r="A22" s="13" t="s">
        <v>65</v>
      </c>
      <c r="B22" s="13" t="s">
        <v>49</v>
      </c>
      <c r="C22" s="13" t="s">
        <v>799</v>
      </c>
      <c r="D22" s="13" t="s">
        <v>356</v>
      </c>
      <c r="E22" s="13" t="s">
        <v>354</v>
      </c>
      <c r="F22" s="13" t="s">
        <v>674</v>
      </c>
      <c r="G22" s="13" t="s">
        <v>678</v>
      </c>
      <c r="H22" s="13" t="s">
        <v>58</v>
      </c>
      <c r="I22" s="89">
        <v>1</v>
      </c>
      <c r="J22" s="89">
        <v>998.79</v>
      </c>
      <c r="K22" s="61"/>
    </row>
    <row r="23" spans="1:11" x14ac:dyDescent="0.3">
      <c r="A23" s="13" t="s">
        <v>65</v>
      </c>
      <c r="B23" s="13" t="s">
        <v>49</v>
      </c>
      <c r="C23" s="13" t="s">
        <v>801</v>
      </c>
      <c r="D23" s="13" t="s">
        <v>303</v>
      </c>
      <c r="E23" s="13" t="s">
        <v>301</v>
      </c>
      <c r="F23" s="13" t="s">
        <v>679</v>
      </c>
      <c r="G23" s="13" t="s">
        <v>683</v>
      </c>
      <c r="H23" s="13" t="s">
        <v>58</v>
      </c>
      <c r="I23" s="89">
        <v>1</v>
      </c>
      <c r="J23" s="89">
        <v>993</v>
      </c>
      <c r="K23" s="61"/>
    </row>
    <row r="24" spans="1:11" x14ac:dyDescent="0.3">
      <c r="A24" s="13" t="s">
        <v>65</v>
      </c>
      <c r="B24" s="13" t="s">
        <v>49</v>
      </c>
      <c r="C24" s="13" t="s">
        <v>803</v>
      </c>
      <c r="D24" s="13" t="s">
        <v>578</v>
      </c>
      <c r="E24" s="13" t="s">
        <v>577</v>
      </c>
      <c r="F24" s="13" t="s">
        <v>684</v>
      </c>
      <c r="G24" s="13" t="s">
        <v>688</v>
      </c>
      <c r="H24" s="13" t="s">
        <v>58</v>
      </c>
      <c r="I24" s="89">
        <v>1</v>
      </c>
      <c r="J24" s="89">
        <v>2000</v>
      </c>
      <c r="K24" s="61"/>
    </row>
    <row r="25" spans="1:11" x14ac:dyDescent="0.3">
      <c r="A25" s="13" t="s">
        <v>65</v>
      </c>
      <c r="B25" s="13" t="s">
        <v>49</v>
      </c>
      <c r="C25" s="13" t="s">
        <v>805</v>
      </c>
      <c r="D25" s="13" t="s">
        <v>576</v>
      </c>
      <c r="E25" s="13" t="s">
        <v>574</v>
      </c>
      <c r="F25" s="13" t="s">
        <v>689</v>
      </c>
      <c r="G25" s="13" t="s">
        <v>693</v>
      </c>
      <c r="H25" s="13" t="s">
        <v>58</v>
      </c>
      <c r="I25" s="89">
        <v>1</v>
      </c>
      <c r="J25" s="89">
        <v>3000</v>
      </c>
      <c r="K25" s="61"/>
    </row>
    <row r="26" spans="1:11" x14ac:dyDescent="0.3">
      <c r="A26" s="13" t="s">
        <v>65</v>
      </c>
      <c r="B26" s="13" t="s">
        <v>49</v>
      </c>
      <c r="C26" s="13" t="s">
        <v>807</v>
      </c>
      <c r="D26" s="13" t="s">
        <v>300</v>
      </c>
      <c r="E26" s="13" t="s">
        <v>370</v>
      </c>
      <c r="F26" s="13" t="s">
        <v>694</v>
      </c>
      <c r="G26" s="13" t="s">
        <v>698</v>
      </c>
      <c r="H26" s="13" t="s">
        <v>58</v>
      </c>
      <c r="I26" s="89">
        <v>1</v>
      </c>
      <c r="J26" s="89">
        <v>6300</v>
      </c>
      <c r="K26" s="61"/>
    </row>
    <row r="27" spans="1:11" x14ac:dyDescent="0.3">
      <c r="A27" s="13" t="s">
        <v>65</v>
      </c>
      <c r="B27" s="13" t="s">
        <v>49</v>
      </c>
      <c r="C27" s="13" t="s">
        <v>809</v>
      </c>
      <c r="D27" s="13" t="s">
        <v>290</v>
      </c>
      <c r="E27" s="13" t="s">
        <v>704</v>
      </c>
      <c r="F27" s="13" t="s">
        <v>699</v>
      </c>
      <c r="G27" s="13" t="s">
        <v>705</v>
      </c>
      <c r="H27" s="13" t="s">
        <v>58</v>
      </c>
      <c r="I27" s="89">
        <v>1</v>
      </c>
      <c r="J27" s="89">
        <v>848.2</v>
      </c>
      <c r="K27" s="61"/>
    </row>
    <row r="28" spans="1:11" x14ac:dyDescent="0.3">
      <c r="A28" s="13" t="s">
        <v>65</v>
      </c>
      <c r="B28" s="13" t="s">
        <v>49</v>
      </c>
      <c r="C28" s="13" t="s">
        <v>811</v>
      </c>
      <c r="D28" s="13" t="s">
        <v>298</v>
      </c>
      <c r="E28" s="13" t="s">
        <v>296</v>
      </c>
      <c r="F28" s="13" t="s">
        <v>706</v>
      </c>
      <c r="G28" s="13" t="s">
        <v>710</v>
      </c>
      <c r="H28" s="13" t="s">
        <v>58</v>
      </c>
      <c r="I28" s="89">
        <v>1</v>
      </c>
      <c r="J28" s="89">
        <v>2771.71</v>
      </c>
      <c r="K28" s="61"/>
    </row>
    <row r="29" spans="1:11" x14ac:dyDescent="0.3">
      <c r="A29" s="13" t="s">
        <v>65</v>
      </c>
      <c r="B29" s="13" t="s">
        <v>49</v>
      </c>
      <c r="C29" s="13" t="s">
        <v>813</v>
      </c>
      <c r="D29" s="13" t="s">
        <v>353</v>
      </c>
      <c r="E29" s="13" t="s">
        <v>351</v>
      </c>
      <c r="F29" s="13" t="s">
        <v>711</v>
      </c>
      <c r="G29" s="13" t="s">
        <v>715</v>
      </c>
      <c r="H29" s="13" t="s">
        <v>58</v>
      </c>
      <c r="I29" s="89">
        <v>1</v>
      </c>
      <c r="J29" s="89">
        <v>5184.83</v>
      </c>
      <c r="K29" s="61"/>
    </row>
    <row r="30" spans="1:11" x14ac:dyDescent="0.3">
      <c r="A30" s="13" t="s">
        <v>65</v>
      </c>
      <c r="B30" s="13" t="s">
        <v>49</v>
      </c>
      <c r="C30" s="13" t="s">
        <v>815</v>
      </c>
      <c r="D30" s="13" t="s">
        <v>300</v>
      </c>
      <c r="E30" s="13" t="s">
        <v>370</v>
      </c>
      <c r="F30" s="13" t="s">
        <v>716</v>
      </c>
      <c r="G30" s="13" t="s">
        <v>720</v>
      </c>
      <c r="H30" s="13" t="s">
        <v>58</v>
      </c>
      <c r="I30" s="89">
        <v>1</v>
      </c>
      <c r="J30" s="89">
        <v>379.94</v>
      </c>
      <c r="K30" s="61"/>
    </row>
    <row r="31" spans="1:11" x14ac:dyDescent="0.3">
      <c r="A31" s="13" t="s">
        <v>65</v>
      </c>
      <c r="B31" s="13" t="s">
        <v>49</v>
      </c>
      <c r="C31" s="13" t="s">
        <v>817</v>
      </c>
      <c r="D31" s="13" t="s">
        <v>303</v>
      </c>
      <c r="E31" s="13" t="s">
        <v>301</v>
      </c>
      <c r="F31" s="13" t="s">
        <v>721</v>
      </c>
      <c r="G31" s="13" t="s">
        <v>725</v>
      </c>
      <c r="H31" s="13" t="s">
        <v>58</v>
      </c>
      <c r="I31" s="89">
        <v>1</v>
      </c>
      <c r="J31" s="89">
        <v>180.05</v>
      </c>
      <c r="K31" s="61"/>
    </row>
    <row r="32" spans="1:11" x14ac:dyDescent="0.3">
      <c r="A32" s="13" t="s">
        <v>65</v>
      </c>
      <c r="B32" s="13" t="s">
        <v>49</v>
      </c>
      <c r="C32" s="13" t="s">
        <v>1015</v>
      </c>
      <c r="D32" s="13" t="s">
        <v>769</v>
      </c>
      <c r="E32" s="13" t="s">
        <v>766</v>
      </c>
      <c r="F32" s="13" t="s">
        <v>761</v>
      </c>
      <c r="G32" s="13" t="s">
        <v>767</v>
      </c>
      <c r="H32" s="13" t="s">
        <v>58</v>
      </c>
      <c r="I32" s="89">
        <v>1</v>
      </c>
      <c r="J32" s="89">
        <v>265.76</v>
      </c>
      <c r="K32" s="61"/>
    </row>
    <row r="33" spans="1:11" x14ac:dyDescent="0.3">
      <c r="A33" s="13" t="s">
        <v>84</v>
      </c>
      <c r="B33" s="13" t="s">
        <v>49</v>
      </c>
      <c r="C33" s="13" t="s">
        <v>823</v>
      </c>
      <c r="D33" s="13" t="s">
        <v>756</v>
      </c>
      <c r="E33" s="13" t="s">
        <v>753</v>
      </c>
      <c r="F33" s="13" t="s">
        <v>748</v>
      </c>
      <c r="G33" s="13" t="s">
        <v>754</v>
      </c>
      <c r="H33" s="13" t="s">
        <v>85</v>
      </c>
      <c r="I33" s="89">
        <v>3766.3</v>
      </c>
      <c r="J33" s="89">
        <v>7953137.5</v>
      </c>
      <c r="K33" s="61"/>
    </row>
    <row r="34" spans="1:11" x14ac:dyDescent="0.3">
      <c r="A34" s="13" t="s">
        <v>364</v>
      </c>
      <c r="B34" s="13" t="s">
        <v>49</v>
      </c>
      <c r="C34" s="13" t="s">
        <v>819</v>
      </c>
      <c r="D34" s="13" t="s">
        <v>260</v>
      </c>
      <c r="E34" s="13" t="s">
        <v>259</v>
      </c>
      <c r="F34" s="13" t="s">
        <v>726</v>
      </c>
      <c r="G34" s="13" t="s">
        <v>728</v>
      </c>
      <c r="H34" s="13" t="s">
        <v>58</v>
      </c>
      <c r="I34" s="89">
        <v>1</v>
      </c>
      <c r="J34" s="89">
        <v>1497.88</v>
      </c>
      <c r="K34" s="61"/>
    </row>
    <row r="35" spans="1:11" x14ac:dyDescent="0.3">
      <c r="A35"/>
      <c r="B35"/>
      <c r="C35"/>
      <c r="D35"/>
      <c r="E35"/>
      <c r="F35"/>
      <c r="G35"/>
      <c r="H35"/>
      <c r="I35"/>
      <c r="J35"/>
      <c r="K35" s="61"/>
    </row>
    <row r="36" spans="1:11" x14ac:dyDescent="0.3">
      <c r="A36"/>
      <c r="B36"/>
      <c r="C36"/>
      <c r="D36"/>
      <c r="E36"/>
      <c r="F36"/>
      <c r="G36"/>
      <c r="H36"/>
      <c r="I36"/>
      <c r="J36"/>
      <c r="K36" s="61"/>
    </row>
    <row r="37" spans="1:11" x14ac:dyDescent="0.3">
      <c r="A37"/>
      <c r="B37"/>
      <c r="C37"/>
      <c r="D37"/>
      <c r="E37"/>
      <c r="F37"/>
      <c r="G37"/>
      <c r="H37"/>
      <c r="I37"/>
      <c r="J37"/>
      <c r="K37" s="61"/>
    </row>
    <row r="38" spans="1:11" x14ac:dyDescent="0.3">
      <c r="A38"/>
      <c r="B38"/>
      <c r="C38"/>
      <c r="D38"/>
      <c r="E38"/>
      <c r="F38"/>
      <c r="G38"/>
      <c r="H38"/>
      <c r="I38"/>
      <c r="J38"/>
      <c r="K38" s="61"/>
    </row>
    <row r="39" spans="1:11" x14ac:dyDescent="0.3">
      <c r="A39"/>
      <c r="B39"/>
      <c r="C39"/>
      <c r="D39"/>
      <c r="E39"/>
      <c r="F39"/>
      <c r="G39"/>
      <c r="H39"/>
      <c r="I39"/>
      <c r="J39"/>
      <c r="K39" s="61"/>
    </row>
    <row r="40" spans="1:11" x14ac:dyDescent="0.3">
      <c r="A40"/>
      <c r="B40"/>
      <c r="C40"/>
      <c r="D40"/>
      <c r="E40"/>
      <c r="F40"/>
      <c r="G40"/>
      <c r="H40"/>
      <c r="I40"/>
      <c r="J40"/>
      <c r="K40" s="61"/>
    </row>
    <row r="41" spans="1:11" x14ac:dyDescent="0.3">
      <c r="A41"/>
      <c r="B41"/>
      <c r="C41"/>
      <c r="D41"/>
      <c r="E41"/>
      <c r="F41"/>
      <c r="G41"/>
      <c r="H41"/>
      <c r="I41"/>
      <c r="J41"/>
      <c r="K41" s="61"/>
    </row>
    <row r="42" spans="1:11" x14ac:dyDescent="0.3">
      <c r="A42"/>
      <c r="B42"/>
      <c r="C42"/>
      <c r="D42"/>
      <c r="E42"/>
      <c r="F42"/>
      <c r="G42"/>
      <c r="H42"/>
      <c r="I42"/>
      <c r="J42"/>
      <c r="K42" s="61"/>
    </row>
    <row r="43" spans="1:11" x14ac:dyDescent="0.3">
      <c r="A43"/>
      <c r="B43"/>
      <c r="C43"/>
      <c r="D43"/>
      <c r="E43"/>
      <c r="F43"/>
      <c r="G43"/>
      <c r="H43"/>
      <c r="I43"/>
      <c r="J43"/>
      <c r="K43" s="61"/>
    </row>
    <row r="44" spans="1:11" x14ac:dyDescent="0.3">
      <c r="A44"/>
      <c r="B44"/>
      <c r="C44"/>
      <c r="D44"/>
      <c r="E44"/>
      <c r="F44"/>
      <c r="G44"/>
      <c r="H44"/>
      <c r="I44"/>
      <c r="J44"/>
      <c r="K44" s="61"/>
    </row>
    <row r="45" spans="1:11" x14ac:dyDescent="0.3">
      <c r="A45"/>
      <c r="B45"/>
      <c r="C45"/>
      <c r="D45"/>
      <c r="E45"/>
      <c r="F45"/>
      <c r="G45"/>
      <c r="H45"/>
      <c r="I45"/>
      <c r="J45"/>
      <c r="K45" s="61"/>
    </row>
    <row r="46" spans="1:11" x14ac:dyDescent="0.3">
      <c r="A46"/>
      <c r="B46"/>
      <c r="C46"/>
      <c r="D46"/>
      <c r="E46"/>
      <c r="F46"/>
      <c r="G46"/>
      <c r="H46"/>
      <c r="I46"/>
      <c r="J46"/>
      <c r="K46" s="61"/>
    </row>
    <row r="47" spans="1:11" x14ac:dyDescent="0.3">
      <c r="A47"/>
      <c r="B47"/>
      <c r="C47"/>
      <c r="D47"/>
      <c r="E47"/>
      <c r="F47"/>
      <c r="G47"/>
      <c r="H47"/>
      <c r="I47"/>
      <c r="J47"/>
      <c r="K47" s="61"/>
    </row>
    <row r="48" spans="1:11" x14ac:dyDescent="0.3">
      <c r="A48"/>
      <c r="B48"/>
      <c r="C48"/>
      <c r="D48"/>
      <c r="E48"/>
      <c r="F48"/>
      <c r="G48"/>
      <c r="H48"/>
      <c r="I48"/>
      <c r="J48"/>
      <c r="K48" s="61"/>
    </row>
    <row r="49" spans="1:11" x14ac:dyDescent="0.3">
      <c r="A49"/>
      <c r="B49"/>
      <c r="C49"/>
      <c r="D49"/>
      <c r="E49"/>
      <c r="F49"/>
      <c r="G49"/>
      <c r="H49"/>
      <c r="I49"/>
      <c r="J49"/>
      <c r="K49" s="61"/>
    </row>
    <row r="50" spans="1:11" x14ac:dyDescent="0.3">
      <c r="A50"/>
      <c r="B50"/>
      <c r="C50"/>
      <c r="D50"/>
      <c r="E50"/>
      <c r="F50"/>
      <c r="G50"/>
      <c r="H50"/>
      <c r="I50"/>
      <c r="J50"/>
      <c r="K50" s="61"/>
    </row>
    <row r="51" spans="1:11" x14ac:dyDescent="0.3">
      <c r="A51"/>
      <c r="B51"/>
      <c r="C51"/>
      <c r="D51"/>
      <c r="E51"/>
      <c r="F51"/>
      <c r="G51"/>
      <c r="H51"/>
      <c r="I51"/>
      <c r="J51"/>
      <c r="K51" s="61"/>
    </row>
    <row r="52" spans="1:11" x14ac:dyDescent="0.3">
      <c r="A52"/>
      <c r="B52"/>
      <c r="C52"/>
      <c r="D52"/>
      <c r="E52"/>
      <c r="F52"/>
      <c r="G52"/>
      <c r="H52"/>
      <c r="I52"/>
      <c r="J52"/>
      <c r="K52" s="61"/>
    </row>
    <row r="53" spans="1:11" x14ac:dyDescent="0.3">
      <c r="A53"/>
      <c r="B53"/>
      <c r="C53"/>
      <c r="D53"/>
      <c r="E53"/>
      <c r="F53"/>
      <c r="G53"/>
      <c r="H53"/>
      <c r="I53"/>
      <c r="J53"/>
      <c r="K53" s="61"/>
    </row>
    <row r="54" spans="1:11" x14ac:dyDescent="0.3">
      <c r="A54"/>
      <c r="B54"/>
      <c r="C54"/>
      <c r="D54"/>
      <c r="E54"/>
      <c r="F54"/>
      <c r="G54"/>
      <c r="H54"/>
      <c r="I54"/>
      <c r="J54"/>
      <c r="K54" s="61"/>
    </row>
    <row r="55" spans="1:11" x14ac:dyDescent="0.3">
      <c r="A55"/>
      <c r="B55"/>
      <c r="C55"/>
      <c r="D55"/>
      <c r="E55"/>
      <c r="F55"/>
      <c r="G55"/>
      <c r="H55"/>
      <c r="I55"/>
      <c r="J55"/>
      <c r="K55" s="61"/>
    </row>
    <row r="56" spans="1:11" x14ac:dyDescent="0.3">
      <c r="A56"/>
      <c r="B56"/>
      <c r="C56"/>
      <c r="D56"/>
      <c r="E56"/>
      <c r="F56"/>
      <c r="G56"/>
      <c r="H56"/>
      <c r="I56"/>
      <c r="J56"/>
      <c r="K56" s="61"/>
    </row>
    <row r="57" spans="1:11" x14ac:dyDescent="0.3">
      <c r="A57"/>
      <c r="B57"/>
      <c r="C57"/>
      <c r="D57"/>
      <c r="E57"/>
      <c r="F57"/>
      <c r="G57"/>
      <c r="H57"/>
      <c r="I57"/>
      <c r="J57"/>
      <c r="K57" s="61"/>
    </row>
    <row r="58" spans="1:11" x14ac:dyDescent="0.3">
      <c r="A58"/>
      <c r="B58"/>
      <c r="C58"/>
      <c r="D58"/>
      <c r="E58"/>
      <c r="F58"/>
      <c r="G58"/>
      <c r="H58"/>
      <c r="I58"/>
      <c r="J58"/>
      <c r="K58" s="61"/>
    </row>
    <row r="59" spans="1:11" x14ac:dyDescent="0.3">
      <c r="A59"/>
      <c r="B59"/>
      <c r="C59"/>
      <c r="D59"/>
      <c r="E59"/>
      <c r="F59"/>
      <c r="G59"/>
      <c r="H59"/>
      <c r="I59"/>
      <c r="J59"/>
      <c r="K59" s="61"/>
    </row>
    <row r="60" spans="1:11" x14ac:dyDescent="0.3">
      <c r="A60"/>
      <c r="B60"/>
      <c r="C60"/>
      <c r="D60"/>
      <c r="E60"/>
      <c r="F60"/>
      <c r="G60"/>
      <c r="H60"/>
      <c r="I60"/>
      <c r="J60"/>
      <c r="K60" s="61"/>
    </row>
    <row r="61" spans="1:11" x14ac:dyDescent="0.3">
      <c r="A61"/>
      <c r="B61"/>
      <c r="C61"/>
      <c r="D61"/>
      <c r="E61"/>
      <c r="F61"/>
      <c r="G61"/>
      <c r="H61"/>
      <c r="I61"/>
      <c r="J61"/>
      <c r="K61" s="61"/>
    </row>
    <row r="62" spans="1:11" x14ac:dyDescent="0.3">
      <c r="A62"/>
      <c r="B62"/>
      <c r="C62"/>
      <c r="D62"/>
      <c r="E62"/>
      <c r="F62"/>
      <c r="G62"/>
      <c r="H62"/>
      <c r="I62"/>
      <c r="J62"/>
      <c r="K62" s="61"/>
    </row>
    <row r="63" spans="1:11" x14ac:dyDescent="0.3">
      <c r="A63"/>
      <c r="B63"/>
      <c r="C63"/>
      <c r="D63"/>
      <c r="E63"/>
      <c r="F63"/>
      <c r="G63"/>
      <c r="H63"/>
      <c r="I63"/>
      <c r="J63"/>
      <c r="K63" s="61"/>
    </row>
    <row r="64" spans="1:11" x14ac:dyDescent="0.3">
      <c r="A64"/>
      <c r="B64"/>
      <c r="C64"/>
      <c r="D64"/>
      <c r="E64"/>
      <c r="F64"/>
      <c r="G64"/>
      <c r="H64"/>
      <c r="I64"/>
      <c r="J64"/>
      <c r="K64" s="61"/>
    </row>
    <row r="65" spans="1:11" x14ac:dyDescent="0.3">
      <c r="A65"/>
      <c r="B65"/>
      <c r="C65"/>
      <c r="D65"/>
      <c r="E65"/>
      <c r="F65"/>
      <c r="G65"/>
      <c r="H65"/>
      <c r="I65"/>
      <c r="J65"/>
      <c r="K65" s="61"/>
    </row>
    <row r="66" spans="1:11" x14ac:dyDescent="0.3">
      <c r="A66"/>
      <c r="B66"/>
      <c r="C66"/>
      <c r="D66"/>
      <c r="E66"/>
      <c r="F66"/>
      <c r="G66"/>
      <c r="H66"/>
      <c r="I66"/>
      <c r="J66"/>
      <c r="K66" s="61"/>
    </row>
    <row r="67" spans="1:11" x14ac:dyDescent="0.3">
      <c r="A67"/>
      <c r="B67"/>
      <c r="C67"/>
      <c r="D67"/>
      <c r="E67"/>
      <c r="F67"/>
      <c r="G67"/>
      <c r="H67"/>
      <c r="I67"/>
      <c r="J67"/>
      <c r="K67" s="61"/>
    </row>
    <row r="68" spans="1:11" x14ac:dyDescent="0.3">
      <c r="A68"/>
      <c r="B68"/>
      <c r="C68"/>
      <c r="D68"/>
      <c r="E68"/>
      <c r="F68"/>
      <c r="G68"/>
      <c r="H68"/>
      <c r="I68"/>
      <c r="J68"/>
      <c r="K68" s="61"/>
    </row>
    <row r="69" spans="1:11" x14ac:dyDescent="0.3">
      <c r="A69"/>
      <c r="B69"/>
      <c r="C69"/>
      <c r="D69"/>
      <c r="E69"/>
      <c r="F69"/>
      <c r="G69"/>
      <c r="H69"/>
      <c r="I69"/>
      <c r="J69"/>
      <c r="K69" s="61"/>
    </row>
    <row r="70" spans="1:11" x14ac:dyDescent="0.3">
      <c r="A70"/>
      <c r="B70"/>
      <c r="C70"/>
      <c r="D70"/>
      <c r="E70"/>
      <c r="F70"/>
      <c r="G70"/>
      <c r="H70"/>
      <c r="I70"/>
      <c r="J70"/>
      <c r="K70" s="61"/>
    </row>
    <row r="71" spans="1:11" x14ac:dyDescent="0.3">
      <c r="A71"/>
      <c r="B71"/>
      <c r="C71"/>
      <c r="D71"/>
      <c r="E71"/>
      <c r="F71"/>
      <c r="G71"/>
      <c r="H71"/>
      <c r="I71"/>
      <c r="J71"/>
      <c r="K71" s="61"/>
    </row>
    <row r="72" spans="1:11" x14ac:dyDescent="0.3">
      <c r="A72"/>
      <c r="B72"/>
      <c r="C72"/>
      <c r="D72"/>
      <c r="E72"/>
      <c r="F72"/>
      <c r="G72"/>
      <c r="H72"/>
      <c r="I72"/>
      <c r="J72"/>
      <c r="K72" s="61"/>
    </row>
    <row r="73" spans="1:11" x14ac:dyDescent="0.3">
      <c r="A73"/>
      <c r="B73"/>
      <c r="C73"/>
      <c r="D73"/>
      <c r="E73"/>
      <c r="F73"/>
      <c r="G73"/>
      <c r="H73"/>
      <c r="I73"/>
      <c r="J73"/>
      <c r="K73" s="61"/>
    </row>
    <row r="74" spans="1:11" x14ac:dyDescent="0.3">
      <c r="A74"/>
      <c r="B74"/>
      <c r="C74"/>
      <c r="D74"/>
      <c r="E74"/>
      <c r="F74"/>
      <c r="G74"/>
      <c r="H74"/>
      <c r="I74"/>
      <c r="J74"/>
      <c r="K74" s="61"/>
    </row>
    <row r="75" spans="1:11" x14ac:dyDescent="0.3">
      <c r="A75"/>
      <c r="B75"/>
      <c r="C75"/>
      <c r="D75"/>
      <c r="E75"/>
      <c r="F75"/>
      <c r="G75"/>
      <c r="H75"/>
      <c r="I75"/>
      <c r="J75"/>
      <c r="K75" s="61"/>
    </row>
    <row r="76" spans="1:11" x14ac:dyDescent="0.3">
      <c r="A76"/>
      <c r="B76"/>
      <c r="C76"/>
      <c r="D76"/>
      <c r="E76"/>
      <c r="F76"/>
      <c r="G76"/>
      <c r="H76"/>
      <c r="I76"/>
      <c r="J76"/>
      <c r="K76" s="61"/>
    </row>
    <row r="77" spans="1:11" x14ac:dyDescent="0.3">
      <c r="A77"/>
      <c r="B77"/>
      <c r="C77"/>
      <c r="D77"/>
      <c r="E77"/>
      <c r="F77"/>
      <c r="G77"/>
      <c r="H77"/>
      <c r="I77"/>
      <c r="J77"/>
      <c r="K77" s="61"/>
    </row>
    <row r="78" spans="1:11" x14ac:dyDescent="0.3">
      <c r="A78"/>
      <c r="B78"/>
      <c r="C78"/>
      <c r="D78"/>
      <c r="E78"/>
      <c r="F78"/>
      <c r="G78"/>
      <c r="H78"/>
      <c r="I78"/>
      <c r="J78"/>
      <c r="K78" s="61"/>
    </row>
    <row r="79" spans="1:11" x14ac:dyDescent="0.3">
      <c r="A79"/>
      <c r="B79"/>
      <c r="C79"/>
      <c r="D79"/>
      <c r="E79"/>
      <c r="F79"/>
      <c r="G79"/>
      <c r="H79"/>
      <c r="I79"/>
      <c r="J79"/>
      <c r="K79" s="61"/>
    </row>
    <row r="80" spans="1:11" x14ac:dyDescent="0.3">
      <c r="A80"/>
      <c r="B80"/>
      <c r="C80"/>
      <c r="D80"/>
      <c r="E80"/>
      <c r="F80"/>
      <c r="G80"/>
      <c r="H80"/>
      <c r="I80"/>
      <c r="J80"/>
      <c r="K80" s="61"/>
    </row>
    <row r="81" spans="1:11" x14ac:dyDescent="0.3">
      <c r="A81"/>
      <c r="B81"/>
      <c r="C81"/>
      <c r="D81"/>
      <c r="E81"/>
      <c r="F81"/>
      <c r="G81"/>
      <c r="H81"/>
      <c r="I81"/>
      <c r="J81"/>
      <c r="K81" s="61"/>
    </row>
    <row r="82" spans="1:11" x14ac:dyDescent="0.3">
      <c r="A82"/>
      <c r="B82"/>
      <c r="C82"/>
      <c r="D82"/>
      <c r="E82"/>
      <c r="F82"/>
      <c r="G82"/>
      <c r="H82"/>
      <c r="I82"/>
      <c r="J82"/>
      <c r="K82" s="61"/>
    </row>
    <row r="83" spans="1:11" x14ac:dyDescent="0.3">
      <c r="A83"/>
      <c r="B83"/>
      <c r="C83"/>
      <c r="D83"/>
      <c r="E83"/>
      <c r="F83"/>
      <c r="G83"/>
      <c r="H83"/>
      <c r="I83"/>
      <c r="J83"/>
      <c r="K83" s="61"/>
    </row>
    <row r="84" spans="1:11" x14ac:dyDescent="0.3">
      <c r="A84"/>
      <c r="B84"/>
      <c r="C84"/>
      <c r="D84"/>
      <c r="E84"/>
      <c r="F84"/>
      <c r="G84"/>
      <c r="H84"/>
      <c r="I84"/>
      <c r="J84"/>
      <c r="K84" s="61"/>
    </row>
    <row r="85" spans="1:11" x14ac:dyDescent="0.3">
      <c r="A85"/>
      <c r="B85"/>
      <c r="C85"/>
      <c r="D85"/>
      <c r="E85"/>
      <c r="F85"/>
      <c r="G85"/>
      <c r="H85"/>
      <c r="I85"/>
      <c r="J85"/>
      <c r="K85" s="61"/>
    </row>
    <row r="86" spans="1:11" x14ac:dyDescent="0.3">
      <c r="A86"/>
      <c r="B86"/>
      <c r="C86"/>
      <c r="D86"/>
      <c r="E86"/>
      <c r="F86"/>
      <c r="G86"/>
      <c r="H86"/>
      <c r="I86"/>
      <c r="J86"/>
      <c r="K86" s="61"/>
    </row>
    <row r="87" spans="1:11" x14ac:dyDescent="0.3">
      <c r="A87"/>
      <c r="B87"/>
      <c r="C87"/>
      <c r="D87"/>
      <c r="E87"/>
      <c r="F87"/>
      <c r="G87"/>
      <c r="H87"/>
      <c r="I87"/>
      <c r="J87"/>
      <c r="K87" s="61"/>
    </row>
    <row r="88" spans="1:11" x14ac:dyDescent="0.3">
      <c r="A88"/>
      <c r="B88"/>
      <c r="C88"/>
      <c r="D88"/>
      <c r="E88"/>
      <c r="F88"/>
      <c r="G88"/>
      <c r="H88"/>
      <c r="I88"/>
      <c r="J88"/>
      <c r="K88" s="61"/>
    </row>
    <row r="89" spans="1:11" x14ac:dyDescent="0.3">
      <c r="A89"/>
      <c r="B89"/>
      <c r="C89"/>
      <c r="D89"/>
      <c r="E89"/>
      <c r="F89"/>
      <c r="G89"/>
      <c r="H89"/>
      <c r="I89"/>
      <c r="J89"/>
      <c r="K89" s="61"/>
    </row>
    <row r="90" spans="1:11" x14ac:dyDescent="0.3">
      <c r="A90"/>
      <c r="B90"/>
      <c r="C90"/>
      <c r="D90"/>
      <c r="E90"/>
      <c r="F90"/>
      <c r="G90"/>
      <c r="H90"/>
      <c r="I90"/>
      <c r="J90"/>
      <c r="K90" s="61"/>
    </row>
    <row r="91" spans="1:11" x14ac:dyDescent="0.3">
      <c r="A91"/>
      <c r="B91"/>
      <c r="C91"/>
      <c r="D91"/>
      <c r="E91"/>
      <c r="F91"/>
      <c r="G91"/>
      <c r="H91"/>
      <c r="I91"/>
      <c r="J91"/>
      <c r="K91" s="61"/>
    </row>
    <row r="92" spans="1:11" x14ac:dyDescent="0.3">
      <c r="A92"/>
      <c r="B92"/>
      <c r="C92"/>
      <c r="D92"/>
      <c r="E92"/>
      <c r="F92"/>
      <c r="G92"/>
      <c r="H92"/>
      <c r="I92"/>
      <c r="J92"/>
      <c r="K92" s="61"/>
    </row>
    <row r="93" spans="1:11" x14ac:dyDescent="0.3">
      <c r="A93"/>
      <c r="B93"/>
      <c r="C93"/>
      <c r="D93"/>
      <c r="E93"/>
      <c r="F93"/>
      <c r="G93"/>
      <c r="H93"/>
      <c r="I93"/>
      <c r="J93"/>
      <c r="K93" s="61"/>
    </row>
    <row r="94" spans="1:11" x14ac:dyDescent="0.3">
      <c r="A94"/>
      <c r="B94"/>
      <c r="C94"/>
      <c r="D94"/>
      <c r="E94"/>
      <c r="F94"/>
      <c r="G94"/>
      <c r="H94"/>
      <c r="I94"/>
      <c r="J94"/>
      <c r="K94" s="61"/>
    </row>
    <row r="95" spans="1:11" x14ac:dyDescent="0.3">
      <c r="A95"/>
      <c r="B95"/>
      <c r="C95"/>
      <c r="D95"/>
      <c r="E95"/>
      <c r="F95"/>
      <c r="G95"/>
      <c r="H95"/>
      <c r="I95"/>
      <c r="J95"/>
      <c r="K95" s="61"/>
    </row>
    <row r="96" spans="1:11" x14ac:dyDescent="0.3">
      <c r="A96"/>
      <c r="B96"/>
      <c r="C96"/>
      <c r="D96"/>
      <c r="E96"/>
      <c r="F96"/>
      <c r="G96"/>
      <c r="H96"/>
      <c r="I96"/>
      <c r="J96"/>
      <c r="K96" s="61"/>
    </row>
    <row r="97" spans="1:11" x14ac:dyDescent="0.3">
      <c r="A97"/>
      <c r="B97"/>
      <c r="C97"/>
      <c r="D97"/>
      <c r="E97"/>
      <c r="F97"/>
      <c r="G97"/>
      <c r="H97"/>
      <c r="I97"/>
      <c r="J97"/>
      <c r="K97" s="61"/>
    </row>
    <row r="98" spans="1:11" x14ac:dyDescent="0.3">
      <c r="A98"/>
      <c r="B98"/>
      <c r="C98"/>
      <c r="D98"/>
      <c r="E98"/>
      <c r="F98"/>
      <c r="G98"/>
      <c r="H98"/>
      <c r="I98"/>
      <c r="J98"/>
      <c r="K98" s="61"/>
    </row>
    <row r="99" spans="1:11" x14ac:dyDescent="0.3">
      <c r="A99"/>
      <c r="B99"/>
      <c r="C99"/>
      <c r="D99"/>
      <c r="E99"/>
      <c r="F99"/>
      <c r="G99"/>
      <c r="H99"/>
      <c r="I99"/>
      <c r="J99"/>
      <c r="K99" s="61"/>
    </row>
    <row r="100" spans="1:11" x14ac:dyDescent="0.3">
      <c r="A100"/>
      <c r="B100"/>
      <c r="C100"/>
      <c r="D100"/>
      <c r="E100"/>
      <c r="F100"/>
      <c r="G100"/>
      <c r="H100"/>
      <c r="I100"/>
      <c r="J100"/>
      <c r="K100" s="61"/>
    </row>
    <row r="101" spans="1:11" x14ac:dyDescent="0.3">
      <c r="A101"/>
      <c r="B101"/>
      <c r="C101"/>
      <c r="D101"/>
      <c r="E101"/>
      <c r="F101"/>
      <c r="G101"/>
      <c r="H101"/>
      <c r="I101"/>
      <c r="J101"/>
      <c r="K101" s="61"/>
    </row>
    <row r="102" spans="1:11" x14ac:dyDescent="0.3">
      <c r="A102"/>
      <c r="B102"/>
      <c r="C102"/>
      <c r="D102"/>
      <c r="E102"/>
      <c r="F102"/>
      <c r="G102"/>
      <c r="H102"/>
      <c r="I102"/>
      <c r="J102"/>
      <c r="K102" s="61"/>
    </row>
    <row r="103" spans="1:11" x14ac:dyDescent="0.3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61"/>
    </row>
    <row r="104" spans="1:11" x14ac:dyDescent="0.3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61"/>
    </row>
    <row r="105" spans="1:11" x14ac:dyDescent="0.3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61"/>
    </row>
    <row r="106" spans="1:11" x14ac:dyDescent="0.3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61"/>
    </row>
    <row r="107" spans="1:11" x14ac:dyDescent="0.3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61"/>
    </row>
    <row r="108" spans="1:11" x14ac:dyDescent="0.3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61"/>
    </row>
    <row r="109" spans="1:11" x14ac:dyDescent="0.3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61"/>
    </row>
    <row r="110" spans="1:11" x14ac:dyDescent="0.3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61"/>
    </row>
    <row r="111" spans="1:11" x14ac:dyDescent="0.3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61"/>
    </row>
    <row r="112" spans="1:11" x14ac:dyDescent="0.3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61"/>
    </row>
    <row r="113" spans="1:11" x14ac:dyDescent="0.3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61"/>
    </row>
    <row r="114" spans="1:11" x14ac:dyDescent="0.3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61"/>
    </row>
    <row r="115" spans="1:11" x14ac:dyDescent="0.3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61"/>
    </row>
    <row r="116" spans="1:11" x14ac:dyDescent="0.3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61"/>
    </row>
    <row r="117" spans="1:11" x14ac:dyDescent="0.3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61"/>
    </row>
    <row r="118" spans="1:11" x14ac:dyDescent="0.3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61"/>
    </row>
    <row r="119" spans="1:11" x14ac:dyDescent="0.3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61"/>
    </row>
    <row r="120" spans="1:11" x14ac:dyDescent="0.3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61"/>
    </row>
    <row r="121" spans="1:11" x14ac:dyDescent="0.3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61"/>
    </row>
    <row r="122" spans="1:11" x14ac:dyDescent="0.3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61"/>
    </row>
    <row r="123" spans="1:11" x14ac:dyDescent="0.3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61"/>
    </row>
    <row r="124" spans="1:11" x14ac:dyDescent="0.3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61"/>
    </row>
    <row r="125" spans="1:11" x14ac:dyDescent="0.3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61"/>
    </row>
    <row r="126" spans="1:11" x14ac:dyDescent="0.3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61"/>
    </row>
    <row r="127" spans="1:11" x14ac:dyDescent="0.3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61"/>
    </row>
    <row r="128" spans="1:11" x14ac:dyDescent="0.3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61"/>
    </row>
    <row r="129" spans="1:11" x14ac:dyDescent="0.3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61"/>
    </row>
    <row r="130" spans="1:11" x14ac:dyDescent="0.3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61"/>
    </row>
    <row r="131" spans="1:11" x14ac:dyDescent="0.3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61"/>
    </row>
    <row r="132" spans="1:11" x14ac:dyDescent="0.3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61"/>
    </row>
    <row r="133" spans="1:11" x14ac:dyDescent="0.3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61"/>
    </row>
    <row r="134" spans="1:11" x14ac:dyDescent="0.3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61"/>
    </row>
    <row r="135" spans="1:11" x14ac:dyDescent="0.3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61"/>
    </row>
    <row r="136" spans="1:11" x14ac:dyDescent="0.3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61"/>
    </row>
    <row r="137" spans="1:11" x14ac:dyDescent="0.3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61"/>
    </row>
    <row r="138" spans="1:11" x14ac:dyDescent="0.3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61"/>
    </row>
    <row r="139" spans="1:11" x14ac:dyDescent="0.3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61"/>
    </row>
    <row r="140" spans="1:11" x14ac:dyDescent="0.3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61"/>
    </row>
    <row r="141" spans="1:11" x14ac:dyDescent="0.3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61"/>
    </row>
    <row r="142" spans="1:11" x14ac:dyDescent="0.3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61"/>
    </row>
    <row r="143" spans="1:11" x14ac:dyDescent="0.3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61"/>
    </row>
    <row r="144" spans="1:11" x14ac:dyDescent="0.3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61"/>
    </row>
    <row r="145" spans="1:11" x14ac:dyDescent="0.3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61"/>
    </row>
    <row r="146" spans="1:11" x14ac:dyDescent="0.3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61"/>
    </row>
    <row r="147" spans="1:11" x14ac:dyDescent="0.3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61"/>
    </row>
    <row r="148" spans="1:11" x14ac:dyDescent="0.3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61"/>
    </row>
    <row r="149" spans="1:11" x14ac:dyDescent="0.3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61"/>
    </row>
    <row r="150" spans="1:11" x14ac:dyDescent="0.3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61"/>
    </row>
    <row r="151" spans="1:11" x14ac:dyDescent="0.3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61"/>
    </row>
    <row r="152" spans="1:11" x14ac:dyDescent="0.3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61"/>
    </row>
    <row r="153" spans="1:11" x14ac:dyDescent="0.3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61"/>
    </row>
    <row r="154" spans="1:11" x14ac:dyDescent="0.3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61"/>
    </row>
    <row r="155" spans="1:11" x14ac:dyDescent="0.3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61"/>
    </row>
    <row r="156" spans="1:11" x14ac:dyDescent="0.3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61"/>
    </row>
    <row r="157" spans="1:11" x14ac:dyDescent="0.3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61"/>
    </row>
    <row r="158" spans="1:11" x14ac:dyDescent="0.3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61"/>
    </row>
    <row r="159" spans="1:11" x14ac:dyDescent="0.3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61"/>
    </row>
    <row r="160" spans="1:11" x14ac:dyDescent="0.3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61"/>
    </row>
    <row r="161" spans="1:11" x14ac:dyDescent="0.3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61"/>
    </row>
    <row r="162" spans="1:11" x14ac:dyDescent="0.3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61"/>
    </row>
    <row r="163" spans="1:11" x14ac:dyDescent="0.3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61"/>
    </row>
    <row r="164" spans="1:11" x14ac:dyDescent="0.3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61"/>
    </row>
    <row r="165" spans="1:11" x14ac:dyDescent="0.3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61"/>
    </row>
    <row r="166" spans="1:11" x14ac:dyDescent="0.3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61"/>
    </row>
    <row r="167" spans="1:11" x14ac:dyDescent="0.3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61"/>
    </row>
    <row r="168" spans="1:11" x14ac:dyDescent="0.3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61"/>
    </row>
    <row r="169" spans="1:11" x14ac:dyDescent="0.3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61"/>
    </row>
    <row r="170" spans="1:11" x14ac:dyDescent="0.3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61"/>
    </row>
    <row r="171" spans="1:11" x14ac:dyDescent="0.3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61"/>
    </row>
    <row r="172" spans="1:11" x14ac:dyDescent="0.3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61"/>
    </row>
    <row r="173" spans="1:11" x14ac:dyDescent="0.3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61"/>
    </row>
    <row r="174" spans="1:11" x14ac:dyDescent="0.3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61"/>
    </row>
    <row r="175" spans="1:11" x14ac:dyDescent="0.3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61"/>
    </row>
    <row r="176" spans="1:11" x14ac:dyDescent="0.3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61"/>
    </row>
    <row r="177" spans="1:11" x14ac:dyDescent="0.3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61"/>
    </row>
    <row r="178" spans="1:11" x14ac:dyDescent="0.3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61"/>
    </row>
    <row r="179" spans="1:11" x14ac:dyDescent="0.3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61"/>
    </row>
    <row r="180" spans="1:11" x14ac:dyDescent="0.3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61"/>
    </row>
    <row r="181" spans="1:11" x14ac:dyDescent="0.3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61"/>
    </row>
    <row r="182" spans="1:11" x14ac:dyDescent="0.3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61"/>
    </row>
    <row r="183" spans="1:11" x14ac:dyDescent="0.3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61"/>
    </row>
    <row r="184" spans="1:11" x14ac:dyDescent="0.3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61"/>
    </row>
    <row r="185" spans="1:11" x14ac:dyDescent="0.3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61"/>
    </row>
    <row r="186" spans="1:11" x14ac:dyDescent="0.3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61"/>
    </row>
    <row r="187" spans="1:11" x14ac:dyDescent="0.3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61"/>
    </row>
    <row r="188" spans="1:11" x14ac:dyDescent="0.3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61"/>
    </row>
    <row r="189" spans="1:11" x14ac:dyDescent="0.3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61"/>
    </row>
    <row r="190" spans="1:11" x14ac:dyDescent="0.3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61"/>
    </row>
    <row r="191" spans="1:11" x14ac:dyDescent="0.3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61"/>
    </row>
    <row r="192" spans="1:11" x14ac:dyDescent="0.3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61"/>
    </row>
    <row r="193" spans="1:11" x14ac:dyDescent="0.3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61"/>
    </row>
    <row r="194" spans="1:11" x14ac:dyDescent="0.3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61"/>
    </row>
    <row r="195" spans="1:11" x14ac:dyDescent="0.3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61"/>
    </row>
    <row r="196" spans="1:11" x14ac:dyDescent="0.3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61"/>
    </row>
    <row r="197" spans="1:11" x14ac:dyDescent="0.3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61"/>
    </row>
    <row r="198" spans="1:11" x14ac:dyDescent="0.3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61"/>
    </row>
    <row r="199" spans="1:11" x14ac:dyDescent="0.3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61"/>
    </row>
    <row r="200" spans="1:11" x14ac:dyDescent="0.3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61"/>
    </row>
    <row r="201" spans="1:11" x14ac:dyDescent="0.3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61"/>
    </row>
    <row r="202" spans="1:11" x14ac:dyDescent="0.3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61"/>
    </row>
    <row r="203" spans="1:11" x14ac:dyDescent="0.3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61"/>
    </row>
    <row r="204" spans="1:11" x14ac:dyDescent="0.3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61"/>
    </row>
    <row r="205" spans="1:11" x14ac:dyDescent="0.3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61"/>
    </row>
    <row r="206" spans="1:11" x14ac:dyDescent="0.3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61"/>
    </row>
    <row r="207" spans="1:11" x14ac:dyDescent="0.3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61"/>
    </row>
    <row r="208" spans="1:11" x14ac:dyDescent="0.3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61"/>
    </row>
    <row r="209" spans="1:11" x14ac:dyDescent="0.3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61"/>
    </row>
    <row r="210" spans="1:11" x14ac:dyDescent="0.3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61"/>
    </row>
    <row r="211" spans="1:11" x14ac:dyDescent="0.3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61"/>
    </row>
    <row r="212" spans="1:11" x14ac:dyDescent="0.3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61"/>
    </row>
    <row r="213" spans="1:11" x14ac:dyDescent="0.3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61"/>
    </row>
    <row r="214" spans="1:11" x14ac:dyDescent="0.3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61"/>
    </row>
    <row r="215" spans="1:11" x14ac:dyDescent="0.3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61"/>
    </row>
    <row r="216" spans="1:11" x14ac:dyDescent="0.3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61"/>
    </row>
    <row r="217" spans="1:11" x14ac:dyDescent="0.3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61"/>
    </row>
    <row r="218" spans="1:11" x14ac:dyDescent="0.3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61"/>
    </row>
    <row r="219" spans="1:11" x14ac:dyDescent="0.3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61"/>
    </row>
    <row r="220" spans="1:11" x14ac:dyDescent="0.3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61"/>
    </row>
    <row r="221" spans="1:11" x14ac:dyDescent="0.3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61"/>
    </row>
    <row r="222" spans="1:11" x14ac:dyDescent="0.3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61"/>
    </row>
    <row r="223" spans="1:11" x14ac:dyDescent="0.3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61"/>
    </row>
    <row r="224" spans="1:11" x14ac:dyDescent="0.3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61"/>
    </row>
    <row r="225" spans="1:11" x14ac:dyDescent="0.3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61"/>
    </row>
    <row r="226" spans="1:11" x14ac:dyDescent="0.3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61"/>
    </row>
    <row r="227" spans="1:11" x14ac:dyDescent="0.3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61"/>
    </row>
    <row r="228" spans="1:11" x14ac:dyDescent="0.3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61"/>
    </row>
    <row r="229" spans="1:11" x14ac:dyDescent="0.3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61"/>
    </row>
    <row r="230" spans="1:11" x14ac:dyDescent="0.3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61"/>
    </row>
    <row r="231" spans="1:11" x14ac:dyDescent="0.3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61"/>
    </row>
    <row r="232" spans="1:11" x14ac:dyDescent="0.3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61"/>
    </row>
    <row r="233" spans="1:11" x14ac:dyDescent="0.3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61"/>
    </row>
    <row r="234" spans="1:11" x14ac:dyDescent="0.3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61"/>
    </row>
    <row r="235" spans="1:11" x14ac:dyDescent="0.3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61"/>
    </row>
    <row r="236" spans="1:11" x14ac:dyDescent="0.3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61"/>
    </row>
    <row r="237" spans="1:11" x14ac:dyDescent="0.3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61"/>
    </row>
    <row r="238" spans="1:11" x14ac:dyDescent="0.3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61"/>
    </row>
    <row r="239" spans="1:11" x14ac:dyDescent="0.3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61"/>
    </row>
    <row r="240" spans="1:11" x14ac:dyDescent="0.3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61"/>
    </row>
    <row r="241" spans="1:11" x14ac:dyDescent="0.3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61"/>
    </row>
    <row r="242" spans="1:11" x14ac:dyDescent="0.3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61"/>
    </row>
    <row r="243" spans="1:11" x14ac:dyDescent="0.3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61"/>
    </row>
    <row r="244" spans="1:11" x14ac:dyDescent="0.3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61"/>
    </row>
    <row r="245" spans="1:11" x14ac:dyDescent="0.3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61"/>
    </row>
    <row r="246" spans="1:11" x14ac:dyDescent="0.3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61"/>
    </row>
    <row r="247" spans="1:11" x14ac:dyDescent="0.3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61"/>
    </row>
    <row r="248" spans="1:11" x14ac:dyDescent="0.3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61"/>
    </row>
    <row r="249" spans="1:11" x14ac:dyDescent="0.3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61"/>
    </row>
    <row r="250" spans="1:11" x14ac:dyDescent="0.3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61"/>
    </row>
    <row r="251" spans="1:11" x14ac:dyDescent="0.3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61"/>
    </row>
    <row r="252" spans="1:11" x14ac:dyDescent="0.3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61"/>
    </row>
    <row r="253" spans="1:11" x14ac:dyDescent="0.3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61"/>
    </row>
    <row r="254" spans="1:11" x14ac:dyDescent="0.3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61"/>
    </row>
    <row r="255" spans="1:11" x14ac:dyDescent="0.3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61"/>
    </row>
    <row r="256" spans="1:11" x14ac:dyDescent="0.3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61"/>
    </row>
    <row r="257" spans="1:11" x14ac:dyDescent="0.3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61"/>
    </row>
    <row r="258" spans="1:11" x14ac:dyDescent="0.3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61"/>
    </row>
    <row r="259" spans="1:11" x14ac:dyDescent="0.3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61"/>
    </row>
    <row r="260" spans="1:11" x14ac:dyDescent="0.3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61"/>
    </row>
    <row r="261" spans="1:11" x14ac:dyDescent="0.3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61"/>
    </row>
    <row r="262" spans="1:11" x14ac:dyDescent="0.3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61"/>
    </row>
    <row r="263" spans="1:11" x14ac:dyDescent="0.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61"/>
    </row>
    <row r="264" spans="1:11" x14ac:dyDescent="0.3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61"/>
    </row>
    <row r="265" spans="1:11" x14ac:dyDescent="0.3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61"/>
    </row>
    <row r="266" spans="1:11" x14ac:dyDescent="0.3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61"/>
    </row>
    <row r="267" spans="1:11" x14ac:dyDescent="0.3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61"/>
    </row>
    <row r="268" spans="1:11" x14ac:dyDescent="0.3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61"/>
    </row>
    <row r="269" spans="1:11" x14ac:dyDescent="0.3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61"/>
    </row>
    <row r="270" spans="1:11" x14ac:dyDescent="0.3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61"/>
    </row>
    <row r="271" spans="1:11" x14ac:dyDescent="0.3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61"/>
    </row>
    <row r="272" spans="1:11" x14ac:dyDescent="0.3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61"/>
    </row>
    <row r="273" spans="1:11" x14ac:dyDescent="0.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61"/>
    </row>
    <row r="274" spans="1:11" x14ac:dyDescent="0.3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61"/>
    </row>
    <row r="275" spans="1:11" x14ac:dyDescent="0.3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61"/>
    </row>
    <row r="276" spans="1:11" x14ac:dyDescent="0.3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61"/>
    </row>
    <row r="277" spans="1:11" x14ac:dyDescent="0.3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61"/>
    </row>
    <row r="278" spans="1:11" x14ac:dyDescent="0.3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61"/>
    </row>
    <row r="279" spans="1:11" x14ac:dyDescent="0.3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61"/>
    </row>
    <row r="280" spans="1:11" x14ac:dyDescent="0.3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61"/>
    </row>
    <row r="281" spans="1:11" x14ac:dyDescent="0.3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61"/>
    </row>
    <row r="282" spans="1:11" x14ac:dyDescent="0.3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61"/>
    </row>
    <row r="283" spans="1:11" x14ac:dyDescent="0.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61"/>
    </row>
    <row r="284" spans="1:11" x14ac:dyDescent="0.3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61"/>
    </row>
    <row r="285" spans="1:11" x14ac:dyDescent="0.3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61"/>
    </row>
    <row r="286" spans="1:11" x14ac:dyDescent="0.3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61"/>
    </row>
    <row r="287" spans="1:11" x14ac:dyDescent="0.3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61"/>
    </row>
    <row r="288" spans="1:11" x14ac:dyDescent="0.3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61"/>
    </row>
    <row r="289" spans="1:11" x14ac:dyDescent="0.3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61"/>
    </row>
    <row r="290" spans="1:11" x14ac:dyDescent="0.3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61"/>
    </row>
    <row r="291" spans="1:11" x14ac:dyDescent="0.3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1"/>
    </row>
    <row r="292" spans="1:11" x14ac:dyDescent="0.3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1"/>
    </row>
    <row r="293" spans="1:11" x14ac:dyDescent="0.3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1"/>
    </row>
    <row r="294" spans="1:11" x14ac:dyDescent="0.3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1"/>
    </row>
    <row r="295" spans="1:11" x14ac:dyDescent="0.3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1"/>
    </row>
    <row r="296" spans="1:11" x14ac:dyDescent="0.3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1"/>
    </row>
    <row r="297" spans="1:11" x14ac:dyDescent="0.3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1"/>
    </row>
    <row r="298" spans="1:11" x14ac:dyDescent="0.3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1"/>
    </row>
    <row r="299" spans="1:11" x14ac:dyDescent="0.3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1"/>
    </row>
    <row r="300" spans="1:11" x14ac:dyDescent="0.3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1"/>
    </row>
    <row r="301" spans="1:11" x14ac:dyDescent="0.3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1"/>
    </row>
    <row r="302" spans="1:11" x14ac:dyDescent="0.3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1"/>
    </row>
    <row r="303" spans="1:11" x14ac:dyDescent="0.3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1"/>
    </row>
    <row r="304" spans="1:11" x14ac:dyDescent="0.3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1"/>
    </row>
    <row r="305" spans="1:11" x14ac:dyDescent="0.3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1"/>
    </row>
    <row r="306" spans="1:11" x14ac:dyDescent="0.3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1"/>
    </row>
    <row r="307" spans="1:11" x14ac:dyDescent="0.3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</row>
    <row r="308" spans="1:11" x14ac:dyDescent="0.3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</row>
    <row r="309" spans="1:11" x14ac:dyDescent="0.3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</row>
    <row r="310" spans="1:11" x14ac:dyDescent="0.3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</row>
    <row r="311" spans="1:11" x14ac:dyDescent="0.3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</row>
    <row r="312" spans="1:11" x14ac:dyDescent="0.3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</row>
    <row r="313" spans="1:11" x14ac:dyDescent="0.3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</row>
    <row r="314" spans="1:11" x14ac:dyDescent="0.3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</row>
    <row r="315" spans="1:11" x14ac:dyDescent="0.3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</row>
    <row r="316" spans="1:11" x14ac:dyDescent="0.3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</row>
    <row r="317" spans="1:11" x14ac:dyDescent="0.3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</row>
    <row r="318" spans="1:11" x14ac:dyDescent="0.3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</row>
    <row r="319" spans="1:11" x14ac:dyDescent="0.3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</row>
    <row r="320" spans="1:11" x14ac:dyDescent="0.3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</row>
    <row r="321" spans="1:11" x14ac:dyDescent="0.3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</row>
    <row r="322" spans="1:11" x14ac:dyDescent="0.3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</row>
    <row r="323" spans="1:11" x14ac:dyDescent="0.3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</row>
    <row r="324" spans="1:11" x14ac:dyDescent="0.3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</row>
    <row r="325" spans="1:11" x14ac:dyDescent="0.3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</row>
    <row r="326" spans="1:11" x14ac:dyDescent="0.3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</row>
    <row r="327" spans="1:11" x14ac:dyDescent="0.3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</row>
    <row r="328" spans="1:11" x14ac:dyDescent="0.3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</row>
    <row r="329" spans="1:11" x14ac:dyDescent="0.3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</row>
    <row r="330" spans="1:11" x14ac:dyDescent="0.3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</row>
    <row r="331" spans="1:11" x14ac:dyDescent="0.3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</row>
    <row r="332" spans="1:11" x14ac:dyDescent="0.3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</row>
    <row r="333" spans="1:11" x14ac:dyDescent="0.3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</row>
    <row r="334" spans="1:11" x14ac:dyDescent="0.3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</row>
    <row r="335" spans="1:11" x14ac:dyDescent="0.3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</row>
    <row r="336" spans="1:11" x14ac:dyDescent="0.3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</row>
    <row r="337" spans="1:11" x14ac:dyDescent="0.3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</row>
    <row r="338" spans="1:11" x14ac:dyDescent="0.3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</row>
    <row r="339" spans="1:11" x14ac:dyDescent="0.3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</row>
    <row r="340" spans="1:11" x14ac:dyDescent="0.3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</row>
    <row r="341" spans="1:11" x14ac:dyDescent="0.3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</row>
    <row r="342" spans="1:11" x14ac:dyDescent="0.3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</row>
    <row r="343" spans="1:11" x14ac:dyDescent="0.3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</row>
    <row r="344" spans="1:11" x14ac:dyDescent="0.3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</row>
    <row r="345" spans="1:11" x14ac:dyDescent="0.3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</row>
    <row r="346" spans="1:11" x14ac:dyDescent="0.3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</row>
    <row r="347" spans="1:11" x14ac:dyDescent="0.3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</row>
    <row r="348" spans="1:11" x14ac:dyDescent="0.3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</row>
    <row r="349" spans="1:11" x14ac:dyDescent="0.3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</row>
    <row r="350" spans="1:11" x14ac:dyDescent="0.3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</row>
    <row r="351" spans="1:11" x14ac:dyDescent="0.3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</row>
    <row r="352" spans="1:11" x14ac:dyDescent="0.3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</row>
    <row r="353" spans="1:11" x14ac:dyDescent="0.3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</row>
    <row r="354" spans="1:11" x14ac:dyDescent="0.3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</row>
    <row r="355" spans="1:11" x14ac:dyDescent="0.3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</row>
    <row r="356" spans="1:11" x14ac:dyDescent="0.3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</row>
    <row r="357" spans="1:11" x14ac:dyDescent="0.3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</row>
    <row r="358" spans="1:11" x14ac:dyDescent="0.3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</row>
    <row r="359" spans="1:11" x14ac:dyDescent="0.3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</row>
    <row r="360" spans="1:11" x14ac:dyDescent="0.3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</row>
    <row r="361" spans="1:11" x14ac:dyDescent="0.3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</row>
    <row r="362" spans="1:11" x14ac:dyDescent="0.3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</row>
    <row r="363" spans="1:11" x14ac:dyDescent="0.3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</row>
    <row r="364" spans="1:11" x14ac:dyDescent="0.3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</row>
    <row r="365" spans="1:11" x14ac:dyDescent="0.3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</row>
    <row r="366" spans="1:11" x14ac:dyDescent="0.3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</row>
    <row r="367" spans="1:11" x14ac:dyDescent="0.3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</row>
    <row r="368" spans="1:11" x14ac:dyDescent="0.3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</row>
    <row r="369" spans="1:11" x14ac:dyDescent="0.3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</row>
    <row r="370" spans="1:11" x14ac:dyDescent="0.3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</row>
    <row r="371" spans="1:11" x14ac:dyDescent="0.3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</row>
    <row r="372" spans="1:11" x14ac:dyDescent="0.3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</row>
    <row r="373" spans="1:11" x14ac:dyDescent="0.3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</row>
    <row r="374" spans="1:11" x14ac:dyDescent="0.3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</row>
    <row r="375" spans="1:11" x14ac:dyDescent="0.3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</row>
    <row r="376" spans="1:11" x14ac:dyDescent="0.3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</row>
    <row r="377" spans="1:11" x14ac:dyDescent="0.3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</row>
    <row r="378" spans="1:11" x14ac:dyDescent="0.3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</row>
    <row r="379" spans="1:11" x14ac:dyDescent="0.3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</row>
    <row r="380" spans="1:11" x14ac:dyDescent="0.3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</row>
    <row r="381" spans="1:11" x14ac:dyDescent="0.3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</row>
    <row r="382" spans="1:11" x14ac:dyDescent="0.3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</row>
    <row r="383" spans="1:11" x14ac:dyDescent="0.3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</row>
    <row r="384" spans="1:11" x14ac:dyDescent="0.3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</row>
    <row r="385" spans="1:11" x14ac:dyDescent="0.3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</row>
    <row r="386" spans="1:11" x14ac:dyDescent="0.3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</row>
    <row r="387" spans="1:11" x14ac:dyDescent="0.3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</row>
    <row r="388" spans="1:11" x14ac:dyDescent="0.3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</row>
    <row r="389" spans="1:11" x14ac:dyDescent="0.3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</row>
    <row r="390" spans="1:11" x14ac:dyDescent="0.3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</row>
    <row r="391" spans="1:11" x14ac:dyDescent="0.3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</row>
    <row r="392" spans="1:11" x14ac:dyDescent="0.3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</row>
    <row r="393" spans="1:11" x14ac:dyDescent="0.3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</row>
    <row r="394" spans="1:11" x14ac:dyDescent="0.3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</row>
    <row r="395" spans="1:11" x14ac:dyDescent="0.3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</row>
    <row r="396" spans="1:11" x14ac:dyDescent="0.3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</row>
    <row r="397" spans="1:11" x14ac:dyDescent="0.3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</row>
    <row r="398" spans="1:11" x14ac:dyDescent="0.3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</row>
    <row r="399" spans="1:11" x14ac:dyDescent="0.3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</row>
    <row r="400" spans="1:11" x14ac:dyDescent="0.3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</row>
    <row r="401" spans="1:11" x14ac:dyDescent="0.3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</row>
    <row r="402" spans="1:11" x14ac:dyDescent="0.3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</row>
    <row r="403" spans="1:11" x14ac:dyDescent="0.3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</row>
    <row r="404" spans="1:11" x14ac:dyDescent="0.3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</row>
    <row r="405" spans="1:11" x14ac:dyDescent="0.3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</row>
    <row r="406" spans="1:11" x14ac:dyDescent="0.3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</row>
    <row r="407" spans="1:11" x14ac:dyDescent="0.3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</row>
    <row r="408" spans="1:11" x14ac:dyDescent="0.3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</row>
    <row r="409" spans="1:11" x14ac:dyDescent="0.3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</row>
    <row r="410" spans="1:11" x14ac:dyDescent="0.3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</row>
    <row r="411" spans="1:11" x14ac:dyDescent="0.3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</row>
    <row r="412" spans="1:11" x14ac:dyDescent="0.3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</row>
    <row r="413" spans="1:11" x14ac:dyDescent="0.3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</row>
    <row r="414" spans="1:11" x14ac:dyDescent="0.3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</row>
    <row r="415" spans="1:11" x14ac:dyDescent="0.3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</row>
    <row r="416" spans="1:11" x14ac:dyDescent="0.3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</row>
    <row r="417" spans="1:11" x14ac:dyDescent="0.3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</row>
    <row r="418" spans="1:11" x14ac:dyDescent="0.3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</row>
    <row r="419" spans="1:11" x14ac:dyDescent="0.3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</row>
    <row r="420" spans="1:11" x14ac:dyDescent="0.3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</row>
    <row r="421" spans="1:11" x14ac:dyDescent="0.3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</row>
    <row r="422" spans="1:11" x14ac:dyDescent="0.3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</row>
    <row r="423" spans="1:11" x14ac:dyDescent="0.3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</row>
    <row r="424" spans="1:11" x14ac:dyDescent="0.3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</row>
    <row r="425" spans="1:11" x14ac:dyDescent="0.3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</row>
    <row r="426" spans="1:11" x14ac:dyDescent="0.3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</row>
    <row r="427" spans="1:11" x14ac:dyDescent="0.3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</row>
    <row r="428" spans="1:11" x14ac:dyDescent="0.3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</row>
    <row r="429" spans="1:11" x14ac:dyDescent="0.3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</row>
    <row r="430" spans="1:11" x14ac:dyDescent="0.3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</row>
    <row r="431" spans="1:11" x14ac:dyDescent="0.3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</row>
    <row r="432" spans="1:11" x14ac:dyDescent="0.3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</row>
    <row r="433" spans="1:11" x14ac:dyDescent="0.3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</row>
    <row r="434" spans="1:11" x14ac:dyDescent="0.3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</row>
    <row r="435" spans="1:11" x14ac:dyDescent="0.3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</row>
    <row r="436" spans="1:11" x14ac:dyDescent="0.3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</row>
    <row r="437" spans="1:11" x14ac:dyDescent="0.3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</row>
    <row r="438" spans="1:11" x14ac:dyDescent="0.3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</row>
    <row r="439" spans="1:11" x14ac:dyDescent="0.3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</row>
    <row r="440" spans="1:11" x14ac:dyDescent="0.3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</row>
    <row r="441" spans="1:11" x14ac:dyDescent="0.3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</row>
    <row r="442" spans="1:11" x14ac:dyDescent="0.3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</row>
    <row r="443" spans="1:11" x14ac:dyDescent="0.3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</row>
    <row r="444" spans="1:11" x14ac:dyDescent="0.3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</row>
    <row r="445" spans="1:11" x14ac:dyDescent="0.3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</row>
    <row r="446" spans="1:11" x14ac:dyDescent="0.3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</row>
    <row r="447" spans="1:11" x14ac:dyDescent="0.3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</row>
    <row r="448" spans="1:11" x14ac:dyDescent="0.3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</row>
    <row r="449" spans="1:11" x14ac:dyDescent="0.3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</row>
    <row r="450" spans="1:11" x14ac:dyDescent="0.3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</row>
    <row r="451" spans="1:11" x14ac:dyDescent="0.3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</row>
    <row r="452" spans="1:11" x14ac:dyDescent="0.3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</row>
    <row r="453" spans="1:11" x14ac:dyDescent="0.3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</row>
    <row r="454" spans="1:11" x14ac:dyDescent="0.3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</row>
    <row r="455" spans="1:11" x14ac:dyDescent="0.3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</row>
    <row r="456" spans="1:11" x14ac:dyDescent="0.3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</row>
    <row r="457" spans="1:11" x14ac:dyDescent="0.3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</row>
    <row r="458" spans="1:11" x14ac:dyDescent="0.3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</row>
    <row r="459" spans="1:11" x14ac:dyDescent="0.3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</row>
    <row r="460" spans="1:11" x14ac:dyDescent="0.3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</row>
    <row r="461" spans="1:11" x14ac:dyDescent="0.3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</row>
    <row r="462" spans="1:11" x14ac:dyDescent="0.3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</row>
    <row r="463" spans="1:11" x14ac:dyDescent="0.3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</row>
    <row r="464" spans="1:11" x14ac:dyDescent="0.3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</row>
    <row r="465" spans="1:11" x14ac:dyDescent="0.3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</row>
    <row r="466" spans="1:11" x14ac:dyDescent="0.3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</row>
    <row r="467" spans="1:11" x14ac:dyDescent="0.3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</row>
    <row r="468" spans="1:11" x14ac:dyDescent="0.3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</row>
    <row r="469" spans="1:11" x14ac:dyDescent="0.3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</row>
    <row r="470" spans="1:11" x14ac:dyDescent="0.3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</row>
    <row r="471" spans="1:11" x14ac:dyDescent="0.3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</row>
    <row r="472" spans="1:11" x14ac:dyDescent="0.3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</row>
    <row r="473" spans="1:11" x14ac:dyDescent="0.3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</row>
    <row r="474" spans="1:11" x14ac:dyDescent="0.3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</row>
    <row r="475" spans="1:11" x14ac:dyDescent="0.3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</row>
    <row r="476" spans="1:11" x14ac:dyDescent="0.3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</row>
    <row r="477" spans="1:11" x14ac:dyDescent="0.3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</row>
    <row r="478" spans="1:11" x14ac:dyDescent="0.3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</row>
    <row r="479" spans="1:11" x14ac:dyDescent="0.3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</row>
    <row r="480" spans="1:11" x14ac:dyDescent="0.3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</row>
    <row r="481" spans="1:11" x14ac:dyDescent="0.3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</row>
    <row r="482" spans="1:11" x14ac:dyDescent="0.3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</row>
    <row r="483" spans="1:11" x14ac:dyDescent="0.3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</row>
    <row r="484" spans="1:11" x14ac:dyDescent="0.3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</row>
    <row r="485" spans="1:11" x14ac:dyDescent="0.3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</row>
    <row r="486" spans="1:11" x14ac:dyDescent="0.3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</row>
    <row r="487" spans="1:11" x14ac:dyDescent="0.3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</row>
    <row r="488" spans="1:11" x14ac:dyDescent="0.3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</row>
    <row r="489" spans="1:11" x14ac:dyDescent="0.3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</row>
    <row r="490" spans="1:11" x14ac:dyDescent="0.3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</row>
    <row r="491" spans="1:11" x14ac:dyDescent="0.3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</row>
    <row r="492" spans="1:11" x14ac:dyDescent="0.3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</row>
    <row r="493" spans="1:11" x14ac:dyDescent="0.3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</row>
    <row r="494" spans="1:11" x14ac:dyDescent="0.3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</row>
    <row r="495" spans="1:11" x14ac:dyDescent="0.3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</row>
    <row r="496" spans="1:11" x14ac:dyDescent="0.3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</row>
    <row r="497" spans="1:11" x14ac:dyDescent="0.3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</row>
    <row r="498" spans="1:11" x14ac:dyDescent="0.3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</row>
    <row r="499" spans="1:11" x14ac:dyDescent="0.3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</row>
    <row r="500" spans="1:11" x14ac:dyDescent="0.3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</row>
    <row r="501" spans="1:11" x14ac:dyDescent="0.3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</row>
    <row r="502" spans="1:11" x14ac:dyDescent="0.3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</row>
    <row r="503" spans="1:11" x14ac:dyDescent="0.3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</row>
    <row r="504" spans="1:11" x14ac:dyDescent="0.3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</row>
    <row r="505" spans="1:11" x14ac:dyDescent="0.3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</row>
    <row r="506" spans="1:11" x14ac:dyDescent="0.3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</row>
    <row r="507" spans="1:11" x14ac:dyDescent="0.3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</row>
    <row r="508" spans="1:11" x14ac:dyDescent="0.3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</row>
    <row r="509" spans="1:11" x14ac:dyDescent="0.3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</row>
    <row r="510" spans="1:11" x14ac:dyDescent="0.3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</row>
    <row r="511" spans="1:11" x14ac:dyDescent="0.3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</row>
    <row r="512" spans="1:11" x14ac:dyDescent="0.3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</row>
    <row r="513" spans="1:11" x14ac:dyDescent="0.3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</row>
    <row r="514" spans="1:11" x14ac:dyDescent="0.3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</row>
    <row r="515" spans="1:11" x14ac:dyDescent="0.3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</row>
    <row r="516" spans="1:11" x14ac:dyDescent="0.3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</row>
    <row r="517" spans="1:11" x14ac:dyDescent="0.3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</row>
    <row r="518" spans="1:11" x14ac:dyDescent="0.3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</row>
    <row r="519" spans="1:11" x14ac:dyDescent="0.3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</row>
    <row r="520" spans="1:11" x14ac:dyDescent="0.3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</row>
    <row r="521" spans="1:11" x14ac:dyDescent="0.3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</row>
    <row r="522" spans="1:11" x14ac:dyDescent="0.3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</row>
    <row r="523" spans="1:11" x14ac:dyDescent="0.3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</row>
    <row r="524" spans="1:11" x14ac:dyDescent="0.3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</row>
    <row r="525" spans="1:11" x14ac:dyDescent="0.3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</row>
    <row r="526" spans="1:11" x14ac:dyDescent="0.3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</row>
    <row r="527" spans="1:11" x14ac:dyDescent="0.3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</row>
    <row r="528" spans="1:11" x14ac:dyDescent="0.3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</row>
    <row r="529" spans="1:11" x14ac:dyDescent="0.3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</row>
    <row r="530" spans="1:11" x14ac:dyDescent="0.3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</row>
    <row r="531" spans="1:11" x14ac:dyDescent="0.3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</row>
    <row r="532" spans="1:11" x14ac:dyDescent="0.3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</row>
    <row r="533" spans="1:11" x14ac:dyDescent="0.3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</row>
    <row r="534" spans="1:11" x14ac:dyDescent="0.3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</row>
    <row r="535" spans="1:11" x14ac:dyDescent="0.3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</row>
    <row r="536" spans="1:11" x14ac:dyDescent="0.3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</row>
    <row r="537" spans="1:11" x14ac:dyDescent="0.3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</row>
    <row r="538" spans="1:11" x14ac:dyDescent="0.3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</row>
    <row r="539" spans="1:11" x14ac:dyDescent="0.3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</row>
    <row r="540" spans="1:11" x14ac:dyDescent="0.3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</row>
    <row r="541" spans="1:11" x14ac:dyDescent="0.3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</row>
    <row r="542" spans="1:11" x14ac:dyDescent="0.3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</row>
    <row r="543" spans="1:11" x14ac:dyDescent="0.3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</row>
    <row r="544" spans="1:11" x14ac:dyDescent="0.3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</row>
    <row r="545" spans="1:11" x14ac:dyDescent="0.3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</row>
    <row r="546" spans="1:11" x14ac:dyDescent="0.3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</row>
    <row r="547" spans="1:11" x14ac:dyDescent="0.3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</row>
    <row r="548" spans="1:11" x14ac:dyDescent="0.3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</row>
    <row r="549" spans="1:11" x14ac:dyDescent="0.3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</row>
    <row r="550" spans="1:11" x14ac:dyDescent="0.3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</row>
    <row r="551" spans="1:11" x14ac:dyDescent="0.3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</row>
    <row r="552" spans="1:11" x14ac:dyDescent="0.3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</row>
    <row r="553" spans="1:11" x14ac:dyDescent="0.3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</row>
    <row r="554" spans="1:11" x14ac:dyDescent="0.3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</row>
    <row r="555" spans="1:11" x14ac:dyDescent="0.3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</row>
    <row r="556" spans="1:11" x14ac:dyDescent="0.3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</row>
    <row r="557" spans="1:11" x14ac:dyDescent="0.3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</row>
    <row r="558" spans="1:11" x14ac:dyDescent="0.3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</row>
    <row r="559" spans="1:11" x14ac:dyDescent="0.3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</row>
    <row r="560" spans="1:11" x14ac:dyDescent="0.3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</row>
    <row r="561" spans="1:11" x14ac:dyDescent="0.3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</row>
    <row r="562" spans="1:11" x14ac:dyDescent="0.3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</row>
    <row r="563" spans="1:11" x14ac:dyDescent="0.3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</row>
    <row r="564" spans="1:11" x14ac:dyDescent="0.3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</row>
    <row r="565" spans="1:11" x14ac:dyDescent="0.3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</row>
    <row r="566" spans="1:11" x14ac:dyDescent="0.3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</row>
    <row r="567" spans="1:11" x14ac:dyDescent="0.3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</row>
    <row r="568" spans="1:11" x14ac:dyDescent="0.3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</row>
    <row r="569" spans="1:11" x14ac:dyDescent="0.3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</row>
    <row r="570" spans="1:11" x14ac:dyDescent="0.3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</row>
    <row r="571" spans="1:11" x14ac:dyDescent="0.3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</row>
    <row r="572" spans="1:11" x14ac:dyDescent="0.3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</row>
    <row r="573" spans="1:11" x14ac:dyDescent="0.3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</row>
    <row r="574" spans="1:11" x14ac:dyDescent="0.3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</row>
    <row r="575" spans="1:11" x14ac:dyDescent="0.3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</row>
    <row r="576" spans="1:11" x14ac:dyDescent="0.3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</row>
    <row r="577" spans="1:11" x14ac:dyDescent="0.3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</row>
    <row r="578" spans="1:11" x14ac:dyDescent="0.3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</row>
    <row r="579" spans="1:11" x14ac:dyDescent="0.3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</row>
    <row r="580" spans="1:11" x14ac:dyDescent="0.3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</row>
    <row r="581" spans="1:11" x14ac:dyDescent="0.3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</row>
    <row r="582" spans="1:11" x14ac:dyDescent="0.3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</row>
    <row r="583" spans="1:11" x14ac:dyDescent="0.3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</row>
    <row r="584" spans="1:11" x14ac:dyDescent="0.3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</row>
    <row r="585" spans="1:11" x14ac:dyDescent="0.3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</row>
    <row r="586" spans="1:11" x14ac:dyDescent="0.3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</row>
    <row r="587" spans="1:11" x14ac:dyDescent="0.3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</row>
    <row r="588" spans="1:11" x14ac:dyDescent="0.3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</row>
    <row r="589" spans="1:11" x14ac:dyDescent="0.3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</row>
    <row r="590" spans="1:11" x14ac:dyDescent="0.3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</row>
    <row r="591" spans="1:11" x14ac:dyDescent="0.3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</row>
    <row r="592" spans="1:11" x14ac:dyDescent="0.3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</row>
    <row r="593" spans="1:11" x14ac:dyDescent="0.3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</row>
    <row r="594" spans="1:11" x14ac:dyDescent="0.3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</row>
    <row r="595" spans="1:11" x14ac:dyDescent="0.3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</row>
    <row r="596" spans="1:11" x14ac:dyDescent="0.3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</row>
    <row r="597" spans="1:11" x14ac:dyDescent="0.3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</row>
    <row r="598" spans="1:11" x14ac:dyDescent="0.3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</row>
    <row r="599" spans="1:11" x14ac:dyDescent="0.3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</row>
    <row r="600" spans="1:11" x14ac:dyDescent="0.3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</row>
    <row r="601" spans="1:11" x14ac:dyDescent="0.3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</row>
    <row r="602" spans="1:11" x14ac:dyDescent="0.3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</row>
    <row r="603" spans="1:11" x14ac:dyDescent="0.3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</row>
    <row r="604" spans="1:11" x14ac:dyDescent="0.3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</row>
    <row r="605" spans="1:11" x14ac:dyDescent="0.3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</row>
    <row r="606" spans="1:11" x14ac:dyDescent="0.3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</row>
    <row r="607" spans="1:11" x14ac:dyDescent="0.3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</row>
    <row r="608" spans="1:11" x14ac:dyDescent="0.3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</row>
    <row r="609" spans="1:11" x14ac:dyDescent="0.3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</row>
    <row r="610" spans="1:11" x14ac:dyDescent="0.3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</row>
    <row r="611" spans="1:11" x14ac:dyDescent="0.3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</row>
    <row r="612" spans="1:11" x14ac:dyDescent="0.3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</row>
    <row r="613" spans="1:11" x14ac:dyDescent="0.3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</row>
    <row r="614" spans="1:11" x14ac:dyDescent="0.3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</row>
    <row r="615" spans="1:11" x14ac:dyDescent="0.3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</row>
    <row r="616" spans="1:11" x14ac:dyDescent="0.3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</row>
    <row r="617" spans="1:11" x14ac:dyDescent="0.3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</row>
    <row r="618" spans="1:11" x14ac:dyDescent="0.3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</row>
    <row r="619" spans="1:11" x14ac:dyDescent="0.3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</row>
    <row r="620" spans="1:11" x14ac:dyDescent="0.3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</row>
    <row r="621" spans="1:11" x14ac:dyDescent="0.3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</row>
    <row r="622" spans="1:11" x14ac:dyDescent="0.3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</row>
    <row r="623" spans="1:11" x14ac:dyDescent="0.3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</row>
    <row r="624" spans="1:11" x14ac:dyDescent="0.3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</row>
    <row r="625" spans="1:11" x14ac:dyDescent="0.3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</row>
    <row r="626" spans="1:11" x14ac:dyDescent="0.3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</row>
    <row r="627" spans="1:11" x14ac:dyDescent="0.3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</row>
    <row r="628" spans="1:11" x14ac:dyDescent="0.3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</row>
    <row r="629" spans="1:11" x14ac:dyDescent="0.3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</row>
    <row r="630" spans="1:11" x14ac:dyDescent="0.3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</row>
    <row r="631" spans="1:11" x14ac:dyDescent="0.3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</row>
    <row r="632" spans="1:11" x14ac:dyDescent="0.3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</row>
    <row r="633" spans="1:11" x14ac:dyDescent="0.3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</row>
    <row r="634" spans="1:11" x14ac:dyDescent="0.3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</row>
    <row r="635" spans="1:11" x14ac:dyDescent="0.3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</row>
    <row r="636" spans="1:11" x14ac:dyDescent="0.3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</row>
    <row r="637" spans="1:11" x14ac:dyDescent="0.3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</row>
    <row r="638" spans="1:11" x14ac:dyDescent="0.3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</row>
    <row r="639" spans="1:11" x14ac:dyDescent="0.3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</row>
    <row r="640" spans="1:11" x14ac:dyDescent="0.3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</row>
    <row r="641" spans="1:11" x14ac:dyDescent="0.3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</row>
    <row r="642" spans="1:11" x14ac:dyDescent="0.3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</row>
    <row r="643" spans="1:11" x14ac:dyDescent="0.3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</row>
    <row r="644" spans="1:11" x14ac:dyDescent="0.3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</row>
    <row r="645" spans="1:11" x14ac:dyDescent="0.3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</row>
    <row r="646" spans="1:11" x14ac:dyDescent="0.3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</row>
    <row r="647" spans="1:11" x14ac:dyDescent="0.3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</row>
    <row r="648" spans="1:11" x14ac:dyDescent="0.3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</row>
    <row r="649" spans="1:11" x14ac:dyDescent="0.3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</row>
    <row r="650" spans="1:11" x14ac:dyDescent="0.3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</row>
    <row r="651" spans="1:11" x14ac:dyDescent="0.3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</row>
    <row r="652" spans="1:11" x14ac:dyDescent="0.3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</row>
    <row r="653" spans="1:11" x14ac:dyDescent="0.3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</row>
    <row r="654" spans="1:11" x14ac:dyDescent="0.3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</row>
    <row r="655" spans="1:11" x14ac:dyDescent="0.3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</row>
    <row r="656" spans="1:11" x14ac:dyDescent="0.3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</row>
    <row r="657" spans="1:11" x14ac:dyDescent="0.3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</row>
    <row r="658" spans="1:11" x14ac:dyDescent="0.3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</row>
    <row r="659" spans="1:11" x14ac:dyDescent="0.3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</row>
    <row r="660" spans="1:11" x14ac:dyDescent="0.3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</row>
    <row r="661" spans="1:11" x14ac:dyDescent="0.3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</row>
    <row r="662" spans="1:11" x14ac:dyDescent="0.3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</row>
    <row r="663" spans="1:11" x14ac:dyDescent="0.3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</row>
    <row r="664" spans="1:11" x14ac:dyDescent="0.3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</row>
    <row r="665" spans="1:11" x14ac:dyDescent="0.3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</row>
    <row r="666" spans="1:11" x14ac:dyDescent="0.3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</row>
    <row r="667" spans="1:11" x14ac:dyDescent="0.3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</row>
    <row r="668" spans="1:11" x14ac:dyDescent="0.3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</row>
    <row r="669" spans="1:11" x14ac:dyDescent="0.3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</row>
    <row r="670" spans="1:11" x14ac:dyDescent="0.3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</row>
    <row r="671" spans="1:11" x14ac:dyDescent="0.3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</row>
    <row r="672" spans="1:11" x14ac:dyDescent="0.3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</row>
    <row r="673" spans="1:11" x14ac:dyDescent="0.3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</row>
    <row r="674" spans="1:11" x14ac:dyDescent="0.3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</row>
    <row r="675" spans="1:11" x14ac:dyDescent="0.3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</row>
    <row r="676" spans="1:11" x14ac:dyDescent="0.3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</row>
    <row r="677" spans="1:11" x14ac:dyDescent="0.3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</row>
    <row r="678" spans="1:11" x14ac:dyDescent="0.3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</row>
    <row r="679" spans="1:11" x14ac:dyDescent="0.3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</row>
    <row r="680" spans="1:11" x14ac:dyDescent="0.3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</row>
    <row r="681" spans="1:11" x14ac:dyDescent="0.3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</row>
    <row r="682" spans="1:11" x14ac:dyDescent="0.3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</row>
    <row r="683" spans="1:11" x14ac:dyDescent="0.3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</row>
    <row r="684" spans="1:11" x14ac:dyDescent="0.3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</row>
    <row r="685" spans="1:11" x14ac:dyDescent="0.3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</row>
    <row r="686" spans="1:11" x14ac:dyDescent="0.3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</row>
    <row r="687" spans="1:11" x14ac:dyDescent="0.3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</row>
    <row r="688" spans="1:11" x14ac:dyDescent="0.3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</row>
    <row r="689" spans="1:11" x14ac:dyDescent="0.3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</row>
    <row r="690" spans="1:11" x14ac:dyDescent="0.3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</row>
    <row r="691" spans="1:11" x14ac:dyDescent="0.3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</row>
    <row r="692" spans="1:11" x14ac:dyDescent="0.3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</row>
    <row r="693" spans="1:11" x14ac:dyDescent="0.3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</row>
    <row r="694" spans="1:11" x14ac:dyDescent="0.3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</row>
    <row r="695" spans="1:11" x14ac:dyDescent="0.3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</row>
    <row r="696" spans="1:11" x14ac:dyDescent="0.3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</row>
    <row r="697" spans="1:11" x14ac:dyDescent="0.3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</row>
    <row r="698" spans="1:11" x14ac:dyDescent="0.3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</row>
    <row r="699" spans="1:11" x14ac:dyDescent="0.3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</row>
    <row r="700" spans="1:11" x14ac:dyDescent="0.3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</row>
    <row r="701" spans="1:11" x14ac:dyDescent="0.3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</row>
    <row r="702" spans="1:11" x14ac:dyDescent="0.3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</row>
    <row r="703" spans="1:11" x14ac:dyDescent="0.3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</row>
    <row r="704" spans="1:11" x14ac:dyDescent="0.3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</row>
    <row r="705" spans="1:11" x14ac:dyDescent="0.3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</row>
    <row r="706" spans="1:11" x14ac:dyDescent="0.3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</row>
    <row r="707" spans="1:11" x14ac:dyDescent="0.3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</row>
    <row r="708" spans="1:11" x14ac:dyDescent="0.3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</row>
    <row r="709" spans="1:11" x14ac:dyDescent="0.3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</row>
    <row r="710" spans="1:11" x14ac:dyDescent="0.3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</row>
    <row r="711" spans="1:11" x14ac:dyDescent="0.3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</row>
    <row r="712" spans="1:11" x14ac:dyDescent="0.3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</row>
    <row r="713" spans="1:11" x14ac:dyDescent="0.3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</row>
    <row r="714" spans="1:11" x14ac:dyDescent="0.3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</row>
    <row r="715" spans="1:11" x14ac:dyDescent="0.3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</row>
    <row r="716" spans="1:11" x14ac:dyDescent="0.3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</row>
    <row r="717" spans="1:11" x14ac:dyDescent="0.3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</row>
    <row r="718" spans="1:11" x14ac:dyDescent="0.3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</row>
    <row r="719" spans="1:11" x14ac:dyDescent="0.3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</row>
    <row r="720" spans="1:11" x14ac:dyDescent="0.3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</row>
    <row r="721" spans="1:11" x14ac:dyDescent="0.3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</row>
    <row r="722" spans="1:11" x14ac:dyDescent="0.3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</row>
    <row r="723" spans="1:11" x14ac:dyDescent="0.3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</row>
    <row r="724" spans="1:11" x14ac:dyDescent="0.3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</row>
    <row r="725" spans="1:11" x14ac:dyDescent="0.3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</row>
    <row r="726" spans="1:11" x14ac:dyDescent="0.3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</row>
    <row r="727" spans="1:11" x14ac:dyDescent="0.3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</row>
    <row r="728" spans="1:11" x14ac:dyDescent="0.3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</row>
    <row r="729" spans="1:11" x14ac:dyDescent="0.3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</row>
    <row r="730" spans="1:11" x14ac:dyDescent="0.3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</row>
    <row r="731" spans="1:11" x14ac:dyDescent="0.3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</row>
    <row r="732" spans="1:11" x14ac:dyDescent="0.3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</row>
    <row r="733" spans="1:11" x14ac:dyDescent="0.3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</row>
    <row r="734" spans="1:11" x14ac:dyDescent="0.3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</row>
    <row r="735" spans="1:11" x14ac:dyDescent="0.3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</row>
    <row r="736" spans="1:11" x14ac:dyDescent="0.3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</row>
    <row r="737" spans="1:11" x14ac:dyDescent="0.3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</row>
    <row r="738" spans="1:11" x14ac:dyDescent="0.3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</row>
    <row r="739" spans="1:11" x14ac:dyDescent="0.3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</row>
    <row r="740" spans="1:11" x14ac:dyDescent="0.3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</row>
    <row r="741" spans="1:11" x14ac:dyDescent="0.3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</row>
    <row r="742" spans="1:11" x14ac:dyDescent="0.3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</row>
    <row r="743" spans="1:11" x14ac:dyDescent="0.3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</row>
    <row r="744" spans="1:11" x14ac:dyDescent="0.3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</row>
    <row r="745" spans="1:11" x14ac:dyDescent="0.3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</row>
    <row r="746" spans="1:11" x14ac:dyDescent="0.3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</row>
    <row r="747" spans="1:11" x14ac:dyDescent="0.3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</row>
    <row r="748" spans="1:11" x14ac:dyDescent="0.3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</row>
    <row r="749" spans="1:11" x14ac:dyDescent="0.3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</row>
    <row r="750" spans="1:11" x14ac:dyDescent="0.3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</row>
    <row r="751" spans="1:11" x14ac:dyDescent="0.3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</row>
    <row r="752" spans="1:11" x14ac:dyDescent="0.3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</row>
    <row r="753" spans="1:11" x14ac:dyDescent="0.3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</row>
    <row r="754" spans="1:11" x14ac:dyDescent="0.3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</row>
    <row r="755" spans="1:11" x14ac:dyDescent="0.3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</row>
    <row r="756" spans="1:11" x14ac:dyDescent="0.3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</row>
    <row r="757" spans="1:11" x14ac:dyDescent="0.3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</row>
    <row r="758" spans="1:11" x14ac:dyDescent="0.3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</row>
    <row r="759" spans="1:11" x14ac:dyDescent="0.3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</row>
    <row r="760" spans="1:11" x14ac:dyDescent="0.3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</row>
    <row r="761" spans="1:11" x14ac:dyDescent="0.3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</row>
    <row r="762" spans="1:11" x14ac:dyDescent="0.3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</row>
    <row r="763" spans="1:11" x14ac:dyDescent="0.3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</row>
    <row r="764" spans="1:11" x14ac:dyDescent="0.3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</row>
    <row r="765" spans="1:11" x14ac:dyDescent="0.3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</row>
    <row r="766" spans="1:11" x14ac:dyDescent="0.3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</row>
    <row r="767" spans="1:11" x14ac:dyDescent="0.3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</row>
    <row r="768" spans="1:11" x14ac:dyDescent="0.3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</row>
    <row r="769" spans="1:11" x14ac:dyDescent="0.3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</row>
    <row r="770" spans="1:11" x14ac:dyDescent="0.3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</row>
    <row r="771" spans="1:11" x14ac:dyDescent="0.3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</row>
    <row r="772" spans="1:11" x14ac:dyDescent="0.3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</row>
    <row r="773" spans="1:11" x14ac:dyDescent="0.3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</row>
    <row r="774" spans="1:11" x14ac:dyDescent="0.3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</row>
    <row r="775" spans="1:11" x14ac:dyDescent="0.3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</row>
    <row r="776" spans="1:11" x14ac:dyDescent="0.3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</row>
    <row r="777" spans="1:11" x14ac:dyDescent="0.3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</row>
    <row r="778" spans="1:11" x14ac:dyDescent="0.3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</row>
    <row r="779" spans="1:11" x14ac:dyDescent="0.3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</row>
    <row r="780" spans="1:11" x14ac:dyDescent="0.3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</row>
    <row r="781" spans="1:11" x14ac:dyDescent="0.3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</row>
    <row r="782" spans="1:11" x14ac:dyDescent="0.3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</row>
    <row r="783" spans="1:11" x14ac:dyDescent="0.3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</row>
    <row r="784" spans="1:11" x14ac:dyDescent="0.3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</row>
    <row r="785" spans="1:11" x14ac:dyDescent="0.3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</row>
    <row r="786" spans="1:11" x14ac:dyDescent="0.3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</row>
    <row r="787" spans="1:11" x14ac:dyDescent="0.3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</row>
    <row r="788" spans="1:11" x14ac:dyDescent="0.3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</row>
    <row r="789" spans="1:11" x14ac:dyDescent="0.3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</row>
    <row r="790" spans="1:11" x14ac:dyDescent="0.3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</row>
    <row r="791" spans="1:11" x14ac:dyDescent="0.3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</row>
    <row r="792" spans="1:11" x14ac:dyDescent="0.3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</row>
    <row r="793" spans="1:11" x14ac:dyDescent="0.3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</row>
    <row r="794" spans="1:11" x14ac:dyDescent="0.3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</row>
    <row r="795" spans="1:11" x14ac:dyDescent="0.3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</row>
    <row r="796" spans="1:11" x14ac:dyDescent="0.3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</row>
    <row r="797" spans="1:11" x14ac:dyDescent="0.3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</row>
    <row r="798" spans="1:11" x14ac:dyDescent="0.3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</row>
    <row r="799" spans="1:11" x14ac:dyDescent="0.3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</row>
    <row r="800" spans="1:11" x14ac:dyDescent="0.3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</row>
    <row r="801" spans="1:11" x14ac:dyDescent="0.3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</row>
    <row r="802" spans="1:11" x14ac:dyDescent="0.3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</row>
    <row r="803" spans="1:11" x14ac:dyDescent="0.3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</row>
    <row r="804" spans="1:11" x14ac:dyDescent="0.3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</row>
    <row r="805" spans="1:11" x14ac:dyDescent="0.3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</row>
    <row r="806" spans="1:11" x14ac:dyDescent="0.3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</row>
    <row r="807" spans="1:11" x14ac:dyDescent="0.3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</row>
    <row r="808" spans="1:11" x14ac:dyDescent="0.3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</row>
    <row r="809" spans="1:11" x14ac:dyDescent="0.3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</row>
    <row r="810" spans="1:11" x14ac:dyDescent="0.3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</row>
    <row r="811" spans="1:11" x14ac:dyDescent="0.3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</row>
    <row r="812" spans="1:11" x14ac:dyDescent="0.3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</row>
    <row r="813" spans="1:11" x14ac:dyDescent="0.3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</row>
    <row r="814" spans="1:11" x14ac:dyDescent="0.3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</row>
    <row r="815" spans="1:11" x14ac:dyDescent="0.3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</row>
    <row r="816" spans="1:11" x14ac:dyDescent="0.3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</row>
    <row r="817" spans="1:11" x14ac:dyDescent="0.3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</row>
    <row r="818" spans="1:11" x14ac:dyDescent="0.3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</row>
    <row r="819" spans="1:11" x14ac:dyDescent="0.3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</row>
    <row r="820" spans="1:11" x14ac:dyDescent="0.3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</row>
    <row r="821" spans="1:11" x14ac:dyDescent="0.3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</row>
    <row r="822" spans="1:11" x14ac:dyDescent="0.3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</row>
    <row r="823" spans="1:11" x14ac:dyDescent="0.3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</row>
    <row r="824" spans="1:11" x14ac:dyDescent="0.3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</row>
    <row r="825" spans="1:11" x14ac:dyDescent="0.3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</row>
    <row r="826" spans="1:11" x14ac:dyDescent="0.3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</row>
    <row r="827" spans="1:11" x14ac:dyDescent="0.3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</row>
    <row r="828" spans="1:11" x14ac:dyDescent="0.3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</row>
    <row r="829" spans="1:11" x14ac:dyDescent="0.3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</row>
    <row r="830" spans="1:11" x14ac:dyDescent="0.3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</row>
    <row r="831" spans="1:11" x14ac:dyDescent="0.3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</row>
    <row r="832" spans="1:11" x14ac:dyDescent="0.3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</row>
    <row r="833" spans="1:11" x14ac:dyDescent="0.3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</row>
    <row r="834" spans="1:11" x14ac:dyDescent="0.3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</row>
    <row r="835" spans="1:11" x14ac:dyDescent="0.3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</row>
    <row r="836" spans="1:11" x14ac:dyDescent="0.3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</row>
    <row r="837" spans="1:11" x14ac:dyDescent="0.3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</row>
    <row r="838" spans="1:11" x14ac:dyDescent="0.3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</row>
    <row r="839" spans="1:11" x14ac:dyDescent="0.3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</row>
    <row r="840" spans="1:11" x14ac:dyDescent="0.3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</row>
    <row r="841" spans="1:11" x14ac:dyDescent="0.3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</row>
    <row r="842" spans="1:11" x14ac:dyDescent="0.3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</row>
    <row r="843" spans="1:11" x14ac:dyDescent="0.3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</row>
    <row r="844" spans="1:11" x14ac:dyDescent="0.3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</row>
    <row r="845" spans="1:11" x14ac:dyDescent="0.3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</row>
    <row r="846" spans="1:11" x14ac:dyDescent="0.3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</row>
    <row r="847" spans="1:11" x14ac:dyDescent="0.3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</row>
    <row r="848" spans="1:11" x14ac:dyDescent="0.3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</row>
    <row r="849" spans="1:11" x14ac:dyDescent="0.3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</row>
    <row r="850" spans="1:11" x14ac:dyDescent="0.3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</row>
    <row r="851" spans="1:11" x14ac:dyDescent="0.3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</row>
    <row r="852" spans="1:11" x14ac:dyDescent="0.3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</row>
    <row r="853" spans="1:11" x14ac:dyDescent="0.3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</row>
    <row r="854" spans="1:11" x14ac:dyDescent="0.3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</row>
    <row r="855" spans="1:11" x14ac:dyDescent="0.3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</row>
    <row r="856" spans="1:11" x14ac:dyDescent="0.3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</row>
    <row r="857" spans="1:11" x14ac:dyDescent="0.3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</row>
    <row r="858" spans="1:11" x14ac:dyDescent="0.3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</row>
    <row r="859" spans="1:11" x14ac:dyDescent="0.3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</row>
    <row r="860" spans="1:11" x14ac:dyDescent="0.3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</row>
    <row r="861" spans="1:11" x14ac:dyDescent="0.3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</row>
    <row r="862" spans="1:11" x14ac:dyDescent="0.3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</row>
    <row r="863" spans="1:11" x14ac:dyDescent="0.3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</row>
    <row r="864" spans="1:11" x14ac:dyDescent="0.3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</row>
    <row r="865" spans="1:11" x14ac:dyDescent="0.3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</row>
    <row r="866" spans="1:11" x14ac:dyDescent="0.3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</row>
    <row r="867" spans="1:11" x14ac:dyDescent="0.3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</row>
    <row r="868" spans="1:11" x14ac:dyDescent="0.3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</row>
    <row r="869" spans="1:11" x14ac:dyDescent="0.3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</row>
    <row r="870" spans="1:11" x14ac:dyDescent="0.3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</row>
    <row r="871" spans="1:11" x14ac:dyDescent="0.3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</row>
    <row r="872" spans="1:11" x14ac:dyDescent="0.3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</row>
    <row r="873" spans="1:11" x14ac:dyDescent="0.3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</row>
    <row r="874" spans="1:11" x14ac:dyDescent="0.3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</row>
    <row r="875" spans="1:11" x14ac:dyDescent="0.3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</row>
    <row r="876" spans="1:11" x14ac:dyDescent="0.3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</row>
    <row r="877" spans="1:11" x14ac:dyDescent="0.3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</row>
    <row r="878" spans="1:11" x14ac:dyDescent="0.3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</row>
    <row r="879" spans="1:11" x14ac:dyDescent="0.3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</row>
    <row r="880" spans="1:11" x14ac:dyDescent="0.3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</row>
    <row r="881" spans="1:11" x14ac:dyDescent="0.3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</row>
    <row r="882" spans="1:11" x14ac:dyDescent="0.3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</row>
    <row r="883" spans="1:11" x14ac:dyDescent="0.3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</row>
    <row r="884" spans="1:11" x14ac:dyDescent="0.3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</row>
    <row r="885" spans="1:11" x14ac:dyDescent="0.3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</row>
    <row r="886" spans="1:11" x14ac:dyDescent="0.3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</row>
    <row r="887" spans="1:11" x14ac:dyDescent="0.3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</row>
    <row r="888" spans="1:11" x14ac:dyDescent="0.3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</row>
    <row r="889" spans="1:11" x14ac:dyDescent="0.3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</row>
    <row r="890" spans="1:11" x14ac:dyDescent="0.3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</row>
    <row r="891" spans="1:11" x14ac:dyDescent="0.3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</row>
    <row r="892" spans="1:11" x14ac:dyDescent="0.3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</row>
    <row r="893" spans="1:11" x14ac:dyDescent="0.3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</row>
    <row r="894" spans="1:11" x14ac:dyDescent="0.3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</row>
    <row r="895" spans="1:11" x14ac:dyDescent="0.3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</row>
    <row r="896" spans="1:11" x14ac:dyDescent="0.3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</row>
    <row r="897" spans="1:11" x14ac:dyDescent="0.3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</row>
    <row r="898" spans="1:11" x14ac:dyDescent="0.3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</row>
    <row r="899" spans="1:11" x14ac:dyDescent="0.3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</row>
    <row r="900" spans="1:11" x14ac:dyDescent="0.3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</row>
    <row r="901" spans="1:11" x14ac:dyDescent="0.3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</row>
    <row r="902" spans="1:11" x14ac:dyDescent="0.3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</row>
    <row r="903" spans="1:11" x14ac:dyDescent="0.3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</row>
    <row r="904" spans="1:11" x14ac:dyDescent="0.3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</row>
    <row r="905" spans="1:11" x14ac:dyDescent="0.3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</row>
    <row r="906" spans="1:11" x14ac:dyDescent="0.3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</row>
    <row r="907" spans="1:11" x14ac:dyDescent="0.3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</row>
    <row r="908" spans="1:11" x14ac:dyDescent="0.3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</row>
    <row r="909" spans="1:11" x14ac:dyDescent="0.3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</row>
    <row r="910" spans="1:11" x14ac:dyDescent="0.3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</row>
    <row r="911" spans="1:11" x14ac:dyDescent="0.3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</row>
    <row r="912" spans="1:11" x14ac:dyDescent="0.3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</row>
    <row r="913" spans="1:11" x14ac:dyDescent="0.3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</row>
    <row r="914" spans="1:11" x14ac:dyDescent="0.3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</row>
    <row r="915" spans="1:11" x14ac:dyDescent="0.3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</row>
    <row r="916" spans="1:11" x14ac:dyDescent="0.3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</row>
    <row r="917" spans="1:11" x14ac:dyDescent="0.3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</row>
    <row r="918" spans="1:11" x14ac:dyDescent="0.3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</row>
    <row r="919" spans="1:11" x14ac:dyDescent="0.3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</row>
    <row r="920" spans="1:11" x14ac:dyDescent="0.3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</row>
    <row r="921" spans="1:11" x14ac:dyDescent="0.3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</row>
    <row r="922" spans="1:11" x14ac:dyDescent="0.3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</row>
    <row r="923" spans="1:11" x14ac:dyDescent="0.3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</row>
    <row r="924" spans="1:11" x14ac:dyDescent="0.3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</row>
    <row r="925" spans="1:11" x14ac:dyDescent="0.3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</row>
    <row r="926" spans="1:11" x14ac:dyDescent="0.3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</row>
    <row r="927" spans="1:11" x14ac:dyDescent="0.3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</row>
    <row r="928" spans="1:11" x14ac:dyDescent="0.3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</row>
    <row r="929" spans="1:11" x14ac:dyDescent="0.3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</row>
    <row r="930" spans="1:11" x14ac:dyDescent="0.3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</row>
    <row r="931" spans="1:11" x14ac:dyDescent="0.3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</row>
    <row r="932" spans="1:11" x14ac:dyDescent="0.3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</row>
    <row r="933" spans="1:11" x14ac:dyDescent="0.3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</row>
    <row r="934" spans="1:11" x14ac:dyDescent="0.3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</row>
    <row r="935" spans="1:11" x14ac:dyDescent="0.3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</row>
    <row r="936" spans="1:11" x14ac:dyDescent="0.3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</row>
    <row r="937" spans="1:11" x14ac:dyDescent="0.3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</row>
    <row r="938" spans="1:11" x14ac:dyDescent="0.3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</row>
    <row r="939" spans="1:11" x14ac:dyDescent="0.3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</row>
    <row r="940" spans="1:11" x14ac:dyDescent="0.3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</row>
    <row r="941" spans="1:11" x14ac:dyDescent="0.3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</row>
    <row r="942" spans="1:11" x14ac:dyDescent="0.3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</row>
    <row r="943" spans="1:11" x14ac:dyDescent="0.3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</row>
    <row r="944" spans="1:11" x14ac:dyDescent="0.3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</row>
    <row r="945" spans="1:11" x14ac:dyDescent="0.3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</row>
    <row r="946" spans="1:11" x14ac:dyDescent="0.3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</row>
    <row r="947" spans="1:11" x14ac:dyDescent="0.3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</row>
    <row r="948" spans="1:11" x14ac:dyDescent="0.3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</row>
    <row r="949" spans="1:11" x14ac:dyDescent="0.3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</row>
    <row r="950" spans="1:11" x14ac:dyDescent="0.3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</row>
    <row r="951" spans="1:11" x14ac:dyDescent="0.3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</row>
    <row r="952" spans="1:11" x14ac:dyDescent="0.3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</row>
    <row r="953" spans="1:11" x14ac:dyDescent="0.3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</row>
    <row r="954" spans="1:11" x14ac:dyDescent="0.3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</row>
    <row r="955" spans="1:11" x14ac:dyDescent="0.3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</row>
    <row r="956" spans="1:11" x14ac:dyDescent="0.3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</row>
    <row r="957" spans="1:11" x14ac:dyDescent="0.3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</row>
    <row r="958" spans="1:11" x14ac:dyDescent="0.3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</row>
    <row r="959" spans="1:11" x14ac:dyDescent="0.3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</row>
    <row r="960" spans="1:11" x14ac:dyDescent="0.3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</row>
    <row r="961" spans="1:11" x14ac:dyDescent="0.3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</row>
    <row r="962" spans="1:11" x14ac:dyDescent="0.3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</row>
    <row r="963" spans="1:11" x14ac:dyDescent="0.3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</row>
    <row r="964" spans="1:11" x14ac:dyDescent="0.3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</row>
    <row r="965" spans="1:11" x14ac:dyDescent="0.3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</row>
    <row r="966" spans="1:11" x14ac:dyDescent="0.3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707C3-5319-4302-B5D6-DB2D351776D7}">
  <dimension ref="C1:V836"/>
  <sheetViews>
    <sheetView zoomScale="85" zoomScaleNormal="85" workbookViewId="0">
      <selection activeCell="M20" sqref="M20"/>
    </sheetView>
  </sheetViews>
  <sheetFormatPr baseColWidth="10" defaultColWidth="14.44140625" defaultRowHeight="15" customHeight="1" x14ac:dyDescent="0.3"/>
  <cols>
    <col min="1" max="1" width="10.6640625" style="51" customWidth="1"/>
    <col min="2" max="2" width="14.88671875" style="51" bestFit="1" customWidth="1"/>
    <col min="3" max="3" width="15.33203125" style="51" bestFit="1" customWidth="1"/>
    <col min="4" max="4" width="20.44140625" style="51" bestFit="1" customWidth="1"/>
    <col min="5" max="5" width="22.21875" style="75" bestFit="1" customWidth="1"/>
    <col min="6" max="6" width="29.6640625" style="75" bestFit="1" customWidth="1"/>
    <col min="7" max="7" width="31.21875" style="75" bestFit="1" customWidth="1"/>
    <col min="8" max="8" width="10.6640625" style="51" customWidth="1"/>
    <col min="9" max="9" width="9.77734375" style="51" bestFit="1" customWidth="1"/>
    <col min="10" max="10" width="16.88671875" style="51" bestFit="1" customWidth="1"/>
    <col min="11" max="11" width="16.88671875" style="51" customWidth="1"/>
    <col min="12" max="12" width="14.33203125" style="51" bestFit="1" customWidth="1"/>
    <col min="13" max="13" width="16.6640625" style="51" bestFit="1" customWidth="1"/>
    <col min="14" max="14" width="16.44140625" style="51" customWidth="1"/>
    <col min="15" max="15" width="21.5546875" style="51" bestFit="1" customWidth="1"/>
    <col min="16" max="16" width="16.109375" style="51" bestFit="1" customWidth="1"/>
    <col min="17" max="18" width="18.6640625" style="51" customWidth="1"/>
    <col min="19" max="16384" width="14.44140625" style="51"/>
  </cols>
  <sheetData>
    <row r="1" spans="3:22" ht="14.4" x14ac:dyDescent="0.3">
      <c r="C1" s="61"/>
      <c r="D1" s="61"/>
      <c r="H1" s="87" t="s">
        <v>1014</v>
      </c>
      <c r="L1" s="87" t="s">
        <v>546</v>
      </c>
      <c r="P1" s="130" t="s">
        <v>1013</v>
      </c>
    </row>
    <row r="2" spans="3:22" ht="15.6" x14ac:dyDescent="0.3">
      <c r="C2" s="2" t="s">
        <v>8</v>
      </c>
      <c r="D2" t="s">
        <v>611</v>
      </c>
      <c r="H2" s="86" t="s">
        <v>508</v>
      </c>
    </row>
    <row r="3" spans="3:22" ht="15" customHeight="1" x14ac:dyDescent="0.3">
      <c r="C3" s="2" t="s">
        <v>6</v>
      </c>
      <c r="D3" t="s">
        <v>49</v>
      </c>
      <c r="E3" s="51"/>
      <c r="F3" s="51"/>
      <c r="G3" s="51"/>
      <c r="H3" s="86"/>
    </row>
    <row r="4" spans="3:22" ht="14.4" x14ac:dyDescent="0.3">
      <c r="E4" s="51"/>
      <c r="F4" s="51"/>
      <c r="G4" s="51"/>
    </row>
    <row r="5" spans="3:22" ht="14.4" x14ac:dyDescent="0.3">
      <c r="C5" s="2" t="s">
        <v>401</v>
      </c>
      <c r="D5" s="2" t="s">
        <v>398</v>
      </c>
      <c r="E5" s="2" t="s">
        <v>10</v>
      </c>
      <c r="F5" t="s">
        <v>504</v>
      </c>
      <c r="G5" t="s">
        <v>543</v>
      </c>
      <c r="H5" s="85" t="s">
        <v>544</v>
      </c>
      <c r="I5" s="95" t="s">
        <v>545</v>
      </c>
      <c r="J5" s="85" t="s">
        <v>507</v>
      </c>
      <c r="K5" s="85" t="s">
        <v>506</v>
      </c>
      <c r="L5" s="85" t="s">
        <v>505</v>
      </c>
      <c r="M5" s="94" t="s">
        <v>612</v>
      </c>
      <c r="N5" s="94" t="s">
        <v>613</v>
      </c>
      <c r="P5" s="54" t="s">
        <v>274</v>
      </c>
    </row>
    <row r="6" spans="3:22" ht="14.4" x14ac:dyDescent="0.3">
      <c r="C6" t="s">
        <v>63</v>
      </c>
      <c r="D6" t="s">
        <v>65</v>
      </c>
      <c r="E6" t="s">
        <v>52</v>
      </c>
      <c r="F6" s="90">
        <v>84166.36</v>
      </c>
      <c r="G6" s="90">
        <v>84126.5</v>
      </c>
      <c r="H6" s="84">
        <v>0.12</v>
      </c>
      <c r="I6" s="96">
        <f>G6*(1-H6)</f>
        <v>74031.320000000007</v>
      </c>
      <c r="J6" s="77">
        <f t="shared" ref="J6" si="0">F6-I6</f>
        <v>10135.039999999994</v>
      </c>
      <c r="K6" s="79">
        <f t="shared" ref="K6" si="1">J6/F6</f>
        <v>0.12041675557788163</v>
      </c>
      <c r="L6" s="83"/>
      <c r="M6" s="129" t="s">
        <v>1011</v>
      </c>
      <c r="N6" s="129" t="s">
        <v>1012</v>
      </c>
      <c r="O6" s="97" t="s">
        <v>614</v>
      </c>
      <c r="P6" s="77"/>
      <c r="V6" s="82"/>
    </row>
    <row r="7" spans="3:22" ht="14.4" x14ac:dyDescent="0.3">
      <c r="C7" t="s">
        <v>63</v>
      </c>
      <c r="D7" t="s">
        <v>84</v>
      </c>
      <c r="E7" t="s">
        <v>52</v>
      </c>
      <c r="F7" s="90">
        <v>2111.6579932559807</v>
      </c>
      <c r="G7" s="90">
        <v>2065.75</v>
      </c>
      <c r="H7" s="81"/>
      <c r="I7" s="80"/>
      <c r="J7" s="77"/>
      <c r="K7" s="79"/>
      <c r="L7" s="77"/>
      <c r="M7" s="77"/>
      <c r="N7" s="78"/>
      <c r="P7" s="77"/>
      <c r="V7" s="82"/>
    </row>
    <row r="8" spans="3:22" ht="14.4" x14ac:dyDescent="0.3">
      <c r="C8" t="s">
        <v>63</v>
      </c>
      <c r="D8" t="s">
        <v>62</v>
      </c>
      <c r="E8" t="s">
        <v>52</v>
      </c>
      <c r="F8" s="90">
        <v>2287.34</v>
      </c>
      <c r="G8" s="90">
        <v>2287.34</v>
      </c>
      <c r="H8" s="81"/>
      <c r="I8" s="80"/>
      <c r="J8" s="77"/>
      <c r="K8" s="79"/>
      <c r="L8" s="77"/>
      <c r="M8" s="77"/>
      <c r="N8" s="78"/>
      <c r="P8" s="77"/>
      <c r="V8" s="82"/>
    </row>
    <row r="9" spans="3:22" ht="14.4" x14ac:dyDescent="0.3">
      <c r="C9" t="s">
        <v>63</v>
      </c>
      <c r="D9" t="s">
        <v>364</v>
      </c>
      <c r="E9" t="s">
        <v>52</v>
      </c>
      <c r="F9" s="90">
        <v>1497.88</v>
      </c>
      <c r="G9" s="90">
        <v>1497.88</v>
      </c>
      <c r="H9" s="81"/>
      <c r="I9" s="80"/>
      <c r="J9" s="77"/>
      <c r="K9" s="79"/>
      <c r="L9" s="77"/>
      <c r="M9" s="77"/>
      <c r="N9" s="78"/>
      <c r="P9" s="77"/>
      <c r="V9" s="82"/>
    </row>
    <row r="10" spans="3:22" ht="14.4" x14ac:dyDescent="0.3">
      <c r="C10" t="s">
        <v>96</v>
      </c>
      <c r="D10"/>
      <c r="E10"/>
      <c r="F10" s="90">
        <v>90063.237993255985</v>
      </c>
      <c r="G10" s="90">
        <v>89977.47</v>
      </c>
      <c r="H10" s="81"/>
      <c r="I10" s="80"/>
      <c r="J10" s="77"/>
      <c r="K10" s="79"/>
      <c r="L10" s="77"/>
      <c r="M10" s="77"/>
      <c r="N10" s="78"/>
      <c r="P10" s="77"/>
    </row>
    <row r="11" spans="3:22" ht="14.4" x14ac:dyDescent="0.3">
      <c r="C11"/>
      <c r="D11"/>
      <c r="E11"/>
      <c r="F11"/>
      <c r="G11"/>
      <c r="H11" s="81"/>
      <c r="I11" s="80"/>
      <c r="J11" s="77"/>
      <c r="K11" s="79"/>
      <c r="L11" s="77"/>
      <c r="M11" s="77"/>
      <c r="N11" s="78"/>
      <c r="P11" s="77"/>
      <c r="V11" s="82"/>
    </row>
    <row r="12" spans="3:22" ht="14.4" x14ac:dyDescent="0.3">
      <c r="C12"/>
      <c r="D12"/>
      <c r="E12"/>
      <c r="F12"/>
      <c r="G12"/>
      <c r="H12" s="81"/>
      <c r="I12" s="80"/>
      <c r="J12" s="77"/>
      <c r="K12" s="79"/>
      <c r="L12" s="77"/>
      <c r="M12" s="77"/>
      <c r="N12" s="78"/>
      <c r="P12" s="77"/>
      <c r="V12" s="82"/>
    </row>
    <row r="13" spans="3:22" ht="14.4" x14ac:dyDescent="0.3">
      <c r="C13"/>
      <c r="D13"/>
      <c r="E13"/>
      <c r="F13"/>
      <c r="G13"/>
      <c r="H13" s="81"/>
      <c r="I13" s="80"/>
      <c r="J13" s="77"/>
      <c r="K13" s="79"/>
      <c r="L13" s="77"/>
      <c r="M13" s="77"/>
      <c r="N13" s="78"/>
      <c r="P13" s="77"/>
      <c r="V13" s="82"/>
    </row>
    <row r="14" spans="3:22" ht="14.4" x14ac:dyDescent="0.3">
      <c r="C14"/>
      <c r="D14"/>
      <c r="E14"/>
      <c r="F14"/>
      <c r="G14"/>
      <c r="H14" s="81"/>
      <c r="I14" s="80"/>
      <c r="J14" s="77"/>
      <c r="K14" s="79"/>
      <c r="L14" s="77"/>
      <c r="M14" s="77"/>
      <c r="N14" s="78"/>
      <c r="P14" s="77"/>
      <c r="V14" s="82"/>
    </row>
    <row r="15" spans="3:22" ht="14.4" x14ac:dyDescent="0.3">
      <c r="C15"/>
      <c r="D15"/>
      <c r="E15"/>
      <c r="F15"/>
      <c r="G15"/>
      <c r="H15" s="81"/>
      <c r="I15" s="80"/>
      <c r="J15" s="77"/>
      <c r="K15" s="79"/>
      <c r="L15" s="77"/>
      <c r="M15" s="77"/>
      <c r="N15" s="78"/>
      <c r="P15" s="77"/>
      <c r="V15" s="82"/>
    </row>
    <row r="16" spans="3:22" ht="14.4" x14ac:dyDescent="0.3">
      <c r="C16"/>
      <c r="D16"/>
      <c r="E16"/>
      <c r="F16"/>
      <c r="G16"/>
      <c r="H16" s="81"/>
      <c r="I16" s="80"/>
      <c r="J16" s="77"/>
      <c r="K16" s="79"/>
      <c r="L16" s="77"/>
      <c r="M16" s="77"/>
      <c r="N16" s="78"/>
      <c r="P16" s="77"/>
      <c r="V16" s="82"/>
    </row>
    <row r="17" spans="3:22" ht="14.4" x14ac:dyDescent="0.3">
      <c r="C17"/>
      <c r="D17"/>
      <c r="E17"/>
      <c r="F17"/>
      <c r="G17"/>
      <c r="H17" s="81"/>
      <c r="I17" s="80"/>
      <c r="J17" s="77"/>
      <c r="K17" s="79"/>
      <c r="L17" s="77"/>
      <c r="M17" s="77"/>
      <c r="N17" s="78"/>
      <c r="P17" s="80"/>
      <c r="V17" s="82"/>
    </row>
    <row r="18" spans="3:22" ht="14.4" x14ac:dyDescent="0.3">
      <c r="C18"/>
      <c r="D18"/>
      <c r="E18"/>
      <c r="F18"/>
      <c r="G18"/>
      <c r="H18" s="81"/>
      <c r="I18" s="80"/>
      <c r="J18" s="77"/>
      <c r="K18" s="79"/>
      <c r="L18" s="77"/>
      <c r="M18" s="77"/>
      <c r="N18" s="78"/>
      <c r="P18" s="80"/>
      <c r="V18" s="82"/>
    </row>
    <row r="19" spans="3:22" ht="14.4" x14ac:dyDescent="0.3">
      <c r="C19" s="60"/>
      <c r="D19" s="60"/>
      <c r="E19" s="60"/>
      <c r="F19" s="60"/>
      <c r="G19" s="60"/>
      <c r="H19" s="81"/>
      <c r="I19" s="80"/>
      <c r="J19" s="77"/>
      <c r="K19" s="79"/>
      <c r="L19" s="77"/>
      <c r="M19" s="77"/>
      <c r="N19" s="78"/>
      <c r="P19" s="80"/>
      <c r="V19" s="82"/>
    </row>
    <row r="20" spans="3:22" ht="14.4" x14ac:dyDescent="0.3">
      <c r="C20" s="60"/>
      <c r="D20" s="60"/>
      <c r="E20" s="60"/>
      <c r="F20" s="60"/>
      <c r="G20" s="60"/>
      <c r="H20" s="81"/>
      <c r="I20" s="80"/>
      <c r="J20" s="77"/>
      <c r="K20" s="79"/>
      <c r="L20" s="77"/>
      <c r="M20" s="77"/>
      <c r="N20" s="78"/>
      <c r="O20" s="80"/>
      <c r="P20" s="80"/>
    </row>
    <row r="21" spans="3:22" ht="15.75" customHeight="1" x14ac:dyDescent="0.3">
      <c r="C21" s="60"/>
      <c r="D21" s="60"/>
      <c r="E21" s="60"/>
      <c r="F21" s="60"/>
      <c r="G21" s="60"/>
      <c r="H21" s="81"/>
      <c r="I21" s="80"/>
      <c r="J21" s="77"/>
      <c r="K21" s="79"/>
      <c r="L21" s="77"/>
      <c r="M21" s="77"/>
      <c r="N21" s="78"/>
      <c r="O21" s="78"/>
      <c r="P21" s="77"/>
    </row>
    <row r="22" spans="3:22" ht="15.75" customHeight="1" x14ac:dyDescent="0.3">
      <c r="C22" s="60"/>
      <c r="D22" s="60"/>
      <c r="E22" s="60"/>
      <c r="F22" s="60"/>
      <c r="G22" s="60"/>
      <c r="H22" s="81"/>
      <c r="I22" s="80"/>
      <c r="J22" s="77"/>
      <c r="K22" s="79"/>
      <c r="L22" s="77"/>
      <c r="M22" s="77"/>
      <c r="N22" s="78"/>
      <c r="O22" s="78"/>
      <c r="P22" s="77"/>
      <c r="Q22" s="76"/>
      <c r="R22" s="76"/>
    </row>
    <row r="23" spans="3:22" ht="15.75" customHeight="1" x14ac:dyDescent="0.3">
      <c r="C23" s="60"/>
      <c r="D23" s="60"/>
      <c r="E23" s="60"/>
      <c r="F23" s="60"/>
      <c r="G23" s="60"/>
      <c r="H23" s="81"/>
      <c r="I23" s="80"/>
      <c r="J23" s="77"/>
      <c r="K23" s="79"/>
      <c r="L23" s="77"/>
      <c r="M23" s="77"/>
      <c r="N23" s="78"/>
      <c r="O23" s="78"/>
      <c r="P23" s="77"/>
      <c r="Q23" s="76"/>
      <c r="R23" s="76"/>
    </row>
    <row r="24" spans="3:22" ht="15.75" customHeight="1" x14ac:dyDescent="0.3">
      <c r="H24" s="81"/>
      <c r="I24" s="80"/>
      <c r="J24" s="77"/>
      <c r="K24" s="79"/>
      <c r="L24" s="77"/>
      <c r="M24" s="77"/>
      <c r="N24" s="78"/>
    </row>
    <row r="25" spans="3:22" ht="15.75" customHeight="1" x14ac:dyDescent="0.3">
      <c r="H25" s="81"/>
      <c r="I25" s="80"/>
      <c r="J25" s="77"/>
      <c r="K25" s="79"/>
      <c r="L25" s="77"/>
      <c r="M25" s="77"/>
      <c r="N25" s="78"/>
    </row>
    <row r="26" spans="3:22" ht="15.75" customHeight="1" x14ac:dyDescent="0.3">
      <c r="H26" s="81"/>
      <c r="I26" s="80"/>
      <c r="J26" s="77"/>
      <c r="K26" s="79"/>
      <c r="L26" s="77"/>
      <c r="M26" s="77"/>
      <c r="N26" s="78"/>
    </row>
    <row r="27" spans="3:22" ht="15.75" customHeight="1" x14ac:dyDescent="0.3">
      <c r="H27" s="81"/>
      <c r="I27" s="80"/>
      <c r="J27" s="77"/>
      <c r="K27" s="79"/>
      <c r="L27" s="77"/>
      <c r="M27" s="77"/>
      <c r="N27" s="78"/>
    </row>
    <row r="28" spans="3:22" ht="15.75" customHeight="1" x14ac:dyDescent="0.3">
      <c r="H28" s="81"/>
      <c r="I28" s="80"/>
      <c r="J28" s="77"/>
      <c r="K28" s="79"/>
      <c r="L28" s="77"/>
      <c r="M28" s="77"/>
      <c r="N28" s="78"/>
    </row>
    <row r="29" spans="3:22" ht="15.75" customHeight="1" x14ac:dyDescent="0.3"/>
    <row r="30" spans="3:22" ht="15.75" customHeight="1" x14ac:dyDescent="0.3"/>
    <row r="31" spans="3:22" ht="15.75" customHeight="1" x14ac:dyDescent="0.3"/>
    <row r="32" spans="3:2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</sheetData>
  <pageMargins left="0.7" right="0.7" top="0.75" bottom="0.75" header="0" footer="0"/>
  <pageSetup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Pivot</vt:lpstr>
      <vt:lpstr>Summary</vt:lpstr>
      <vt:lpstr>DEALS</vt:lpstr>
      <vt:lpstr>Salesforce</vt:lpstr>
      <vt:lpstr>SF_Direct</vt:lpstr>
      <vt:lpstr>ex rate</vt:lpstr>
      <vt:lpstr>Criteo Report</vt:lpstr>
      <vt:lpstr>Criteo Direct Report</vt:lpstr>
      <vt:lpstr>Pivot Criteo report</vt:lpstr>
      <vt:lpstr>ERP</vt:lpstr>
      <vt:lpstr>SAP</vt:lpstr>
      <vt:lpstr>ERP VS SF</vt:lpstr>
      <vt:lpstr>CRM_PREV_M</vt:lpstr>
      <vt:lpstr>Billing_Rev</vt:lpstr>
      <vt:lpstr>Interco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Pedro Ferrauti Coletti</cp:lastModifiedBy>
  <dcterms:created xsi:type="dcterms:W3CDTF">2024-10-08T17:34:42Z</dcterms:created>
  <dcterms:modified xsi:type="dcterms:W3CDTF">2026-03-20T21:32:53Z</dcterms:modified>
</cp:coreProperties>
</file>